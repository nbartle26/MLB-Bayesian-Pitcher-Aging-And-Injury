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J List" sheetId="1" r:id="rId3"/>
    <sheet state="visible" name="How To Use" sheetId="2" r:id="rId4"/>
    <sheet state="visible" name="Pending" sheetId="3" r:id="rId5"/>
    <sheet state="visible" name="UCL PRP" sheetId="4" r:id="rId6"/>
    <sheet state="visible" name="UCL InternalBrace" sheetId="5" r:id="rId7"/>
    <sheet state="visible" name="Repeat TJ List" sheetId="6" r:id="rId8"/>
    <sheet state="visible" name="MLB 2024" sheetId="7" r:id="rId9"/>
    <sheet state="visible" name="MLB 2023" sheetId="8" r:id="rId10"/>
    <sheet state="visible" name="MLB 2022" sheetId="9" r:id="rId11"/>
    <sheet state="visible" name="MLB 2021" sheetId="10" r:id="rId12"/>
    <sheet state="visible" name="MLB 2020" sheetId="11" r:id="rId13"/>
    <sheet state="visible" name="MLB 2019" sheetId="12" r:id="rId14"/>
    <sheet state="visible" name="MLB 2018" sheetId="13" r:id="rId15"/>
    <sheet state="visible" name="MLB 2017" sheetId="14" r:id="rId16"/>
    <sheet state="visible" name="MLB 2016" sheetId="15" r:id="rId17"/>
    <sheet state="visible" name="D1 Colleges" sheetId="16" r:id="rId18"/>
    <sheet state="visible" name="Unsigned Draftees" sheetId="17" r:id="rId19"/>
    <sheet state="visible" name="Unconfirmed Dates and Surgeries" sheetId="18" r:id="rId20"/>
    <sheet state="visible" name="Recovery Time" sheetId="19" r:id="rId21"/>
    <sheet state="visible" name="Organizations" sheetId="20" r:id="rId22"/>
    <sheet state="visible" name="Surgeons" sheetId="21" r:id="rId23"/>
    <sheet state="visible" name="Update Log" sheetId="22" r:id="rId24"/>
    <sheet state="visible" name="Other" sheetId="23" r:id="rId25"/>
  </sheets>
  <definedNames/>
  <calcPr/>
</workbook>
</file>

<file path=xl/sharedStrings.xml><?xml version="1.0" encoding="utf-8"?>
<sst xmlns="http://schemas.openxmlformats.org/spreadsheetml/2006/main" count="29784" uniqueCount="6939">
  <si>
    <t>Donations</t>
  </si>
  <si>
    <t>https://paypal.me/mlbplayeranalys?country.x=CA&amp;locale.x=en_US</t>
  </si>
  <si>
    <t>Player</t>
  </si>
  <si>
    <t>TJ Surgery Date</t>
  </si>
  <si>
    <t>Team</t>
  </si>
  <si>
    <t>Level</t>
  </si>
  <si>
    <t>Position</t>
  </si>
  <si>
    <t>Throws</t>
  </si>
  <si>
    <t>Country</t>
  </si>
  <si>
    <t>High School</t>
  </si>
  <si>
    <t>College(s)</t>
  </si>
  <si>
    <t>Age</t>
  </si>
  <si>
    <t>Return Date (same level)</t>
  </si>
  <si>
    <t>Recovery Time (months)</t>
  </si>
  <si>
    <t>mlbamid</t>
  </si>
  <si>
    <t>fgid</t>
  </si>
  <si>
    <t>Surgeon(s)</t>
  </si>
  <si>
    <t>Post-TJ MLB G</t>
  </si>
  <si>
    <t>Post-TJ MLB IP/PA</t>
  </si>
  <si>
    <t>Active</t>
  </si>
  <si>
    <t>Year</t>
  </si>
  <si>
    <t>Month</t>
  </si>
  <si>
    <t>Day</t>
  </si>
  <si>
    <t>Started
Throwing</t>
  </si>
  <si>
    <t>Mound</t>
  </si>
  <si>
    <t>Bullpen</t>
  </si>
  <si>
    <t>Live
Hitters</t>
  </si>
  <si>
    <t>Game</t>
  </si>
  <si>
    <t>Setback</t>
  </si>
  <si>
    <t>Setback Type</t>
  </si>
  <si>
    <t>G</t>
  </si>
  <si>
    <t>GS</t>
  </si>
  <si>
    <t>IP</t>
  </si>
  <si>
    <t>K-BB%</t>
  </si>
  <si>
    <t>ERA-</t>
  </si>
  <si>
    <t>FIP-</t>
  </si>
  <si>
    <t>Ronny Henriquez</t>
  </si>
  <si>
    <t>MIA</t>
  </si>
  <si>
    <t>MLB</t>
  </si>
  <si>
    <t>P</t>
  </si>
  <si>
    <t>R</t>
  </si>
  <si>
    <t>Dominican</t>
  </si>
  <si>
    <t>Dr. Keith Meister</t>
  </si>
  <si>
    <t>Nic Enright</t>
  </si>
  <si>
    <t>CLE</t>
  </si>
  <si>
    <t>United States</t>
  </si>
  <si>
    <t>Virginia</t>
  </si>
  <si>
    <t>Virginia Tech</t>
  </si>
  <si>
    <t>Reed Garrett</t>
  </si>
  <si>
    <t>NYM</t>
  </si>
  <si>
    <t>Virginia Military</t>
  </si>
  <si>
    <t>Luis Garcia</t>
  </si>
  <si>
    <t>HOU</t>
  </si>
  <si>
    <t>Venezuela</t>
  </si>
  <si>
    <t>Shelby Miller</t>
  </si>
  <si>
    <t>MIL</t>
  </si>
  <si>
    <t>Texas</t>
  </si>
  <si>
    <t>Declan Cronin</t>
  </si>
  <si>
    <t>AAA</t>
  </si>
  <si>
    <t>New York</t>
  </si>
  <si>
    <t>Holy Cross</t>
  </si>
  <si>
    <t>Randy Rodriguez</t>
  </si>
  <si>
    <t>SF</t>
  </si>
  <si>
    <t>Brandon Walter</t>
  </si>
  <si>
    <t>L</t>
  </si>
  <si>
    <t>Delaware</t>
  </si>
  <si>
    <t>Tylor Megill</t>
  </si>
  <si>
    <t>California</t>
  </si>
  <si>
    <t>Loyola Marymount, Arizona</t>
  </si>
  <si>
    <t>Dr. Neal ElAttrache</t>
  </si>
  <si>
    <t>Frankie Montas</t>
  </si>
  <si>
    <t>Tanner Houck</t>
  </si>
  <si>
    <t>BOS</t>
  </si>
  <si>
    <t>Illinois</t>
  </si>
  <si>
    <t>Missouri</t>
  </si>
  <si>
    <t>Tyler Stuart</t>
  </si>
  <si>
    <t>WAS</t>
  </si>
  <si>
    <t>AA</t>
  </si>
  <si>
    <t>Southern Mississippi</t>
  </si>
  <si>
    <t>sa3020264</t>
  </si>
  <si>
    <t>Travis Sykora</t>
  </si>
  <si>
    <t>sa3023557</t>
  </si>
  <si>
    <t>Tekoah Roby</t>
  </si>
  <si>
    <t>STL</t>
  </si>
  <si>
    <t>Florida</t>
  </si>
  <si>
    <t>sa3014519</t>
  </si>
  <si>
    <t>Dedniel Nunez</t>
  </si>
  <si>
    <t>Zach Fogell</t>
  </si>
  <si>
    <t>A+</t>
  </si>
  <si>
    <t>Rhode Island</t>
  </si>
  <si>
    <t>Brown, Connecticut</t>
  </si>
  <si>
    <t>sa3023280</t>
  </si>
  <si>
    <t>Peyton Prescott</t>
  </si>
  <si>
    <t>Coll</t>
  </si>
  <si>
    <t>Florida State, Jacksonville</t>
  </si>
  <si>
    <t>sa3040183</t>
  </si>
  <si>
    <t>Trennor O'Donnell</t>
  </si>
  <si>
    <t>A</t>
  </si>
  <si>
    <t>Ball State</t>
  </si>
  <si>
    <t>sa3023531</t>
  </si>
  <si>
    <t>Justin Martinez</t>
  </si>
  <si>
    <t>ARI</t>
  </si>
  <si>
    <t>Jair Camargo</t>
  </si>
  <si>
    <t>MIN</t>
  </si>
  <si>
    <t>C</t>
  </si>
  <si>
    <t>Colombia</t>
  </si>
  <si>
    <t>Dr. Christopher Camp</t>
  </si>
  <si>
    <t>Jake Cousins</t>
  </si>
  <si>
    <t>NYY</t>
  </si>
  <si>
    <t>Pennsylvania</t>
  </si>
  <si>
    <t>Jackson Jobe</t>
  </si>
  <si>
    <t>DET</t>
  </si>
  <si>
    <t>Oklahoma</t>
  </si>
  <si>
    <t>Corbin Burnes</t>
  </si>
  <si>
    <t>Saint Mary's</t>
  </si>
  <si>
    <t>AJ Smith-Shawver</t>
  </si>
  <si>
    <t>ATL</t>
  </si>
  <si>
    <t>Will Brennan</t>
  </si>
  <si>
    <t>OF</t>
  </si>
  <si>
    <t>Kansas</t>
  </si>
  <si>
    <t>Kansas State</t>
  </si>
  <si>
    <t>Sports hernia surgery</t>
  </si>
  <si>
    <t>Ronel Blanco</t>
  </si>
  <si>
    <t>Ben Lively</t>
  </si>
  <si>
    <t>Central Florida</t>
  </si>
  <si>
    <t>Evan Phillips</t>
  </si>
  <si>
    <t>LAD</t>
  </si>
  <si>
    <t>North Carolina</t>
  </si>
  <si>
    <t>Tommy Henry</t>
  </si>
  <si>
    <t>Michigan</t>
  </si>
  <si>
    <t>Yordanny Monegro</t>
  </si>
  <si>
    <t>sa3015476</t>
  </si>
  <si>
    <t>Emmett Olson</t>
  </si>
  <si>
    <t>Nebraska</t>
  </si>
  <si>
    <t>sa3023223</t>
  </si>
  <si>
    <t>Hayden Wesneski</t>
  </si>
  <si>
    <t>Sam Houston State</t>
  </si>
  <si>
    <t>Patrick Reilly</t>
  </si>
  <si>
    <t>BAL</t>
  </si>
  <si>
    <t>New Jersey</t>
  </si>
  <si>
    <t>Vanderbilt</t>
  </si>
  <si>
    <t>sa3023038</t>
  </si>
  <si>
    <t>Casey Saucke</t>
  </si>
  <si>
    <t>CHW</t>
  </si>
  <si>
    <t>sa3025382</t>
  </si>
  <si>
    <t>Danny Young</t>
  </si>
  <si>
    <t>Edgar Barclay</t>
  </si>
  <si>
    <t>Cal State Bakersfield</t>
  </si>
  <si>
    <t>sa1170012</t>
  </si>
  <si>
    <t>Moises Chace</t>
  </si>
  <si>
    <t>PHI</t>
  </si>
  <si>
    <t>sa3015346</t>
  </si>
  <si>
    <t>Sem Robberse</t>
  </si>
  <si>
    <t>Netherlands</t>
  </si>
  <si>
    <t>sa3011735</t>
  </si>
  <si>
    <t>Alfredo Zarraga</t>
  </si>
  <si>
    <t>TB</t>
  </si>
  <si>
    <t>sa3018276</t>
  </si>
  <si>
    <t>Brayden Jones</t>
  </si>
  <si>
    <t>Mississippi</t>
  </si>
  <si>
    <t>sa3034850</t>
  </si>
  <si>
    <t>Braden Osbolt</t>
  </si>
  <si>
    <t>CIN</t>
  </si>
  <si>
    <t>Georgia</t>
  </si>
  <si>
    <t>Kennesaw State</t>
  </si>
  <si>
    <t>sa3039231</t>
  </si>
  <si>
    <t>Justin Steele</t>
  </si>
  <si>
    <t>CHC</t>
  </si>
  <si>
    <t>DJ Herz</t>
  </si>
  <si>
    <t>Mason Adams</t>
  </si>
  <si>
    <t>Jacksonville</t>
  </si>
  <si>
    <t>sa3020388</t>
  </si>
  <si>
    <t>Jordan Montgomery</t>
  </si>
  <si>
    <t>South Carolina</t>
  </si>
  <si>
    <t>Michael Salina</t>
  </si>
  <si>
    <t>SD</t>
  </si>
  <si>
    <t>George Mason, St. Bonaventure</t>
  </si>
  <si>
    <t>sa3041443</t>
  </si>
  <si>
    <t>Cooper Hjerpe</t>
  </si>
  <si>
    <t>Oregon State</t>
  </si>
  <si>
    <t>sa3020736</t>
  </si>
  <si>
    <t>Payton Graham</t>
  </si>
  <si>
    <t>Washington</t>
  </si>
  <si>
    <t>Gonzaga</t>
  </si>
  <si>
    <t>sa3032565</t>
  </si>
  <si>
    <t>Mason McConnaughey</t>
  </si>
  <si>
    <t>TEX</t>
  </si>
  <si>
    <t>sa3037493</t>
  </si>
  <si>
    <t>Blake Walston</t>
  </si>
  <si>
    <t>Gerrit Cole</t>
  </si>
  <si>
    <t>UCLA</t>
  </si>
  <si>
    <t>Jeff Criswell</t>
  </si>
  <si>
    <t>COL</t>
  </si>
  <si>
    <t>Matt Duffy</t>
  </si>
  <si>
    <t>Canada</t>
  </si>
  <si>
    <t>sa3023272</t>
  </si>
  <si>
    <t>Cole Tolbert</t>
  </si>
  <si>
    <t>sa3025352</t>
  </si>
  <si>
    <t>Thyago Vieira</t>
  </si>
  <si>
    <t>Brazil</t>
  </si>
  <si>
    <t>Josh Winder</t>
  </si>
  <si>
    <t>Prelander Berroa</t>
  </si>
  <si>
    <t>Domincan</t>
  </si>
  <si>
    <t>Juan Carela</t>
  </si>
  <si>
    <t>Drew Thorpe</t>
  </si>
  <si>
    <t>Utah</t>
  </si>
  <si>
    <t>Cal State Poly, San Luis Obispo</t>
  </si>
  <si>
    <t>Chase Hampton</t>
  </si>
  <si>
    <t>Texas Tech</t>
  </si>
  <si>
    <t>sa3020682</t>
  </si>
  <si>
    <t>Ky Bush</t>
  </si>
  <si>
    <t>Saint Mary's, Washington State</t>
  </si>
  <si>
    <t>Blake Larson</t>
  </si>
  <si>
    <t>HS</t>
  </si>
  <si>
    <t>Thatcher Hurd</t>
  </si>
  <si>
    <t>LSU, UCLA</t>
  </si>
  <si>
    <t>sa3034340</t>
  </si>
  <si>
    <t>Justin Henschel</t>
  </si>
  <si>
    <t>Florida Gulf Coast</t>
  </si>
  <si>
    <t>sa3033637</t>
  </si>
  <si>
    <t>Jacob Remily</t>
  </si>
  <si>
    <t>Rk</t>
  </si>
  <si>
    <t>Hawaii</t>
  </si>
  <si>
    <t>sa3067386</t>
  </si>
  <si>
    <t>Joseph Montalvo</t>
  </si>
  <si>
    <t>Puerto Rico</t>
  </si>
  <si>
    <t>sa3018802</t>
  </si>
  <si>
    <t>Josh Knoth</t>
  </si>
  <si>
    <t>sa3023420</t>
  </si>
  <si>
    <t>Grant Knipp</t>
  </si>
  <si>
    <t>SEA</t>
  </si>
  <si>
    <t>Kentucky</t>
  </si>
  <si>
    <t>Campbell, Alabama</t>
  </si>
  <si>
    <t>sa3035555</t>
  </si>
  <si>
    <t>T.J. Brock</t>
  </si>
  <si>
    <t>TOR</t>
  </si>
  <si>
    <t>Ohio</t>
  </si>
  <si>
    <t>Ohio State</t>
  </si>
  <si>
    <t>sa3020079</t>
  </si>
  <si>
    <t>Connor Cooke</t>
  </si>
  <si>
    <t>Louisiana</t>
  </si>
  <si>
    <t>sa3017822</t>
  </si>
  <si>
    <t>Braxton Garrett</t>
  </si>
  <si>
    <t>Alabama</t>
  </si>
  <si>
    <t>Wen-Hui Pan</t>
  </si>
  <si>
    <t>Taiwan</t>
  </si>
  <si>
    <t>sa3020878</t>
  </si>
  <si>
    <t>Julian Aguiar</t>
  </si>
  <si>
    <t>Cypress</t>
  </si>
  <si>
    <t>Joe Musgrove</t>
  </si>
  <si>
    <t>Cade Feeney</t>
  </si>
  <si>
    <t>North Dakota</t>
  </si>
  <si>
    <t>North Dakota State</t>
  </si>
  <si>
    <t>sa3023228</t>
  </si>
  <si>
    <t>Yujanyer Herrera</t>
  </si>
  <si>
    <t>sa3015370</t>
  </si>
  <si>
    <t>Christian Scott</t>
  </si>
  <si>
    <t>Brandon Williamson</t>
  </si>
  <si>
    <t>Minnesota</t>
  </si>
  <si>
    <t>Texas Christian</t>
  </si>
  <si>
    <t>Bryce Montes de Oca</t>
  </si>
  <si>
    <t>Chad Dallas</t>
  </si>
  <si>
    <t>Tennessee</t>
  </si>
  <si>
    <t>sa3018180</t>
  </si>
  <si>
    <t>Nolan Perry</t>
  </si>
  <si>
    <t>New Mexico</t>
  </si>
  <si>
    <t>sa3021476</t>
  </si>
  <si>
    <t>Carson Pierce</t>
  </si>
  <si>
    <t>sa3023179</t>
  </si>
  <si>
    <t>Jorge Mateo</t>
  </si>
  <si>
    <t>2B</t>
  </si>
  <si>
    <t>R*</t>
  </si>
  <si>
    <t>Adbert Alzolay</t>
  </si>
  <si>
    <t>Luis Medina</t>
  </si>
  <si>
    <t>OAK</t>
  </si>
  <si>
    <t>Matt Donlan</t>
  </si>
  <si>
    <t>Connecticut</t>
  </si>
  <si>
    <t>sa3020107</t>
  </si>
  <si>
    <t>Cole Mathis</t>
  </si>
  <si>
    <t>3B</t>
  </si>
  <si>
    <t>Charleston</t>
  </si>
  <si>
    <t>sa3037300</t>
  </si>
  <si>
    <t>Dr. Stephen Gryzlo</t>
  </si>
  <si>
    <t>River Ryan</t>
  </si>
  <si>
    <t>Luke Keaschall</t>
  </si>
  <si>
    <t>San Francisco, Arizona State</t>
  </si>
  <si>
    <t>Kyle Hurt</t>
  </si>
  <si>
    <t>USC</t>
  </si>
  <si>
    <t>Ricky Tiedemann</t>
  </si>
  <si>
    <t>Golden West</t>
  </si>
  <si>
    <t>sa3018096</t>
  </si>
  <si>
    <t>Josiah Gray</t>
  </si>
  <si>
    <t>Le Moyne</t>
  </si>
  <si>
    <t>Drew Smith</t>
  </si>
  <si>
    <t>Dallas Baptist</t>
  </si>
  <si>
    <t>Luis Oritz</t>
  </si>
  <si>
    <t>Kiefer Lord</t>
  </si>
  <si>
    <t>Washington, Carleton</t>
  </si>
  <si>
    <t>sa3023135</t>
  </si>
  <si>
    <t>Joey Broughton</t>
  </si>
  <si>
    <t>Ray Kerr</t>
  </si>
  <si>
    <t>Nevada</t>
  </si>
  <si>
    <t>Lassen</t>
  </si>
  <si>
    <t>Cade Kuehler</t>
  </si>
  <si>
    <t>Campbell</t>
  </si>
  <si>
    <t>sa3023306</t>
  </si>
  <si>
    <t>Evelio Hernandez</t>
  </si>
  <si>
    <t>sa3019487</t>
  </si>
  <si>
    <t>Yohanfer Santana</t>
  </si>
  <si>
    <t>sa3022143</t>
  </si>
  <si>
    <t>Jose Corniell</t>
  </si>
  <si>
    <t>sa3015213</t>
  </si>
  <si>
    <t>Chris McElvain</t>
  </si>
  <si>
    <t>sa3020806</t>
  </si>
  <si>
    <t>Robert Gasser</t>
  </si>
  <si>
    <t>Houston, New Mexico</t>
  </si>
  <si>
    <t>Kyle Bradish</t>
  </si>
  <si>
    <t>Arizona</t>
  </si>
  <si>
    <t>New Mexico State</t>
  </si>
  <si>
    <t>Alek Manoah</t>
  </si>
  <si>
    <t>West Virginia</t>
  </si>
  <si>
    <t>AJ Russell</t>
  </si>
  <si>
    <t>sa3041324</t>
  </si>
  <si>
    <t>Cristian Javier</t>
  </si>
  <si>
    <t>Alex Ramos</t>
  </si>
  <si>
    <t>Jose Urquidy</t>
  </si>
  <si>
    <t>Mexico</t>
  </si>
  <si>
    <t>John Means</t>
  </si>
  <si>
    <t>Fort Scott, West Virginia</t>
  </si>
  <si>
    <t>Owen Murphy</t>
  </si>
  <si>
    <t>sa3020330</t>
  </si>
  <si>
    <t>Angel Bastardo</t>
  </si>
  <si>
    <t>sa3009716</t>
  </si>
  <si>
    <t>Luis Perales</t>
  </si>
  <si>
    <t>sa3014677</t>
  </si>
  <si>
    <t>Dr. Jeffrey Dugas</t>
  </si>
  <si>
    <t>Ryan Forcucci</t>
  </si>
  <si>
    <t>UC San Diego</t>
  </si>
  <si>
    <t>sa3031539</t>
  </si>
  <si>
    <t>Everson Pereira</t>
  </si>
  <si>
    <t>Nolan DeVos</t>
  </si>
  <si>
    <t>Davidson</t>
  </si>
  <si>
    <t>sa3020453</t>
  </si>
  <si>
    <t>Brooks Raley</t>
  </si>
  <si>
    <t>Texas A&amp;M</t>
  </si>
  <si>
    <t>Zac Kristofak</t>
  </si>
  <si>
    <t>LAA</t>
  </si>
  <si>
    <t>Georgia, West Georgia</t>
  </si>
  <si>
    <t>Emmet Sheehan</t>
  </si>
  <si>
    <t>Boston College</t>
  </si>
  <si>
    <t>Ken Waldichuk</t>
  </si>
  <si>
    <t>St. Mary's</t>
  </si>
  <si>
    <t>Matt Brash</t>
  </si>
  <si>
    <t>Wade Miley</t>
  </si>
  <si>
    <t>Southeastern Louisiana</t>
  </si>
  <si>
    <t>Dr. Timothy Kremchek</t>
  </si>
  <si>
    <t>Daniel Duarte</t>
  </si>
  <si>
    <t>Shane Van Dam</t>
  </si>
  <si>
    <t>KC</t>
  </si>
  <si>
    <t>North Carolina State</t>
  </si>
  <si>
    <t>sa3044327</t>
  </si>
  <si>
    <t>Owen Kellington</t>
  </si>
  <si>
    <t>PIT</t>
  </si>
  <si>
    <t>Vermont</t>
  </si>
  <si>
    <t>sa3018801</t>
  </si>
  <si>
    <t>Robert Stephenson</t>
  </si>
  <si>
    <t>Luis Patino</t>
  </si>
  <si>
    <t>Brandon Barriera</t>
  </si>
  <si>
    <t>sa3020683</t>
  </si>
  <si>
    <t>Sawyer Gipson-Long</t>
  </si>
  <si>
    <t>Mercer</t>
  </si>
  <si>
    <t>Labral repair surgery</t>
  </si>
  <si>
    <t>Shane Bieber</t>
  </si>
  <si>
    <t>California Santa Barbara</t>
  </si>
  <si>
    <t>Chris Murphy</t>
  </si>
  <si>
    <t>San Diego</t>
  </si>
  <si>
    <t>Eury Perez</t>
  </si>
  <si>
    <t>Trevor Gott</t>
  </si>
  <si>
    <t>Justin Campbell</t>
  </si>
  <si>
    <t>Oklahoma State</t>
  </si>
  <si>
    <t>sa3028334</t>
  </si>
  <si>
    <t>Noah Song</t>
  </si>
  <si>
    <t>Navy</t>
  </si>
  <si>
    <t>sa3011695</t>
  </si>
  <si>
    <t>Javi Torres</t>
  </si>
  <si>
    <t>sa3068954</t>
  </si>
  <si>
    <t>Calvin Ziegler</t>
  </si>
  <si>
    <t>sa3018142</t>
  </si>
  <si>
    <t>Cole Miller</t>
  </si>
  <si>
    <t>sa3067552</t>
  </si>
  <si>
    <t>Carson Montgomery</t>
  </si>
  <si>
    <t>Florida State</t>
  </si>
  <si>
    <t>sa3023470</t>
  </si>
  <si>
    <t>Blayne Enlow</t>
  </si>
  <si>
    <t>sa3005117</t>
  </si>
  <si>
    <t>Tanner Shears</t>
  </si>
  <si>
    <t>Sacramento State, Modesto, Illinois</t>
  </si>
  <si>
    <t>sa3020823</t>
  </si>
  <si>
    <t>Trevor Stephan</t>
  </si>
  <si>
    <t>Hill, Arkansas</t>
  </si>
  <si>
    <t>Jerson Ramirez</t>
  </si>
  <si>
    <t>sa3006541</t>
  </si>
  <si>
    <t>Asa Lacy</t>
  </si>
  <si>
    <t>sa3014423</t>
  </si>
  <si>
    <t>Tyler Mattison</t>
  </si>
  <si>
    <t>Bryant</t>
  </si>
  <si>
    <t>sa3018117</t>
  </si>
  <si>
    <t>Angel Felipe</t>
  </si>
  <si>
    <t>Liam Best</t>
  </si>
  <si>
    <t>Appalachian State, George Washington</t>
  </si>
  <si>
    <t>sa3027094</t>
  </si>
  <si>
    <t>Reese Sharp</t>
  </si>
  <si>
    <t>Indiana</t>
  </si>
  <si>
    <t>sa3020561</t>
  </si>
  <si>
    <t>Gerardo Carrillo</t>
  </si>
  <si>
    <t>sa3002790</t>
  </si>
  <si>
    <t>Aiden Jimenez</t>
  </si>
  <si>
    <t>Oregon State, Arkansas</t>
  </si>
  <si>
    <t>sa3034689</t>
  </si>
  <si>
    <t>Edgar Navarro</t>
  </si>
  <si>
    <t>Jesse Scholtens</t>
  </si>
  <si>
    <t>Arizona, Wright State</t>
  </si>
  <si>
    <t>Christian Chamberlain</t>
  </si>
  <si>
    <t>sa3014486</t>
  </si>
  <si>
    <t>Dauri Moreta</t>
  </si>
  <si>
    <t>Gavin Adams</t>
  </si>
  <si>
    <t>Florida State, Indian River, State</t>
  </si>
  <si>
    <t>sa3067453</t>
  </si>
  <si>
    <t>Jackson Kowar</t>
  </si>
  <si>
    <t>Andrew Dutkanych IV</t>
  </si>
  <si>
    <t>sa3030700</t>
  </si>
  <si>
    <t>Mason Thompson</t>
  </si>
  <si>
    <t>Riley Quick</t>
  </si>
  <si>
    <t>sa3040326</t>
  </si>
  <si>
    <t>David McCabe</t>
  </si>
  <si>
    <t>sa3019964</t>
  </si>
  <si>
    <t>Alex Bouchard</t>
  </si>
  <si>
    <t>Lehigh, Dickinson</t>
  </si>
  <si>
    <t>sa3027439</t>
  </si>
  <si>
    <t>Caleb Leys</t>
  </si>
  <si>
    <t>Maine</t>
  </si>
  <si>
    <t>sa3036316</t>
  </si>
  <si>
    <t>Sam Horn</t>
  </si>
  <si>
    <t>sa3034097</t>
  </si>
  <si>
    <t>Xavier Rivas</t>
  </si>
  <si>
    <t>Mississippi, Indianapolis</t>
  </si>
  <si>
    <t>sa3040812</t>
  </si>
  <si>
    <t>Kyle Ayers</t>
  </si>
  <si>
    <t>Texas Christian, Houston</t>
  </si>
  <si>
    <t>sa3026337</t>
  </si>
  <si>
    <t>Joey Gartrell</t>
  </si>
  <si>
    <t>Oregon</t>
  </si>
  <si>
    <t>Portland</t>
  </si>
  <si>
    <t>sa3032013</t>
  </si>
  <si>
    <t>Jake Knapp</t>
  </si>
  <si>
    <t>North Carolina, Walters State</t>
  </si>
  <si>
    <t>sa3035531</t>
  </si>
  <si>
    <t>David Fry</t>
  </si>
  <si>
    <t>Northwestern State</t>
  </si>
  <si>
    <t>Jack Bushell</t>
  </si>
  <si>
    <t>Australia</t>
  </si>
  <si>
    <t>sa3023577</t>
  </si>
  <si>
    <t>Marlin Willis</t>
  </si>
  <si>
    <t>sa3005116</t>
  </si>
  <si>
    <t>Isaac Ayon</t>
  </si>
  <si>
    <t>sa3026340</t>
  </si>
  <si>
    <t>Grant Richardson</t>
  </si>
  <si>
    <t>Grand Canyon</t>
  </si>
  <si>
    <t>sa3040703</t>
  </si>
  <si>
    <t>Kale Fountain</t>
  </si>
  <si>
    <t>sa3067321</t>
  </si>
  <si>
    <t>Tyler Gough</t>
  </si>
  <si>
    <t>sa3020865</t>
  </si>
  <si>
    <t>Cole Phillips</t>
  </si>
  <si>
    <t>sa3020882</t>
  </si>
  <si>
    <t>Garrett Horn</t>
  </si>
  <si>
    <t>Liberty</t>
  </si>
  <si>
    <t>sa3034093</t>
  </si>
  <si>
    <t>Jake Casey</t>
  </si>
  <si>
    <t>Kent State</t>
  </si>
  <si>
    <t>sa3028574</t>
  </si>
  <si>
    <t>Endy Rodriguez</t>
  </si>
  <si>
    <t>Johan Oviedo</t>
  </si>
  <si>
    <t>Cuba</t>
  </si>
  <si>
    <t>Gerelmi Maldonado</t>
  </si>
  <si>
    <t>sa3016018</t>
  </si>
  <si>
    <t>Luke Kovach</t>
  </si>
  <si>
    <t>California Polytechnic State, San Luis Obispo</t>
  </si>
  <si>
    <t>sa3067235</t>
  </si>
  <si>
    <t>Jovani Moran</t>
  </si>
  <si>
    <t>Taylor Broadway</t>
  </si>
  <si>
    <t>sa3017205</t>
  </si>
  <si>
    <t>Tyler Hardman</t>
  </si>
  <si>
    <t>sa3016955</t>
  </si>
  <si>
    <t>Dr. Christopher Ahmad</t>
  </si>
  <si>
    <t>Felix Bautista</t>
  </si>
  <si>
    <t>Elbow debridement/ulnar nerve transposition</t>
  </si>
  <si>
    <t>Sandy Alcantara</t>
  </si>
  <si>
    <t>Angel Perdomo</t>
  </si>
  <si>
    <t>Riley Greene</t>
  </si>
  <si>
    <t>L*</t>
  </si>
  <si>
    <t>Jasson Dominguez</t>
  </si>
  <si>
    <t>Shohei Ohtani</t>
  </si>
  <si>
    <t>Japan</t>
  </si>
  <si>
    <t>Cole Waites</t>
  </si>
  <si>
    <t>West Alabama</t>
  </si>
  <si>
    <t>Drey Jameson</t>
  </si>
  <si>
    <t>Noah Denoyer</t>
  </si>
  <si>
    <t>San Joaquin Delta</t>
  </si>
  <si>
    <t>sa3011889</t>
  </si>
  <si>
    <t>Tony Gonsolin</t>
  </si>
  <si>
    <t>Alex McFarlane</t>
  </si>
  <si>
    <t>Miami</t>
  </si>
  <si>
    <t>sa3020633</t>
  </si>
  <si>
    <t>Jake Bennett</t>
  </si>
  <si>
    <t>sa3020737</t>
  </si>
  <si>
    <t>Shane McClanahan</t>
  </si>
  <si>
    <t>South Florida</t>
  </si>
  <si>
    <t>Irritated nerve</t>
  </si>
  <si>
    <t>Geo Rivera</t>
  </si>
  <si>
    <t>Old Dominion, Walters State</t>
  </si>
  <si>
    <t>Liam Hendriks</t>
  </si>
  <si>
    <t>Compressed nerve</t>
  </si>
  <si>
    <t>Adauri Vicente</t>
  </si>
  <si>
    <t>sa3008473</t>
  </si>
  <si>
    <t>Angel De Jesus</t>
  </si>
  <si>
    <t>Coleman Crow</t>
  </si>
  <si>
    <t>sa3015142</t>
  </si>
  <si>
    <t>Jace Beck</t>
  </si>
  <si>
    <t>sa3011811</t>
  </si>
  <si>
    <t>John Valle</t>
  </si>
  <si>
    <t>sa3067416</t>
  </si>
  <si>
    <t>Indigo Diaz</t>
  </si>
  <si>
    <t>sa3011726</t>
  </si>
  <si>
    <t>Garrett Hawkins</t>
  </si>
  <si>
    <t>sa3017383</t>
  </si>
  <si>
    <t>Reiss Knehr</t>
  </si>
  <si>
    <t>Fordham</t>
  </si>
  <si>
    <t>D.J. Carpenter</t>
  </si>
  <si>
    <t>Central Arizona, Oregon State</t>
  </si>
  <si>
    <t>sa3020444</t>
  </si>
  <si>
    <t>Jackson Cox</t>
  </si>
  <si>
    <t>sa3020899</t>
  </si>
  <si>
    <t>Jordy Vargas</t>
  </si>
  <si>
    <t>sa3016052</t>
  </si>
  <si>
    <t>Gabriel Hughes</t>
  </si>
  <si>
    <t>Idaho</t>
  </si>
  <si>
    <t>sa3020661</t>
  </si>
  <si>
    <t>Antonio Senzatela</t>
  </si>
  <si>
    <t>Andrew Painter</t>
  </si>
  <si>
    <t>sa3017880</t>
  </si>
  <si>
    <t>Jose De Leon</t>
  </si>
  <si>
    <t>Dustin May</t>
  </si>
  <si>
    <t>Esophageal surgery</t>
  </si>
  <si>
    <t>Reiver Sanmartin</t>
  </si>
  <si>
    <t>Zach Pettway</t>
  </si>
  <si>
    <t>sa3018109</t>
  </si>
  <si>
    <t>Wyatt Mills</t>
  </si>
  <si>
    <t>Kenya Huggins</t>
  </si>
  <si>
    <t>Chipola</t>
  </si>
  <si>
    <t>sa3020609</t>
  </si>
  <si>
    <t>Dr. Timothy Kremchuk</t>
  </si>
  <si>
    <t>Penn Murfee</t>
  </si>
  <si>
    <t>Santa Clara, Vanderbilt</t>
  </si>
  <si>
    <t>Matthew Boyd</t>
  </si>
  <si>
    <t>Kyle McCoy</t>
  </si>
  <si>
    <t>Maryland</t>
  </si>
  <si>
    <t>sa3037510</t>
  </si>
  <si>
    <t>Andrew Misiaszek</t>
  </si>
  <si>
    <t>Northeastern</t>
  </si>
  <si>
    <t>sa3010118</t>
  </si>
  <si>
    <t>Dax Fulton</t>
  </si>
  <si>
    <t>sa3014535</t>
  </si>
  <si>
    <t>Jacob deGrom</t>
  </si>
  <si>
    <t>Stetson</t>
  </si>
  <si>
    <t>Freddy Pacheco</t>
  </si>
  <si>
    <t>sa3006164</t>
  </si>
  <si>
    <t>Boris Vecerka</t>
  </si>
  <si>
    <t>Czech Republic</t>
  </si>
  <si>
    <t>Luke Sinnard</t>
  </si>
  <si>
    <t>Indiana, Western Kentucky</t>
  </si>
  <si>
    <t>sa3042362</t>
  </si>
  <si>
    <t>Tyler Uberstine</t>
  </si>
  <si>
    <t>Northwestern</t>
  </si>
  <si>
    <t>sa3017643</t>
  </si>
  <si>
    <t>Dylan DeLucia</t>
  </si>
  <si>
    <t>sa3024964</t>
  </si>
  <si>
    <t>Trevor Rosenthal</t>
  </si>
  <si>
    <t>Cowley County</t>
  </si>
  <si>
    <t>Ryan Brown</t>
  </si>
  <si>
    <t>sa3027877</t>
  </si>
  <si>
    <t>JR Ritchie</t>
  </si>
  <si>
    <t>sa3020395</t>
  </si>
  <si>
    <t>Connor Overton</t>
  </si>
  <si>
    <t>Old Dominion</t>
  </si>
  <si>
    <t>Tyler Mahle</t>
  </si>
  <si>
    <t>Kumar Rocker</t>
  </si>
  <si>
    <t>Davis Martin</t>
  </si>
  <si>
    <t>Jacob Zibin</t>
  </si>
  <si>
    <t>sa3067084</t>
  </si>
  <si>
    <t>Jose Quijada</t>
  </si>
  <si>
    <t>Austin Warren</t>
  </si>
  <si>
    <t>German Marquez</t>
  </si>
  <si>
    <t>Dr. Thomas Noonan</t>
  </si>
  <si>
    <t>Lou Trivino</t>
  </si>
  <si>
    <t>Slippery Rock</t>
  </si>
  <si>
    <t>Robbie Ray</t>
  </si>
  <si>
    <t>Grayson Hitt</t>
  </si>
  <si>
    <t>sa3025020</t>
  </si>
  <si>
    <t>Raimon Gomez</t>
  </si>
  <si>
    <t>sa3017645</t>
  </si>
  <si>
    <t>Easton McGee</t>
  </si>
  <si>
    <t>Jeffrey Springs</t>
  </si>
  <si>
    <t>Appalachian State</t>
  </si>
  <si>
    <t>Lat injury</t>
  </si>
  <si>
    <t>Kris Bubic</t>
  </si>
  <si>
    <t>Stanford</t>
  </si>
  <si>
    <t>Mike Burrows</t>
  </si>
  <si>
    <t>Garrett Edwards</t>
  </si>
  <si>
    <t>LSU</t>
  </si>
  <si>
    <t>sa3024980</t>
  </si>
  <si>
    <t>Wyatt Crowell</t>
  </si>
  <si>
    <t>sa3023662</t>
  </si>
  <si>
    <t>Ian Anderson</t>
  </si>
  <si>
    <t>JT Brubaker</t>
  </si>
  <si>
    <t>Akron</t>
  </si>
  <si>
    <t>Nick Mikolajchak</t>
  </si>
  <si>
    <t>sa3010303</t>
  </si>
  <si>
    <t>Ben Leeper</t>
  </si>
  <si>
    <t>sa3014907</t>
  </si>
  <si>
    <t>Matt Foster</t>
  </si>
  <si>
    <t>McCade Brown</t>
  </si>
  <si>
    <t>Matthew Hoskins</t>
  </si>
  <si>
    <t>sa3034127</t>
  </si>
  <si>
    <t>Chase Shores</t>
  </si>
  <si>
    <t>sa3042212</t>
  </si>
  <si>
    <t>Pico Kohn</t>
  </si>
  <si>
    <t>Mississippi State</t>
  </si>
  <si>
    <t>sa3035607</t>
  </si>
  <si>
    <t>Hunter Bishop</t>
  </si>
  <si>
    <t>Arizona State</t>
  </si>
  <si>
    <t>sa3011413</t>
  </si>
  <si>
    <t>Christian Worley</t>
  </si>
  <si>
    <t>sa3045583</t>
  </si>
  <si>
    <t>Jack Findlay</t>
  </si>
  <si>
    <t>Notre Dame</t>
  </si>
  <si>
    <t>sa3031334</t>
  </si>
  <si>
    <t>Carson Coleman</t>
  </si>
  <si>
    <t>sa3014857</t>
  </si>
  <si>
    <t>Zach Brzykcy</t>
  </si>
  <si>
    <t>Cade Cavalli</t>
  </si>
  <si>
    <t>Lucas Gilbreath</t>
  </si>
  <si>
    <t>Colorado</t>
  </si>
  <si>
    <t>Blake Burkhalter</t>
  </si>
  <si>
    <t>Auburn</t>
  </si>
  <si>
    <t>sa3020382</t>
  </si>
  <si>
    <t>Cody Sedlock</t>
  </si>
  <si>
    <t>Nazier Mule</t>
  </si>
  <si>
    <t>sa3023566</t>
  </si>
  <si>
    <t>Quincy Nieporte</t>
  </si>
  <si>
    <t>1B</t>
  </si>
  <si>
    <t>sa3004819</t>
  </si>
  <si>
    <t>Dr. Koco Eaton</t>
  </si>
  <si>
    <t>Jason Woodward</t>
  </si>
  <si>
    <t>sa3025012</t>
  </si>
  <si>
    <t>Seth Shuman</t>
  </si>
  <si>
    <t>Georgia Southern</t>
  </si>
  <si>
    <t>sa3011187</t>
  </si>
  <si>
    <t>Jaxon Wiggins</t>
  </si>
  <si>
    <t>Arkansas</t>
  </si>
  <si>
    <t>sa3023635</t>
  </si>
  <si>
    <t>Avery Weems</t>
  </si>
  <si>
    <t>sa3010256</t>
  </si>
  <si>
    <t>Grant Taylor</t>
  </si>
  <si>
    <t>Josh Hejka</t>
  </si>
  <si>
    <t>Johns Hopkins</t>
  </si>
  <si>
    <t>sa3011152</t>
  </si>
  <si>
    <t>Ryan Hendrix</t>
  </si>
  <si>
    <t>Zach Bryant</t>
  </si>
  <si>
    <t>Jacksonville, Daytona State</t>
  </si>
  <si>
    <t>sa3011368</t>
  </si>
  <si>
    <t>Ryan Gallagher</t>
  </si>
  <si>
    <t>UC Santa Barbara</t>
  </si>
  <si>
    <t>sa3031857</t>
  </si>
  <si>
    <t>Eli Jerzembeck</t>
  </si>
  <si>
    <t>sa3034672</t>
  </si>
  <si>
    <t>Jose Franco</t>
  </si>
  <si>
    <t>sa3008714</t>
  </si>
  <si>
    <t>Aaron Haase</t>
  </si>
  <si>
    <t>Wichita State</t>
  </si>
  <si>
    <t>sa3017849</t>
  </si>
  <si>
    <t>Kervin Castro</t>
  </si>
  <si>
    <t>Miguel Del Pozo</t>
  </si>
  <si>
    <t>R.J. Sales</t>
  </si>
  <si>
    <t>sa3041437</t>
  </si>
  <si>
    <t>Nate Webb</t>
  </si>
  <si>
    <t>sa918814</t>
  </si>
  <si>
    <t>Sandro Bargallo</t>
  </si>
  <si>
    <t>sa3009639</t>
  </si>
  <si>
    <t>Dameivi Tineo</t>
  </si>
  <si>
    <t>sa3017726</t>
  </si>
  <si>
    <t>Justin Chambers</t>
  </si>
  <si>
    <t>sa3024201</t>
  </si>
  <si>
    <t>Michael Ross</t>
  </si>
  <si>
    <t>Samford</t>
  </si>
  <si>
    <t>sa3041178</t>
  </si>
  <si>
    <t>Joel Diaz</t>
  </si>
  <si>
    <t>sa3015500</t>
  </si>
  <si>
    <t>Matt Allan</t>
  </si>
  <si>
    <t>A-</t>
  </si>
  <si>
    <t>sa3011740</t>
  </si>
  <si>
    <t>Marcel Renteria</t>
  </si>
  <si>
    <t>sa3005016</t>
  </si>
  <si>
    <t>Bryce Jenkins</t>
  </si>
  <si>
    <t>sa3023211</t>
  </si>
  <si>
    <t>Sean Boyle</t>
  </si>
  <si>
    <t>sa3007618</t>
  </si>
  <si>
    <t>Antonio Gomez</t>
  </si>
  <si>
    <t>sa3008746</t>
  </si>
  <si>
    <t>Sean Hermann</t>
  </si>
  <si>
    <t>sa3019429</t>
  </si>
  <si>
    <t>Garrett Acton</t>
  </si>
  <si>
    <t>St. Louis, Illinois</t>
  </si>
  <si>
    <t>Brian Walters</t>
  </si>
  <si>
    <t>Eastern Florida State, Miami</t>
  </si>
  <si>
    <t>sa3044742</t>
  </si>
  <si>
    <t>Noah Takacs</t>
  </si>
  <si>
    <t>sa3023612</t>
  </si>
  <si>
    <t>Tanner Smith</t>
  </si>
  <si>
    <t>Massachusetts</t>
  </si>
  <si>
    <t>Harvard</t>
  </si>
  <si>
    <t>sa3042645</t>
  </si>
  <si>
    <t>Geison Urbaez</t>
  </si>
  <si>
    <t>sa3015135</t>
  </si>
  <si>
    <t>Owen Puk</t>
  </si>
  <si>
    <t>Iowa</t>
  </si>
  <si>
    <t>Florida International</t>
  </si>
  <si>
    <t>sa3040281</t>
  </si>
  <si>
    <t>Bryce Harper</t>
  </si>
  <si>
    <t>Southern Nevada</t>
  </si>
  <si>
    <t>Scott Effross</t>
  </si>
  <si>
    <t>Back surgery</t>
  </si>
  <si>
    <t>Tyler Matzek</t>
  </si>
  <si>
    <t>Shane Baz</t>
  </si>
  <si>
    <t>Anthony Gose</t>
  </si>
  <si>
    <t>Brendan McKay</t>
  </si>
  <si>
    <t>Louisville</t>
  </si>
  <si>
    <t>Daulton Jefferies</t>
  </si>
  <si>
    <t>California Berkeley</t>
  </si>
  <si>
    <t>Huascar Ynoa</t>
  </si>
  <si>
    <t>Ryan Prager</t>
  </si>
  <si>
    <t>sa3040167</t>
  </si>
  <si>
    <t>Jose Alvarez</t>
  </si>
  <si>
    <t>Anthony Bender</t>
  </si>
  <si>
    <t>Santa Rosa</t>
  </si>
  <si>
    <t>Walker Buehler</t>
  </si>
  <si>
    <t>Cody Poteet</t>
  </si>
  <si>
    <t>Max Meyer</t>
  </si>
  <si>
    <t>Humberto Castellanos</t>
  </si>
  <si>
    <t>Connor Jones</t>
  </si>
  <si>
    <t>sa738697</t>
  </si>
  <si>
    <t>Dr. James Andrews</t>
  </si>
  <si>
    <t>Zach Peek</t>
  </si>
  <si>
    <t>Winthrop</t>
  </si>
  <si>
    <t>sa3014469</t>
  </si>
  <si>
    <t>Luke Barker</t>
  </si>
  <si>
    <t>Chico State</t>
  </si>
  <si>
    <t>Seth Johnson</t>
  </si>
  <si>
    <t>Tanner Rainey</t>
  </si>
  <si>
    <t>Southeastern Louisiana, West Alabama</t>
  </si>
  <si>
    <t>A.J. Block</t>
  </si>
  <si>
    <t>Washington State</t>
  </si>
  <si>
    <t>sa3014916</t>
  </si>
  <si>
    <t>Dr. Vincent Key</t>
  </si>
  <si>
    <t>Matt Canterino</t>
  </si>
  <si>
    <t>Rice</t>
  </si>
  <si>
    <t>sa3011530</t>
  </si>
  <si>
    <t>Right shoulder surgery</t>
  </si>
  <si>
    <t>Trent Palmer</t>
  </si>
  <si>
    <t>sa3014491</t>
  </si>
  <si>
    <t>Jake Brentz</t>
  </si>
  <si>
    <t>Yoljeldriz Diaz</t>
  </si>
  <si>
    <t>sa3010248</t>
  </si>
  <si>
    <t>Brad Wieck</t>
  </si>
  <si>
    <t>Frank Phillips, Oklahoma City</t>
  </si>
  <si>
    <t>Vladimir Gutierrez</t>
  </si>
  <si>
    <t>Jake Miller</t>
  </si>
  <si>
    <t>sa3018171</t>
  </si>
  <si>
    <t>Ethan Roberts</t>
  </si>
  <si>
    <t>Tennessee Tech</t>
  </si>
  <si>
    <t>Allan Hernandez</t>
  </si>
  <si>
    <t>sa3011399</t>
  </si>
  <si>
    <t>Antonie Jean</t>
  </si>
  <si>
    <t>sa3034614</t>
  </si>
  <si>
    <t>Brady McConnell</t>
  </si>
  <si>
    <t>sa3010331</t>
  </si>
  <si>
    <t>Ryan Costeiu</t>
  </si>
  <si>
    <t>sa3017260</t>
  </si>
  <si>
    <t>Ben Anderson</t>
  </si>
  <si>
    <t>State of New York</t>
  </si>
  <si>
    <t>sa3010560</t>
  </si>
  <si>
    <t>Andrew Kittredge</t>
  </si>
  <si>
    <t>Hyun-Jin Ryu</t>
  </si>
  <si>
    <t>South Korea</t>
  </si>
  <si>
    <t>Casey Mize</t>
  </si>
  <si>
    <t>Joe Ross</t>
  </si>
  <si>
    <t>Justin Wilson</t>
  </si>
  <si>
    <t>California State Fresno</t>
  </si>
  <si>
    <t>Lat strain</t>
  </si>
  <si>
    <t>Max Kranick</t>
  </si>
  <si>
    <t>Chad Green</t>
  </si>
  <si>
    <t>Trey McGough</t>
  </si>
  <si>
    <t>Mount St. Mary's</t>
  </si>
  <si>
    <t>sa1170436</t>
  </si>
  <si>
    <t>Ian Seymour</t>
  </si>
  <si>
    <t>sa3014512</t>
  </si>
  <si>
    <t>Bo Bonds</t>
  </si>
  <si>
    <t>sa3022938</t>
  </si>
  <si>
    <t>Jahmai Jones</t>
  </si>
  <si>
    <t>Carter Kieboom</t>
  </si>
  <si>
    <t>Shoulder tightness</t>
  </si>
  <si>
    <t>Luis Gil</t>
  </si>
  <si>
    <t>Chris Paddack</t>
  </si>
  <si>
    <t>Riley Maddox</t>
  </si>
  <si>
    <t>sa3036829</t>
  </si>
  <si>
    <t>Kyle Brnovich</t>
  </si>
  <si>
    <t>Elon</t>
  </si>
  <si>
    <t>sa3014923</t>
  </si>
  <si>
    <t>Sean Reid-Foley</t>
  </si>
  <si>
    <t>Dominic LoBrutto</t>
  </si>
  <si>
    <t>sa3004573</t>
  </si>
  <si>
    <t>Riley Bauman</t>
  </si>
  <si>
    <t>Abilene Christian, Navarro</t>
  </si>
  <si>
    <t>sa3023102</t>
  </si>
  <si>
    <t>Brooks Auger</t>
  </si>
  <si>
    <t>sa3026300</t>
  </si>
  <si>
    <t>Jesse Bergin</t>
  </si>
  <si>
    <t>sa3017133</t>
  </si>
  <si>
    <t>Hunter Barco</t>
  </si>
  <si>
    <t>sa3022409</t>
  </si>
  <si>
    <t>Joey Murray</t>
  </si>
  <si>
    <t>sa3007234</t>
  </si>
  <si>
    <t>Strained teres major</t>
  </si>
  <si>
    <t>Jeremy Wu-Yelland</t>
  </si>
  <si>
    <t>sa3014520</t>
  </si>
  <si>
    <t>Johan Dominguez</t>
  </si>
  <si>
    <t>sa916727</t>
  </si>
  <si>
    <t>Darien Nunez</t>
  </si>
  <si>
    <t>Dylan Lesko</t>
  </si>
  <si>
    <t>sa3020677</t>
  </si>
  <si>
    <t>Tom Hackimer</t>
  </si>
  <si>
    <t>St. John's</t>
  </si>
  <si>
    <t>sa872726</t>
  </si>
  <si>
    <t>Luke Jackson</t>
  </si>
  <si>
    <t>Jonathan Teaney</t>
  </si>
  <si>
    <t>sa829674</t>
  </si>
  <si>
    <t>Deolis Guerra</t>
  </si>
  <si>
    <t>Sean Guenther</t>
  </si>
  <si>
    <t>Garrett Crochet</t>
  </si>
  <si>
    <t>Colby White</t>
  </si>
  <si>
    <t>sa3011200</t>
  </si>
  <si>
    <t>Hunter Patteson</t>
  </si>
  <si>
    <t>sa3020954</t>
  </si>
  <si>
    <t>Ryley Gilliam</t>
  </si>
  <si>
    <t>Clemson</t>
  </si>
  <si>
    <t>sa3008225</t>
  </si>
  <si>
    <t>Christian McGowan</t>
  </si>
  <si>
    <t>Eastern Oklahoma State</t>
  </si>
  <si>
    <t>sa3017896</t>
  </si>
  <si>
    <t>Trey Dillard</t>
  </si>
  <si>
    <t>San Jacinto, Texas A&amp;M, Missouri</t>
  </si>
  <si>
    <t>sa3023309</t>
  </si>
  <si>
    <t>Daniel Camarena</t>
  </si>
  <si>
    <t>Kade Anderson</t>
  </si>
  <si>
    <t>sa3026056</t>
  </si>
  <si>
    <t>Brody Rodning</t>
  </si>
  <si>
    <t>sa3004591</t>
  </si>
  <si>
    <t>Max Green</t>
  </si>
  <si>
    <t>Pepperdine</t>
  </si>
  <si>
    <t>sa3004092</t>
  </si>
  <si>
    <t>Christian MacLeod</t>
  </si>
  <si>
    <t>sa3018005</t>
  </si>
  <si>
    <t>Codi Heuer</t>
  </si>
  <si>
    <t>Wichita Stata</t>
  </si>
  <si>
    <t>Elbow fracture</t>
  </si>
  <si>
    <t>James Hicks</t>
  </si>
  <si>
    <t>sa3023161</t>
  </si>
  <si>
    <t>Landon Sims</t>
  </si>
  <si>
    <t>sa3021979</t>
  </si>
  <si>
    <t>Bradley Blalock</t>
  </si>
  <si>
    <t>Will Frisch</t>
  </si>
  <si>
    <t>sa3024514</t>
  </si>
  <si>
    <t>Will Kincanon</t>
  </si>
  <si>
    <t>Indiana State, Triton</t>
  </si>
  <si>
    <t>sa918672</t>
  </si>
  <si>
    <t>Luis Rodriguez</t>
  </si>
  <si>
    <t>sa3017275</t>
  </si>
  <si>
    <t>Tanner Witt</t>
  </si>
  <si>
    <t>sa3025651</t>
  </si>
  <si>
    <t>Daylen Lile</t>
  </si>
  <si>
    <t>DH</t>
  </si>
  <si>
    <t>sa3017698</t>
  </si>
  <si>
    <t>Scott Engler</t>
  </si>
  <si>
    <t>Arkansas City</t>
  </si>
  <si>
    <t>sa918353</t>
  </si>
  <si>
    <t>Daysbel Hernandez</t>
  </si>
  <si>
    <t>Elmson Candelario</t>
  </si>
  <si>
    <t>sa3015300</t>
  </si>
  <si>
    <t>Peyton Pallette</t>
  </si>
  <si>
    <t>sa3020742</t>
  </si>
  <si>
    <t>Zack Hess</t>
  </si>
  <si>
    <t>sa3010777</t>
  </si>
  <si>
    <t>Travis Garnett</t>
  </si>
  <si>
    <t>William and Mary</t>
  </si>
  <si>
    <t>sa3025535</t>
  </si>
  <si>
    <t>Jared Johnson</t>
  </si>
  <si>
    <t>sa3011626</t>
  </si>
  <si>
    <t>Jesse Franklin</t>
  </si>
  <si>
    <t>sa3014532</t>
  </si>
  <si>
    <t>Brooks Wilson</t>
  </si>
  <si>
    <t>sa3006966</t>
  </si>
  <si>
    <t>Brandon Young</t>
  </si>
  <si>
    <t>Lousiana, Howard</t>
  </si>
  <si>
    <t>sa3014926</t>
  </si>
  <si>
    <t>Christian Rodriguez</t>
  </si>
  <si>
    <t>Cal State Fullerton</t>
  </si>
  <si>
    <t>Preston Johnson</t>
  </si>
  <si>
    <t>sa3020565</t>
  </si>
  <si>
    <t>Hayden Mullins</t>
  </si>
  <si>
    <t>Tennesse</t>
  </si>
  <si>
    <t>sa3023218</t>
  </si>
  <si>
    <t>Bryan King</t>
  </si>
  <si>
    <t>McNeese State</t>
  </si>
  <si>
    <t>Stephen Gonsalves</t>
  </si>
  <si>
    <t>Jack Patterson</t>
  </si>
  <si>
    <t>sa3007860</t>
  </si>
  <si>
    <t>Tyler Schlaffer</t>
  </si>
  <si>
    <t>sa3011815</t>
  </si>
  <si>
    <t>Drew Gray</t>
  </si>
  <si>
    <t>sa3017964</t>
  </si>
  <si>
    <t>Logan Lyle</t>
  </si>
  <si>
    <t>State College of Florida, South Florida</t>
  </si>
  <si>
    <t>sa3018267</t>
  </si>
  <si>
    <t>Zachary Hammer</t>
  </si>
  <si>
    <t>sa3008564</t>
  </si>
  <si>
    <t>Caedmon Parker</t>
  </si>
  <si>
    <t>sa3039449</t>
  </si>
  <si>
    <t>Donovan Zsak</t>
  </si>
  <si>
    <t>Rutgers</t>
  </si>
  <si>
    <t>sa3025377</t>
  </si>
  <si>
    <t>Reagan Todd</t>
  </si>
  <si>
    <t>Arizona State, Colorado Mesa</t>
  </si>
  <si>
    <t>sa3006946</t>
  </si>
  <si>
    <t>Markus Solbach</t>
  </si>
  <si>
    <t>Germany</t>
  </si>
  <si>
    <t>sa599472</t>
  </si>
  <si>
    <t>Tanner Kohlhepp</t>
  </si>
  <si>
    <t>Wisconsin</t>
  </si>
  <si>
    <t>Iowa Western, Tennessee, Notre Dame</t>
  </si>
  <si>
    <t>sa3022238</t>
  </si>
  <si>
    <t>Ryan Smith</t>
  </si>
  <si>
    <t>sa3042632</t>
  </si>
  <si>
    <t>Ethan Bosacker</t>
  </si>
  <si>
    <t>Xavier</t>
  </si>
  <si>
    <t>sa3023163</t>
  </si>
  <si>
    <t>Dennis Colleran</t>
  </si>
  <si>
    <t>sa3029168</t>
  </si>
  <si>
    <t>Jordan Woods</t>
  </si>
  <si>
    <t>sa3023628</t>
  </si>
  <si>
    <t>Edgardo Henriquez</t>
  </si>
  <si>
    <t>Carlos Duran</t>
  </si>
  <si>
    <t>sa3006404</t>
  </si>
  <si>
    <t>Luke Fox</t>
  </si>
  <si>
    <t>sa3023673</t>
  </si>
  <si>
    <t>Paul Campbell</t>
  </si>
  <si>
    <t>Nick Brink</t>
  </si>
  <si>
    <t>sa3025653</t>
  </si>
  <si>
    <t>Will Childers</t>
  </si>
  <si>
    <t>sa3021720</t>
  </si>
  <si>
    <t>Xavier Kolhosser</t>
  </si>
  <si>
    <t>sa3035617</t>
  </si>
  <si>
    <t>Omari Daniel</t>
  </si>
  <si>
    <t>SS</t>
  </si>
  <si>
    <t>sa3021050</t>
  </si>
  <si>
    <t>Carson Benge</t>
  </si>
  <si>
    <t>Oklahaoma State</t>
  </si>
  <si>
    <t>sa3025452</t>
  </si>
  <si>
    <t>Gage Jump</t>
  </si>
  <si>
    <t>sa3034986</t>
  </si>
  <si>
    <t>Jake Eddington</t>
  </si>
  <si>
    <t>Missouri State, Alabama</t>
  </si>
  <si>
    <t>sa3023409</t>
  </si>
  <si>
    <t>Ryan Och</t>
  </si>
  <si>
    <t>sa3017146</t>
  </si>
  <si>
    <t>Michael Limoncelli</t>
  </si>
  <si>
    <t>sa3015096</t>
  </si>
  <si>
    <t>Jackson Wentworth</t>
  </si>
  <si>
    <t>sa3045002</t>
  </si>
  <si>
    <t>Henry Williams</t>
  </si>
  <si>
    <t>Duke</t>
  </si>
  <si>
    <t>sa3020901</t>
  </si>
  <si>
    <t>Miguel Amaya</t>
  </si>
  <si>
    <t>Panama</t>
  </si>
  <si>
    <t>Pedro Santos</t>
  </si>
  <si>
    <t>sa1171936</t>
  </si>
  <si>
    <t>Evan Marshall</t>
  </si>
  <si>
    <t>Reggie Crawford</t>
  </si>
  <si>
    <t>sa3020457</t>
  </si>
  <si>
    <t>Tanner McDougal</t>
  </si>
  <si>
    <t>sa3017471</t>
  </si>
  <si>
    <t>Erik Sabrowski</t>
  </si>
  <si>
    <t>Juan Hillman</t>
  </si>
  <si>
    <t>sa874796</t>
  </si>
  <si>
    <t>Tyler Beck</t>
  </si>
  <si>
    <t>Pasco-Hernando State, Tampa</t>
  </si>
  <si>
    <t>sa3010563</t>
  </si>
  <si>
    <t>Tyler Phillips</t>
  </si>
  <si>
    <t>Richard Lovelady</t>
  </si>
  <si>
    <t>Parker Curry</t>
  </si>
  <si>
    <t>sa977821</t>
  </si>
  <si>
    <t>CJ Van Eyk</t>
  </si>
  <si>
    <t>sa3014713</t>
  </si>
  <si>
    <t>Jake Rogers</t>
  </si>
  <si>
    <t>Tulane</t>
  </si>
  <si>
    <t>Cole Wilcox</t>
  </si>
  <si>
    <t>sa3014443</t>
  </si>
  <si>
    <t>Jake Walters</t>
  </si>
  <si>
    <t>sa915852</t>
  </si>
  <si>
    <t>Jake Eder</t>
  </si>
  <si>
    <t>Arman Sabouri</t>
  </si>
  <si>
    <t>sa3010140</t>
  </si>
  <si>
    <t>Dr. William Raasch</t>
  </si>
  <si>
    <t>John Axford</t>
  </si>
  <si>
    <t>John Curtiss</t>
  </si>
  <si>
    <t>Kenta Maeda</t>
  </si>
  <si>
    <t>Tejay Antone</t>
  </si>
  <si>
    <t>Texas Christian, Weatherford</t>
  </si>
  <si>
    <t>PRP injection/strained flexor</t>
  </si>
  <si>
    <t>Austin Hansen</t>
  </si>
  <si>
    <t>sa3006956</t>
  </si>
  <si>
    <t>Jordan Guerrero</t>
  </si>
  <si>
    <t>Polk State</t>
  </si>
  <si>
    <t>sa875153</t>
  </si>
  <si>
    <t>Luis Rijo</t>
  </si>
  <si>
    <t>sa916950</t>
  </si>
  <si>
    <t>Tyler Glasnow</t>
  </si>
  <si>
    <t>Arthroscopic ankle surgery</t>
  </si>
  <si>
    <t>Braxton Ashcraft</t>
  </si>
  <si>
    <t>sa3008470</t>
  </si>
  <si>
    <t>Spencer Schwellenbach</t>
  </si>
  <si>
    <t>Jimmy Nelson</t>
  </si>
  <si>
    <t>Paulshawn Pasqualotto</t>
  </si>
  <si>
    <t>Berkeley</t>
  </si>
  <si>
    <t>sa3023476</t>
  </si>
  <si>
    <t>Yoendrys Gomez</t>
  </si>
  <si>
    <t>Carter Loewen</t>
  </si>
  <si>
    <t>sa3014844</t>
  </si>
  <si>
    <t>Spencer Turnbull</t>
  </si>
  <si>
    <t>Konner Eaton</t>
  </si>
  <si>
    <t>George Mason</t>
  </si>
  <si>
    <t>sa3025350</t>
  </si>
  <si>
    <t>Cole Roederer</t>
  </si>
  <si>
    <t>sa3008184</t>
  </si>
  <si>
    <t>Conor Grammes</t>
  </si>
  <si>
    <t>sa3011651</t>
  </si>
  <si>
    <t>Tanner Andrews</t>
  </si>
  <si>
    <t>Purdue</t>
  </si>
  <si>
    <t>sa3007850</t>
  </si>
  <si>
    <t>Luke Shilling</t>
  </si>
  <si>
    <t>sa3014781</t>
  </si>
  <si>
    <t>Shane McCarthy</t>
  </si>
  <si>
    <t>Seton Hall</t>
  </si>
  <si>
    <t>sa915740</t>
  </si>
  <si>
    <t>Kosuke Matsuda</t>
  </si>
  <si>
    <t>Caden Lemons</t>
  </si>
  <si>
    <t>sa3005350</t>
  </si>
  <si>
    <t>Eli Jones</t>
  </si>
  <si>
    <t>sa3034868</t>
  </si>
  <si>
    <t>Troy Miller</t>
  </si>
  <si>
    <t>sa3008453</t>
  </si>
  <si>
    <t>Tony Dibrell</t>
  </si>
  <si>
    <t>sa3004657</t>
  </si>
  <si>
    <t>Jose Dicochea</t>
  </si>
  <si>
    <t>sa3011497</t>
  </si>
  <si>
    <t>Brady Basso</t>
  </si>
  <si>
    <t>Bruce Maxwell</t>
  </si>
  <si>
    <t>Dan Altavilla</t>
  </si>
  <si>
    <t>Mercyhurst</t>
  </si>
  <si>
    <t>Jairo Solis</t>
  </si>
  <si>
    <t>sa3003037</t>
  </si>
  <si>
    <t>Joey Lucchesi</t>
  </si>
  <si>
    <t>Southeast Missouri State</t>
  </si>
  <si>
    <t>Seth Pinkerton</t>
  </si>
  <si>
    <t>Hartford</t>
  </si>
  <si>
    <t>sa3007615</t>
  </si>
  <si>
    <t>Jose Soriano</t>
  </si>
  <si>
    <t>Grant Townsend</t>
  </si>
  <si>
    <t>Central Arizona, Oral Roberts</t>
  </si>
  <si>
    <t>sa3007268</t>
  </si>
  <si>
    <t>Troy Watson</t>
  </si>
  <si>
    <t>Northern Colorado</t>
  </si>
  <si>
    <t>sa3007249</t>
  </si>
  <si>
    <t>Thad Ward</t>
  </si>
  <si>
    <t>Chris Devenski</t>
  </si>
  <si>
    <t>Jonathan Bowlan</t>
  </si>
  <si>
    <t>Memphis</t>
  </si>
  <si>
    <t>Joander Suarez</t>
  </si>
  <si>
    <t>sa3008263</t>
  </si>
  <si>
    <t>Taylor Lehman</t>
  </si>
  <si>
    <t>Pennsylvania State</t>
  </si>
  <si>
    <t>sa3007834</t>
  </si>
  <si>
    <t>Jeferson Garcia</t>
  </si>
  <si>
    <t>sa3005346</t>
  </si>
  <si>
    <t>Andrew Vail</t>
  </si>
  <si>
    <t>Maryland, Missouri, Rowan</t>
  </si>
  <si>
    <t>sa3020902</t>
  </si>
  <si>
    <t>Jackson Rees</t>
  </si>
  <si>
    <t>sa3007818</t>
  </si>
  <si>
    <t>Connor Prielipp</t>
  </si>
  <si>
    <t>sa3020808</t>
  </si>
  <si>
    <t>Brenan Hanifee</t>
  </si>
  <si>
    <t>Dane Acker</t>
  </si>
  <si>
    <t>Rice, San Jacinto, Oklahoma</t>
  </si>
  <si>
    <t>sa3014924</t>
  </si>
  <si>
    <t>JoJo Romero</t>
  </si>
  <si>
    <t>Nevada, Yavapai</t>
  </si>
  <si>
    <t>Ian Bedell</t>
  </si>
  <si>
    <t>sa3014538</t>
  </si>
  <si>
    <t>Albertus Barber</t>
  </si>
  <si>
    <t>Oklahoma Baptist, Central Missouri</t>
  </si>
  <si>
    <t>sa1172728</t>
  </si>
  <si>
    <t>Keone Kela</t>
  </si>
  <si>
    <t>Everett</t>
  </si>
  <si>
    <t>Gunnar Hoglund</t>
  </si>
  <si>
    <t>Ethan Hankins</t>
  </si>
  <si>
    <t>sa3008589</t>
  </si>
  <si>
    <t>Ben Hecht</t>
  </si>
  <si>
    <t>Illinois State, Wichita State</t>
  </si>
  <si>
    <t>sa738501</t>
  </si>
  <si>
    <t>Colton Gordon</t>
  </si>
  <si>
    <t>sa3019426</t>
  </si>
  <si>
    <t>Max Carlson</t>
  </si>
  <si>
    <t>sa3023274</t>
  </si>
  <si>
    <t>Brock Bell</t>
  </si>
  <si>
    <t>State College of Florida</t>
  </si>
  <si>
    <t>sa3011571</t>
  </si>
  <si>
    <t>Ryan Webb</t>
  </si>
  <si>
    <t>sa3018280</t>
  </si>
  <si>
    <t>Jack Mahoney</t>
  </si>
  <si>
    <t>sa3023157</t>
  </si>
  <si>
    <t>Franklin Barreto</t>
  </si>
  <si>
    <t>Justin Wrobleski</t>
  </si>
  <si>
    <t>Clemson, Oklahoma State</t>
  </si>
  <si>
    <t>Brock Stewart</t>
  </si>
  <si>
    <t>Illinois State</t>
  </si>
  <si>
    <t>Ulnar nerve transposition</t>
  </si>
  <si>
    <t>Harol Gonzalez</t>
  </si>
  <si>
    <t>sa828505</t>
  </si>
  <si>
    <t>Jake Agnos</t>
  </si>
  <si>
    <t>East Carolina</t>
  </si>
  <si>
    <t>sa1054040</t>
  </si>
  <si>
    <t>Nick Fanti</t>
  </si>
  <si>
    <t>sa876058</t>
  </si>
  <si>
    <t>Ljay Newsome</t>
  </si>
  <si>
    <t>Luis Avilan</t>
  </si>
  <si>
    <t>Jaden Hill</t>
  </si>
  <si>
    <t>Mo Hanley</t>
  </si>
  <si>
    <t>Adrian</t>
  </si>
  <si>
    <t>sa3020942</t>
  </si>
  <si>
    <t>Adrian Morejon</t>
  </si>
  <si>
    <t>James Paxton</t>
  </si>
  <si>
    <t>Grade 2 lat sprain</t>
  </si>
  <si>
    <t>Bryan Mata</t>
  </si>
  <si>
    <t>sa917784</t>
  </si>
  <si>
    <t>Sam Delaplane</t>
  </si>
  <si>
    <t>Eastern Michigan</t>
  </si>
  <si>
    <t>sa3004222</t>
  </si>
  <si>
    <t>Ty Adcock</t>
  </si>
  <si>
    <t>Jonathan Hernandez</t>
  </si>
  <si>
    <t>Brandon Marklund</t>
  </si>
  <si>
    <t>sa3008663</t>
  </si>
  <si>
    <t>Doug Kirkland</t>
  </si>
  <si>
    <t>sa3023095</t>
  </si>
  <si>
    <t>Garrett McDaniels</t>
  </si>
  <si>
    <t>Coastal Carolina, Mount Olive</t>
  </si>
  <si>
    <t>sa3020619</t>
  </si>
  <si>
    <t>Aaron McGarity</t>
  </si>
  <si>
    <t>sa873280</t>
  </si>
  <si>
    <t>Michel Baez</t>
  </si>
  <si>
    <t>Jose Leclerc</t>
  </si>
  <si>
    <t>Rico Garcia</t>
  </si>
  <si>
    <t>Hawaii Pacific</t>
  </si>
  <si>
    <t>Roenis Elias</t>
  </si>
  <si>
    <t>Kirby Yates</t>
  </si>
  <si>
    <t>Yavapai</t>
  </si>
  <si>
    <t>Blake Cederlind</t>
  </si>
  <si>
    <t>Merced</t>
  </si>
  <si>
    <t>Surgery, remove loose bodies</t>
  </si>
  <si>
    <t>Jimmy Cordero</t>
  </si>
  <si>
    <t>Gerardo Reyes</t>
  </si>
  <si>
    <t>Forrest Whitley</t>
  </si>
  <si>
    <t>Upper bicep inflammation</t>
  </si>
  <si>
    <t>Cooper Benson</t>
  </si>
  <si>
    <t>sa3019457</t>
  </si>
  <si>
    <t>Dr. Gary Waslewski</t>
  </si>
  <si>
    <t>Trey Supak</t>
  </si>
  <si>
    <t>sa828707</t>
  </si>
  <si>
    <t>Brian Eichhorn</t>
  </si>
  <si>
    <t>sa3009987</t>
  </si>
  <si>
    <t>Brendan McCurry</t>
  </si>
  <si>
    <t>sa829486</t>
  </si>
  <si>
    <t>George Klassen</t>
  </si>
  <si>
    <t>sa3023440</t>
  </si>
  <si>
    <t>Jacob Nix</t>
  </si>
  <si>
    <t>Jose Castillo</t>
  </si>
  <si>
    <t>Antonio Menendez</t>
  </si>
  <si>
    <t>Wake Forest</t>
  </si>
  <si>
    <t>sa3018799</t>
  </si>
  <si>
    <t>Jimmy Robbins</t>
  </si>
  <si>
    <t>Troy, Rollins</t>
  </si>
  <si>
    <t>sa3011145</t>
  </si>
  <si>
    <t>Erik Tolman</t>
  </si>
  <si>
    <t>sa3021719</t>
  </si>
  <si>
    <t>Brandon Bailey</t>
  </si>
  <si>
    <t>Hunter Dobbins</t>
  </si>
  <si>
    <t>sa3018275</t>
  </si>
  <si>
    <t>Cade Horton</t>
  </si>
  <si>
    <t>sa3020860</t>
  </si>
  <si>
    <t>Robbie Glendinning</t>
  </si>
  <si>
    <t>sa3004978</t>
  </si>
  <si>
    <t>Andrew Saalfrank</t>
  </si>
  <si>
    <t>Stefan Crichton</t>
  </si>
  <si>
    <t>P.J. Higgins</t>
  </si>
  <si>
    <t>Tyler Callihan</t>
  </si>
  <si>
    <t>sa1169610</t>
  </si>
  <si>
    <t>Lyon Richardson</t>
  </si>
  <si>
    <t>Sergio Morillo</t>
  </si>
  <si>
    <t>sa3005196</t>
  </si>
  <si>
    <t>Miguel Vinicio</t>
  </si>
  <si>
    <t>sa3008164</t>
  </si>
  <si>
    <t>Carlos Vargas</t>
  </si>
  <si>
    <t>Alex Royalty</t>
  </si>
  <si>
    <t>sa3006825</t>
  </si>
  <si>
    <t>Logan Franco</t>
  </si>
  <si>
    <t>sa3006573</t>
  </si>
  <si>
    <t>Alexandro Castro</t>
  </si>
  <si>
    <t>sa3015968</t>
  </si>
  <si>
    <t>Blair Henley</t>
  </si>
  <si>
    <t>Jac Caglianone</t>
  </si>
  <si>
    <t>sa3025245</t>
  </si>
  <si>
    <t>Sonny DiChiara</t>
  </si>
  <si>
    <t>Samford, Auburn</t>
  </si>
  <si>
    <t>sa3019866</t>
  </si>
  <si>
    <t>Jack Little</t>
  </si>
  <si>
    <t>sa1115817</t>
  </si>
  <si>
    <t>Jack Dreyer</t>
  </si>
  <si>
    <t>sa3018789</t>
  </si>
  <si>
    <t>Max Lazar</t>
  </si>
  <si>
    <t>Juan Geraldo</t>
  </si>
  <si>
    <t>sa3005885</t>
  </si>
  <si>
    <t>Shane Smith</t>
  </si>
  <si>
    <t>sa3020469</t>
  </si>
  <si>
    <t>Mark Manfredi</t>
  </si>
  <si>
    <t>Dayton</t>
  </si>
  <si>
    <t>sa3023516</t>
  </si>
  <si>
    <t>Jon Olsen</t>
  </si>
  <si>
    <t>sa3015032</t>
  </si>
  <si>
    <t>Jason Reitz</t>
  </si>
  <si>
    <t>Saint Mary's, Oregon</t>
  </si>
  <si>
    <t>sa3040605</t>
  </si>
  <si>
    <t>Daison Acosta</t>
  </si>
  <si>
    <t>sa944989</t>
  </si>
  <si>
    <t>Ariel Jurado</t>
  </si>
  <si>
    <t>Jordany Ventura</t>
  </si>
  <si>
    <t>sa3008542</t>
  </si>
  <si>
    <t>Trevor Lane</t>
  </si>
  <si>
    <t>Campbell, Illinois</t>
  </si>
  <si>
    <t>sa918196</t>
  </si>
  <si>
    <t>Brendan Beck</t>
  </si>
  <si>
    <t>sa3020680</t>
  </si>
  <si>
    <t>Brian Hendry</t>
  </si>
  <si>
    <t>Oklahoma State, St. John's</t>
  </si>
  <si>
    <t>sa3023525</t>
  </si>
  <si>
    <t>Rafael Kelly</t>
  </si>
  <si>
    <t>sa3002917</t>
  </si>
  <si>
    <t>Jackson Phipps</t>
  </si>
  <si>
    <t>South Carolina, Jacksonville State</t>
  </si>
  <si>
    <t>sa3039879</t>
  </si>
  <si>
    <t>Starlyn Castillo</t>
  </si>
  <si>
    <t>sa3011608</t>
  </si>
  <si>
    <t>Brett Schulze</t>
  </si>
  <si>
    <t>sa3011195</t>
  </si>
  <si>
    <t>Aaron Shortridge</t>
  </si>
  <si>
    <t>sa3006759</t>
  </si>
  <si>
    <t>Owen Sharts</t>
  </si>
  <si>
    <t>sa3019236</t>
  </si>
  <si>
    <t>Elijah Birdsong</t>
  </si>
  <si>
    <t>Pacific</t>
  </si>
  <si>
    <t>sa3020377</t>
  </si>
  <si>
    <t>Lake Bachar</t>
  </si>
  <si>
    <t>Jagger Haynes</t>
  </si>
  <si>
    <t>sa3020876</t>
  </si>
  <si>
    <t>Logan Rinehart</t>
  </si>
  <si>
    <t>California Baptist</t>
  </si>
  <si>
    <t>sa3010255</t>
  </si>
  <si>
    <t>Keaton Winn</t>
  </si>
  <si>
    <t>Iowa Western</t>
  </si>
  <si>
    <t>John Gavin</t>
  </si>
  <si>
    <t>sa829790</t>
  </si>
  <si>
    <t>Ryan Slater</t>
  </si>
  <si>
    <t>sa3042417</t>
  </si>
  <si>
    <t>Jacob Lopez</t>
  </si>
  <si>
    <t>San Francisco State, College of Canyons</t>
  </si>
  <si>
    <t>Dalton Pence</t>
  </si>
  <si>
    <t>sa3039663</t>
  </si>
  <si>
    <t>Andrew Owen</t>
  </si>
  <si>
    <t>sa3023041</t>
  </si>
  <si>
    <t>Sam Ryan</t>
  </si>
  <si>
    <t>Virginia Commonwealth</t>
  </si>
  <si>
    <t>sa3010627</t>
  </si>
  <si>
    <t>Mason Denaburg</t>
  </si>
  <si>
    <t>sa3010648</t>
  </si>
  <si>
    <t>Jack Hartman</t>
  </si>
  <si>
    <t>sa3018250</t>
  </si>
  <si>
    <t>Alex Faedo</t>
  </si>
  <si>
    <t>Mike Clevinger</t>
  </si>
  <si>
    <t>Seminole</t>
  </si>
  <si>
    <t>Efrain Contreras</t>
  </si>
  <si>
    <t>sa3005692</t>
  </si>
  <si>
    <t>Carter Baumler</t>
  </si>
  <si>
    <t>sa3014480</t>
  </si>
  <si>
    <t>Ricardo Sanchez</t>
  </si>
  <si>
    <t>Dr. George Paletta</t>
  </si>
  <si>
    <t>Nick Burdi</t>
  </si>
  <si>
    <t>Garrett Brown</t>
  </si>
  <si>
    <t>sa3023169</t>
  </si>
  <si>
    <t>Wilkel Hernandez</t>
  </si>
  <si>
    <t>sa918026</t>
  </si>
  <si>
    <t>Chance Adams</t>
  </si>
  <si>
    <t>Ben Joyce</t>
  </si>
  <si>
    <t>Jesus Feliz</t>
  </si>
  <si>
    <t>sa3002624</t>
  </si>
  <si>
    <t>Kyle Carr</t>
  </si>
  <si>
    <t>Palomar, San Diego</t>
  </si>
  <si>
    <t>sa3023444</t>
  </si>
  <si>
    <t>Luis Perdomo</t>
  </si>
  <si>
    <t>Jake Irvin</t>
  </si>
  <si>
    <t>Justin Verlander</t>
  </si>
  <si>
    <t>Ken Giles</t>
  </si>
  <si>
    <t>Dakota Hudson</t>
  </si>
  <si>
    <t>Caleb Ferguson</t>
  </si>
  <si>
    <t>Ricky Vanasco</t>
  </si>
  <si>
    <t>Tyler Thornburg</t>
  </si>
  <si>
    <t>Charleston Southern</t>
  </si>
  <si>
    <t>Jalen Beeks</t>
  </si>
  <si>
    <t>Matt Bowman</t>
  </si>
  <si>
    <t>Princeton</t>
  </si>
  <si>
    <t>Luis Durango Jr.</t>
  </si>
  <si>
    <t>CF</t>
  </si>
  <si>
    <t>sa3015232</t>
  </si>
  <si>
    <t>Aiden May</t>
  </si>
  <si>
    <t>Oregon State, Arizona</t>
  </si>
  <si>
    <t>sa3037366</t>
  </si>
  <si>
    <t>Nolan Hughes</t>
  </si>
  <si>
    <t>Fordham, Xavier</t>
  </si>
  <si>
    <t>Yonny Chirinos</t>
  </si>
  <si>
    <t>Elbow fracture. surgery</t>
  </si>
  <si>
    <t>Darlin Noboa</t>
  </si>
  <si>
    <t>sa3006821</t>
  </si>
  <si>
    <t>Sam Freeman</t>
  </si>
  <si>
    <t>North Central Texas, Kansas</t>
  </si>
  <si>
    <t>Foster Griffin</t>
  </si>
  <si>
    <t>Tommy Kahnle</t>
  </si>
  <si>
    <t>Lynn</t>
  </si>
  <si>
    <t>Noah Cameron</t>
  </si>
  <si>
    <t>Central Arkansas</t>
  </si>
  <si>
    <t>sa3018097</t>
  </si>
  <si>
    <t>Austen Williams</t>
  </si>
  <si>
    <t>Texas State</t>
  </si>
  <si>
    <t>Seranthony Dominguez</t>
  </si>
  <si>
    <t>Daniel Tillo</t>
  </si>
  <si>
    <t>Iowa Western, Kentucky</t>
  </si>
  <si>
    <t>sa876284</t>
  </si>
  <si>
    <t>Colin Poche</t>
  </si>
  <si>
    <t>Dallas Baptist, Arkansas</t>
  </si>
  <si>
    <t>Austin Becker</t>
  </si>
  <si>
    <t>Texas Tech, Vanderbilt</t>
  </si>
  <si>
    <t>sa3020465</t>
  </si>
  <si>
    <t>Justin Anderson</t>
  </si>
  <si>
    <t>Texas-San Antonio</t>
  </si>
  <si>
    <t>Peter Lambert</t>
  </si>
  <si>
    <t>Trey Wingenter</t>
  </si>
  <si>
    <t>Ty Blach</t>
  </si>
  <si>
    <t>Creighton</t>
  </si>
  <si>
    <t>Spencer Jones</t>
  </si>
  <si>
    <t>sa3019969</t>
  </si>
  <si>
    <t>Jacob Bimbi</t>
  </si>
  <si>
    <t>Tennessee, Western Kentucky</t>
  </si>
  <si>
    <t>sa3025547</t>
  </si>
  <si>
    <t>Joe Cavallaro</t>
  </si>
  <si>
    <t>sa3004599</t>
  </si>
  <si>
    <t>John Brebbia</t>
  </si>
  <si>
    <t>Kade Mechals</t>
  </si>
  <si>
    <t>Grand Canyon, Western Oregon</t>
  </si>
  <si>
    <t>sa3020322</t>
  </si>
  <si>
    <t>Chris Sale</t>
  </si>
  <si>
    <t>Noah Syndergaard</t>
  </si>
  <si>
    <t>Dr. David Altchek</t>
  </si>
  <si>
    <t>Eric Reyzelman</t>
  </si>
  <si>
    <t>San Francisco, LSU</t>
  </si>
  <si>
    <t>sa3020611</t>
  </si>
  <si>
    <t>Blaine Hardy</t>
  </si>
  <si>
    <t>Lewis-Clark State</t>
  </si>
  <si>
    <t>Reggie Lawson</t>
  </si>
  <si>
    <t>sa917951</t>
  </si>
  <si>
    <t>Andres Munoz</t>
  </si>
  <si>
    <t>Tyler Beede</t>
  </si>
  <si>
    <t>Joey Wentz</t>
  </si>
  <si>
    <t>Conner O'Neil</t>
  </si>
  <si>
    <t>Cal State Northridge, Central Arizona</t>
  </si>
  <si>
    <t>sa915599</t>
  </si>
  <si>
    <t>Matt Carasiti</t>
  </si>
  <si>
    <t xml:space="preserve">Dr. Ken Akizuki </t>
  </si>
  <si>
    <t>Matt Festa</t>
  </si>
  <si>
    <t>Dominican, East Stroudsburg</t>
  </si>
  <si>
    <t>Alex Williams</t>
  </si>
  <si>
    <t>sa3020314</t>
  </si>
  <si>
    <t>J.T. Ginn</t>
  </si>
  <si>
    <t>Ryan Garcia</t>
  </si>
  <si>
    <t>sa3011190</t>
  </si>
  <si>
    <t>Luis Severino</t>
  </si>
  <si>
    <t>Hunter Schryver</t>
  </si>
  <si>
    <t>Villanova</t>
  </si>
  <si>
    <t>sa873263</t>
  </si>
  <si>
    <t>Eric Pardinho</t>
  </si>
  <si>
    <t>sa968102</t>
  </si>
  <si>
    <t>Nick Snyder</t>
  </si>
  <si>
    <t>Indian River State</t>
  </si>
  <si>
    <t>Kai Peterson</t>
  </si>
  <si>
    <t>Sacramento City, Sierra</t>
  </si>
  <si>
    <t>sa3023453</t>
  </si>
  <si>
    <t>Brandon Clarke</t>
  </si>
  <si>
    <t>State, Manatee-Sarasota, Alabama</t>
  </si>
  <si>
    <t>sa3067144</t>
  </si>
  <si>
    <t>Ethan Flanagan</t>
  </si>
  <si>
    <t>Calvin Harris</t>
  </si>
  <si>
    <t>sa3022496</t>
  </si>
  <si>
    <t>Jared Solomon</t>
  </si>
  <si>
    <t>Alderson Broaddus, Xavier</t>
  </si>
  <si>
    <t>Gabe Gaeckle</t>
  </si>
  <si>
    <t>Joe Adametz</t>
  </si>
  <si>
    <t>sa3022323</t>
  </si>
  <si>
    <t>Cody Deason</t>
  </si>
  <si>
    <t>sa3007958</t>
  </si>
  <si>
    <t>Zack Matthews</t>
  </si>
  <si>
    <t>sa3017918</t>
  </si>
  <si>
    <t>JC Vanek</t>
  </si>
  <si>
    <t>sa3069015</t>
  </si>
  <si>
    <t>Zack Kelly</t>
  </si>
  <si>
    <t>Newberry</t>
  </si>
  <si>
    <t>Jake Madden</t>
  </si>
  <si>
    <t>Northwest Florida State</t>
  </si>
  <si>
    <t>sa3020866</t>
  </si>
  <si>
    <t>Sadrac Franco</t>
  </si>
  <si>
    <t>sa3005073</t>
  </si>
  <si>
    <t>Talon Haley</t>
  </si>
  <si>
    <t>Michael Hobbs</t>
  </si>
  <si>
    <t>sa3017498</t>
  </si>
  <si>
    <t>Jorel Ortega</t>
  </si>
  <si>
    <t>sa3020090</t>
  </si>
  <si>
    <t>Hogan Harris</t>
  </si>
  <si>
    <t>Nicoly Pina</t>
  </si>
  <si>
    <t>sa3005875</t>
  </si>
  <si>
    <t>Ryan Bergert</t>
  </si>
  <si>
    <t>sa3017418</t>
  </si>
  <si>
    <t>Jake Wong</t>
  </si>
  <si>
    <t>Patrick Winkel</t>
  </si>
  <si>
    <t>sa3017556</t>
  </si>
  <si>
    <t>Buddy Hayward</t>
  </si>
  <si>
    <t>sa3018114</t>
  </si>
  <si>
    <t>Billy Seidl</t>
  </si>
  <si>
    <t>sa3020257</t>
  </si>
  <si>
    <t>Daniel Acosta</t>
  </si>
  <si>
    <t>sa916724</t>
  </si>
  <si>
    <t>Aaron Hicks</t>
  </si>
  <si>
    <t>Kutter Crawford</t>
  </si>
  <si>
    <t>Jolon Zhao</t>
  </si>
  <si>
    <t>China</t>
  </si>
  <si>
    <t>sa3008575</t>
  </si>
  <si>
    <t>Steven Wright</t>
  </si>
  <si>
    <t>Connor Sadzeck</t>
  </si>
  <si>
    <t>Howard</t>
  </si>
  <si>
    <t>Hagen Smith</t>
  </si>
  <si>
    <t>sa3025544</t>
  </si>
  <si>
    <t>Adam Wolf</t>
  </si>
  <si>
    <t>sa3007587</t>
  </si>
  <si>
    <t>Jose Alberro</t>
  </si>
  <si>
    <t>sa924306</t>
  </si>
  <si>
    <t>Tim Mayza</t>
  </si>
  <si>
    <t>Millersville</t>
  </si>
  <si>
    <t>Pablo Sandoval</t>
  </si>
  <si>
    <t>Connor Van Scoyoc</t>
  </si>
  <si>
    <t>sa3010243</t>
  </si>
  <si>
    <t>Danny Wirchansky</t>
  </si>
  <si>
    <t>Pace</t>
  </si>
  <si>
    <t>sa3023469</t>
  </si>
  <si>
    <t>Edouard Julien</t>
  </si>
  <si>
    <t>Pedro Avila</t>
  </si>
  <si>
    <t>Adam Warren</t>
  </si>
  <si>
    <t>Tom Cosgrove</t>
  </si>
  <si>
    <t>Manhattan</t>
  </si>
  <si>
    <t>Jeremiah Estrada</t>
  </si>
  <si>
    <t>Blake Townsend</t>
  </si>
  <si>
    <t>sa3010125</t>
  </si>
  <si>
    <t>David Robertson</t>
  </si>
  <si>
    <t>Chasen Bradford</t>
  </si>
  <si>
    <t>Jameson Taillon</t>
  </si>
  <si>
    <t>Casey Legumina</t>
  </si>
  <si>
    <t>Gus Varland</t>
  </si>
  <si>
    <t>Concordia</t>
  </si>
  <si>
    <t>Jake Walsh</t>
  </si>
  <si>
    <t>Florida Southern, Jacksonville State</t>
  </si>
  <si>
    <t>Leoner Colina</t>
  </si>
  <si>
    <t>sa3006489</t>
  </si>
  <si>
    <t>Raynel Espinal</t>
  </si>
  <si>
    <t>Ricky Karcher</t>
  </si>
  <si>
    <t>Michigan, Walters State</t>
  </si>
  <si>
    <t>Blake Lillis</t>
  </si>
  <si>
    <t>sa918559</t>
  </si>
  <si>
    <t>Alec Kenilvort</t>
  </si>
  <si>
    <t>Marin</t>
  </si>
  <si>
    <t>sa829194</t>
  </si>
  <si>
    <t>Luke Boyd</t>
  </si>
  <si>
    <t>Baylor</t>
  </si>
  <si>
    <t>sa3016904</t>
  </si>
  <si>
    <t>Josh Rogers</t>
  </si>
  <si>
    <t>Corbin Martin</t>
  </si>
  <si>
    <t>Garrett Whitlock</t>
  </si>
  <si>
    <t>Alabama-Birmingham</t>
  </si>
  <si>
    <t>Sam Tewes</t>
  </si>
  <si>
    <t>sa738268</t>
  </si>
  <si>
    <t>Matt Bush</t>
  </si>
  <si>
    <t>Jean Casanova</t>
  </si>
  <si>
    <t>sa918959</t>
  </si>
  <si>
    <t>Jordan Hicks</t>
  </si>
  <si>
    <t>Jimmy Lambert</t>
  </si>
  <si>
    <t>Ryan Burr</t>
  </si>
  <si>
    <t>Cole Bellinger</t>
  </si>
  <si>
    <t>sa3005265</t>
  </si>
  <si>
    <t>Preston Gainey</t>
  </si>
  <si>
    <t>sa658177</t>
  </si>
  <si>
    <t>Cale Coshow</t>
  </si>
  <si>
    <t>Oklahoma, Oklahoma Christian</t>
  </si>
  <si>
    <t>sa738313</t>
  </si>
  <si>
    <t>Corey Taylor</t>
  </si>
  <si>
    <t>sa827144</t>
  </si>
  <si>
    <t>Jack Perkins</t>
  </si>
  <si>
    <t>Indiana, Louisville</t>
  </si>
  <si>
    <t>sa3020076</t>
  </si>
  <si>
    <t>Victor Soteldo</t>
  </si>
  <si>
    <t>sa3017098</t>
  </si>
  <si>
    <t>Peter Solomon</t>
  </si>
  <si>
    <t>John Swanda</t>
  </si>
  <si>
    <t>sa3004944</t>
  </si>
  <si>
    <t>Akil Baddoo</t>
  </si>
  <si>
    <t>Miguel Mercedes</t>
  </si>
  <si>
    <t>sa736689</t>
  </si>
  <si>
    <t>Trevor Bettencourt</t>
  </si>
  <si>
    <t>California Santa Barbara, Tennessee</t>
  </si>
  <si>
    <t>sa918556</t>
  </si>
  <si>
    <t>Dantel Ramirez</t>
  </si>
  <si>
    <t>sa3005463</t>
  </si>
  <si>
    <t>Duncan Robinson</t>
  </si>
  <si>
    <t>Dartmouth</t>
  </si>
  <si>
    <t>sa874105</t>
  </si>
  <si>
    <t>Tyler Wells</t>
  </si>
  <si>
    <t>Cal State San Bernadino</t>
  </si>
  <si>
    <t>John Fasola</t>
  </si>
  <si>
    <t>Kansas State, Kent State</t>
  </si>
  <si>
    <t>sa550022</t>
  </si>
  <si>
    <t>Ryan Boldt</t>
  </si>
  <si>
    <t>sa738262</t>
  </si>
  <si>
    <t>Tate Budnick</t>
  </si>
  <si>
    <t>sa3006997</t>
  </si>
  <si>
    <t>Carlos Rodon</t>
  </si>
  <si>
    <t>Lenny Torres</t>
  </si>
  <si>
    <t>sa3008329</t>
  </si>
  <si>
    <t>Cole Ragans</t>
  </si>
  <si>
    <t>Zach Pop</t>
  </si>
  <si>
    <t>Kyle Young</t>
  </si>
  <si>
    <t>sa918488</t>
  </si>
  <si>
    <t>Dr. Michael Ciccotti</t>
  </si>
  <si>
    <t>Sahid Valenzuela</t>
  </si>
  <si>
    <t>sa3014882</t>
  </si>
  <si>
    <t>Jake Thompson</t>
  </si>
  <si>
    <t>sa738914</t>
  </si>
  <si>
    <t>Trey Benton</t>
  </si>
  <si>
    <t>sa3015034</t>
  </si>
  <si>
    <t>Brant Hurter</t>
  </si>
  <si>
    <t>Georgia Tech</t>
  </si>
  <si>
    <t>Sean Mooney</t>
  </si>
  <si>
    <t>sa3014913</t>
  </si>
  <si>
    <t>Ben Brown</t>
  </si>
  <si>
    <t>Nolan Hoffman</t>
  </si>
  <si>
    <t>sa3007471</t>
  </si>
  <si>
    <t>Jamal Wade</t>
  </si>
  <si>
    <t>sa3004796</t>
  </si>
  <si>
    <t>Michael Mercado</t>
  </si>
  <si>
    <t>Owen White</t>
  </si>
  <si>
    <t>Anderson Espinoza</t>
  </si>
  <si>
    <t>A.J. Ladwig</t>
  </si>
  <si>
    <t>Mason Englert</t>
  </si>
  <si>
    <t>Corey Black</t>
  </si>
  <si>
    <t>Faulkner</t>
  </si>
  <si>
    <t>sa658004</t>
  </si>
  <si>
    <t>Hunter Greene</t>
  </si>
  <si>
    <t>Ryan Dease</t>
  </si>
  <si>
    <t>sa3004664</t>
  </si>
  <si>
    <t>Corey Knebel</t>
  </si>
  <si>
    <t>Kevin Abel</t>
  </si>
  <si>
    <t>sa3017879</t>
  </si>
  <si>
    <t>Jack DeGroat</t>
  </si>
  <si>
    <t>sa3018790</t>
  </si>
  <si>
    <t>Davis Daniel</t>
  </si>
  <si>
    <t>Braydon Fisher</t>
  </si>
  <si>
    <t>sa3007929</t>
  </si>
  <si>
    <t>Matt Sauer</t>
  </si>
  <si>
    <t>Zach Penrod</t>
  </si>
  <si>
    <t>Corban, Northwest Nazarene</t>
  </si>
  <si>
    <t>Seth Halvorsen</t>
  </si>
  <si>
    <t>Missouri, Tennessee</t>
  </si>
  <si>
    <t>Pat Monteverde</t>
  </si>
  <si>
    <t>Texas Tech, Seton Hall, Virginia Wesleyan</t>
  </si>
  <si>
    <t>sa3016940</t>
  </si>
  <si>
    <t>Brian Fitzpatrick</t>
  </si>
  <si>
    <t>sa3020265</t>
  </si>
  <si>
    <t>Michael Fulmer</t>
  </si>
  <si>
    <t>Brady Puckett</t>
  </si>
  <si>
    <t>Lipscomb</t>
  </si>
  <si>
    <t>sa829632</t>
  </si>
  <si>
    <t>Ryan Brinley</t>
  </si>
  <si>
    <t>sa875871</t>
  </si>
  <si>
    <t>Dane Dunning</t>
  </si>
  <si>
    <t>Silvino Bracho</t>
  </si>
  <si>
    <t>A.J. Puckett</t>
  </si>
  <si>
    <t>sa738686</t>
  </si>
  <si>
    <t>Mark Leiter Jr.</t>
  </si>
  <si>
    <t>New Jersey IT</t>
  </si>
  <si>
    <t>Salvador Perez</t>
  </si>
  <si>
    <t>Trey Cobb</t>
  </si>
  <si>
    <t>sa918276</t>
  </si>
  <si>
    <t>Billy Sullivan</t>
  </si>
  <si>
    <t>sa3014918</t>
  </si>
  <si>
    <t>Chris Smith</t>
  </si>
  <si>
    <t>Kentucky Wesleyan</t>
  </si>
  <si>
    <t>Spencer Strider</t>
  </si>
  <si>
    <t>Graham Hoffman</t>
  </si>
  <si>
    <t>sa3018238</t>
  </si>
  <si>
    <t>Roniel Raudes</t>
  </si>
  <si>
    <t>Nicaragua</t>
  </si>
  <si>
    <t>sa872825</t>
  </si>
  <si>
    <t>Roel Garcia</t>
  </si>
  <si>
    <t>sa3020253</t>
  </si>
  <si>
    <t>Hugh Fisher</t>
  </si>
  <si>
    <t>sa3017255</t>
  </si>
  <si>
    <t>Sal Giardina</t>
  </si>
  <si>
    <t>sa829575</t>
  </si>
  <si>
    <t>J.J. Niekro</t>
  </si>
  <si>
    <t>Florida Southern</t>
  </si>
  <si>
    <t>sa3017129</t>
  </si>
  <si>
    <t>Christopher Troye</t>
  </si>
  <si>
    <t>sa3017530</t>
  </si>
  <si>
    <t>Micah Pries</t>
  </si>
  <si>
    <t>Point Loma Nazarene</t>
  </si>
  <si>
    <t>sa3014830</t>
  </si>
  <si>
    <t>Alonzo Tredwell</t>
  </si>
  <si>
    <t>Garrett Davila</t>
  </si>
  <si>
    <t>sa875052</t>
  </si>
  <si>
    <t>Nolan Watson</t>
  </si>
  <si>
    <t>sa874732</t>
  </si>
  <si>
    <t>Noah Bryant</t>
  </si>
  <si>
    <t>Georgia Highlands</t>
  </si>
  <si>
    <t>sa3006832</t>
  </si>
  <si>
    <t>Stephen Greenlees</t>
  </si>
  <si>
    <t>Texas Lutheran, Southwestern</t>
  </si>
  <si>
    <t>sa3004774</t>
  </si>
  <si>
    <t>Ashe Russell</t>
  </si>
  <si>
    <t>sa874681</t>
  </si>
  <si>
    <t>Andrew Peters</t>
  </si>
  <si>
    <t>Maryville, South Carolina</t>
  </si>
  <si>
    <t>sa3017259</t>
  </si>
  <si>
    <t>Luke Murphy</t>
  </si>
  <si>
    <t>sa3017653</t>
  </si>
  <si>
    <t>Braidyn Fink</t>
  </si>
  <si>
    <t>sa3014862</t>
  </si>
  <si>
    <t>Jose Hernandez</t>
  </si>
  <si>
    <t>Sam Praytor</t>
  </si>
  <si>
    <t>sa3017151</t>
  </si>
  <si>
    <t>Carlos Suniaga</t>
  </si>
  <si>
    <t>sa873291</t>
  </si>
  <si>
    <t>Michael Montero</t>
  </si>
  <si>
    <t>sa3002610</t>
  </si>
  <si>
    <t>Andrew Schultz</t>
  </si>
  <si>
    <t>sa3010782</t>
  </si>
  <si>
    <t>Julian Bosnic</t>
  </si>
  <si>
    <t>sa3020734</t>
  </si>
  <si>
    <t>Mason Feole</t>
  </si>
  <si>
    <t>sa3015056</t>
  </si>
  <si>
    <t>Max Roberts</t>
  </si>
  <si>
    <t>Wabash County</t>
  </si>
  <si>
    <t>sa3004014</t>
  </si>
  <si>
    <t>Levi Stoudt</t>
  </si>
  <si>
    <t>Lehigh</t>
  </si>
  <si>
    <t>Teddy McGraw</t>
  </si>
  <si>
    <t>sa3025220</t>
  </si>
  <si>
    <t>John Russell</t>
  </si>
  <si>
    <t>sa3004771</t>
  </si>
  <si>
    <t>Steven Gingery</t>
  </si>
  <si>
    <t>sa3011747</t>
  </si>
  <si>
    <t>Kevin Herget</t>
  </si>
  <si>
    <t>Kean</t>
  </si>
  <si>
    <t>Yosver Zulueta</t>
  </si>
  <si>
    <t>Jhon Romero</t>
  </si>
  <si>
    <t>Caleb Bolden</t>
  </si>
  <si>
    <t>Texas Christian, Arkansas</t>
  </si>
  <si>
    <t>sa3020463</t>
  </si>
  <si>
    <t>Lance McCullers Jr.</t>
  </si>
  <si>
    <t>Franklyn Kilome</t>
  </si>
  <si>
    <t>Didi Gregorius</t>
  </si>
  <si>
    <t>Carson Ragsdale</t>
  </si>
  <si>
    <t>Edgar Santana</t>
  </si>
  <si>
    <t>Jerry Vasto</t>
  </si>
  <si>
    <t>Felician</t>
  </si>
  <si>
    <t>Kale Emshoff</t>
  </si>
  <si>
    <t>Arkansas-Little Rock</t>
  </si>
  <si>
    <t>sa3014934</t>
  </si>
  <si>
    <t>Tylor Fischer</t>
  </si>
  <si>
    <t>Chad Kuhl</t>
  </si>
  <si>
    <t>Michael Kopech</t>
  </si>
  <si>
    <t>Quintin Torres-Costa</t>
  </si>
  <si>
    <t>sa876206</t>
  </si>
  <si>
    <t>Jose Mujica</t>
  </si>
  <si>
    <t>Travis MacGregor</t>
  </si>
  <si>
    <t>sa917950</t>
  </si>
  <si>
    <t>Artie Lewicki</t>
  </si>
  <si>
    <t>Seth Romero</t>
  </si>
  <si>
    <t>Houston</t>
  </si>
  <si>
    <t>Francis Martes</t>
  </si>
  <si>
    <t>Isaiah Carranza</t>
  </si>
  <si>
    <t>Oregon, Azusa Pacific</t>
  </si>
  <si>
    <t>sa3015001</t>
  </si>
  <si>
    <t>Drake Owenby</t>
  </si>
  <si>
    <t>sa857564</t>
  </si>
  <si>
    <t>Jacob Barnwell</t>
  </si>
  <si>
    <t>sa3006779</t>
  </si>
  <si>
    <t>Dustin Hunt</t>
  </si>
  <si>
    <t>sa873711</t>
  </si>
  <si>
    <t>Yasel Antuna</t>
  </si>
  <si>
    <t>sa962601</t>
  </si>
  <si>
    <t>Johnny Cueto</t>
  </si>
  <si>
    <t>Boomer Biegalski</t>
  </si>
  <si>
    <t>sa873983</t>
  </si>
  <si>
    <t>Daniel Gossett</t>
  </si>
  <si>
    <t>Brent Suter</t>
  </si>
  <si>
    <t>Kendall Graveman</t>
  </si>
  <si>
    <t>Garrett Richards</t>
  </si>
  <si>
    <t>Austin Franklin</t>
  </si>
  <si>
    <t>sa917977</t>
  </si>
  <si>
    <t>Graham Lawson</t>
  </si>
  <si>
    <t>South Carolina, Spartanburg</t>
  </si>
  <si>
    <t>sa3014780</t>
  </si>
  <si>
    <t>Cam Hill</t>
  </si>
  <si>
    <t>Redlands</t>
  </si>
  <si>
    <t>Kyle Cody</t>
  </si>
  <si>
    <t>Micker Adolfo</t>
  </si>
  <si>
    <t>sa830303</t>
  </si>
  <si>
    <t>John Lamb</t>
  </si>
  <si>
    <t>Sam Carlson</t>
  </si>
  <si>
    <t>sa3005015</t>
  </si>
  <si>
    <t>Brandon Leibrandt</t>
  </si>
  <si>
    <t>Kyri Washington</t>
  </si>
  <si>
    <t>Longwood</t>
  </si>
  <si>
    <t>sa857813</t>
  </si>
  <si>
    <t>Brandon Koch</t>
  </si>
  <si>
    <t>sa875026</t>
  </si>
  <si>
    <t>Mitchell Kilkenny</t>
  </si>
  <si>
    <t>sa3010119</t>
  </si>
  <si>
    <t>Alex Speas</t>
  </si>
  <si>
    <t>Broken femur</t>
  </si>
  <si>
    <t>Patrick Riehl</t>
  </si>
  <si>
    <t>Mars Hill</t>
  </si>
  <si>
    <t>sa918565</t>
  </si>
  <si>
    <t>Chris Mathewson</t>
  </si>
  <si>
    <t>California State Long Beach</t>
  </si>
  <si>
    <t>sa829581</t>
  </si>
  <si>
    <t>Sam Fuller</t>
  </si>
  <si>
    <t>sa3004946</t>
  </si>
  <si>
    <t>Jose Adames</t>
  </si>
  <si>
    <t>sa597194</t>
  </si>
  <si>
    <t>Anthony Banda</t>
  </si>
  <si>
    <t>San Jacinto</t>
  </si>
  <si>
    <t>Sam Bordner</t>
  </si>
  <si>
    <t>sa3015108</t>
  </si>
  <si>
    <t>Drew Strotman</t>
  </si>
  <si>
    <t>sa3004584</t>
  </si>
  <si>
    <t>Kevin Shackelford</t>
  </si>
  <si>
    <t>Marshall</t>
  </si>
  <si>
    <t>Shoulder inflammation</t>
  </si>
  <si>
    <t>Grant Hockin</t>
  </si>
  <si>
    <t>sa828698</t>
  </si>
  <si>
    <t>Caleb Dirks</t>
  </si>
  <si>
    <t>sa829346</t>
  </si>
  <si>
    <t>Ryan Sherriff</t>
  </si>
  <si>
    <t>West Los Angeles</t>
  </si>
  <si>
    <t>Sean Burke</t>
  </si>
  <si>
    <t>Gerson Moreno</t>
  </si>
  <si>
    <t>sa736656</t>
  </si>
  <si>
    <t>Evan Elliott</t>
  </si>
  <si>
    <t>sa3017858</t>
  </si>
  <si>
    <t>Blake Wood</t>
  </si>
  <si>
    <t>Skylar Szynski</t>
  </si>
  <si>
    <t>sa917964</t>
  </si>
  <si>
    <t>Aaron Perry</t>
  </si>
  <si>
    <t>sa1055363</t>
  </si>
  <si>
    <t>Keynan Middleton</t>
  </si>
  <si>
    <t>Lane</t>
  </si>
  <si>
    <t>Mild ulnar neuritis</t>
  </si>
  <si>
    <t>Jay Groome</t>
  </si>
  <si>
    <t>sa917925</t>
  </si>
  <si>
    <t>Lachlan Wells</t>
  </si>
  <si>
    <t>sa877857</t>
  </si>
  <si>
    <t>Collin Wiles</t>
  </si>
  <si>
    <t>Corey Seager</t>
  </si>
  <si>
    <t>Arthroscopic hip surgery</t>
  </si>
  <si>
    <t>Chad Hockin</t>
  </si>
  <si>
    <t>sa913187</t>
  </si>
  <si>
    <t>Breiling Eusebio</t>
  </si>
  <si>
    <t>sa828552</t>
  </si>
  <si>
    <t>Josh Pennington</t>
  </si>
  <si>
    <t>sa829654</t>
  </si>
  <si>
    <t>Clay Aguilar</t>
  </si>
  <si>
    <t>sa3015003</t>
  </si>
  <si>
    <t>Kevin Gadea</t>
  </si>
  <si>
    <t>sa735841</t>
  </si>
  <si>
    <t>Matt Dermody</t>
  </si>
  <si>
    <t>Gabe Klobosits</t>
  </si>
  <si>
    <t>Auburn, Galveston</t>
  </si>
  <si>
    <t>Brac Warren</t>
  </si>
  <si>
    <t>Montana</t>
  </si>
  <si>
    <t>sa3011848</t>
  </si>
  <si>
    <t>Taijuan Walker</t>
  </si>
  <si>
    <t>Sprained shoulder capsule</t>
  </si>
  <si>
    <t>Dinelson Lamet</t>
  </si>
  <si>
    <t>Justin Courtney</t>
  </si>
  <si>
    <t>sa3015069</t>
  </si>
  <si>
    <t>Scott Williams</t>
  </si>
  <si>
    <t>State, Manatee-Sarasota</t>
  </si>
  <si>
    <t>sa829019</t>
  </si>
  <si>
    <t>JC Ramirez</t>
  </si>
  <si>
    <t>Matt Givin</t>
  </si>
  <si>
    <t>sa3005229</t>
  </si>
  <si>
    <t>Travis d'Arnaud</t>
  </si>
  <si>
    <t>Clayton Blackburn</t>
  </si>
  <si>
    <t>sa598302</t>
  </si>
  <si>
    <t>Heath Donica</t>
  </si>
  <si>
    <t>sa3004012</t>
  </si>
  <si>
    <t>A.J. Puk</t>
  </si>
  <si>
    <t>Ben Heller</t>
  </si>
  <si>
    <t>Olivet Nazarene</t>
  </si>
  <si>
    <t>Julian Fernandez</t>
  </si>
  <si>
    <t>Elbow discomfort</t>
  </si>
  <si>
    <t>Colin Holderman</t>
  </si>
  <si>
    <t>Heartland</t>
  </si>
  <si>
    <t>Pablo Ochoa</t>
  </si>
  <si>
    <t>sa873456</t>
  </si>
  <si>
    <t>Dakota Chalmers</t>
  </si>
  <si>
    <t>sa875017</t>
  </si>
  <si>
    <t>Elbow injury</t>
  </si>
  <si>
    <t>Dalton Sawyer</t>
  </si>
  <si>
    <t>sa875849</t>
  </si>
  <si>
    <t>Wil Jensen</t>
  </si>
  <si>
    <t>sa3014786</t>
  </si>
  <si>
    <t>Grayson Huffman</t>
  </si>
  <si>
    <t>Grayson County</t>
  </si>
  <si>
    <t>sa829012</t>
  </si>
  <si>
    <t>Alex Dickerson</t>
  </si>
  <si>
    <t>Indiana-Bloomington</t>
  </si>
  <si>
    <t>Jacob Lindgren</t>
  </si>
  <si>
    <t>Rafael Montero</t>
  </si>
  <si>
    <t>David Phelps</t>
  </si>
  <si>
    <t>Jharel Cotton</t>
  </si>
  <si>
    <t>St. Thomas</t>
  </si>
  <si>
    <t>Torn hamstring tendon</t>
  </si>
  <si>
    <t>Scott Kobos</t>
  </si>
  <si>
    <t>St. Johns River, Coastal Carolina</t>
  </si>
  <si>
    <t>sa3014856</t>
  </si>
  <si>
    <t>Joe Mantiply</t>
  </si>
  <si>
    <t>Julian Merryweather</t>
  </si>
  <si>
    <t>Oklahoma Baptist</t>
  </si>
  <si>
    <t>Tyler Spurlin</t>
  </si>
  <si>
    <t>sa739833</t>
  </si>
  <si>
    <t>Nick Ernst</t>
  </si>
  <si>
    <t>Miami (Ohio)</t>
  </si>
  <si>
    <t>sa3010558</t>
  </si>
  <si>
    <t>Noah Davis</t>
  </si>
  <si>
    <t>Corey Merrill</t>
  </si>
  <si>
    <t>sa3010109</t>
  </si>
  <si>
    <t>Mason Ward</t>
  </si>
  <si>
    <t>sa3004699</t>
  </si>
  <si>
    <t>Elieser Medrano</t>
  </si>
  <si>
    <t>sa3004200</t>
  </si>
  <si>
    <t>Brent Honeywell</t>
  </si>
  <si>
    <t>Walters State</t>
  </si>
  <si>
    <t>Upper arm nerve irritation</t>
  </si>
  <si>
    <t>Fractured inner elbow</t>
  </si>
  <si>
    <t>Tyler Holton</t>
  </si>
  <si>
    <t>Bryan Garcia</t>
  </si>
  <si>
    <t>Christian Trent</t>
  </si>
  <si>
    <t>sa829647</t>
  </si>
  <si>
    <t>Cullen Dana</t>
  </si>
  <si>
    <t>sa3010112</t>
  </si>
  <si>
    <t>Andrew Bellatti</t>
  </si>
  <si>
    <t>Luke Lanphere</t>
  </si>
  <si>
    <t>sa738712</t>
  </si>
  <si>
    <t>Alger Hodgson</t>
  </si>
  <si>
    <t>sa916713</t>
  </si>
  <si>
    <t>J.B. Olson</t>
  </si>
  <si>
    <t>sa3002779</t>
  </si>
  <si>
    <t>Bailey Horn</t>
  </si>
  <si>
    <t>Auburn, McLennan</t>
  </si>
  <si>
    <t>Kyle Thomas</t>
  </si>
  <si>
    <t>sa3004336</t>
  </si>
  <si>
    <t>Nick Hernandez</t>
  </si>
  <si>
    <t>Ryan Thompson</t>
  </si>
  <si>
    <t>Campbell, Chemeketa</t>
  </si>
  <si>
    <t>Chad Sykes</t>
  </si>
  <si>
    <t>North Carolina Greensboro</t>
  </si>
  <si>
    <t>sa1169870</t>
  </si>
  <si>
    <t>Kyle Molnar</t>
  </si>
  <si>
    <t>sa3014909</t>
  </si>
  <si>
    <t>Michael Darrell-Hicks</t>
  </si>
  <si>
    <t>Jacksonville, Western Kentucky</t>
  </si>
  <si>
    <t>sa3020438</t>
  </si>
  <si>
    <t>Roman Phansalkar</t>
  </si>
  <si>
    <t>sa3019949</t>
  </si>
  <si>
    <t>Remey Reed</t>
  </si>
  <si>
    <t>sa918085</t>
  </si>
  <si>
    <t>Russell Smith</t>
  </si>
  <si>
    <t>sa3018191</t>
  </si>
  <si>
    <t>Randy LeBlanc</t>
  </si>
  <si>
    <t>sa549258</t>
  </si>
  <si>
    <t>Zach Featherstone</t>
  </si>
  <si>
    <t>Tallahassee</t>
  </si>
  <si>
    <t>sa918266</t>
  </si>
  <si>
    <t>Montana Semmel</t>
  </si>
  <si>
    <t>sa3011751</t>
  </si>
  <si>
    <t>Anthony Hall</t>
  </si>
  <si>
    <t>sa3019987</t>
  </si>
  <si>
    <t>Nik Turley</t>
  </si>
  <si>
    <t>Mark Zimmerman</t>
  </si>
  <si>
    <t>Baldwin Wallace</t>
  </si>
  <si>
    <t>sa918846</t>
  </si>
  <si>
    <t>Luis Munoz</t>
  </si>
  <si>
    <t>sa917761</t>
  </si>
  <si>
    <t>Patrick Ruotolo</t>
  </si>
  <si>
    <t>sa856262</t>
  </si>
  <si>
    <t>Tyler Myrick</t>
  </si>
  <si>
    <t>sa3017541</t>
  </si>
  <si>
    <t>Peter Maris</t>
  </si>
  <si>
    <t>sa877608</t>
  </si>
  <si>
    <t>Seth Nordlin</t>
  </si>
  <si>
    <t>GateWay</t>
  </si>
  <si>
    <t>sa3004215</t>
  </si>
  <si>
    <t>Mike Ellenbest</t>
  </si>
  <si>
    <t>Saginaw Valley State</t>
  </si>
  <si>
    <t>sa918550</t>
  </si>
  <si>
    <t>Trenton Wallace</t>
  </si>
  <si>
    <t>sa3017748</t>
  </si>
  <si>
    <t>Kevin Strohschein</t>
  </si>
  <si>
    <t>sa3010859</t>
  </si>
  <si>
    <t>Clayton Beeter</t>
  </si>
  <si>
    <t>Justin Hooper</t>
  </si>
  <si>
    <t>Andrew Vernon</t>
  </si>
  <si>
    <t>North Carolina Central</t>
  </si>
  <si>
    <t>sa918647</t>
  </si>
  <si>
    <t>Jason Morgan</t>
  </si>
  <si>
    <t>sa3009920</t>
  </si>
  <si>
    <t>Glenn Albanese</t>
  </si>
  <si>
    <t>sa3017302</t>
  </si>
  <si>
    <t>Alex Garbrick</t>
  </si>
  <si>
    <t>Morehead State, South Carolina Upstate</t>
  </si>
  <si>
    <t>sa3017465</t>
  </si>
  <si>
    <t>Kevin Kopps</t>
  </si>
  <si>
    <t>sa3017005</t>
  </si>
  <si>
    <t>Drew Storen</t>
  </si>
  <si>
    <t>Nash Walters</t>
  </si>
  <si>
    <t>Jesen Therrien</t>
  </si>
  <si>
    <t>T.J. Rivera</t>
  </si>
  <si>
    <t>Troy</t>
  </si>
  <si>
    <t>Elbow sprain, PRP</t>
  </si>
  <si>
    <t>Sam Coonrod</t>
  </si>
  <si>
    <t>Southern Illinois</t>
  </si>
  <si>
    <t>Chase Ingram</t>
  </si>
  <si>
    <t>Hillsborough</t>
  </si>
  <si>
    <t>sa875160</t>
  </si>
  <si>
    <t>Luis De Los Santos</t>
  </si>
  <si>
    <t>sa873752</t>
  </si>
  <si>
    <t>Grant Dayton</t>
  </si>
  <si>
    <t>Jordan Humphreys</t>
  </si>
  <si>
    <t>sa875762</t>
  </si>
  <si>
    <t>Drew Rasmussen</t>
  </si>
  <si>
    <t>Rubby De La Rosa</t>
  </si>
  <si>
    <t>Kevin Gowdy</t>
  </si>
  <si>
    <t>sa917928</t>
  </si>
  <si>
    <t>Peter Fairbanks</t>
  </si>
  <si>
    <t>Edinson Volquez</t>
  </si>
  <si>
    <t>Luis Cordero</t>
  </si>
  <si>
    <t>sa916726</t>
  </si>
  <si>
    <t>Brett Eibner</t>
  </si>
  <si>
    <t>Joe Record</t>
  </si>
  <si>
    <t>sa3008619</t>
  </si>
  <si>
    <t>Zack Burdi</t>
  </si>
  <si>
    <t>Max Kuhns</t>
  </si>
  <si>
    <t>Santa Clara</t>
  </si>
  <si>
    <t>sa918473</t>
  </si>
  <si>
    <t>Nick Longhi</t>
  </si>
  <si>
    <t>sa738434</t>
  </si>
  <si>
    <t>Darren Shred</t>
  </si>
  <si>
    <t>sa875324</t>
  </si>
  <si>
    <t>Chi Chi Gonzalez</t>
  </si>
  <si>
    <t>Oral Roberts</t>
  </si>
  <si>
    <t>Logan Harasta</t>
  </si>
  <si>
    <t>Buffalo</t>
  </si>
  <si>
    <t>sa3004745</t>
  </si>
  <si>
    <t>Thomas Szapucki</t>
  </si>
  <si>
    <t>Michael Pineda</t>
  </si>
  <si>
    <t>Torn meniscus, right knee</t>
  </si>
  <si>
    <t>Andre Rienzo</t>
  </si>
  <si>
    <t>Drew Smyly</t>
  </si>
  <si>
    <t>Jason Foley</t>
  </si>
  <si>
    <t>Sacred Heart</t>
  </si>
  <si>
    <t>Wes Helsabeck</t>
  </si>
  <si>
    <t>North Carolina, Winston-Salem State</t>
  </si>
  <si>
    <t>sa877362</t>
  </si>
  <si>
    <t>Mario Sanchez</t>
  </si>
  <si>
    <t>sa691863</t>
  </si>
  <si>
    <t>Frankie Tostado</t>
  </si>
  <si>
    <t>Oxnard</t>
  </si>
  <si>
    <t>sa3007030</t>
  </si>
  <si>
    <t>Patrick Weigel</t>
  </si>
  <si>
    <t>Oxnard, Houston, Pacific</t>
  </si>
  <si>
    <t>Lucas Luetge</t>
  </si>
  <si>
    <t>Rice, San Jacinto</t>
  </si>
  <si>
    <t>Zach Putnam</t>
  </si>
  <si>
    <t>Andrew Miller</t>
  </si>
  <si>
    <t>sa3008557</t>
  </si>
  <si>
    <t>Edgardo Sandoval</t>
  </si>
  <si>
    <t>sa830035</t>
  </si>
  <si>
    <t>Jandel Gustave</t>
  </si>
  <si>
    <t>Dr. Thomas Mehlhoff</t>
  </si>
  <si>
    <t>Nerve transposition surgery</t>
  </si>
  <si>
    <t>Gleyber Torres</t>
  </si>
  <si>
    <t>IF</t>
  </si>
  <si>
    <t>Jordan Holloway</t>
  </si>
  <si>
    <t>Joe Perez</t>
  </si>
  <si>
    <t>sa3006868</t>
  </si>
  <si>
    <t>Matt Smith</t>
  </si>
  <si>
    <t>Georgetown</t>
  </si>
  <si>
    <t>sa918774</t>
  </si>
  <si>
    <t>Yosmer Leal</t>
  </si>
  <si>
    <t>sa737304</t>
  </si>
  <si>
    <t>Noah Murdock</t>
  </si>
  <si>
    <t>sa919012</t>
  </si>
  <si>
    <t>Travis Herrin</t>
  </si>
  <si>
    <t>Wabash Valley</t>
  </si>
  <si>
    <t>sa875780</t>
  </si>
  <si>
    <t>Joel Huertas</t>
  </si>
  <si>
    <t>sa829206</t>
  </si>
  <si>
    <t>Jackson Smeltz</t>
  </si>
  <si>
    <t>Josh Roberson</t>
  </si>
  <si>
    <t>UNC Wilmington</t>
  </si>
  <si>
    <t>sa3007721</t>
  </si>
  <si>
    <t>Quadriceps strain</t>
  </si>
  <si>
    <t>Bo Tucker</t>
  </si>
  <si>
    <t>sa829823</t>
  </si>
  <si>
    <t>Logan Gragg</t>
  </si>
  <si>
    <t>Connors State, Oklahoma State</t>
  </si>
  <si>
    <t>sa3010306</t>
  </si>
  <si>
    <t>Rob Wooten</t>
  </si>
  <si>
    <t>Luis Mora</t>
  </si>
  <si>
    <t>sa828591</t>
  </si>
  <si>
    <t>Dr. Tim Griffith</t>
  </si>
  <si>
    <t>Evan Grills</t>
  </si>
  <si>
    <t>sa548475</t>
  </si>
  <si>
    <t>Shawn Tolleson</t>
  </si>
  <si>
    <t>Ian Gardeck</t>
  </si>
  <si>
    <t>Angelina, Alabama</t>
  </si>
  <si>
    <t>sa598115</t>
  </si>
  <si>
    <t>Chase Johnson</t>
  </si>
  <si>
    <t>California Polytechnic State</t>
  </si>
  <si>
    <t>sa549740</t>
  </si>
  <si>
    <t>Blake Tiberi</t>
  </si>
  <si>
    <t>sa874235</t>
  </si>
  <si>
    <t>Clarke Schmidt</t>
  </si>
  <si>
    <t>Brady Rodgers</t>
  </si>
  <si>
    <t>Ryan O'Rourke</t>
  </si>
  <si>
    <t>Merrimack</t>
  </si>
  <si>
    <t>Yoiber Marquina</t>
  </si>
  <si>
    <t>sa737061</t>
  </si>
  <si>
    <t>Michael Grove</t>
  </si>
  <si>
    <t>Jean Cosme</t>
  </si>
  <si>
    <t>sa829216</t>
  </si>
  <si>
    <t>Mac Marshall</t>
  </si>
  <si>
    <t>sa829246</t>
  </si>
  <si>
    <t>Chris Muller</t>
  </si>
  <si>
    <t>Texas-San Antonio, Paris</t>
  </si>
  <si>
    <t>sa3006811</t>
  </si>
  <si>
    <t>Blake Bass</t>
  </si>
  <si>
    <t>Angelo State, Texas Tech</t>
  </si>
  <si>
    <t>sa875190</t>
  </si>
  <si>
    <t>Joe Palumbo</t>
  </si>
  <si>
    <t>Seth Simmons</t>
  </si>
  <si>
    <t>sa598797</t>
  </si>
  <si>
    <t>John Pomeroy</t>
  </si>
  <si>
    <t>sa918291</t>
  </si>
  <si>
    <t>Dariel Alvarez</t>
  </si>
  <si>
    <t>James Kaprielian</t>
  </si>
  <si>
    <t>Robert Suarez</t>
  </si>
  <si>
    <t>Jensen Elliott</t>
  </si>
  <si>
    <t>sa3010775</t>
  </si>
  <si>
    <t>Witt Haggard</t>
  </si>
  <si>
    <t>Delta State</t>
  </si>
  <si>
    <t>sa857656</t>
  </si>
  <si>
    <t>Mike Nikorak</t>
  </si>
  <si>
    <t>sa874707</t>
  </si>
  <si>
    <t>Ryan Koziol</t>
  </si>
  <si>
    <t>Gulf Coast, Illinois State, Arizona</t>
  </si>
  <si>
    <t>sa878100</t>
  </si>
  <si>
    <t>Clay Fisher</t>
  </si>
  <si>
    <t>sa3009865</t>
  </si>
  <si>
    <t>Matt De La Rosa</t>
  </si>
  <si>
    <t>Lenoir-Rhyne, Cisco</t>
  </si>
  <si>
    <t>sa918741</t>
  </si>
  <si>
    <t>Michael McAvene</t>
  </si>
  <si>
    <t>sa3011727</t>
  </si>
  <si>
    <t>Josh Burgmann</t>
  </si>
  <si>
    <t>sa3011409</t>
  </si>
  <si>
    <t>Rayan Gonzalez</t>
  </si>
  <si>
    <t>sa455370</t>
  </si>
  <si>
    <t>Trey Turner</t>
  </si>
  <si>
    <t>Missouri State, Crowder</t>
  </si>
  <si>
    <t>sa3006696</t>
  </si>
  <si>
    <t>Bo Schultz</t>
  </si>
  <si>
    <t>Will Smith</t>
  </si>
  <si>
    <t>Gulf Coast</t>
  </si>
  <si>
    <t>Cody Anderson</t>
  </si>
  <si>
    <t>Feather River</t>
  </si>
  <si>
    <t>Brock Love</t>
  </si>
  <si>
    <t>sa3011416</t>
  </si>
  <si>
    <t>Devin Williams</t>
  </si>
  <si>
    <t>Trevor May</t>
  </si>
  <si>
    <t>Justin Alleman</t>
  </si>
  <si>
    <t>Lee</t>
  </si>
  <si>
    <t>sa658320</t>
  </si>
  <si>
    <t>Alex Kirilloff</t>
  </si>
  <si>
    <t>sa917929</t>
  </si>
  <si>
    <t>Mason Cole</t>
  </si>
  <si>
    <t>sa3015274</t>
  </si>
  <si>
    <t>Luis Gamez</t>
  </si>
  <si>
    <t>sa829025</t>
  </si>
  <si>
    <t>Cody Scroggins</t>
  </si>
  <si>
    <t>sa3011417</t>
  </si>
  <si>
    <t>Jeremy Kivel</t>
  </si>
  <si>
    <t>sa658152</t>
  </si>
  <si>
    <t>Doug Norman</t>
  </si>
  <si>
    <t>sa913037</t>
  </si>
  <si>
    <t>Xavier Fernandez</t>
  </si>
  <si>
    <t>sa737922</t>
  </si>
  <si>
    <t>Jake Walkinshaw</t>
  </si>
  <si>
    <t>Southern New Hampshire</t>
  </si>
  <si>
    <t>sa3010317</t>
  </si>
  <si>
    <t>Alex Reyes</t>
  </si>
  <si>
    <t>Torn lat tendon</t>
  </si>
  <si>
    <t>Jason Coats</t>
  </si>
  <si>
    <t>Rayan Hernandez</t>
  </si>
  <si>
    <t>sa738950</t>
  </si>
  <si>
    <t>Keegan James</t>
  </si>
  <si>
    <t>sa3011232</t>
  </si>
  <si>
    <t>Tristin English</t>
  </si>
  <si>
    <t>sa876328</t>
  </si>
  <si>
    <t>Nick Meservey</t>
  </si>
  <si>
    <t>Seattle</t>
  </si>
  <si>
    <t>sa3008402</t>
  </si>
  <si>
    <t>Matt Litwicki</t>
  </si>
  <si>
    <t>Corey Zangari</t>
  </si>
  <si>
    <t>sa875065</t>
  </si>
  <si>
    <t>Andy Cox</t>
  </si>
  <si>
    <t>sa876303</t>
  </si>
  <si>
    <t>Sarkis Ohanian</t>
  </si>
  <si>
    <t>sa827459</t>
  </si>
  <si>
    <t>Nick Hanson</t>
  </si>
  <si>
    <t>sa917957</t>
  </si>
  <si>
    <t>Andrew Wright</t>
  </si>
  <si>
    <t>sa918449</t>
  </si>
  <si>
    <t>Javier Medina</t>
  </si>
  <si>
    <t>sa874966</t>
  </si>
  <si>
    <t>Blair Calvo</t>
  </si>
  <si>
    <t>Eastern Florida State, Pittsburgh, Flagler</t>
  </si>
  <si>
    <t>Alex Haynes</t>
  </si>
  <si>
    <t>sa3010618</t>
  </si>
  <si>
    <t>C.J. Stubbs</t>
  </si>
  <si>
    <t>sa3010328</t>
  </si>
  <si>
    <t>Andrew Edwards</t>
  </si>
  <si>
    <t>Western Kentucky</t>
  </si>
  <si>
    <t>sa738219</t>
  </si>
  <si>
    <t>Nick Mondak</t>
  </si>
  <si>
    <t>sa3017274</t>
  </si>
  <si>
    <t>Stiward Aquino</t>
  </si>
  <si>
    <t>sa3002911</t>
  </si>
  <si>
    <t>Victor Gonzalez</t>
  </si>
  <si>
    <t>Alec Gamboa</t>
  </si>
  <si>
    <t>Fresno City, Fresno State</t>
  </si>
  <si>
    <t>sa3011249</t>
  </si>
  <si>
    <t>Nick Robertson</t>
  </si>
  <si>
    <t>James Madison</t>
  </si>
  <si>
    <t>Joe Mortillaro</t>
  </si>
  <si>
    <t>Western Illinois</t>
  </si>
  <si>
    <t>sa945908</t>
  </si>
  <si>
    <t>Peyton Burdick</t>
  </si>
  <si>
    <t>Wright State</t>
  </si>
  <si>
    <t>sa3009876</t>
  </si>
  <si>
    <t>Josh Simpson</t>
  </si>
  <si>
    <t>Columbia</t>
  </si>
  <si>
    <t>sa1053035</t>
  </si>
  <si>
    <t>Miguel De Jesus</t>
  </si>
  <si>
    <t>sa873177</t>
  </si>
  <si>
    <t>Jhony Brito</t>
  </si>
  <si>
    <t>Evan Voliva</t>
  </si>
  <si>
    <t>sa1170073</t>
  </si>
  <si>
    <t>Yancarlos Baez</t>
  </si>
  <si>
    <t>sa827962</t>
  </si>
  <si>
    <t>Michael Murray</t>
  </si>
  <si>
    <t>sa857583</t>
  </si>
  <si>
    <t>Dylan Shockley</t>
  </si>
  <si>
    <t>Rio Grande</t>
  </si>
  <si>
    <t>sa1170874</t>
  </si>
  <si>
    <t>Steven Wilson</t>
  </si>
  <si>
    <t>Bryan Pall</t>
  </si>
  <si>
    <t>sa3008614</t>
  </si>
  <si>
    <t>Rafael Martinez</t>
  </si>
  <si>
    <t>sa3008554</t>
  </si>
  <si>
    <t>Jasier Herrera</t>
  </si>
  <si>
    <t>sa873294</t>
  </si>
  <si>
    <t>Jesus Reyes</t>
  </si>
  <si>
    <t>sa917374</t>
  </si>
  <si>
    <t>Kwang Hyun Kim</t>
  </si>
  <si>
    <t>John King</t>
  </si>
  <si>
    <t>Daniel Robert</t>
  </si>
  <si>
    <t>Glen Richardson</t>
  </si>
  <si>
    <t>sa3009934</t>
  </si>
  <si>
    <t>Jackson Leath</t>
  </si>
  <si>
    <t>sa3018239</t>
  </si>
  <si>
    <t>Joseph Jarneski</t>
  </si>
  <si>
    <t>sa3004339</t>
  </si>
  <si>
    <t>Cole Quintanilla</t>
  </si>
  <si>
    <t>sa3017595</t>
  </si>
  <si>
    <t>Colin Rea</t>
  </si>
  <si>
    <t>Indiana State</t>
  </si>
  <si>
    <t>Bryan Harper</t>
  </si>
  <si>
    <t>Southern Nevada, South Carolina</t>
  </si>
  <si>
    <t>sa549768</t>
  </si>
  <si>
    <t>Andre Jackson</t>
  </si>
  <si>
    <t>Miguel Yajure</t>
  </si>
  <si>
    <t>Yimi Garcia</t>
  </si>
  <si>
    <t>Ryan Cook</t>
  </si>
  <si>
    <t>Andro Cutura</t>
  </si>
  <si>
    <t>sa827476</t>
  </si>
  <si>
    <t>Josh Prevost</t>
  </si>
  <si>
    <t>sa828963</t>
  </si>
  <si>
    <t>J.B. Wendelken</t>
  </si>
  <si>
    <t>Middle Georgia</t>
  </si>
  <si>
    <t>Nick Allgeyer</t>
  </si>
  <si>
    <t>Zach Duke</t>
  </si>
  <si>
    <t>Erik Johnson</t>
  </si>
  <si>
    <t>Anthony Kay</t>
  </si>
  <si>
    <t>Chuck Weaver</t>
  </si>
  <si>
    <t>Indiana, Purdue</t>
  </si>
  <si>
    <t>sa888170</t>
  </si>
  <si>
    <t>Cesar Gonzalez</t>
  </si>
  <si>
    <t>sa737085</t>
  </si>
  <si>
    <t>Doug Willey</t>
  </si>
  <si>
    <t>New Hampshire</t>
  </si>
  <si>
    <t>Franklin Pierce, Arkansas</t>
  </si>
  <si>
    <t>sa856267</t>
  </si>
  <si>
    <t>Raymond Burgos</t>
  </si>
  <si>
    <t>Brooks Kriske</t>
  </si>
  <si>
    <t>Jake Zokan</t>
  </si>
  <si>
    <t>sa737880</t>
  </si>
  <si>
    <t>Derek Hill</t>
  </si>
  <si>
    <t>sa828670</t>
  </si>
  <si>
    <t>James Jones</t>
  </si>
  <si>
    <t>Long Island</t>
  </si>
  <si>
    <t>Nathan Eovaldi</t>
  </si>
  <si>
    <t>Elbow loose bodies</t>
  </si>
  <si>
    <t>Nick Tropeano</t>
  </si>
  <si>
    <t>Stony Brook</t>
  </si>
  <si>
    <t>Troy Rallings</t>
  </si>
  <si>
    <t>Torn UCL, shoulder issue</t>
  </si>
  <si>
    <t>Dalton Geekie</t>
  </si>
  <si>
    <t>sa875332</t>
  </si>
  <si>
    <t>Tommy John</t>
  </si>
  <si>
    <t>Jorge Ortega</t>
  </si>
  <si>
    <t>sa597019</t>
  </si>
  <si>
    <t>Stephen Ridings</t>
  </si>
  <si>
    <t>Haverford</t>
  </si>
  <si>
    <t>Dace Kime</t>
  </si>
  <si>
    <t>sa548429</t>
  </si>
  <si>
    <t>Kody Clemens</t>
  </si>
  <si>
    <t>Sean Nolin</t>
  </si>
  <si>
    <t>Cre Finfrock</t>
  </si>
  <si>
    <t>sa829399</t>
  </si>
  <si>
    <t>Andrew Lee</t>
  </si>
  <si>
    <t>sa856275</t>
  </si>
  <si>
    <t>Hunter Harvey</t>
  </si>
  <si>
    <t>Dr. Donald D'Alessandro</t>
  </si>
  <si>
    <t>Adrian Perez</t>
  </si>
  <si>
    <t>Adrian Houser</t>
  </si>
  <si>
    <t>Appendectomy</t>
  </si>
  <si>
    <t>Jon Moscot</t>
  </si>
  <si>
    <t>Kyle Survance</t>
  </si>
  <si>
    <t>sa858807</t>
  </si>
  <si>
    <t>Malcolm Van Buren</t>
  </si>
  <si>
    <t>sa918752</t>
  </si>
  <si>
    <t>Matt Rowland</t>
  </si>
  <si>
    <t>sa918206</t>
  </si>
  <si>
    <t>Walker Powell</t>
  </si>
  <si>
    <t>sa3017815</t>
  </si>
  <si>
    <t>Sam Hentges</t>
  </si>
  <si>
    <t>Francisco Lopez</t>
  </si>
  <si>
    <t>sa739258</t>
  </si>
  <si>
    <t>Chad Donato</t>
  </si>
  <si>
    <t>sa919112</t>
  </si>
  <si>
    <t>Andrew Heaney</t>
  </si>
  <si>
    <t>Chris Thomas</t>
  </si>
  <si>
    <t>Avila</t>
  </si>
  <si>
    <t>sa659320</t>
  </si>
  <si>
    <t>Jonas Wyatt</t>
  </si>
  <si>
    <t>sa875171</t>
  </si>
  <si>
    <t>Carlos Luna</t>
  </si>
  <si>
    <t>sa828727</t>
  </si>
  <si>
    <t>Tyler Benninghoff</t>
  </si>
  <si>
    <t>sa918219</t>
  </si>
  <si>
    <t>Adam Parks</t>
  </si>
  <si>
    <t>sa829657</t>
  </si>
  <si>
    <t>Ryan Williamson</t>
  </si>
  <si>
    <t>sa3008258</t>
  </si>
  <si>
    <t>Hever Bueno</t>
  </si>
  <si>
    <t>sa738180</t>
  </si>
  <si>
    <t>Daniel Webb</t>
  </si>
  <si>
    <t>Jose Garcia</t>
  </si>
  <si>
    <t>sa657393</t>
  </si>
  <si>
    <t>Pedro Perez</t>
  </si>
  <si>
    <t>sa597323</t>
  </si>
  <si>
    <t>Logan Webb</t>
  </si>
  <si>
    <t>Martin Agosta</t>
  </si>
  <si>
    <t>sa657962</t>
  </si>
  <si>
    <t>Justin Marsden</t>
  </si>
  <si>
    <t>sa875330</t>
  </si>
  <si>
    <t>Taylor Jordan</t>
  </si>
  <si>
    <t>Eastern Florida State</t>
  </si>
  <si>
    <t>Carson Smith</t>
  </si>
  <si>
    <t>Soreness</t>
  </si>
  <si>
    <t>Alexis Diaz</t>
  </si>
  <si>
    <t>Dante Biasi</t>
  </si>
  <si>
    <t>Penn State</t>
  </si>
  <si>
    <t>sa3010647</t>
  </si>
  <si>
    <t>Connor Lehmann</t>
  </si>
  <si>
    <t>Saint Louis</t>
  </si>
  <si>
    <t>sa3010554</t>
  </si>
  <si>
    <t>Wyatt Strahan</t>
  </si>
  <si>
    <t>sa599334</t>
  </si>
  <si>
    <t>Elliot Ashbeck</t>
  </si>
  <si>
    <t>Bradley</t>
  </si>
  <si>
    <t>sa875665</t>
  </si>
  <si>
    <t>Michael Gibbons</t>
  </si>
  <si>
    <t>Wheaton</t>
  </si>
  <si>
    <t>sa876538</t>
  </si>
  <si>
    <t>Robbie Erlin</t>
  </si>
  <si>
    <t>Pablo Fernandez</t>
  </si>
  <si>
    <t>sa867970</t>
  </si>
  <si>
    <t>Tyler Cloyd</t>
  </si>
  <si>
    <t>Chris Bassitt</t>
  </si>
  <si>
    <t>Arm fatigue</t>
  </si>
  <si>
    <t>Gray Fenter</t>
  </si>
  <si>
    <t>sa875233</t>
  </si>
  <si>
    <t>sa3010299</t>
  </si>
  <si>
    <t>Jonathan Loaisiga</t>
  </si>
  <si>
    <t>Dylan Brooks</t>
  </si>
  <si>
    <t>sa738457</t>
  </si>
  <si>
    <t>Ryan Brett</t>
  </si>
  <si>
    <t>Cobi Johnson</t>
  </si>
  <si>
    <t>sa3006693</t>
  </si>
  <si>
    <t>Zach Plesac</t>
  </si>
  <si>
    <t>Harrison Cooney</t>
  </si>
  <si>
    <t>sa550830</t>
  </si>
  <si>
    <t>Branden Pinder</t>
  </si>
  <si>
    <t>California State Long Beach, Santa Ana</t>
  </si>
  <si>
    <t>Tarik Skubal</t>
  </si>
  <si>
    <t>Nick Rumbelow</t>
  </si>
  <si>
    <t>Tim Collins</t>
  </si>
  <si>
    <t>Marco Gonzales</t>
  </si>
  <si>
    <t>Jonathan Wandling</t>
  </si>
  <si>
    <t>Southern Indiana</t>
  </si>
  <si>
    <t>sa830461</t>
  </si>
  <si>
    <t>Zach Becherer</t>
  </si>
  <si>
    <t>Rend Lake</t>
  </si>
  <si>
    <t>sa918310</t>
  </si>
  <si>
    <t>Jimmy Reed</t>
  </si>
  <si>
    <t>sa658611</t>
  </si>
  <si>
    <t>Jacob Lee</t>
  </si>
  <si>
    <t>Arkansas State</t>
  </si>
  <si>
    <t>sa658135</t>
  </si>
  <si>
    <t>Felix Doubront</t>
  </si>
  <si>
    <t>Manny Parra</t>
  </si>
  <si>
    <t>American River</t>
  </si>
  <si>
    <t>Tyler Kolek</t>
  </si>
  <si>
    <t>sa828660</t>
  </si>
  <si>
    <t>Will Remillard</t>
  </si>
  <si>
    <t>Coastal Carolina</t>
  </si>
  <si>
    <t>sa738192</t>
  </si>
  <si>
    <t>Frank Batista</t>
  </si>
  <si>
    <t>sa506678</t>
  </si>
  <si>
    <t>Theo Denlinger</t>
  </si>
  <si>
    <t>sa3016908</t>
  </si>
  <si>
    <t>Lance Thonvold</t>
  </si>
  <si>
    <t>sa857690</t>
  </si>
  <si>
    <t>Deiyerbert Bolivar</t>
  </si>
  <si>
    <t>sa828545</t>
  </si>
  <si>
    <t>Dr. Luis Vela</t>
  </si>
  <si>
    <t>Milton Gomez</t>
  </si>
  <si>
    <t>sa597280</t>
  </si>
  <si>
    <t>Daniel Missaki</t>
  </si>
  <si>
    <t>sa741947</t>
  </si>
  <si>
    <t>Chaz Hebert</t>
  </si>
  <si>
    <t>sa599381</t>
  </si>
  <si>
    <t>Jesus Luzardo</t>
  </si>
  <si>
    <t>Jairo Diaz</t>
  </si>
  <si>
    <t>Joel Bender</t>
  </si>
  <si>
    <t>sa549763</t>
  </si>
  <si>
    <t>Andrew McKirahan</t>
  </si>
  <si>
    <t>Carter Capps</t>
  </si>
  <si>
    <t>Mount Olive</t>
  </si>
  <si>
    <t>Jeremy Randolph</t>
  </si>
  <si>
    <t>Wright State, Alabama</t>
  </si>
  <si>
    <t>sa3010368</t>
  </si>
  <si>
    <t>Ryan Miller</t>
  </si>
  <si>
    <t>Florida Atlantic, Clemson</t>
  </si>
  <si>
    <t>Kyle Serrano</t>
  </si>
  <si>
    <t>sa738435</t>
  </si>
  <si>
    <t>Travis Radke</t>
  </si>
  <si>
    <t>sa602806</t>
  </si>
  <si>
    <t>Kodi Whitley</t>
  </si>
  <si>
    <t>Aaron Fletcher</t>
  </si>
  <si>
    <t>sa3007591</t>
  </si>
  <si>
    <t>John Parke</t>
  </si>
  <si>
    <t>sa3003988</t>
  </si>
  <si>
    <t>Derek West</t>
  </si>
  <si>
    <t>Pittsburgh</t>
  </si>
  <si>
    <t>sa3010557</t>
  </si>
  <si>
    <t>Brett Morales</t>
  </si>
  <si>
    <t>Florida, Tampa</t>
  </si>
  <si>
    <t>sa738346</t>
  </si>
  <si>
    <t>Adrian Martinez</t>
  </si>
  <si>
    <t>Ty Duvall</t>
  </si>
  <si>
    <t>sa3014880</t>
  </si>
  <si>
    <t>Garrett Hill</t>
  </si>
  <si>
    <t>San Diego State, Santa Rosa</t>
  </si>
  <si>
    <t>Kyle Kinman</t>
  </si>
  <si>
    <t>Bellevue</t>
  </si>
  <si>
    <t>sa829388</t>
  </si>
  <si>
    <t>Nick Duron</t>
  </si>
  <si>
    <t>Clark</t>
  </si>
  <si>
    <t>Erick Leal</t>
  </si>
  <si>
    <t>sa657825</t>
  </si>
  <si>
    <t>Brandon Birdsell</t>
  </si>
  <si>
    <t>San Jacinto, Texas A&amp;M, Texas Tech</t>
  </si>
  <si>
    <t>Andy Parrino</t>
  </si>
  <si>
    <t>LeMoyne</t>
  </si>
  <si>
    <t>Aaron Soto</t>
  </si>
  <si>
    <t>sa915634</t>
  </si>
  <si>
    <t>Tyler Osik</t>
  </si>
  <si>
    <t>Chipola, Coker, Central Florida</t>
  </si>
  <si>
    <t>sa3010017</t>
  </si>
  <si>
    <t>Matt Pidich</t>
  </si>
  <si>
    <t>sa915680</t>
  </si>
  <si>
    <t>Adrian Rodriguez</t>
  </si>
  <si>
    <t>sa877346</t>
  </si>
  <si>
    <t>Anderson Polanco</t>
  </si>
  <si>
    <t>sa596949</t>
  </si>
  <si>
    <t>Andrew Lantrip</t>
  </si>
  <si>
    <t>sa3008065</t>
  </si>
  <si>
    <t>Johan Belisario</t>
  </si>
  <si>
    <t>sa546553</t>
  </si>
  <si>
    <t>Will Vest</t>
  </si>
  <si>
    <t>Stephen F. Austin</t>
  </si>
  <si>
    <t>Devin Conn</t>
  </si>
  <si>
    <t>Middle Tennessee State</t>
  </si>
  <si>
    <t>sa3007252</t>
  </si>
  <si>
    <t>Austin Lambright</t>
  </si>
  <si>
    <t>Abilene Christian, Central Oklahoma</t>
  </si>
  <si>
    <t>sa3007236</t>
  </si>
  <si>
    <t>Joseph Markus</t>
  </si>
  <si>
    <t>sa875310</t>
  </si>
  <si>
    <t>Jefry Yan</t>
  </si>
  <si>
    <t>sa828460</t>
  </si>
  <si>
    <t>Julian Smith</t>
  </si>
  <si>
    <t>Catawba Valley</t>
  </si>
  <si>
    <t>sa3010129</t>
  </si>
  <si>
    <t>Aaron Ochsenbein</t>
  </si>
  <si>
    <t>Eastern Kentucky</t>
  </si>
  <si>
    <t>sa3011241</t>
  </si>
  <si>
    <t>Ethan Small</t>
  </si>
  <si>
    <t>Jordan Gore</t>
  </si>
  <si>
    <t>South Carolina, Coastal Carolina</t>
  </si>
  <si>
    <t>sa3004127</t>
  </si>
  <si>
    <t>Michel Otanez</t>
  </si>
  <si>
    <t>sa932611</t>
  </si>
  <si>
    <t>Edwin German</t>
  </si>
  <si>
    <t>sa873304</t>
  </si>
  <si>
    <t>Ty Hensley</t>
  </si>
  <si>
    <t>sa657925</t>
  </si>
  <si>
    <t>Grant Dyer</t>
  </si>
  <si>
    <t>sa874139</t>
  </si>
  <si>
    <t>Zach Green</t>
  </si>
  <si>
    <t>sa657973</t>
  </si>
  <si>
    <t>Ryan Valdes</t>
  </si>
  <si>
    <t>sa3004486</t>
  </si>
  <si>
    <t>Nathan Bannister</t>
  </si>
  <si>
    <t>sa857696</t>
  </si>
  <si>
    <t>Luis Amaya</t>
  </si>
  <si>
    <t>sa872809</t>
  </si>
  <si>
    <t>Evan Van Hoosier</t>
  </si>
  <si>
    <t>sa658796</t>
  </si>
  <si>
    <t>Cole Uvila</t>
  </si>
  <si>
    <t>Georgia State, Pierce, Georgia Gwinnett</t>
  </si>
  <si>
    <t>sa3006804</t>
  </si>
  <si>
    <t>Travis Bergen</t>
  </si>
  <si>
    <t>Jackson Stoeckinger</t>
  </si>
  <si>
    <t>sa3005031</t>
  </si>
  <si>
    <t>Hunter McMahon</t>
  </si>
  <si>
    <t>Coffeyville, Texas State</t>
  </si>
  <si>
    <t>sa3010658</t>
  </si>
  <si>
    <t>Reid Schaller</t>
  </si>
  <si>
    <t>sa3008023</t>
  </si>
  <si>
    <t>Casey Sadler</t>
  </si>
  <si>
    <t>Western Oklahoma State</t>
  </si>
  <si>
    <t>Lance Lynn</t>
  </si>
  <si>
    <t>Jaimito Lebron</t>
  </si>
  <si>
    <t>sa829379</t>
  </si>
  <si>
    <t>Mason Hope</t>
  </si>
  <si>
    <t>sa597872</t>
  </si>
  <si>
    <t>Cameron Griffin</t>
  </si>
  <si>
    <t>Columbus State</t>
  </si>
  <si>
    <t>sa738927</t>
  </si>
  <si>
    <t>Jesse Biddle</t>
  </si>
  <si>
    <t>Branden Kline</t>
  </si>
  <si>
    <t>Arthroscopic procedure</t>
  </si>
  <si>
    <t>Elbow PRP inject</t>
  </si>
  <si>
    <t>Nate Fisher</t>
  </si>
  <si>
    <t>Greg Holland</t>
  </si>
  <si>
    <t>Western Carolina</t>
  </si>
  <si>
    <t>Tyson Perez</t>
  </si>
  <si>
    <t>Fresno City</t>
  </si>
  <si>
    <t>sa598434</t>
  </si>
  <si>
    <t>Cameron Avila-Leeper</t>
  </si>
  <si>
    <t>sa829623</t>
  </si>
  <si>
    <t>Peter Strzelecki</t>
  </si>
  <si>
    <t>Palm Beach, South Florida</t>
  </si>
  <si>
    <t>Dr. George Caldwell</t>
  </si>
  <si>
    <t>Aaron Barrett</t>
  </si>
  <si>
    <t>Mississippi, Wabash Valley</t>
  </si>
  <si>
    <t>Ankle surgery</t>
  </si>
  <si>
    <t>Fractured elbow</t>
  </si>
  <si>
    <t>Paco Rodriguez</t>
  </si>
  <si>
    <t>Li-Jen Chu</t>
  </si>
  <si>
    <t>sa830277</t>
  </si>
  <si>
    <t>Nathan Kirby</t>
  </si>
  <si>
    <t>sa874754</t>
  </si>
  <si>
    <t>Marcos Molina</t>
  </si>
  <si>
    <t>sa657917</t>
  </si>
  <si>
    <t>Angel Sanchez</t>
  </si>
  <si>
    <t>Saul De La Cruz</t>
  </si>
  <si>
    <t>sa3002906</t>
  </si>
  <si>
    <t>Keaton Aldridge</t>
  </si>
  <si>
    <t>sa599524</t>
  </si>
  <si>
    <t>David Ramos</t>
  </si>
  <si>
    <t>sa692508</t>
  </si>
  <si>
    <t>James Needy</t>
  </si>
  <si>
    <t>sa501496</t>
  </si>
  <si>
    <t>Dylan Dusek</t>
  </si>
  <si>
    <t>sa3008327</t>
  </si>
  <si>
    <t>Ricardo Rodriguez</t>
  </si>
  <si>
    <t>Aaron Bummer</t>
  </si>
  <si>
    <t>Taylor Williams</t>
  </si>
  <si>
    <t>Jason Vargas</t>
  </si>
  <si>
    <t>California State, Cypress, LSU</t>
  </si>
  <si>
    <t>Nate Adcock</t>
  </si>
  <si>
    <t>Morgan Lofstrom</t>
  </si>
  <si>
    <t>sa738557</t>
  </si>
  <si>
    <t>Hector Garcia</t>
  </si>
  <si>
    <t>sa736906</t>
  </si>
  <si>
    <t>Fernery Ozuna</t>
  </si>
  <si>
    <t>sa739259</t>
  </si>
  <si>
    <t>Brian Hunter</t>
  </si>
  <si>
    <t>sa829173</t>
  </si>
  <si>
    <t>Brusdar Graterol</t>
  </si>
  <si>
    <t>Blake Taylor</t>
  </si>
  <si>
    <t>Wesley Rodriguez</t>
  </si>
  <si>
    <t>sa875566</t>
  </si>
  <si>
    <t>Jack Leathersich</t>
  </si>
  <si>
    <t>Matt Trowbridge</t>
  </si>
  <si>
    <t>Central Michigan</t>
  </si>
  <si>
    <t>sa829068</t>
  </si>
  <si>
    <t>Greg Maisto</t>
  </si>
  <si>
    <t>McLennan, Texas A&amp;M</t>
  </si>
  <si>
    <t>sa829226</t>
  </si>
  <si>
    <t>Jonah Wesely</t>
  </si>
  <si>
    <t>sa737935</t>
  </si>
  <si>
    <t>Dr. Michael Shepard</t>
  </si>
  <si>
    <t>Chris Betts</t>
  </si>
  <si>
    <t>sa874791</t>
  </si>
  <si>
    <t>Mark Armstrong</t>
  </si>
  <si>
    <t>sa737689</t>
  </si>
  <si>
    <t>Blake Hickman</t>
  </si>
  <si>
    <t>sa658504</t>
  </si>
  <si>
    <t>Josh Goossen-Brown</t>
  </si>
  <si>
    <t>sa829538</t>
  </si>
  <si>
    <t>Michael Smith</t>
  </si>
  <si>
    <t>sa738590</t>
  </si>
  <si>
    <t>Mitch McIntyre</t>
  </si>
  <si>
    <t>Wichita State, Iowa Western, Indiana State</t>
  </si>
  <si>
    <t>sa3006842</t>
  </si>
  <si>
    <t>Dr. Steven Hagan</t>
  </si>
  <si>
    <t>Don Kelly</t>
  </si>
  <si>
    <t>Point Park</t>
  </si>
  <si>
    <t>Pavin Smith</t>
  </si>
  <si>
    <t>Shane Combs</t>
  </si>
  <si>
    <t>sa3011396</t>
  </si>
  <si>
    <t>Nick Christiani</t>
  </si>
  <si>
    <t>Glenn Sparkman</t>
  </si>
  <si>
    <t>Wharton County</t>
  </si>
  <si>
    <t>Sergio Santos</t>
  </si>
  <si>
    <t>Jacob Taylor</t>
  </si>
  <si>
    <t>Pearl River</t>
  </si>
  <si>
    <t>sa874192</t>
  </si>
  <si>
    <t>Marcus Greene</t>
  </si>
  <si>
    <t>sa659282</t>
  </si>
  <si>
    <t>Nick Vander Tuig</t>
  </si>
  <si>
    <t>sa550096</t>
  </si>
  <si>
    <t>Keegan Thompson</t>
  </si>
  <si>
    <t>Jace Fry</t>
  </si>
  <si>
    <t>Jordan Dunatov</t>
  </si>
  <si>
    <t>Nevada-Reno</t>
  </si>
  <si>
    <t>sa599098</t>
  </si>
  <si>
    <t>Tyler Brown</t>
  </si>
  <si>
    <t>sa3014450</t>
  </si>
  <si>
    <t>Marc Magliaro</t>
  </si>
  <si>
    <t>Rowan</t>
  </si>
  <si>
    <t>sa739267</t>
  </si>
  <si>
    <t>Eduardo Vera</t>
  </si>
  <si>
    <t>sa388922</t>
  </si>
  <si>
    <t>Dr. Patrick DeMeo, Dr. Darren Frank</t>
  </si>
  <si>
    <t>Brandon Workman</t>
  </si>
  <si>
    <t>Joe Harvey</t>
  </si>
  <si>
    <t>Riley Thompson</t>
  </si>
  <si>
    <t>sa876287</t>
  </si>
  <si>
    <t>Zeke McGranahan</t>
  </si>
  <si>
    <t>Georgia Gwinnett, Tusculum</t>
  </si>
  <si>
    <t>sa829385</t>
  </si>
  <si>
    <t>Kent Emanuel</t>
  </si>
  <si>
    <t>Cody Morris</t>
  </si>
  <si>
    <t>Kevin Krause</t>
  </si>
  <si>
    <t>sa827200</t>
  </si>
  <si>
    <t>Yomar Morel</t>
  </si>
  <si>
    <t>sa597176</t>
  </si>
  <si>
    <t>Bryan Hoeing</t>
  </si>
  <si>
    <t>Delvin Hiciano</t>
  </si>
  <si>
    <t>sa740125</t>
  </si>
  <si>
    <t>Walker Weickel</t>
  </si>
  <si>
    <t>sa657871</t>
  </si>
  <si>
    <t>Justin Garza</t>
  </si>
  <si>
    <t>Nick Kingham</t>
  </si>
  <si>
    <t>James Bourque</t>
  </si>
  <si>
    <t>Dylan Baker</t>
  </si>
  <si>
    <t>Alaska</t>
  </si>
  <si>
    <t>Western Nevada</t>
  </si>
  <si>
    <t>sa658002</t>
  </si>
  <si>
    <t>Kenny Mathews</t>
  </si>
  <si>
    <t>Riverside, Cal State Fullerton</t>
  </si>
  <si>
    <t>sa601581</t>
  </si>
  <si>
    <t>Chase Whitley</t>
  </si>
  <si>
    <t>Victor Diaz</t>
  </si>
  <si>
    <t>sa659749</t>
  </si>
  <si>
    <t>Alex Cobb</t>
  </si>
  <si>
    <t>Arm fatigue, rehab reset</t>
  </si>
  <si>
    <t>Ramire Cleto</t>
  </si>
  <si>
    <t>sa597229</t>
  </si>
  <si>
    <t>Matt Magill</t>
  </si>
  <si>
    <t>Homer Bailey</t>
  </si>
  <si>
    <t>Adam Ottavino</t>
  </si>
  <si>
    <t>Davis Ward</t>
  </si>
  <si>
    <t>Ouachita Baptist</t>
  </si>
  <si>
    <t>sa829860</t>
  </si>
  <si>
    <t>Anthony Castro</t>
  </si>
  <si>
    <t>Domingo Tapia</t>
  </si>
  <si>
    <t>Derek Casey</t>
  </si>
  <si>
    <t>sa3008259</t>
  </si>
  <si>
    <t>Donald Lutz</t>
  </si>
  <si>
    <t>Reid Redman</t>
  </si>
  <si>
    <t>sa602392</t>
  </si>
  <si>
    <t>Austin DeCarr</t>
  </si>
  <si>
    <t>sa828795</t>
  </si>
  <si>
    <t>Brandon McCarthy</t>
  </si>
  <si>
    <t>Lamar</t>
  </si>
  <si>
    <t>Discomfort</t>
  </si>
  <si>
    <t>Joe Nathan</t>
  </si>
  <si>
    <t>Justin Topa</t>
  </si>
  <si>
    <t>Brady Feigl</t>
  </si>
  <si>
    <t>Jake Sweaney</t>
  </si>
  <si>
    <t>sa737784</t>
  </si>
  <si>
    <t>Lisalverto Bonilla</t>
  </si>
  <si>
    <t>Reilly Hovis</t>
  </si>
  <si>
    <t>sa857700</t>
  </si>
  <si>
    <t>Mike Matuella</t>
  </si>
  <si>
    <t>sa827490</t>
  </si>
  <si>
    <t>Sprained elbow ligament</t>
  </si>
  <si>
    <t>Lewis Thorpe</t>
  </si>
  <si>
    <t>Dr. John Steubs, Dr. Pearce McCarty</t>
  </si>
  <si>
    <t>Jose Pena</t>
  </si>
  <si>
    <t>sa510341</t>
  </si>
  <si>
    <t>Jesse Beal</t>
  </si>
  <si>
    <t>sa455269</t>
  </si>
  <si>
    <t>Dr. Derrick Papp</t>
  </si>
  <si>
    <t>Aaron Crow</t>
  </si>
  <si>
    <t>Missouri Columbia</t>
  </si>
  <si>
    <t>Shutdown, unknown</t>
  </si>
  <si>
    <t>B.J. Hermsen</t>
  </si>
  <si>
    <t>sa454729</t>
  </si>
  <si>
    <t>Mario Hollands</t>
  </si>
  <si>
    <t>Burch Smith</t>
  </si>
  <si>
    <t>Howard, Oklahoma</t>
  </si>
  <si>
    <t>Fractured bone tunnel</t>
  </si>
  <si>
    <t>James Carter</t>
  </si>
  <si>
    <t>Chabot, California Santa Barbara</t>
  </si>
  <si>
    <t>sa829574</t>
  </si>
  <si>
    <t>Jacob Webb</t>
  </si>
  <si>
    <t>Tabor</t>
  </si>
  <si>
    <t>Dr. Xavier Duralde</t>
  </si>
  <si>
    <t>Christian Vazquez</t>
  </si>
  <si>
    <t>Drew Anderson</t>
  </si>
  <si>
    <t>Matt Brill</t>
  </si>
  <si>
    <t>sa738328</t>
  </si>
  <si>
    <t>Jose Rosario</t>
  </si>
  <si>
    <t>sa506730</t>
  </si>
  <si>
    <t>Orlando Razo</t>
  </si>
  <si>
    <t>UC Davis</t>
  </si>
  <si>
    <t>sa3004217</t>
  </si>
  <si>
    <t>Wil Crowe</t>
  </si>
  <si>
    <t>Domingo German</t>
  </si>
  <si>
    <t>Jordan Romano</t>
  </si>
  <si>
    <t>Brady Aiken</t>
  </si>
  <si>
    <t>sa828659</t>
  </si>
  <si>
    <t>Zack Wheeler</t>
  </si>
  <si>
    <t>Minor forearm stitch surgery</t>
  </si>
  <si>
    <t>Bryce Beeler</t>
  </si>
  <si>
    <t>sa829307</t>
  </si>
  <si>
    <t>A.J. Minter</t>
  </si>
  <si>
    <t>Cal Quantrill</t>
  </si>
  <si>
    <t>Joel Hanrahan</t>
  </si>
  <si>
    <t>Josh Edgin</t>
  </si>
  <si>
    <t>Francis Marion, Ohio State</t>
  </si>
  <si>
    <t>Yu Darvish</t>
  </si>
  <si>
    <t>Shoulder discomfort</t>
  </si>
  <si>
    <t>Nick Sabo</t>
  </si>
  <si>
    <t>sa829568</t>
  </si>
  <si>
    <t xml:space="preserve">Brandon Cumpton </t>
  </si>
  <si>
    <t>Shoulder surgery</t>
  </si>
  <si>
    <t>Sean Johnson</t>
  </si>
  <si>
    <t>Iowa Western, Mississippi</t>
  </si>
  <si>
    <t>Robby Sexton</t>
  </si>
  <si>
    <t>sa918300</t>
  </si>
  <si>
    <t>Aaron Fossas</t>
  </si>
  <si>
    <t>sa919827</t>
  </si>
  <si>
    <t>Kyle Smith</t>
  </si>
  <si>
    <t>sa597834</t>
  </si>
  <si>
    <t>Bailey Ober</t>
  </si>
  <si>
    <t>Shae Simmons</t>
  </si>
  <si>
    <t>Tricep tightness</t>
  </si>
  <si>
    <t>Shoulder tendinitis</t>
  </si>
  <si>
    <t>Onas Farfan</t>
  </si>
  <si>
    <t>Ridgewater</t>
  </si>
  <si>
    <t>sa829262</t>
  </si>
  <si>
    <t>Andrew McDonald</t>
  </si>
  <si>
    <t>sa857612</t>
  </si>
  <si>
    <t>Carlos Aponte</t>
  </si>
  <si>
    <t>sa736895</t>
  </si>
  <si>
    <t>Derick Velazquez</t>
  </si>
  <si>
    <t>California State Fresno, Merced</t>
  </si>
  <si>
    <t>sa658254</t>
  </si>
  <si>
    <t>Christian Taugner</t>
  </si>
  <si>
    <t>Brown</t>
  </si>
  <si>
    <t>sa915601</t>
  </si>
  <si>
    <t>Dr. Gregory Nicholson</t>
  </si>
  <si>
    <t>Casey Kulina</t>
  </si>
  <si>
    <t>Penn State, Jacksonville, Polk State</t>
  </si>
  <si>
    <t>sa3004234</t>
  </si>
  <si>
    <t>Tyler Poulin</t>
  </si>
  <si>
    <t>Marist, Morris, Quinnipiac</t>
  </si>
  <si>
    <t>sa3010138</t>
  </si>
  <si>
    <t>Jacob Dahlstrand</t>
  </si>
  <si>
    <t>sa548492</t>
  </si>
  <si>
    <t>Brian Van Belle</t>
  </si>
  <si>
    <t>Miami, Broward</t>
  </si>
  <si>
    <t>Jacob Steffens</t>
  </si>
  <si>
    <t>sa3004924</t>
  </si>
  <si>
    <t>Cole Sulser</t>
  </si>
  <si>
    <t>Nick Bush</t>
  </si>
  <si>
    <t>sa3007838</t>
  </si>
  <si>
    <t>Eduardo Sanchez</t>
  </si>
  <si>
    <t>Zac Reininger</t>
  </si>
  <si>
    <t>Hill</t>
  </si>
  <si>
    <t>J.P. France</t>
  </si>
  <si>
    <t>Matt Wynne</t>
  </si>
  <si>
    <t>Flagler</t>
  </si>
  <si>
    <t>sa920101</t>
  </si>
  <si>
    <t>Andres Machado</t>
  </si>
  <si>
    <t>Sam Lewis</t>
  </si>
  <si>
    <t>Indiana Wesleyan</t>
  </si>
  <si>
    <t>sa701852</t>
  </si>
  <si>
    <t>Ryan Etsell</t>
  </si>
  <si>
    <t>sa739294</t>
  </si>
  <si>
    <t>Cesar Araujo</t>
  </si>
  <si>
    <t>sa828120</t>
  </si>
  <si>
    <t>Reza Aleaziz</t>
  </si>
  <si>
    <t>Yavapati, Oklahoma State</t>
  </si>
  <si>
    <t>sa3008019</t>
  </si>
  <si>
    <t>Beau Sulser</t>
  </si>
  <si>
    <t>Angel Vasquez</t>
  </si>
  <si>
    <t>sa828444</t>
  </si>
  <si>
    <t>Yerry De Los Santos</t>
  </si>
  <si>
    <t>Reid Morgan</t>
  </si>
  <si>
    <t>Oklahoma State, San Jacinto, South Carolina</t>
  </si>
  <si>
    <t>sa3009860</t>
  </si>
  <si>
    <t>Caleb Simpson</t>
  </si>
  <si>
    <t>Seminole State</t>
  </si>
  <si>
    <t>sa738717</t>
  </si>
  <si>
    <t>Eric Lex</t>
  </si>
  <si>
    <t>sa3011146</t>
  </si>
  <si>
    <t>Nicholas Sawyer</t>
  </si>
  <si>
    <t>sa550042</t>
  </si>
  <si>
    <t>Nicholas Padilla</t>
  </si>
  <si>
    <t>Greg Williams</t>
  </si>
  <si>
    <t>sa579266</t>
  </si>
  <si>
    <t>Lucas Knowles</t>
  </si>
  <si>
    <t>Washingon</t>
  </si>
  <si>
    <t>Washington, Central Arizona</t>
  </si>
  <si>
    <t>sa3011676</t>
  </si>
  <si>
    <t>Matt Lloyd</t>
  </si>
  <si>
    <t>sa1169978</t>
  </si>
  <si>
    <t>Jason Bilous</t>
  </si>
  <si>
    <t>sa875998</t>
  </si>
  <si>
    <t>Garrett Gould</t>
  </si>
  <si>
    <t>sa500824</t>
  </si>
  <si>
    <t>Morgan Cooper</t>
  </si>
  <si>
    <t>sa3014784</t>
  </si>
  <si>
    <t>Mason Melotakis</t>
  </si>
  <si>
    <t>Northwestern State Louisiana</t>
  </si>
  <si>
    <t>sa621016</t>
  </si>
  <si>
    <t>Jeremy Hefner</t>
  </si>
  <si>
    <t>Oral Roberts, Seminole State</t>
  </si>
  <si>
    <t>Joan De La Cruz</t>
  </si>
  <si>
    <t>sa679922</t>
  </si>
  <si>
    <t>Jeff Ibarra</t>
  </si>
  <si>
    <t>sa502106</t>
  </si>
  <si>
    <t>Dr. Jan Fronek, Dr. Heinz Hoenecke, Dr. Daniel Keefe</t>
  </si>
  <si>
    <t>Mark Clark</t>
  </si>
  <si>
    <t>sa840069</t>
  </si>
  <si>
    <t>Jonny Venters</t>
  </si>
  <si>
    <t>Indian River</t>
  </si>
  <si>
    <t>Unknown</t>
  </si>
  <si>
    <t>Matt Whitehouse</t>
  </si>
  <si>
    <t>California Irvine</t>
  </si>
  <si>
    <t>sa738202</t>
  </si>
  <si>
    <t>Matt DeRosier</t>
  </si>
  <si>
    <t>Southwestern</t>
  </si>
  <si>
    <t>sa738347</t>
  </si>
  <si>
    <t>Dr. Wiemi Douoguih</t>
  </si>
  <si>
    <t>Chris Clarke</t>
  </si>
  <si>
    <t>sa3011411</t>
  </si>
  <si>
    <t>Johnny Magliozzi</t>
  </si>
  <si>
    <t>sa599745</t>
  </si>
  <si>
    <t>Max Fried</t>
  </si>
  <si>
    <t>Neil Wagner</t>
  </si>
  <si>
    <t>Tyler Saladino</t>
  </si>
  <si>
    <t>Oral Roberts, Palomar</t>
  </si>
  <si>
    <t>Tyler Skaggs</t>
  </si>
  <si>
    <t>Biceps tendinitis</t>
  </si>
  <si>
    <t>Adrian Grullon</t>
  </si>
  <si>
    <t>sa608056</t>
  </si>
  <si>
    <t>Ramon Morla</t>
  </si>
  <si>
    <t>sa509509</t>
  </si>
  <si>
    <t>Mikey York</t>
  </si>
  <si>
    <t>sa918008</t>
  </si>
  <si>
    <t>Dillon Peters</t>
  </si>
  <si>
    <t>Stephen Fife</t>
  </si>
  <si>
    <t>Steven Inch</t>
  </si>
  <si>
    <t>sa501555</t>
  </si>
  <si>
    <t>Marvin Gorgas</t>
  </si>
  <si>
    <t>sa829061</t>
  </si>
  <si>
    <t>Nate Jones</t>
  </si>
  <si>
    <t>Northern Kentucky</t>
  </si>
  <si>
    <t>Hector Hernandez</t>
  </si>
  <si>
    <t>sa501640</t>
  </si>
  <si>
    <t>Tyler Chatwood</t>
  </si>
  <si>
    <t>Dylan Cease</t>
  </si>
  <si>
    <t>Dustin Houle</t>
  </si>
  <si>
    <t>sa598106</t>
  </si>
  <si>
    <t>Trevor Bell</t>
  </si>
  <si>
    <t>Bronson Arroyo</t>
  </si>
  <si>
    <t>Dr. Michael Lee, Dr. Don Sheridan</t>
  </si>
  <si>
    <t>Elbow, stem cell</t>
  </si>
  <si>
    <t>Tom Robson</t>
  </si>
  <si>
    <t>sa597959</t>
  </si>
  <si>
    <t>Kyle Keith</t>
  </si>
  <si>
    <t>Wyoming</t>
  </si>
  <si>
    <t>sa3004831</t>
  </si>
  <si>
    <t>Sam Demel</t>
  </si>
  <si>
    <t>Daniel Winkler</t>
  </si>
  <si>
    <t>Parkland, Central Florida</t>
  </si>
  <si>
    <t>Jacob Bosiokovic</t>
  </si>
  <si>
    <t>sa918394</t>
  </si>
  <si>
    <t>Endrys Briceno</t>
  </si>
  <si>
    <t>sa505062</t>
  </si>
  <si>
    <t>Fernando Romero</t>
  </si>
  <si>
    <t>Chris Flexen</t>
  </si>
  <si>
    <t>Derek Law</t>
  </si>
  <si>
    <t>Miami Dade</t>
  </si>
  <si>
    <t>Tyler Higgins</t>
  </si>
  <si>
    <t>Lansing</t>
  </si>
  <si>
    <t>sa503722</t>
  </si>
  <si>
    <t>Matt Wieters</t>
  </si>
  <si>
    <t>Daniel Moskos</t>
  </si>
  <si>
    <t>Jeff Walters</t>
  </si>
  <si>
    <t>St. Petersburg, Georgia</t>
  </si>
  <si>
    <t>sa328221</t>
  </si>
  <si>
    <t>Ryan Brasier</t>
  </si>
  <si>
    <t>Weatherford</t>
  </si>
  <si>
    <t>Eduardo Jimenez</t>
  </si>
  <si>
    <t>Jared Ruxer</t>
  </si>
  <si>
    <t>sa602422</t>
  </si>
  <si>
    <t>Sean Burnett</t>
  </si>
  <si>
    <t>Duke Welker</t>
  </si>
  <si>
    <t>Seminole State, Arkansas</t>
  </si>
  <si>
    <t>Chris Withrow</t>
  </si>
  <si>
    <t>Erick Fedde</t>
  </si>
  <si>
    <t>UNLV</t>
  </si>
  <si>
    <t>Heath Holder</t>
  </si>
  <si>
    <t>sa602623</t>
  </si>
  <si>
    <t>Dietrich Enns</t>
  </si>
  <si>
    <t>Matt Purke</t>
  </si>
  <si>
    <t>Brad Renner</t>
  </si>
  <si>
    <t>Florida College</t>
  </si>
  <si>
    <t>sa738395</t>
  </si>
  <si>
    <t>Jose Cisnero</t>
  </si>
  <si>
    <t>Randy Rosario</t>
  </si>
  <si>
    <t>Keith Butler</t>
  </si>
  <si>
    <t>Wabash Velley</t>
  </si>
  <si>
    <t>Scott McGough</t>
  </si>
  <si>
    <t>Clinton Hollon</t>
  </si>
  <si>
    <t>sa737544</t>
  </si>
  <si>
    <t>Anthony Fernandez</t>
  </si>
  <si>
    <t>sa503582</t>
  </si>
  <si>
    <t>Chad Jones</t>
  </si>
  <si>
    <t>sa381627</t>
  </si>
  <si>
    <t>Martin Perez</t>
  </si>
  <si>
    <t>Jose Fernandez</t>
  </si>
  <si>
    <t>Raul Alcantara</t>
  </si>
  <si>
    <t>Jeff Hoffman</t>
  </si>
  <si>
    <t>Tyler Bashlor</t>
  </si>
  <si>
    <t>South Georgia</t>
  </si>
  <si>
    <t>Danny Rosenbaum</t>
  </si>
  <si>
    <t>sa502078</t>
  </si>
  <si>
    <t>James Marvel</t>
  </si>
  <si>
    <t>Matt Reistetter</t>
  </si>
  <si>
    <t>Hofstra</t>
  </si>
  <si>
    <t>sa707779</t>
  </si>
  <si>
    <t>Brad Kuntz</t>
  </si>
  <si>
    <t>sa877529</t>
  </si>
  <si>
    <t>Pete Kelich</t>
  </si>
  <si>
    <t>sa738910</t>
  </si>
  <si>
    <t>A.J. Griffin</t>
  </si>
  <si>
    <t>Pedro Figueroa</t>
  </si>
  <si>
    <t>Johnny Hellweg</t>
  </si>
  <si>
    <t>Ivan Nova</t>
  </si>
  <si>
    <t>Mac Williamson</t>
  </si>
  <si>
    <t>Vicente Campos</t>
  </si>
  <si>
    <t>Ben Smith</t>
  </si>
  <si>
    <t>sa827421</t>
  </si>
  <si>
    <t>Josh Johnson</t>
  </si>
  <si>
    <t>Junior Morillo</t>
  </si>
  <si>
    <t>sa506282</t>
  </si>
  <si>
    <t>Matt Krook</t>
  </si>
  <si>
    <t>Matt Moore</t>
  </si>
  <si>
    <t>Cory Gearrin</t>
  </si>
  <si>
    <t>Brian Moran</t>
  </si>
  <si>
    <t>Braden Webb</t>
  </si>
  <si>
    <t>sa876362</t>
  </si>
  <si>
    <t>Wes Benjamin</t>
  </si>
  <si>
    <t>Bobby Parnell</t>
  </si>
  <si>
    <t>Ross Stripling</t>
  </si>
  <si>
    <t>Erik Davis</t>
  </si>
  <si>
    <t>Kyle Hart</t>
  </si>
  <si>
    <t>Peter Moylan</t>
  </si>
  <si>
    <t>Corey Williams</t>
  </si>
  <si>
    <t>sa597867</t>
  </si>
  <si>
    <t>Jeff Burke</t>
  </si>
  <si>
    <t>sa857543</t>
  </si>
  <si>
    <t>Nick McBride</t>
  </si>
  <si>
    <t>sa501460</t>
  </si>
  <si>
    <t>Robert Calvano</t>
  </si>
  <si>
    <t>Nebraska-Omaha, Johnson County</t>
  </si>
  <si>
    <t>sa919041</t>
  </si>
  <si>
    <t>Bruce Rondon</t>
  </si>
  <si>
    <t>Patrick Corbin</t>
  </si>
  <si>
    <t>Chipola, Mohawk Valley</t>
  </si>
  <si>
    <t>David Hernandez</t>
  </si>
  <si>
    <t>Cosumnes River</t>
  </si>
  <si>
    <t>Jarrod Parker</t>
  </si>
  <si>
    <t>Brandon Beachy</t>
  </si>
  <si>
    <t>Clay Holmes</t>
  </si>
  <si>
    <t>Jace Chancellor</t>
  </si>
  <si>
    <t>Lubbock Christian</t>
  </si>
  <si>
    <t>Kris Medlen</t>
  </si>
  <si>
    <t>Santa Ana</t>
  </si>
  <si>
    <t>Luke Hochevar</t>
  </si>
  <si>
    <t>Miguel Sano</t>
  </si>
  <si>
    <t>Jordan Stephens</t>
  </si>
  <si>
    <t>sa875031</t>
  </si>
  <si>
    <t>Jacob Bray</t>
  </si>
  <si>
    <t>sa738576</t>
  </si>
  <si>
    <t>Barret Loux</t>
  </si>
  <si>
    <t>sa392162</t>
  </si>
  <si>
    <t>Scott Moss</t>
  </si>
  <si>
    <t>sa738902</t>
  </si>
  <si>
    <t>Derek DeYoung</t>
  </si>
  <si>
    <t>Oakton</t>
  </si>
  <si>
    <t>sa658335</t>
  </si>
  <si>
    <t>Keaton Siomkin</t>
  </si>
  <si>
    <t>sa919221</t>
  </si>
  <si>
    <t>Cory Luebke</t>
  </si>
  <si>
    <t>Colton Turner</t>
  </si>
  <si>
    <t>sa658600</t>
  </si>
  <si>
    <t>Cole Irvin</t>
  </si>
  <si>
    <t>Joe Rogers</t>
  </si>
  <si>
    <t>sa621664</t>
  </si>
  <si>
    <t>Jose Martinez</t>
  </si>
  <si>
    <t>sa828472</t>
  </si>
  <si>
    <t>Matt Mercer</t>
  </si>
  <si>
    <t>sa3007837</t>
  </si>
  <si>
    <t>Austin Reed</t>
  </si>
  <si>
    <t>sa549098</t>
  </si>
  <si>
    <t>Erling Moreno</t>
  </si>
  <si>
    <t>sa827076</t>
  </si>
  <si>
    <t>Anthony Prieto</t>
  </si>
  <si>
    <t>sa657992</t>
  </si>
  <si>
    <t>Simon Castro</t>
  </si>
  <si>
    <t>Zach Remillard</t>
  </si>
  <si>
    <t>sa659077</t>
  </si>
  <si>
    <t>Jose Lopez</t>
  </si>
  <si>
    <t>sa741018</t>
  </si>
  <si>
    <t>Bren Spillane</t>
  </si>
  <si>
    <t>sa876159</t>
  </si>
  <si>
    <t>Matt Crouse</t>
  </si>
  <si>
    <t>sa577832</t>
  </si>
  <si>
    <t>Kyle Dowdy</t>
  </si>
  <si>
    <t>Hawaii, Houston</t>
  </si>
  <si>
    <t>Sebastian Kessay</t>
  </si>
  <si>
    <t>Scottsdale</t>
  </si>
  <si>
    <t>sa738247</t>
  </si>
  <si>
    <t>Jonas Dufek</t>
  </si>
  <si>
    <t>sa578908</t>
  </si>
  <si>
    <t>Cole McDonald</t>
  </si>
  <si>
    <t>sa3010652</t>
  </si>
  <si>
    <t>Jason Alexander</t>
  </si>
  <si>
    <t>Long Beach State, Menlo</t>
  </si>
  <si>
    <t>Delfo Terrero</t>
  </si>
  <si>
    <t>sa831800</t>
  </si>
  <si>
    <t>Ramon Rodriguez</t>
  </si>
  <si>
    <t>sa657131</t>
  </si>
  <si>
    <t>Eric Eadington</t>
  </si>
  <si>
    <t>sa578236</t>
  </si>
  <si>
    <t>Red Patterson</t>
  </si>
  <si>
    <t>Southwestern Oklahoma State</t>
  </si>
  <si>
    <t>Justin Bruihl</t>
  </si>
  <si>
    <t>Thomas Rowan</t>
  </si>
  <si>
    <t>sa3011253</t>
  </si>
  <si>
    <t>Tyler Stirewalt</t>
  </si>
  <si>
    <t>sa738215</t>
  </si>
  <si>
    <t>Mitch Ragan</t>
  </si>
  <si>
    <t>Creighton, Wayne State, Iowa Western</t>
  </si>
  <si>
    <t>sa3009944</t>
  </si>
  <si>
    <t>Sean Murphy</t>
  </si>
  <si>
    <t>Keystone</t>
  </si>
  <si>
    <t>sa549877</t>
  </si>
  <si>
    <t>Ivan Cespedes</t>
  </si>
  <si>
    <t>sa920172</t>
  </si>
  <si>
    <t>Art Warren</t>
  </si>
  <si>
    <t>Ashland</t>
  </si>
  <si>
    <t>Javier Herrera</t>
  </si>
  <si>
    <t>sa244221</t>
  </si>
  <si>
    <t>Tyler Melling</t>
  </si>
  <si>
    <t>Miami of Ohio</t>
  </si>
  <si>
    <t>sa599701</t>
  </si>
  <si>
    <t>Justin Watts</t>
  </si>
  <si>
    <t>sa3004365</t>
  </si>
  <si>
    <t>Pablo Lopez</t>
  </si>
  <si>
    <t>Jeff Johnson</t>
  </si>
  <si>
    <t>sa598064</t>
  </si>
  <si>
    <t>Mitch White</t>
  </si>
  <si>
    <t>Matt Harvey</t>
  </si>
  <si>
    <t>Tyler Nevin</t>
  </si>
  <si>
    <t>sa874752</t>
  </si>
  <si>
    <t>Dustin Hurlbutt</t>
  </si>
  <si>
    <t>sa875683</t>
  </si>
  <si>
    <t>Andrew Knapp</t>
  </si>
  <si>
    <t>Colin Rodgers</t>
  </si>
  <si>
    <t>sa657940</t>
  </si>
  <si>
    <t>Raudel Lazo</t>
  </si>
  <si>
    <t>Matt Reynolds</t>
  </si>
  <si>
    <t>Austin Peay State</t>
  </si>
  <si>
    <t>Rafael Betancourt</t>
  </si>
  <si>
    <t>J.T. Chargois</t>
  </si>
  <si>
    <t>Josh Mueller</t>
  </si>
  <si>
    <t>Eastern Illinois</t>
  </si>
  <si>
    <t>sa526401</t>
  </si>
  <si>
    <t>Brooks Pounders</t>
  </si>
  <si>
    <t>Gabe Speier</t>
  </si>
  <si>
    <t>Luis Merejo</t>
  </si>
  <si>
    <t>sa659186</t>
  </si>
  <si>
    <t>Andy Loomis</t>
  </si>
  <si>
    <t>sa455321</t>
  </si>
  <si>
    <t>Bobby Bundy</t>
  </si>
  <si>
    <t>sa454969</t>
  </si>
  <si>
    <t>Brandon Brennan</t>
  </si>
  <si>
    <t>Orange Coast</t>
  </si>
  <si>
    <t>Pat Misch</t>
  </si>
  <si>
    <t>Western Michigan</t>
  </si>
  <si>
    <t>Austin Wood</t>
  </si>
  <si>
    <t>St. Petersburg, USC</t>
  </si>
  <si>
    <t>sa548294</t>
  </si>
  <si>
    <t>Tom Stuifbergen</t>
  </si>
  <si>
    <t>sa397814</t>
  </si>
  <si>
    <t>Alec Mills</t>
  </si>
  <si>
    <t>Jason Marquis</t>
  </si>
  <si>
    <t>Roberto Osuna</t>
  </si>
  <si>
    <t>Taylor Guerrieri</t>
  </si>
  <si>
    <t>David Paulino</t>
  </si>
  <si>
    <t>Stephen Bruno</t>
  </si>
  <si>
    <t>sa502917</t>
  </si>
  <si>
    <t>Matt Strahm</t>
  </si>
  <si>
    <t>Neosho County</t>
  </si>
  <si>
    <t>Kyle McPherson</t>
  </si>
  <si>
    <t>Faulkner State, Jefferson Davis, Mobile</t>
  </si>
  <si>
    <t>Tim Saunders</t>
  </si>
  <si>
    <t>Marietta</t>
  </si>
  <si>
    <t>sa658896</t>
  </si>
  <si>
    <t>Andrew Simunic</t>
  </si>
  <si>
    <t>sa455409</t>
  </si>
  <si>
    <t>Dillon Overton</t>
  </si>
  <si>
    <t>Yoel Mecias</t>
  </si>
  <si>
    <t>sa659408</t>
  </si>
  <si>
    <t>Jason Garcia</t>
  </si>
  <si>
    <t>Dylan Bundy</t>
  </si>
  <si>
    <t>James Naile</t>
  </si>
  <si>
    <t>Alfredo Silverio</t>
  </si>
  <si>
    <t>sa392355</t>
  </si>
  <si>
    <t>Jordan Norberto</t>
  </si>
  <si>
    <t>Daniel Hudson</t>
  </si>
  <si>
    <t>Shane Loux</t>
  </si>
  <si>
    <t>Kyuji Fujikawa</t>
  </si>
  <si>
    <t>Luis Mateo</t>
  </si>
  <si>
    <t>sa597557</t>
  </si>
  <si>
    <t>Scott Elbert</t>
  </si>
  <si>
    <t>Collin Balester</t>
  </si>
  <si>
    <t>Bryan Brickhouse</t>
  </si>
  <si>
    <t>sa597825</t>
  </si>
  <si>
    <t>Trey Nielsen</t>
  </si>
  <si>
    <t>sa550155</t>
  </si>
  <si>
    <t>Hunter Strickland</t>
  </si>
  <si>
    <t>Jeff Degano</t>
  </si>
  <si>
    <t>sa874795</t>
  </si>
  <si>
    <t>Eric O'Flaherty</t>
  </si>
  <si>
    <t>Matt Lane</t>
  </si>
  <si>
    <t>sa598261</t>
  </si>
  <si>
    <t>Elbow discomfort, PRP</t>
  </si>
  <si>
    <t>Jose Barraza</t>
  </si>
  <si>
    <t>sa658096</t>
  </si>
  <si>
    <t>Gavin Floyd</t>
  </si>
  <si>
    <t>Stephen Tromblee</t>
  </si>
  <si>
    <t>sa599573</t>
  </si>
  <si>
    <t>Dr. Darryl Kan</t>
  </si>
  <si>
    <t>Jason Motte</t>
  </si>
  <si>
    <t>Iona</t>
  </si>
  <si>
    <t>Ty Morrison</t>
  </si>
  <si>
    <t>sa454513</t>
  </si>
  <si>
    <t>Ryan McNeil</t>
  </si>
  <si>
    <t>sa657941</t>
  </si>
  <si>
    <t>Garrett Bolt</t>
  </si>
  <si>
    <t>sa599251</t>
  </si>
  <si>
    <t>Drew Steckenrider</t>
  </si>
  <si>
    <t>Seth Harvey</t>
  </si>
  <si>
    <t>sa503537</t>
  </si>
  <si>
    <t xml:space="preserve">Gabe Encinas </t>
  </si>
  <si>
    <t>sa548350</t>
  </si>
  <si>
    <t>Kyle Higashioka</t>
  </si>
  <si>
    <t>David Whitehead</t>
  </si>
  <si>
    <t>sa549998</t>
  </si>
  <si>
    <t>Jeff Inman</t>
  </si>
  <si>
    <t>sa328057</t>
  </si>
  <si>
    <t>Trevor Megill</t>
  </si>
  <si>
    <t>Loyola Maramount</t>
  </si>
  <si>
    <t>John Ely</t>
  </si>
  <si>
    <t>Chad Billingsley</t>
  </si>
  <si>
    <t>Matt Skole</t>
  </si>
  <si>
    <t>sa526563</t>
  </si>
  <si>
    <t>Nick Goody</t>
  </si>
  <si>
    <t>LSU, State College, Florida College</t>
  </si>
  <si>
    <t>Alex White</t>
  </si>
  <si>
    <t>Jordan Sheffield</t>
  </si>
  <si>
    <t>Juniel Querecuto</t>
  </si>
  <si>
    <t>Chad Bell</t>
  </si>
  <si>
    <t>Casey Kelly</t>
  </si>
  <si>
    <t>Jesse Stallings</t>
  </si>
  <si>
    <t>sa915635</t>
  </si>
  <si>
    <t>Jake Kalish</t>
  </si>
  <si>
    <t>sa709032</t>
  </si>
  <si>
    <t>Ryan Borucki</t>
  </si>
  <si>
    <t>Fernando Rodriguez</t>
  </si>
  <si>
    <t>El Paso</t>
  </si>
  <si>
    <t>Brandon Sisk</t>
  </si>
  <si>
    <t>Azusa Pacific</t>
  </si>
  <si>
    <t>sa458869</t>
  </si>
  <si>
    <t>Aaron Kurcz</t>
  </si>
  <si>
    <t>sa549903</t>
  </si>
  <si>
    <t>Frank Herrmann</t>
  </si>
  <si>
    <t>Rafael Furcal</t>
  </si>
  <si>
    <t>Enrique Zamora</t>
  </si>
  <si>
    <t>Camulet</t>
  </si>
  <si>
    <t xml:space="preserve">Rymer Liriano </t>
  </si>
  <si>
    <t>Taylor Clarke</t>
  </si>
  <si>
    <t>Charleston, Towson</t>
  </si>
  <si>
    <t>Pierce Romero</t>
  </si>
  <si>
    <t>Santa Barbara City</t>
  </si>
  <si>
    <t>sa875216</t>
  </si>
  <si>
    <t>Chase Johnson-Mullins</t>
  </si>
  <si>
    <t>Shelton State</t>
  </si>
  <si>
    <t>sa877875</t>
  </si>
  <si>
    <t>Trey Keegan</t>
  </si>
  <si>
    <t>Bowling Green</t>
  </si>
  <si>
    <t>sa874009</t>
  </si>
  <si>
    <t>Ryan Conroy</t>
  </si>
  <si>
    <t>sa3007906</t>
  </si>
  <si>
    <t>Tommy Nance</t>
  </si>
  <si>
    <t>Lincoln Henzman</t>
  </si>
  <si>
    <t>sa3005187</t>
  </si>
  <si>
    <t>Sebastian Elizalde</t>
  </si>
  <si>
    <t>sa544568</t>
  </si>
  <si>
    <t>Packy Naughton</t>
  </si>
  <si>
    <t>Blaine Howell</t>
  </si>
  <si>
    <t>Pensacola Junior</t>
  </si>
  <si>
    <t>sa328243</t>
  </si>
  <si>
    <t>Dakota Mitchell</t>
  </si>
  <si>
    <t>Conor Costello</t>
  </si>
  <si>
    <t>Arkansas, Oklahoma State</t>
  </si>
  <si>
    <t>sa598296</t>
  </si>
  <si>
    <t>Alex Hermeling</t>
  </si>
  <si>
    <t>sa602673</t>
  </si>
  <si>
    <t>Clark Beeker</t>
  </si>
  <si>
    <t>sa918889</t>
  </si>
  <si>
    <t>Ron Marinaccio</t>
  </si>
  <si>
    <t>Kevin Johnson</t>
  </si>
  <si>
    <t>sa658842</t>
  </si>
  <si>
    <t>Rinku Singh</t>
  </si>
  <si>
    <t>India</t>
  </si>
  <si>
    <t>sa505589</t>
  </si>
  <si>
    <t>Reyes Moronta</t>
  </si>
  <si>
    <t>Edgar Arredondo</t>
  </si>
  <si>
    <t>sa732750</t>
  </si>
  <si>
    <t>Tommy Peterson</t>
  </si>
  <si>
    <t>sa875600</t>
  </si>
  <si>
    <t>Tim Cate</t>
  </si>
  <si>
    <t>sa3007926</t>
  </si>
  <si>
    <t>Spencer Kieboom</t>
  </si>
  <si>
    <t>Caleb Frare</t>
  </si>
  <si>
    <t>Shawn Haviland</t>
  </si>
  <si>
    <t>sa454866</t>
  </si>
  <si>
    <t>Scott Carroll</t>
  </si>
  <si>
    <t>Missouri State</t>
  </si>
  <si>
    <t>Randy Wolf</t>
  </si>
  <si>
    <t>Dr. Lewis Yocum</t>
  </si>
  <si>
    <t>Matthew Grimes</t>
  </si>
  <si>
    <t>sa548289</t>
  </si>
  <si>
    <t>Manny Banuelos</t>
  </si>
  <si>
    <t>Austin Schuetzle</t>
  </si>
  <si>
    <t>sa833080</t>
  </si>
  <si>
    <t>Tim Melville</t>
  </si>
  <si>
    <t>Joe Broussard</t>
  </si>
  <si>
    <t>sa708442</t>
  </si>
  <si>
    <t>Juan Oviedo</t>
  </si>
  <si>
    <t>Shao-Ching Chiang</t>
  </si>
  <si>
    <t>sa659598</t>
  </si>
  <si>
    <t>Mitchell Traver</t>
  </si>
  <si>
    <t>sa659272</t>
  </si>
  <si>
    <t>Lucas Giolito</t>
  </si>
  <si>
    <t>Lester Oliveros</t>
  </si>
  <si>
    <t>Carl Crawford</t>
  </si>
  <si>
    <t>Josh Tomlin</t>
  </si>
  <si>
    <t>Angelina, Texas Tech</t>
  </si>
  <si>
    <t>Matt West</t>
  </si>
  <si>
    <t>Drew Hutchison</t>
  </si>
  <si>
    <t>Alex Wimmers</t>
  </si>
  <si>
    <t>Michael Clevinger</t>
  </si>
  <si>
    <t>David Perez</t>
  </si>
  <si>
    <t>sa548117</t>
  </si>
  <si>
    <t>Neftali Feliz</t>
  </si>
  <si>
    <t>Joe Wieland</t>
  </si>
  <si>
    <t>Eric Surkamp</t>
  </si>
  <si>
    <t>Todd Coffey</t>
  </si>
  <si>
    <t>Matt Maloney</t>
  </si>
  <si>
    <t>Luis Perez</t>
  </si>
  <si>
    <t>Kevin Taylor</t>
  </si>
  <si>
    <t>sa599801</t>
  </si>
  <si>
    <t>Steven Moya</t>
  </si>
  <si>
    <t>Reid Humphreys</t>
  </si>
  <si>
    <t>sa738685</t>
  </si>
  <si>
    <t>Felipe Paulino</t>
  </si>
  <si>
    <t>Chang-Yong Lim</t>
  </si>
  <si>
    <t>Greg Billo</t>
  </si>
  <si>
    <t>sa455523</t>
  </si>
  <si>
    <t>Jeff Brigham</t>
  </si>
  <si>
    <t>Jarret Leverett</t>
  </si>
  <si>
    <t>Georgia Southern, Middle Georgia State</t>
  </si>
  <si>
    <t>sa658252</t>
  </si>
  <si>
    <t>Patrick Murphy</t>
  </si>
  <si>
    <t>Brigham Hill</t>
  </si>
  <si>
    <t>sa915793</t>
  </si>
  <si>
    <t>Robert Fish</t>
  </si>
  <si>
    <t>sa326802</t>
  </si>
  <si>
    <t>Jose Contreras</t>
  </si>
  <si>
    <t>Andrew Carignan</t>
  </si>
  <si>
    <t>David Herndon</t>
  </si>
  <si>
    <t>Kyle Drabek</t>
  </si>
  <si>
    <t>Charlie Morton</t>
  </si>
  <si>
    <t>Danny Duffy</t>
  </si>
  <si>
    <t>Ryan Beckman</t>
  </si>
  <si>
    <t>sa501977</t>
  </si>
  <si>
    <t>Nate Griep</t>
  </si>
  <si>
    <t>sa875199</t>
  </si>
  <si>
    <t>Juan Oramas</t>
  </si>
  <si>
    <t>sa508100</t>
  </si>
  <si>
    <t>Marcos Mateo</t>
  </si>
  <si>
    <t>Fu-Te Ni</t>
  </si>
  <si>
    <t>Scott Barlow</t>
  </si>
  <si>
    <t>Mitch Conner</t>
  </si>
  <si>
    <t>sa599800</t>
  </si>
  <si>
    <t>Xavier Macklin</t>
  </si>
  <si>
    <t>North Carolina A&amp;T State</t>
  </si>
  <si>
    <t>sa598320</t>
  </si>
  <si>
    <t>Grayson Garvin</t>
  </si>
  <si>
    <t>sa526542</t>
  </si>
  <si>
    <t>R.C. Orlan</t>
  </si>
  <si>
    <t>sa503562</t>
  </si>
  <si>
    <t>Josh Conway</t>
  </si>
  <si>
    <t>sa503412</t>
  </si>
  <si>
    <t>Tsuyoshi Wada</t>
  </si>
  <si>
    <t xml:space="preserve"> </t>
  </si>
  <si>
    <t>Austin Ross</t>
  </si>
  <si>
    <t>sa553380</t>
  </si>
  <si>
    <t>George Sherrill</t>
  </si>
  <si>
    <t>C.C. Lee</t>
  </si>
  <si>
    <t>Cody Scarpetta</t>
  </si>
  <si>
    <t>sa390646</t>
  </si>
  <si>
    <t>Mike Pelfrey</t>
  </si>
  <si>
    <t>Jordan Ellis</t>
  </si>
  <si>
    <t>sa455282</t>
  </si>
  <si>
    <t>Joe Beimel</t>
  </si>
  <si>
    <t>Allegany, Duquesne</t>
  </si>
  <si>
    <t>A.J. Jimenez</t>
  </si>
  <si>
    <t>Diego Moreno</t>
  </si>
  <si>
    <t>Jeremy Bonderman</t>
  </si>
  <si>
    <t>Brian Wilson</t>
  </si>
  <si>
    <t>Justin Miller</t>
  </si>
  <si>
    <t>Bakersfield, California State Fresno</t>
  </si>
  <si>
    <t>Scott Baker</t>
  </si>
  <si>
    <t>Michael Kohn</t>
  </si>
  <si>
    <t>Charleston, USC</t>
  </si>
  <si>
    <t>Ryan Madson</t>
  </si>
  <si>
    <t>Joey Devine</t>
  </si>
  <si>
    <t>Jose Ceda</t>
  </si>
  <si>
    <t>Joakim Soria</t>
  </si>
  <si>
    <t>Jordan Swagerty</t>
  </si>
  <si>
    <t>sa526415</t>
  </si>
  <si>
    <t>Benino Pruneda</t>
  </si>
  <si>
    <t>sa401631</t>
  </si>
  <si>
    <t>Mason Felt</t>
  </si>
  <si>
    <t>sa657999</t>
  </si>
  <si>
    <t>Jack Armstrong Jr.</t>
  </si>
  <si>
    <t>Daniel Herrera</t>
  </si>
  <si>
    <t>Will Kendall</t>
  </si>
  <si>
    <t>sa738441</t>
  </si>
  <si>
    <t>Ryan Butler</t>
  </si>
  <si>
    <t>Central Piedmont, North Carolina</t>
  </si>
  <si>
    <t>sa738201</t>
  </si>
  <si>
    <t>Cole Wiper</t>
  </si>
  <si>
    <t>sa599160</t>
  </si>
  <si>
    <t>Joel Zumaya</t>
  </si>
  <si>
    <t>Sergio Escalona</t>
  </si>
  <si>
    <t>Arodys Vizcaino</t>
  </si>
  <si>
    <t>Dean Deetz</t>
  </si>
  <si>
    <t>Northeast Oklahoma A&amp;M</t>
  </si>
  <si>
    <t>Sammy Solis</t>
  </si>
  <si>
    <t>Matt Crownover</t>
  </si>
  <si>
    <t>sa829277</t>
  </si>
  <si>
    <t>Yean Carlos Gil</t>
  </si>
  <si>
    <t>sa550678</t>
  </si>
  <si>
    <t>Charlie Haeger</t>
  </si>
  <si>
    <t>Seby Zavala</t>
  </si>
  <si>
    <t>San Diego State</t>
  </si>
  <si>
    <t>Jared Walsh</t>
  </si>
  <si>
    <t>Matt Jones</t>
  </si>
  <si>
    <t>Hutchinson, Nebraska</t>
  </si>
  <si>
    <t>sa829383</t>
  </si>
  <si>
    <t>Trevor Oaks</t>
  </si>
  <si>
    <t>California Baptist, Biola</t>
  </si>
  <si>
    <t>Nate Orf</t>
  </si>
  <si>
    <t>Illinois-Chicago, Baylor</t>
  </si>
  <si>
    <t>Cameron Roegner</t>
  </si>
  <si>
    <t>sa918493</t>
  </si>
  <si>
    <t>Sean Carley</t>
  </si>
  <si>
    <t>Air Force, West Virginia</t>
  </si>
  <si>
    <t>sa738932</t>
  </si>
  <si>
    <t>Kyle Friedrichs</t>
  </si>
  <si>
    <t>Long Beach State</t>
  </si>
  <si>
    <t>sa875229</t>
  </si>
  <si>
    <t>Bealyn Chourio</t>
  </si>
  <si>
    <t>sa596372</t>
  </si>
  <si>
    <t>Jordan Johnson</t>
  </si>
  <si>
    <t>California State Northridge</t>
  </si>
  <si>
    <t>sa602658</t>
  </si>
  <si>
    <t>Mike Franco</t>
  </si>
  <si>
    <t>sa829140</t>
  </si>
  <si>
    <t>Jaime Schultz</t>
  </si>
  <si>
    <t>High Point</t>
  </si>
  <si>
    <t>Ryan Perez</t>
  </si>
  <si>
    <t>L/R</t>
  </si>
  <si>
    <t>Judson</t>
  </si>
  <si>
    <t>sa857684</t>
  </si>
  <si>
    <t>Andrew Rohrbach</t>
  </si>
  <si>
    <t>sa829158</t>
  </si>
  <si>
    <t>John Lackey</t>
  </si>
  <si>
    <t>Grayson County, Texas</t>
  </si>
  <si>
    <t>Leonel Campos</t>
  </si>
  <si>
    <t>Carlos Carrasco</t>
  </si>
  <si>
    <t>Kyle Gibson</t>
  </si>
  <si>
    <t>Juan Gutierrez</t>
  </si>
  <si>
    <t>Tony Pena</t>
  </si>
  <si>
    <t>Zack Cozart</t>
  </si>
  <si>
    <t>Brad Hawpe</t>
  </si>
  <si>
    <t>LSU, Navarro</t>
  </si>
  <si>
    <t>Jason Hursh</t>
  </si>
  <si>
    <t>Aaron Wilkerson</t>
  </si>
  <si>
    <t>Cumberland</t>
  </si>
  <si>
    <t>Dr. Damon Petty</t>
  </si>
  <si>
    <t>Chia-Jen Lo</t>
  </si>
  <si>
    <t>Kevin Walter</t>
  </si>
  <si>
    <t>sa549483</t>
  </si>
  <si>
    <t>Nick Neumann</t>
  </si>
  <si>
    <t>Central Connecticut State</t>
  </si>
  <si>
    <t>sa829585</t>
  </si>
  <si>
    <t>David Aardsma</t>
  </si>
  <si>
    <t>Rice, Pennsylvania State</t>
  </si>
  <si>
    <t>Carlos Monasterios</t>
  </si>
  <si>
    <t>Alan Farina</t>
  </si>
  <si>
    <t>sa388377</t>
  </si>
  <si>
    <t>Brett Anderson</t>
  </si>
  <si>
    <t>Johnny Anderson</t>
  </si>
  <si>
    <t>Chabot</t>
  </si>
  <si>
    <t>sa454912</t>
  </si>
  <si>
    <t>Jose Casilla</t>
  </si>
  <si>
    <t>sa456056</t>
  </si>
  <si>
    <t>Conor Mullee</t>
  </si>
  <si>
    <t>St. Peter's</t>
  </si>
  <si>
    <t>Joba Chamberlain</t>
  </si>
  <si>
    <t>Daisuke Matsuzaka</t>
  </si>
  <si>
    <t>Rich Hill</t>
  </si>
  <si>
    <t>Jorge De La Rosa</t>
  </si>
  <si>
    <t>Robert Whitenack</t>
  </si>
  <si>
    <t>sa501603</t>
  </si>
  <si>
    <t>Mason Tobin</t>
  </si>
  <si>
    <t>Everett, Western Nevada</t>
  </si>
  <si>
    <t>Drew Naylor</t>
  </si>
  <si>
    <t>sa293986</t>
  </si>
  <si>
    <t>Chad Smith</t>
  </si>
  <si>
    <t>Jenrry Mejia</t>
  </si>
  <si>
    <t>Stephen Marek</t>
  </si>
  <si>
    <t>sa288780</t>
  </si>
  <si>
    <t>Cameron Bedrosian</t>
  </si>
  <si>
    <t>Andrew Chin</t>
  </si>
  <si>
    <t>sa597887</t>
  </si>
  <si>
    <t>Matt Lujan</t>
  </si>
  <si>
    <t>San Francisco</t>
  </si>
  <si>
    <t>sa526820</t>
  </si>
  <si>
    <t>Scott McGregor</t>
  </si>
  <si>
    <t>sa455250</t>
  </si>
  <si>
    <t>Josh Uhen</t>
  </si>
  <si>
    <t>Wisconsin-Milwaukee</t>
  </si>
  <si>
    <t>sa737825</t>
  </si>
  <si>
    <t>Nick Hill</t>
  </si>
  <si>
    <t>sa390200</t>
  </si>
  <si>
    <t>Kane Sweeney</t>
  </si>
  <si>
    <t>Morehead State</t>
  </si>
  <si>
    <t>sa875991</t>
  </si>
  <si>
    <t>Dallas Gallant</t>
  </si>
  <si>
    <t>sa549670</t>
  </si>
  <si>
    <t>Dr. Dan Buss, Dr. John Steubs</t>
  </si>
  <si>
    <t>Matt Gorgen</t>
  </si>
  <si>
    <t>sa454749</t>
  </si>
  <si>
    <t>Cla Meredith</t>
  </si>
  <si>
    <t>Daniel Coulombe</t>
  </si>
  <si>
    <t>Frank Phillips, Oklahoma City, Cisco</t>
  </si>
  <si>
    <t>Adam Wainwright</t>
  </si>
  <si>
    <t>Steve Hathaway</t>
  </si>
  <si>
    <t>Franklin Pierce</t>
  </si>
  <si>
    <t>Brian Schlitter</t>
  </si>
  <si>
    <t>Charleston, Florida Gateway</t>
  </si>
  <si>
    <t>Adam Lopez</t>
  </si>
  <si>
    <t>sa658598</t>
  </si>
  <si>
    <t>Thomas Royse</t>
  </si>
  <si>
    <t>sa548274</t>
  </si>
  <si>
    <t>Drew Cisco</t>
  </si>
  <si>
    <t>sa548333</t>
  </si>
  <si>
    <t>Scott Oberg</t>
  </si>
  <si>
    <t>Harrison Musgrave</t>
  </si>
  <si>
    <t>Jeff Ferrell</t>
  </si>
  <si>
    <t>Pitt</t>
  </si>
  <si>
    <t>Carmine Giardina</t>
  </si>
  <si>
    <t>Tampa</t>
  </si>
  <si>
    <t>sa328332</t>
  </si>
  <si>
    <t>Arquimedes Caminero</t>
  </si>
  <si>
    <t>Cameron Booser</t>
  </si>
  <si>
    <t>Adam O'Neill</t>
  </si>
  <si>
    <t>sa503967</t>
  </si>
  <si>
    <t>Giovanny Gallegos</t>
  </si>
  <si>
    <t>Faulkner, San Diego State</t>
  </si>
  <si>
    <t>Cody Carroll</t>
  </si>
  <si>
    <t>Christian Morris</t>
  </si>
  <si>
    <t>sa873958</t>
  </si>
  <si>
    <t>Boof Bonser</t>
  </si>
  <si>
    <t>Eddie Bonine</t>
  </si>
  <si>
    <t>Glendale, Nevada-Reno, Washington State</t>
  </si>
  <si>
    <t>Wei-Chung Wang</t>
  </si>
  <si>
    <t>Josh Lucas</t>
  </si>
  <si>
    <t>Matt Ramsey</t>
  </si>
  <si>
    <t>Adam Choplick</t>
  </si>
  <si>
    <t>sa598307</t>
  </si>
  <si>
    <t>Randy Boone</t>
  </si>
  <si>
    <t>sa389685</t>
  </si>
  <si>
    <t>Zak Wasilewski</t>
  </si>
  <si>
    <t>sa658341</t>
  </si>
  <si>
    <t>A.J. Morris</t>
  </si>
  <si>
    <t>Koda Glover</t>
  </si>
  <si>
    <t>Oklahoma State, Eastern Oklahoma State</t>
  </si>
  <si>
    <t>Jamie Moyer</t>
  </si>
  <si>
    <t>St. Joseph's</t>
  </si>
  <si>
    <t>Michael Nolan</t>
  </si>
  <si>
    <t>Oklahoma City</t>
  </si>
  <si>
    <t>Sam Dyson</t>
  </si>
  <si>
    <t>Scott Gorgen</t>
  </si>
  <si>
    <t>sa454525</t>
  </si>
  <si>
    <t>Justin Maxwell</t>
  </si>
  <si>
    <t>Hector Ambriz</t>
  </si>
  <si>
    <t>Wilmer Font</t>
  </si>
  <si>
    <t>Vincent Velasquez</t>
  </si>
  <si>
    <t>Evan Reed</t>
  </si>
  <si>
    <t>Manuel Corpas</t>
  </si>
  <si>
    <t>John Baker</t>
  </si>
  <si>
    <t>Stephen Strasburg</t>
  </si>
  <si>
    <t>Vaughn Covington</t>
  </si>
  <si>
    <t>sa598420</t>
  </si>
  <si>
    <t>Shawn Kelley</t>
  </si>
  <si>
    <t>Erick Threets</t>
  </si>
  <si>
    <t>Modesto Junior</t>
  </si>
  <si>
    <t>Hector Rondon</t>
  </si>
  <si>
    <t>Michael Ynoa</t>
  </si>
  <si>
    <t>Ben Sheets</t>
  </si>
  <si>
    <t>Louisiana Monroe</t>
  </si>
  <si>
    <t>Danny Salazar</t>
  </si>
  <si>
    <t>Kyle Blanks</t>
  </si>
  <si>
    <t>Robbie Aviles</t>
  </si>
  <si>
    <t>sa548357</t>
  </si>
  <si>
    <t>Brett Cammons</t>
  </si>
  <si>
    <t>Darton, Auburn</t>
  </si>
  <si>
    <t>sa389800</t>
  </si>
  <si>
    <t>Kaleb Fleck</t>
  </si>
  <si>
    <t>sa526875</t>
  </si>
  <si>
    <t>Brian Pearl</t>
  </si>
  <si>
    <t>sa501550</t>
  </si>
  <si>
    <t>Tyler Henley</t>
  </si>
  <si>
    <t>sa389904</t>
  </si>
  <si>
    <t>James Parr</t>
  </si>
  <si>
    <t>Donnie Veal</t>
  </si>
  <si>
    <t>Pima</t>
  </si>
  <si>
    <t>Dustin Antolin</t>
  </si>
  <si>
    <t>Zach Miner</t>
  </si>
  <si>
    <t>Arnold Leon</t>
  </si>
  <si>
    <t>Chris Coste</t>
  </si>
  <si>
    <t>North Dekota</t>
  </si>
  <si>
    <t>Justin Lehr</t>
  </si>
  <si>
    <t>USC, California Santa Barbara</t>
  </si>
  <si>
    <t>Steven Matz</t>
  </si>
  <si>
    <t>Luis Lebron</t>
  </si>
  <si>
    <t>sa294749</t>
  </si>
  <si>
    <t>Layne Somsen</t>
  </si>
  <si>
    <t>South Dakota</t>
  </si>
  <si>
    <t>South Dakota State</t>
  </si>
  <si>
    <t>Jack Egbert</t>
  </si>
  <si>
    <t>Christian Garcia</t>
  </si>
  <si>
    <t>Mike Nesseth</t>
  </si>
  <si>
    <t>sa501774</t>
  </si>
  <si>
    <t>Junichi Tazawa</t>
  </si>
  <si>
    <t>Brett Bochy</t>
  </si>
  <si>
    <t>Juan Jaime</t>
  </si>
  <si>
    <t>Trevor Foss</t>
  </si>
  <si>
    <t>sa738304</t>
  </si>
  <si>
    <t>Elliot Morris</t>
  </si>
  <si>
    <t>Pierce</t>
  </si>
  <si>
    <t>sa737798</t>
  </si>
  <si>
    <t>Jeff Bianchi</t>
  </si>
  <si>
    <t>Jon Meloan</t>
  </si>
  <si>
    <t>Omar Poveda</t>
  </si>
  <si>
    <t>sa294843</t>
  </si>
  <si>
    <t>Casey Mulholland</t>
  </si>
  <si>
    <t>Mississippi, State of Florida, South Florida</t>
  </si>
  <si>
    <t>sa857603</t>
  </si>
  <si>
    <t>Marcus Walden</t>
  </si>
  <si>
    <t>Jose Arredondo</t>
  </si>
  <si>
    <t>Clay Zavada</t>
  </si>
  <si>
    <t>SIU Edwardsville</t>
  </si>
  <si>
    <t>Auburn, East Carolina</t>
  </si>
  <si>
    <t>Leandro Marin</t>
  </si>
  <si>
    <t>sa456664</t>
  </si>
  <si>
    <t>Jennell Hudson</t>
  </si>
  <si>
    <t>sa455915</t>
  </si>
  <si>
    <t>Joseph Colon</t>
  </si>
  <si>
    <t>Michael Morrison</t>
  </si>
  <si>
    <t>sa502419</t>
  </si>
  <si>
    <t>Tommy Collier</t>
  </si>
  <si>
    <t>sa503829</t>
  </si>
  <si>
    <t>Alex Luna</t>
  </si>
  <si>
    <t>sa875276</t>
  </si>
  <si>
    <t>Hainley Statia</t>
  </si>
  <si>
    <t>sa254151</t>
  </si>
  <si>
    <t>Hunter Jones</t>
  </si>
  <si>
    <t>Matt Bashore</t>
  </si>
  <si>
    <t>sa501204</t>
  </si>
  <si>
    <t>Will Fulmer</t>
  </si>
  <si>
    <t>Montevallo</t>
  </si>
  <si>
    <t>sa827332</t>
  </si>
  <si>
    <t>Julio Ramos</t>
  </si>
  <si>
    <t>sa393047</t>
  </si>
  <si>
    <t>Ben Bracewell</t>
  </si>
  <si>
    <t>sa837103</t>
  </si>
  <si>
    <t>Ricky Orta</t>
  </si>
  <si>
    <t>sa326700</t>
  </si>
  <si>
    <t>Jose Valdivia</t>
  </si>
  <si>
    <t>sa503649</t>
  </si>
  <si>
    <t>Joe Biagini</t>
  </si>
  <si>
    <t>Josh Osich</t>
  </si>
  <si>
    <t>Gus Benusa</t>
  </si>
  <si>
    <t>sa501559</t>
  </si>
  <si>
    <t>Jesse Hahn</t>
  </si>
  <si>
    <t>Andrew Laughter</t>
  </si>
  <si>
    <t>Lousiana</t>
  </si>
  <si>
    <t>sa389307</t>
  </si>
  <si>
    <t>Tomas Telis</t>
  </si>
  <si>
    <t>Jack McGeary</t>
  </si>
  <si>
    <t>sa390448</t>
  </si>
  <si>
    <t>Casey Lambert</t>
  </si>
  <si>
    <t>sa389916</t>
  </si>
  <si>
    <t>Parker Frazier</t>
  </si>
  <si>
    <t>sa390238</t>
  </si>
  <si>
    <t>Marcus Hatley</t>
  </si>
  <si>
    <t>Palomar</t>
  </si>
  <si>
    <t>Jason Isringhausen</t>
  </si>
  <si>
    <t>Lewis &amp; Clark</t>
  </si>
  <si>
    <t>Mark Lamm</t>
  </si>
  <si>
    <t>sa545076</t>
  </si>
  <si>
    <t>Jordan Zimmermann</t>
  </si>
  <si>
    <t>Tim Berry</t>
  </si>
  <si>
    <t>sa503777</t>
  </si>
  <si>
    <t>Beau Wright</t>
  </si>
  <si>
    <t>sa502430</t>
  </si>
  <si>
    <t>Brett Marshall</t>
  </si>
  <si>
    <t>Adrian Sampson</t>
  </si>
  <si>
    <t>Ryan Mattheus</t>
  </si>
  <si>
    <t>Sacramento City</t>
  </si>
  <si>
    <t>Tyler Yates</t>
  </si>
  <si>
    <t>Will Harris</t>
  </si>
  <si>
    <t>Mike Aviles</t>
  </si>
  <si>
    <t>George Kontos</t>
  </si>
  <si>
    <t>Neal Cotts</t>
  </si>
  <si>
    <t>Chandler Shepherd</t>
  </si>
  <si>
    <t>Billy Petrick</t>
  </si>
  <si>
    <t>Xavier Nady</t>
  </si>
  <si>
    <t>Henry Barrera</t>
  </si>
  <si>
    <t>sa272552</t>
  </si>
  <si>
    <t>Josh Outman</t>
  </si>
  <si>
    <t>St. Louis, Central Missouri</t>
  </si>
  <si>
    <t>Shawn Hill</t>
  </si>
  <si>
    <t>Nolan Gallagher</t>
  </si>
  <si>
    <t>sa389237</t>
  </si>
  <si>
    <t>Taylor Buchholz</t>
  </si>
  <si>
    <t>Anthony Reyes</t>
  </si>
  <si>
    <t>Jesse Litsch</t>
  </si>
  <si>
    <t>Andrew Chafin</t>
  </si>
  <si>
    <t>Dan Giese</t>
  </si>
  <si>
    <t>Duane Below</t>
  </si>
  <si>
    <t>Lake Michigan</t>
  </si>
  <si>
    <t>David Riske</t>
  </si>
  <si>
    <t>Green River</t>
  </si>
  <si>
    <t>Dallas Beeler</t>
  </si>
  <si>
    <t>Seminole State, Oral Roberts</t>
  </si>
  <si>
    <t>Steve Matre</t>
  </si>
  <si>
    <t>Mount St. Joseph</t>
  </si>
  <si>
    <t>sa550128</t>
  </si>
  <si>
    <t>Kyle Mura</t>
  </si>
  <si>
    <t>Loyola Marymount</t>
  </si>
  <si>
    <t>sa327081</t>
  </si>
  <si>
    <t>Bill Bray</t>
  </si>
  <si>
    <t>Scott Proctor</t>
  </si>
  <si>
    <t>Jimmy Barthmaier</t>
  </si>
  <si>
    <t>Alfredo Simon</t>
  </si>
  <si>
    <t>John Ennis</t>
  </si>
  <si>
    <t>Oscar Villarreal</t>
  </si>
  <si>
    <t>Nick McCurdy</t>
  </si>
  <si>
    <t>Jefferson Davis, Oklahoma State</t>
  </si>
  <si>
    <t>sa201724</t>
  </si>
  <si>
    <t>Cameron Coffey</t>
  </si>
  <si>
    <t>sa502083</t>
  </si>
  <si>
    <t>Mark Worrell</t>
  </si>
  <si>
    <t>Florida International, Indian River, Arizona</t>
  </si>
  <si>
    <t>Brae Wright</t>
  </si>
  <si>
    <t>sa326786</t>
  </si>
  <si>
    <t>Miguel Gonzalez</t>
  </si>
  <si>
    <t>Ryan Feierabend</t>
  </si>
  <si>
    <t>Todd Jennings</t>
  </si>
  <si>
    <t>Cal State</t>
  </si>
  <si>
    <t>sa226247</t>
  </si>
  <si>
    <t>Clayton Shunick</t>
  </si>
  <si>
    <t>sa454560</t>
  </si>
  <si>
    <t>Josh Ford</t>
  </si>
  <si>
    <t>sa294416</t>
  </si>
  <si>
    <t>Alex Wood</t>
  </si>
  <si>
    <t>Matt Marksberry</t>
  </si>
  <si>
    <t>Kyle Lotzkar</t>
  </si>
  <si>
    <t>sa389930</t>
  </si>
  <si>
    <t>James Avery</t>
  </si>
  <si>
    <t>sa294384</t>
  </si>
  <si>
    <t>Curt Casali</t>
  </si>
  <si>
    <t>Montreal Robertson</t>
  </si>
  <si>
    <t>Coahoma</t>
  </si>
  <si>
    <t>sa598657</t>
  </si>
  <si>
    <t>Dayan Diaz</t>
  </si>
  <si>
    <t>Christian Binford</t>
  </si>
  <si>
    <t>sa599309</t>
  </si>
  <si>
    <t>Daniel Mahoney</t>
  </si>
  <si>
    <t>sa392079</t>
  </si>
  <si>
    <t>Dallas Trahern</t>
  </si>
  <si>
    <t>sa262435</t>
  </si>
  <si>
    <t>Josh Romanski</t>
  </si>
  <si>
    <t>sa454528</t>
  </si>
  <si>
    <t>John Holdzkom</t>
  </si>
  <si>
    <t>Salt Lake</t>
  </si>
  <si>
    <t>Mitch LeVier</t>
  </si>
  <si>
    <t>Fullerton</t>
  </si>
  <si>
    <t>sa454850</t>
  </si>
  <si>
    <t>Zack Sterner</t>
  </si>
  <si>
    <t>Tennessee Wesleyan</t>
  </si>
  <si>
    <t>sa389265</t>
  </si>
  <si>
    <t>Elvis Araujo</t>
  </si>
  <si>
    <t>Chris Wilkes</t>
  </si>
  <si>
    <t>sa455456</t>
  </si>
  <si>
    <t>Will Startup</t>
  </si>
  <si>
    <t>sa290704</t>
  </si>
  <si>
    <t>Andrew Albers</t>
  </si>
  <si>
    <t>Dan Otero</t>
  </si>
  <si>
    <t>Duke, South Florida</t>
  </si>
  <si>
    <t>Nick Petree</t>
  </si>
  <si>
    <t>sa737915</t>
  </si>
  <si>
    <t>Albert Suarez</t>
  </si>
  <si>
    <t>Adam Liberatore</t>
  </si>
  <si>
    <t>Pat Neshek</t>
  </si>
  <si>
    <t>Butler</t>
  </si>
  <si>
    <t>Casey Weathers</t>
  </si>
  <si>
    <t>sa327842</t>
  </si>
  <si>
    <t>Shaun Marcum</t>
  </si>
  <si>
    <t>Missouri State, Missouri Columbia</t>
  </si>
  <si>
    <t>Drake Britton</t>
  </si>
  <si>
    <t>Billy Wagner</t>
  </si>
  <si>
    <t>Ferrum</t>
  </si>
  <si>
    <t>Jaime Garcia</t>
  </si>
  <si>
    <t>Michael Olmsted</t>
  </si>
  <si>
    <t>sa390636</t>
  </si>
  <si>
    <t>Mike Parisi</t>
  </si>
  <si>
    <t>Salvador Aguilar</t>
  </si>
  <si>
    <t>Lewis-Clark</t>
  </si>
  <si>
    <t>sa293988</t>
  </si>
  <si>
    <t>Tim Hudson</t>
  </si>
  <si>
    <t>Auburn, Chattahoochee Valley</t>
  </si>
  <si>
    <t>Dae-Eun Rhee</t>
  </si>
  <si>
    <t>sa447648</t>
  </si>
  <si>
    <t>Sergio Mitre</t>
  </si>
  <si>
    <t>San Diego City</t>
  </si>
  <si>
    <t>Jake McGee</t>
  </si>
  <si>
    <t>Norris Hopper</t>
  </si>
  <si>
    <t>Matt Chico</t>
  </si>
  <si>
    <t>Palomar, USC</t>
  </si>
  <si>
    <t>Vance Wilson</t>
  </si>
  <si>
    <t>Mesa</t>
  </si>
  <si>
    <t>Gregorio Rosario</t>
  </si>
  <si>
    <t>sa385517</t>
  </si>
  <si>
    <t>Jake Westbrook</t>
  </si>
  <si>
    <t>Hector Gomez</t>
  </si>
  <si>
    <t>Charlie Furbush</t>
  </si>
  <si>
    <t>LSU, St. Joseph's</t>
  </si>
  <si>
    <t>Drew VerHagen</t>
  </si>
  <si>
    <t>Navarro, Vanderbilt</t>
  </si>
  <si>
    <t>Harold Mozingo</t>
  </si>
  <si>
    <t>sa326758</t>
  </si>
  <si>
    <t>Fautino De Los Santos</t>
  </si>
  <si>
    <t>Chris Capuano</t>
  </si>
  <si>
    <t>Shane Greene</t>
  </si>
  <si>
    <t>Daytona Beach, West Florida</t>
  </si>
  <si>
    <t>Scott Mathieson</t>
  </si>
  <si>
    <t>A.J. Ramos</t>
  </si>
  <si>
    <t>Nick Hagadone</t>
  </si>
  <si>
    <t>Macay McBride</t>
  </si>
  <si>
    <t>Dr. Stephen Lemos</t>
  </si>
  <si>
    <t>Andy Sisco</t>
  </si>
  <si>
    <t>Mike Zagurski</t>
  </si>
  <si>
    <t>Hutchinson, Kansas</t>
  </si>
  <si>
    <t>Kyle Waldrop</t>
  </si>
  <si>
    <t>Ray Black</t>
  </si>
  <si>
    <t>Yonata Ortega</t>
  </si>
  <si>
    <t>sa393194</t>
  </si>
  <si>
    <t>Randy Henry</t>
  </si>
  <si>
    <t>South Mountain</t>
  </si>
  <si>
    <t>sa501222</t>
  </si>
  <si>
    <t>Tommy Hottovy</t>
  </si>
  <si>
    <t>Lee Gronkiewicz</t>
  </si>
  <si>
    <t>Spartanburg Methodist, USC</t>
  </si>
  <si>
    <t>Travis Webb</t>
  </si>
  <si>
    <t>sa326879</t>
  </si>
  <si>
    <t>Cody Allen</t>
  </si>
  <si>
    <t>High Point, St. Petersburg</t>
  </si>
  <si>
    <t>Mark McLemore</t>
  </si>
  <si>
    <t>Kevin Chapman</t>
  </si>
  <si>
    <t>Tyler Webb</t>
  </si>
  <si>
    <t>Manny Barreda</t>
  </si>
  <si>
    <t>Colby Shreve</t>
  </si>
  <si>
    <t>sa390625</t>
  </si>
  <si>
    <t>John Hussey</t>
  </si>
  <si>
    <t>sa281349</t>
  </si>
  <si>
    <t>Dustin Ackley</t>
  </si>
  <si>
    <t>Mark Minicozzi</t>
  </si>
  <si>
    <t>sa293084</t>
  </si>
  <si>
    <t>Hak-Ju Lee</t>
  </si>
  <si>
    <t>sa502536</t>
  </si>
  <si>
    <t>Greg Wilborn</t>
  </si>
  <si>
    <t>sa502032</t>
  </si>
  <si>
    <t>Casey Crosby</t>
  </si>
  <si>
    <t>Samuel Deduno</t>
  </si>
  <si>
    <t>Jake Brigham</t>
  </si>
  <si>
    <t>Danys Baez</t>
  </si>
  <si>
    <t>Nick Schmidt</t>
  </si>
  <si>
    <t>sa388834</t>
  </si>
  <si>
    <t>Shin-Soo Choo</t>
  </si>
  <si>
    <t>Tim Gustafson</t>
  </si>
  <si>
    <t>sa327085</t>
  </si>
  <si>
    <t>Angel Guzman</t>
  </si>
  <si>
    <t>Brian Ellington</t>
  </si>
  <si>
    <t>West Florida</t>
  </si>
  <si>
    <t>Russ Ortiz</t>
  </si>
  <si>
    <t>Ambiorix Burgos</t>
  </si>
  <si>
    <t>Willie Eyre</t>
  </si>
  <si>
    <t>Eastern Utah, Snow</t>
  </si>
  <si>
    <t>Andrew Brackman</t>
  </si>
  <si>
    <t>Rodrigo Lopez</t>
  </si>
  <si>
    <t>Chris Ray</t>
  </si>
  <si>
    <t>Brendan Donnelly</t>
  </si>
  <si>
    <t>Mesa, New Mexico Junior</t>
  </si>
  <si>
    <t>Daniel Stange</t>
  </si>
  <si>
    <t>California Riverside</t>
  </si>
  <si>
    <t>Chris Carpenter</t>
  </si>
  <si>
    <t>Tony Sipp</t>
  </si>
  <si>
    <t>Clemson, Mississippi Gulf Coast</t>
  </si>
  <si>
    <t>Alex Wilson</t>
  </si>
  <si>
    <t>Saudi Arabia</t>
  </si>
  <si>
    <t>Rafael Dolis</t>
  </si>
  <si>
    <t>sa454715</t>
  </si>
  <si>
    <t>Anthony Lerew</t>
  </si>
  <si>
    <t>Eric Milton</t>
  </si>
  <si>
    <t>Carl Pavano</t>
  </si>
  <si>
    <t>Keith Hessler</t>
  </si>
  <si>
    <t>Dallas Buck</t>
  </si>
  <si>
    <t>sa326675</t>
  </si>
  <si>
    <t>Mike Jones</t>
  </si>
  <si>
    <t>sa201265</t>
  </si>
  <si>
    <t>Michael Gonzalez</t>
  </si>
  <si>
    <t>Dr. David Lintner</t>
  </si>
  <si>
    <t>Cesar Carrillo</t>
  </si>
  <si>
    <t>sa879450</t>
  </si>
  <si>
    <t>Tip Fairchild</t>
  </si>
  <si>
    <t>Southern Maine</t>
  </si>
  <si>
    <t>sa290230</t>
  </si>
  <si>
    <t>Matt Hensley</t>
  </si>
  <si>
    <t>Grossmont</t>
  </si>
  <si>
    <t>B.J. Ryan</t>
  </si>
  <si>
    <t>Centenary, Louisiana</t>
  </si>
  <si>
    <t>Fernando Nieve</t>
  </si>
  <si>
    <t>Humberto Sanchez</t>
  </si>
  <si>
    <t>Chris Denorfia</t>
  </si>
  <si>
    <t>Brad Lincoln</t>
  </si>
  <si>
    <t>Navery Moore</t>
  </si>
  <si>
    <t>sa455506</t>
  </si>
  <si>
    <t>Arthur Rhodes</t>
  </si>
  <si>
    <t>Edward Campusano</t>
  </si>
  <si>
    <t>sa244384</t>
  </si>
  <si>
    <t>Thomas Diamond</t>
  </si>
  <si>
    <t>New Orleans</t>
  </si>
  <si>
    <t>Josh Kinney</t>
  </si>
  <si>
    <t>Quincy</t>
  </si>
  <si>
    <t>Adam Bernero</t>
  </si>
  <si>
    <t>Culver-Stockton, Sacramento City</t>
  </si>
  <si>
    <t>Carlos Gutierrez</t>
  </si>
  <si>
    <t>sa454388</t>
  </si>
  <si>
    <t>Lee Hyde</t>
  </si>
  <si>
    <t>sa326720</t>
  </si>
  <si>
    <t>Paul Bush</t>
  </si>
  <si>
    <t>Georgia Southwestern State</t>
  </si>
  <si>
    <t>sa202067</t>
  </si>
  <si>
    <t>Caleb Clay</t>
  </si>
  <si>
    <t>sa326518</t>
  </si>
  <si>
    <t>Josh Smith</t>
  </si>
  <si>
    <t>Tyler Sturdevant</t>
  </si>
  <si>
    <t>Ethan Katz</t>
  </si>
  <si>
    <t>California State</t>
  </si>
  <si>
    <t>sa293706</t>
  </si>
  <si>
    <t>Denny Stark</t>
  </si>
  <si>
    <t>Toledo</t>
  </si>
  <si>
    <t>P.J. Finigan</t>
  </si>
  <si>
    <t>sa291520</t>
  </si>
  <si>
    <t>Eli Iorg</t>
  </si>
  <si>
    <t>sa291170</t>
  </si>
  <si>
    <t>Andrew Triggs</t>
  </si>
  <si>
    <t>Jumbo Diaz</t>
  </si>
  <si>
    <t>Brian Akin</t>
  </si>
  <si>
    <t>sa253862</t>
  </si>
  <si>
    <t>Wily Peralta</t>
  </si>
  <si>
    <t>Ryota Igarashi</t>
  </si>
  <si>
    <t>Erik Goeddel</t>
  </si>
  <si>
    <t>Hector Noesi</t>
  </si>
  <si>
    <t>Hayden Hurst</t>
  </si>
  <si>
    <t>sa658315</t>
  </si>
  <si>
    <t>Kenn Kasparek</t>
  </si>
  <si>
    <t>sa454774</t>
  </si>
  <si>
    <t>Matt Carpenter</t>
  </si>
  <si>
    <t>John Bannister</t>
  </si>
  <si>
    <t>sa202864</t>
  </si>
  <si>
    <t>Bruce Chen</t>
  </si>
  <si>
    <t>Erik Cordier</t>
  </si>
  <si>
    <t>Francisco Liriano</t>
  </si>
  <si>
    <t>Mark Melancon</t>
  </si>
  <si>
    <t>Bryan Morris</t>
  </si>
  <si>
    <t>Motlow State</t>
  </si>
  <si>
    <t>Merkin Valdez</t>
  </si>
  <si>
    <t>Mike Lincoln</t>
  </si>
  <si>
    <t>American River, Tennessee</t>
  </si>
  <si>
    <t>Dr. Bernard Morrey</t>
  </si>
  <si>
    <t>Eddie Guardado</t>
  </si>
  <si>
    <t>Brandon Backe</t>
  </si>
  <si>
    <t>Galveston</t>
  </si>
  <si>
    <t>Paul Raglione</t>
  </si>
  <si>
    <t>sa293088</t>
  </si>
  <si>
    <t>Logan Kensing</t>
  </si>
  <si>
    <t>Luis Atilano</t>
  </si>
  <si>
    <t>Jose Guillen</t>
  </si>
  <si>
    <t>Vinnie Pestano</t>
  </si>
  <si>
    <t>Brian Anderson</t>
  </si>
  <si>
    <t>Carlos Martinez</t>
  </si>
  <si>
    <t>Tyler Walker</t>
  </si>
  <si>
    <t>Carlos Almanzar</t>
  </si>
  <si>
    <t>Brian Ward</t>
  </si>
  <si>
    <t>sa502524</t>
  </si>
  <si>
    <t>Eric Berger</t>
  </si>
  <si>
    <t>sa389697</t>
  </si>
  <si>
    <t>Julio Santana</t>
  </si>
  <si>
    <t>sa294082</t>
  </si>
  <si>
    <t>Shawn Estes</t>
  </si>
  <si>
    <t>John Foster</t>
  </si>
  <si>
    <t>Lewis-Clark State, San Joaquin Delta</t>
  </si>
  <si>
    <t>Kelly Johnson</t>
  </si>
  <si>
    <t>Victor Zambrano</t>
  </si>
  <si>
    <t>Ricardo Rincon</t>
  </si>
  <si>
    <t>Steve Stemle</t>
  </si>
  <si>
    <t>Eddie Gamboa</t>
  </si>
  <si>
    <t>Yhency Brazoban</t>
  </si>
  <si>
    <t>Luis Ayala</t>
  </si>
  <si>
    <t>Juan Padilla</t>
  </si>
  <si>
    <t>Trey Lunsford</t>
  </si>
  <si>
    <t>Grayson County, Texas Tech</t>
  </si>
  <si>
    <t>Daniel Schlereth</t>
  </si>
  <si>
    <t>Arizona, UNLV</t>
  </si>
  <si>
    <t>Wei-Yin Chen</t>
  </si>
  <si>
    <t>Jin-ho Cho</t>
  </si>
  <si>
    <t>Kris Honel</t>
  </si>
  <si>
    <t>sa200176</t>
  </si>
  <si>
    <t>Frank Viola III</t>
  </si>
  <si>
    <t>sa294919</t>
  </si>
  <si>
    <t>Tyler Sample</t>
  </si>
  <si>
    <t>sa454449</t>
  </si>
  <si>
    <t>Adalberto Flores</t>
  </si>
  <si>
    <t>sa294108</t>
  </si>
  <si>
    <t>Jeff Bennett</t>
  </si>
  <si>
    <t>John Gast</t>
  </si>
  <si>
    <t>Florida Satte</t>
  </si>
  <si>
    <t>Drew Bigda</t>
  </si>
  <si>
    <t>sa253293</t>
  </si>
  <si>
    <t>Lance Pendleton</t>
  </si>
  <si>
    <t>Alec Asher</t>
  </si>
  <si>
    <t>Polk, Santa Fe</t>
  </si>
  <si>
    <t>Cristian Santana</t>
  </si>
  <si>
    <t>sa392969</t>
  </si>
  <si>
    <t>Matt Nevarez</t>
  </si>
  <si>
    <t>sa291749</t>
  </si>
  <si>
    <t>Vince Perkins</t>
  </si>
  <si>
    <t>sa200999</t>
  </si>
  <si>
    <t>Dusty Hughes</t>
  </si>
  <si>
    <t>Taylor Teagarden</t>
  </si>
  <si>
    <t>Al Reyes</t>
  </si>
  <si>
    <t>Mike Hampton</t>
  </si>
  <si>
    <t>Cesar Izturis</t>
  </si>
  <si>
    <t>Dr. Frank Jobe</t>
  </si>
  <si>
    <t>Jorge Campillo</t>
  </si>
  <si>
    <t>Tim Spooneybarger</t>
  </si>
  <si>
    <t>Erubiel Durazo</t>
  </si>
  <si>
    <t>Kyle McClellan</t>
  </si>
  <si>
    <t>Philip Humber</t>
  </si>
  <si>
    <t>J.D. Martin</t>
  </si>
  <si>
    <t>John Parrish</t>
  </si>
  <si>
    <t>Derek Thompson</t>
  </si>
  <si>
    <t>Matt Riley</t>
  </si>
  <si>
    <t>Ben Davis</t>
  </si>
  <si>
    <t>T.J. Tucker</t>
  </si>
  <si>
    <t>Anthony Varvaro</t>
  </si>
  <si>
    <t>Kyle Sleeth</t>
  </si>
  <si>
    <t>sa227567</t>
  </si>
  <si>
    <t>Octavio Dotel</t>
  </si>
  <si>
    <t>Bobby Korecky</t>
  </si>
  <si>
    <t>Texas, Michigan</t>
  </si>
  <si>
    <t>Ryan Bukvich</t>
  </si>
  <si>
    <t>Delta State, Mississippi</t>
  </si>
  <si>
    <t>Grant Balfour</t>
  </si>
  <si>
    <t>Andrew Bailey</t>
  </si>
  <si>
    <t>Wagner</t>
  </si>
  <si>
    <t>Frank Francisco</t>
  </si>
  <si>
    <t>Kris Johnson</t>
  </si>
  <si>
    <t>Tony Alvarez</t>
  </si>
  <si>
    <t>Francis Beltran</t>
  </si>
  <si>
    <t>Jason Berken</t>
  </si>
  <si>
    <t>Phil Seibel</t>
  </si>
  <si>
    <t>Miguel Socolovich</t>
  </si>
  <si>
    <t>Rocky Cherry</t>
  </si>
  <si>
    <t>Oklahaoma</t>
  </si>
  <si>
    <t>Al Alburquerque</t>
  </si>
  <si>
    <t>Trace Coquillette</t>
  </si>
  <si>
    <t>Paul Janish</t>
  </si>
  <si>
    <t>Craig Tatum</t>
  </si>
  <si>
    <t>Randor Bierd</t>
  </si>
  <si>
    <t>Luke Putkonen</t>
  </si>
  <si>
    <t>Michael Hacker</t>
  </si>
  <si>
    <t>sa454614</t>
  </si>
  <si>
    <t>Javy Guerra</t>
  </si>
  <si>
    <t>Ryan Ketchner</t>
  </si>
  <si>
    <t>sa199599</t>
  </si>
  <si>
    <t>Rick VandenHurk</t>
  </si>
  <si>
    <t>Ronald Belisario</t>
  </si>
  <si>
    <t>Chris Saenz</t>
  </si>
  <si>
    <t>Frank Mata</t>
  </si>
  <si>
    <t>Harrison Bishop</t>
  </si>
  <si>
    <t>Edmonds, Washington</t>
  </si>
  <si>
    <t>sa388955</t>
  </si>
  <si>
    <t>Wade Townsend</t>
  </si>
  <si>
    <t>sa290129</t>
  </si>
  <si>
    <t>Nick DeBarr</t>
  </si>
  <si>
    <t>sa202171</t>
  </si>
  <si>
    <t>Rocco Baldelli</t>
  </si>
  <si>
    <t>Craig Gentry</t>
  </si>
  <si>
    <t>Derek Tate</t>
  </si>
  <si>
    <t>sa253846</t>
  </si>
  <si>
    <t>Ray Olmedo</t>
  </si>
  <si>
    <t>Scott Williamson</t>
  </si>
  <si>
    <t>Oklahoma State, Tulane</t>
  </si>
  <si>
    <t>Jason Grimsley</t>
  </si>
  <si>
    <t>Clint Everts</t>
  </si>
  <si>
    <t>sa202809</t>
  </si>
  <si>
    <t>Rafael Soriano</t>
  </si>
  <si>
    <t>Luis Gonzalez</t>
  </si>
  <si>
    <t>South Alabama</t>
  </si>
  <si>
    <t>Jason Stanford</t>
  </si>
  <si>
    <t>Barton County, North Carolina Charlotte</t>
  </si>
  <si>
    <t>Jim Hoey</t>
  </si>
  <si>
    <t>Rider</t>
  </si>
  <si>
    <t>Jay Powell</t>
  </si>
  <si>
    <t>Shane Komine</t>
  </si>
  <si>
    <t>Jerrod Riggan</t>
  </si>
  <si>
    <t>Edmonds, San Diego State</t>
  </si>
  <si>
    <t>Nick Adenhart</t>
  </si>
  <si>
    <t>Jason Shiell</t>
  </si>
  <si>
    <t>Dustin McGowan</t>
  </si>
  <si>
    <t>Aaron Looper</t>
  </si>
  <si>
    <t>Indian Hills, Arkansas, Oklahoma</t>
  </si>
  <si>
    <t>Fernando Rodney</t>
  </si>
  <si>
    <t>Jorge De Paula</t>
  </si>
  <si>
    <t>Pedro Beato</t>
  </si>
  <si>
    <t>Brian Duensing</t>
  </si>
  <si>
    <t>Miguel Asencio</t>
  </si>
  <si>
    <t>Cory Sullivan</t>
  </si>
  <si>
    <t>Cypress, Wake Forest</t>
  </si>
  <si>
    <t>Corwin Malone</t>
  </si>
  <si>
    <t>sa184100</t>
  </si>
  <si>
    <t>Chris Spurling</t>
  </si>
  <si>
    <t>Miami of Ohio, Sinclair</t>
  </si>
  <si>
    <t>Dustin Nippert</t>
  </si>
  <si>
    <t>Ohio Valley, West Virginia</t>
  </si>
  <si>
    <t>Scott Maine</t>
  </si>
  <si>
    <t>Dr. John Uribe</t>
  </si>
  <si>
    <t>Jo-Jo Reyes</t>
  </si>
  <si>
    <t>Billy Simon</t>
  </si>
  <si>
    <t>Phil Dumatrait</t>
  </si>
  <si>
    <t>Bakersfield</t>
  </si>
  <si>
    <t>Brett Gray</t>
  </si>
  <si>
    <t>Mark Rodrigues</t>
  </si>
  <si>
    <t>sa394394</t>
  </si>
  <si>
    <t>Preston Larrison</t>
  </si>
  <si>
    <t>Evansville</t>
  </si>
  <si>
    <t>sa201262</t>
  </si>
  <si>
    <t>Joe Torres</t>
  </si>
  <si>
    <t>sa198956</t>
  </si>
  <si>
    <t>Mike Megrew</t>
  </si>
  <si>
    <t>sa201534</t>
  </si>
  <si>
    <t>Arismendy Castillo</t>
  </si>
  <si>
    <t>sa295494</t>
  </si>
  <si>
    <t>Tim Wood</t>
  </si>
  <si>
    <t>Lincoln Holdzkom</t>
  </si>
  <si>
    <t>Arizona Western</t>
  </si>
  <si>
    <t>sa200781</t>
  </si>
  <si>
    <t>Zach Braddock</t>
  </si>
  <si>
    <t>Burlington County</t>
  </si>
  <si>
    <t>Angel Garcia</t>
  </si>
  <si>
    <t>sa201015</t>
  </si>
  <si>
    <t>Jeff Manship</t>
  </si>
  <si>
    <t>Dustin Molleken</t>
  </si>
  <si>
    <t>Brandon Gomes</t>
  </si>
  <si>
    <t>Kevin Ohme</t>
  </si>
  <si>
    <t>Indian River, North Florida</t>
  </si>
  <si>
    <t>Mike Fetters</t>
  </si>
  <si>
    <t>Tony Womack</t>
  </si>
  <si>
    <t>Guilford</t>
  </si>
  <si>
    <t>Zack Segovia</t>
  </si>
  <si>
    <t>Billy Traber</t>
  </si>
  <si>
    <t>Jesse Foppert</t>
  </si>
  <si>
    <t>Joe Mays</t>
  </si>
  <si>
    <t>State of Florida, Manatee-Sarasota</t>
  </si>
  <si>
    <t>Runelvys Hernandez</t>
  </si>
  <si>
    <t>Brian Tallet</t>
  </si>
  <si>
    <t>Hill, LSU</t>
  </si>
  <si>
    <t>C.J. Wilson</t>
  </si>
  <si>
    <t>Loyola Marymount, Santa Ana</t>
  </si>
  <si>
    <t>Ryan Dempster</t>
  </si>
  <si>
    <t>Denny Neagle</t>
  </si>
  <si>
    <t>Rusty Greer</t>
  </si>
  <si>
    <t>Rick Ankiel</t>
  </si>
  <si>
    <t>Paul Byrd</t>
  </si>
  <si>
    <t>Seth McClung</t>
  </si>
  <si>
    <t>Scott Strickland</t>
  </si>
  <si>
    <t>Doug Creek</t>
  </si>
  <si>
    <t>Anthony Pluta</t>
  </si>
  <si>
    <t>sa200081</t>
  </si>
  <si>
    <t>Brian Moehler</t>
  </si>
  <si>
    <t>Jason Bulger</t>
  </si>
  <si>
    <t>Valdosta State</t>
  </si>
  <si>
    <t>Ricky Bones</t>
  </si>
  <si>
    <t>A.J. Burnett</t>
  </si>
  <si>
    <t>Corey Lee</t>
  </si>
  <si>
    <t>Matt Wise</t>
  </si>
  <si>
    <t>Cal State Fullerton, Pepperdine</t>
  </si>
  <si>
    <t>Marc Lamacchia</t>
  </si>
  <si>
    <t>sa236462</t>
  </si>
  <si>
    <t>Manny Delcarmen</t>
  </si>
  <si>
    <t>Anibal Sanchez</t>
  </si>
  <si>
    <t>Luke Hagerty</t>
  </si>
  <si>
    <t>sa202438</t>
  </si>
  <si>
    <t>Scott Lewis</t>
  </si>
  <si>
    <t>Tom Shearn</t>
  </si>
  <si>
    <t>Mike Stodolka</t>
  </si>
  <si>
    <t>sa199853</t>
  </si>
  <si>
    <t>Bobby Cassevah</t>
  </si>
  <si>
    <t>Hung-Chih Kuo</t>
  </si>
  <si>
    <t>Andy Ashby</t>
  </si>
  <si>
    <t>Crowder</t>
  </si>
  <si>
    <t>Ben Diggins</t>
  </si>
  <si>
    <t>Jayson Durocher</t>
  </si>
  <si>
    <t>Rusty Tucker</t>
  </si>
  <si>
    <t>sa200806</t>
  </si>
  <si>
    <t>Ben Kozlowski</t>
  </si>
  <si>
    <t>Santa Fe</t>
  </si>
  <si>
    <t>Danny Touchet</t>
  </si>
  <si>
    <t>sa294844</t>
  </si>
  <si>
    <t>Scott Feldman</t>
  </si>
  <si>
    <t>San Mateo</t>
  </si>
  <si>
    <t>Francisco Rosario</t>
  </si>
  <si>
    <t>Armando Galarraga</t>
  </si>
  <si>
    <t>Bob Wickman</t>
  </si>
  <si>
    <t>Erik Bedard</t>
  </si>
  <si>
    <t>Doug Brocail</t>
  </si>
  <si>
    <t>J.R. House</t>
  </si>
  <si>
    <t>Benito Baez</t>
  </si>
  <si>
    <t>Jon Lieber</t>
  </si>
  <si>
    <t>Iowa Western, South Alabama</t>
  </si>
  <si>
    <t>Scott Chiasson</t>
  </si>
  <si>
    <t>Eastern Connecticut State</t>
  </si>
  <si>
    <t>Jeff Zimmerman</t>
  </si>
  <si>
    <t>Ben Christensen</t>
  </si>
  <si>
    <t>Danny Patterson</t>
  </si>
  <si>
    <t>Cerritos</t>
  </si>
  <si>
    <t>Matt Thornton</t>
  </si>
  <si>
    <t>Grand Valley State</t>
  </si>
  <si>
    <t>Brian Tollberg</t>
  </si>
  <si>
    <t>North Florida</t>
  </si>
  <si>
    <t>Jason Christiansen</t>
  </si>
  <si>
    <t>Iowa Western, Cameron</t>
  </si>
  <si>
    <t>John Franco</t>
  </si>
  <si>
    <t>Dave Eiland</t>
  </si>
  <si>
    <t>South Florida, Florida</t>
  </si>
  <si>
    <t>Pete Harnisch</t>
  </si>
  <si>
    <t>Mike Duvall</t>
  </si>
  <si>
    <t>Potomac State</t>
  </si>
  <si>
    <t>Jack Taschner</t>
  </si>
  <si>
    <t>Will Ohman</t>
  </si>
  <si>
    <t>Jesus Delgado</t>
  </si>
  <si>
    <t>Phil Norton</t>
  </si>
  <si>
    <t>Texarcana</t>
  </si>
  <si>
    <t>Jeff Bajenaru</t>
  </si>
  <si>
    <t>Riverside, Oklahoma</t>
  </si>
  <si>
    <t>Mike Steele</t>
  </si>
  <si>
    <t>Chuck Smith</t>
  </si>
  <si>
    <t>Central Arizona, Indiana State</t>
  </si>
  <si>
    <t>Jason Grilli</t>
  </si>
  <si>
    <t>Brandon Claussen</t>
  </si>
  <si>
    <t>Ryan Vogelsong</t>
  </si>
  <si>
    <t>Kutztown</t>
  </si>
  <si>
    <t>Steve Delabar</t>
  </si>
  <si>
    <t>Volunteer State</t>
  </si>
  <si>
    <t>Kevin Jarvis</t>
  </si>
  <si>
    <t>Cha Seung Baek</t>
  </si>
  <si>
    <t>Bobby Cramer</t>
  </si>
  <si>
    <t>Ryan Tatusko</t>
  </si>
  <si>
    <t>sa389188</t>
  </si>
  <si>
    <t>Seung-hwan Oh</t>
  </si>
  <si>
    <t>Chris Narveson</t>
  </si>
  <si>
    <t>Brian Rose</t>
  </si>
  <si>
    <t>Bobby Bradley</t>
  </si>
  <si>
    <t>Lance Painter</t>
  </si>
  <si>
    <t>United Kingdom</t>
  </si>
  <si>
    <t>Adam Eaton</t>
  </si>
  <si>
    <t>Pat Hentgen</t>
  </si>
  <si>
    <t>Kevin Walker</t>
  </si>
  <si>
    <t>Matt Holliday</t>
  </si>
  <si>
    <t>Darren Dreifort</t>
  </si>
  <si>
    <t>Matt Mantei</t>
  </si>
  <si>
    <t>Kris Benson</t>
  </si>
  <si>
    <t>Valerio De Los Santos</t>
  </si>
  <si>
    <t>Derrick Lewis</t>
  </si>
  <si>
    <t>Central Alabama, Florida A&amp;M</t>
  </si>
  <si>
    <t>Jose Capellan</t>
  </si>
  <si>
    <t>Rod Beck</t>
  </si>
  <si>
    <t>Luke Scott</t>
  </si>
  <si>
    <t>Indian River, Oklahoma State</t>
  </si>
  <si>
    <t>Chin-Hui Tsao</t>
  </si>
  <si>
    <t>Steve Green</t>
  </si>
  <si>
    <t>Nate Bland</t>
  </si>
  <si>
    <t>Ryan Poe</t>
  </si>
  <si>
    <t>Sean Henn</t>
  </si>
  <si>
    <t>McLennan</t>
  </si>
  <si>
    <t>Francisco Cordova</t>
  </si>
  <si>
    <t>Mike Benjamin</t>
  </si>
  <si>
    <t>Arizona State, Cerritos</t>
  </si>
  <si>
    <t>Gerik Baxter</t>
  </si>
  <si>
    <t>Chance Caple</t>
  </si>
  <si>
    <t>Garrett Stephenson</t>
  </si>
  <si>
    <t>Brigham Young</t>
  </si>
  <si>
    <t>Jason Frasor</t>
  </si>
  <si>
    <t>Scott Downs</t>
  </si>
  <si>
    <t>Bill Simas</t>
  </si>
  <si>
    <t>Kyle Snyder</t>
  </si>
  <si>
    <t>Scott Erickson</t>
  </si>
  <si>
    <t>San Jose City, Arizona</t>
  </si>
  <si>
    <t>Tom Lampkin</t>
  </si>
  <si>
    <t>Edmonds, Oregon</t>
  </si>
  <si>
    <t>Danny Kolb</t>
  </si>
  <si>
    <t>Illinois State, Sauk Valley</t>
  </si>
  <si>
    <t>Scott Radinsky</t>
  </si>
  <si>
    <t>Sterling Hitchcock</t>
  </si>
  <si>
    <t>J.M. Gold</t>
  </si>
  <si>
    <t>John Patterson</t>
  </si>
  <si>
    <t>Michael Tejera</t>
  </si>
  <si>
    <t>John Smoltz</t>
  </si>
  <si>
    <t>Andrew Good</t>
  </si>
  <si>
    <t>Randy Williams</t>
  </si>
  <si>
    <t>Scott Sobkowiak</t>
  </si>
  <si>
    <t>Northern Iowa</t>
  </si>
  <si>
    <t>David Cortes</t>
  </si>
  <si>
    <t>Odalis Perez</t>
  </si>
  <si>
    <t>Andrew Brown</t>
  </si>
  <si>
    <t>Juan Pena</t>
  </si>
  <si>
    <t>sa208507</t>
  </si>
  <si>
    <t>Jason Stumm</t>
  </si>
  <si>
    <t>Ryan Shealy</t>
  </si>
  <si>
    <t>Lance Carter</t>
  </si>
  <si>
    <t>Orber Moreno</t>
  </si>
  <si>
    <t>Rocky Coppinger</t>
  </si>
  <si>
    <t>Jae Seo</t>
  </si>
  <si>
    <t>Brian Stitt</t>
  </si>
  <si>
    <t>sa202807</t>
  </si>
  <si>
    <t>Ken Cloude</t>
  </si>
  <si>
    <t>Joe Roa</t>
  </si>
  <si>
    <t>Tom Gordon</t>
  </si>
  <si>
    <t>Matt Beech</t>
  </si>
  <si>
    <t>Navarro, Houston</t>
  </si>
  <si>
    <t>Joe Nelson</t>
  </si>
  <si>
    <t>Chad Fox</t>
  </si>
  <si>
    <t>Blinn, Tarleton State</t>
  </si>
  <si>
    <t>Mark Wohlers</t>
  </si>
  <si>
    <t>Geremi Gonzalez</t>
  </si>
  <si>
    <t>Seth Greisinger</t>
  </si>
  <si>
    <t>Hipolito Pichardo</t>
  </si>
  <si>
    <t>Matt Morris</t>
  </si>
  <si>
    <t>Kerry Wood</t>
  </si>
  <si>
    <t>Kerry Ligtenberg</t>
  </si>
  <si>
    <t>Rocky Biddle</t>
  </si>
  <si>
    <t>Brian Falkenborg</t>
  </si>
  <si>
    <t>Mitch Wylie</t>
  </si>
  <si>
    <t>St. Ambrose</t>
  </si>
  <si>
    <t>sa206487</t>
  </si>
  <si>
    <t>Paul Wilson</t>
  </si>
  <si>
    <t>Jeff Tabaka</t>
  </si>
  <si>
    <t>Jimmy Journell</t>
  </si>
  <si>
    <t>Jay Buhner</t>
  </si>
  <si>
    <t>Dr. Larry Pedegana</t>
  </si>
  <si>
    <t>Lorenzo Barcelo</t>
  </si>
  <si>
    <t>Mike James</t>
  </si>
  <si>
    <t>Lurleen B. Wallace, Santa Fe</t>
  </si>
  <si>
    <t>Marc Valdes</t>
  </si>
  <si>
    <t>Osvaldo Fernandez</t>
  </si>
  <si>
    <t>Billy Brewer</t>
  </si>
  <si>
    <t>Cory Lidle</t>
  </si>
  <si>
    <t>Damian Moss</t>
  </si>
  <si>
    <t>Nate Robertson</t>
  </si>
  <si>
    <t>Jeff Wallace</t>
  </si>
  <si>
    <t>Greg Wooten</t>
  </si>
  <si>
    <t>Portland State</t>
  </si>
  <si>
    <t>David Elder</t>
  </si>
  <si>
    <t>Ken Ryan</t>
  </si>
  <si>
    <t>Todd Hundley</t>
  </si>
  <si>
    <t>Steve Sparks</t>
  </si>
  <si>
    <t>Rheal Cormier</t>
  </si>
  <si>
    <t>Randy Velarde</t>
  </si>
  <si>
    <t>Jay Payton</t>
  </si>
  <si>
    <t>Winston Abreu</t>
  </si>
  <si>
    <t>Eric Gagne</t>
  </si>
  <si>
    <t>Britt Reames</t>
  </si>
  <si>
    <t>The Citadel</t>
  </si>
  <si>
    <t>Matt Quatraro</t>
  </si>
  <si>
    <t>Billy Koch</t>
  </si>
  <si>
    <t>Colby Lewis</t>
  </si>
  <si>
    <t>Jason Bere</t>
  </si>
  <si>
    <t>Middlesex</t>
  </si>
  <si>
    <t>Pedro Borbon</t>
  </si>
  <si>
    <t>Paul Wagner</t>
  </si>
  <si>
    <t>John Snyder</t>
  </si>
  <si>
    <t>Steve Ontiveros</t>
  </si>
  <si>
    <t>Bill Pulsipher</t>
  </si>
  <si>
    <t>Dewon Brazelton</t>
  </si>
  <si>
    <t>Rene Arocha</t>
  </si>
  <si>
    <t>Jose Rijo</t>
  </si>
  <si>
    <t>Bobby Munoz</t>
  </si>
  <si>
    <t>Butch Henry</t>
  </si>
  <si>
    <t>Cal Eldred</t>
  </si>
  <si>
    <t>Steve Karsay</t>
  </si>
  <si>
    <t>Bryan Harvey</t>
  </si>
  <si>
    <t>North Carolina Charlotte</t>
  </si>
  <si>
    <t>Masumi Kuwata</t>
  </si>
  <si>
    <t>Luis Lopez</t>
  </si>
  <si>
    <t>Anthony Young</t>
  </si>
  <si>
    <t>Dr. Michael Schafer</t>
  </si>
  <si>
    <t>Darryl Hamilton</t>
  </si>
  <si>
    <t>Frank Viola</t>
  </si>
  <si>
    <t>Tim Worrell</t>
  </si>
  <si>
    <t>Biola</t>
  </si>
  <si>
    <t>Ken Patterson</t>
  </si>
  <si>
    <t>Baylor, McLennan</t>
  </si>
  <si>
    <t>Scott Eyre</t>
  </si>
  <si>
    <t>Southern Idaho</t>
  </si>
  <si>
    <t>Armando Reynoso</t>
  </si>
  <si>
    <t>Scott Schoeneweis</t>
  </si>
  <si>
    <t>Huck Flener</t>
  </si>
  <si>
    <t>Paul Menhart</t>
  </si>
  <si>
    <t>Greg Colbrunn</t>
  </si>
  <si>
    <t>Norm Charlton</t>
  </si>
  <si>
    <t>Jose Canseco</t>
  </si>
  <si>
    <t>Julio Valera</t>
  </si>
  <si>
    <t>Kevin Ritz</t>
  </si>
  <si>
    <t>Indian Hills, William Penn</t>
  </si>
  <si>
    <t>Scott Aldred</t>
  </si>
  <si>
    <t>Bob Wells</t>
  </si>
  <si>
    <t>Spokane Falls</t>
  </si>
  <si>
    <t>Mike Bielecki</t>
  </si>
  <si>
    <t>Loyola in Maryland, Valencia</t>
  </si>
  <si>
    <t>Mike Greenwell</t>
  </si>
  <si>
    <t>Clay Parker</t>
  </si>
  <si>
    <t>Jeff Knox</t>
  </si>
  <si>
    <t>Pat Treend</t>
  </si>
  <si>
    <t>Matt Murray</t>
  </si>
  <si>
    <t>Dave Leiper</t>
  </si>
  <si>
    <t>California State Fresno, Fullerton</t>
  </si>
  <si>
    <t>John Farrell</t>
  </si>
  <si>
    <t>Stan Spencer</t>
  </si>
  <si>
    <t>Mike Witt</t>
  </si>
  <si>
    <t>Scott Garrelts</t>
  </si>
  <si>
    <t>Scott Chiamparino</t>
  </si>
  <si>
    <t>Darren Oliver</t>
  </si>
  <si>
    <t>Joe Magrane</t>
  </si>
  <si>
    <t>Dion James</t>
  </si>
  <si>
    <t>Glenn Carter</t>
  </si>
  <si>
    <t>Triton</t>
  </si>
  <si>
    <t>Brian Dubois</t>
  </si>
  <si>
    <t>John Dopson</t>
  </si>
  <si>
    <t>Hillsborough, Lousiana</t>
  </si>
  <si>
    <t>Brett Gideon</t>
  </si>
  <si>
    <t>Coastal Bend, Mary Hardin-Baylor</t>
  </si>
  <si>
    <t>Mike Fyhrie</t>
  </si>
  <si>
    <t>J.J. Picollo</t>
  </si>
  <si>
    <t>Rey Sanchez</t>
  </si>
  <si>
    <t>Todd Worrell</t>
  </si>
  <si>
    <t>Jose Mesa</t>
  </si>
  <si>
    <t>Greg Mathews</t>
  </si>
  <si>
    <t>Cal State Fullerton, Santa Ana</t>
  </si>
  <si>
    <t>Jose Cecena</t>
  </si>
  <si>
    <t>Danny Cox</t>
  </si>
  <si>
    <t>Jim Winn</t>
  </si>
  <si>
    <t>John Brown</t>
  </si>
  <si>
    <t>John Tudor</t>
  </si>
  <si>
    <t>Georgia Southern, North Shore</t>
  </si>
  <si>
    <t>Matt Young</t>
  </si>
  <si>
    <t>Pasadena City, UCLA</t>
  </si>
  <si>
    <t>Eric Bell</t>
  </si>
  <si>
    <t>Brad Arnsberg</t>
  </si>
  <si>
    <t>Steve Bast</t>
  </si>
  <si>
    <t>Bryan Hickerson</t>
  </si>
  <si>
    <t>Dan Opperman</t>
  </si>
  <si>
    <t>Mike Warren</t>
  </si>
  <si>
    <t>Ken Dayley</t>
  </si>
  <si>
    <t>Gary Lavelle</t>
  </si>
  <si>
    <t>Tom Filer</t>
  </si>
  <si>
    <t>LaSalle</t>
  </si>
  <si>
    <t>Steve Christmas</t>
  </si>
  <si>
    <t>Jim Morris</t>
  </si>
  <si>
    <t>Angelo State, Paris Junior, Ranger</t>
  </si>
  <si>
    <t>David Wells</t>
  </si>
  <si>
    <t>Jamie Nelson</t>
  </si>
  <si>
    <t>Kevin Towers</t>
  </si>
  <si>
    <t>Brigham Young, MiraCosta</t>
  </si>
  <si>
    <t>Chuck Porter</t>
  </si>
  <si>
    <t>Paul Molitor</t>
  </si>
  <si>
    <t>Larry Christenson</t>
  </si>
  <si>
    <t>Brian Holton</t>
  </si>
  <si>
    <t>Louisburg</t>
  </si>
  <si>
    <t>Gil Patterson</t>
  </si>
  <si>
    <t>Miami-Dade</t>
  </si>
  <si>
    <t>Don Aase</t>
  </si>
  <si>
    <t>David Palmer</t>
  </si>
  <si>
    <t>Joe Sambito</t>
  </si>
  <si>
    <t>Dwayne Henry</t>
  </si>
  <si>
    <t>Tom Candiotti</t>
  </si>
  <si>
    <t>St. Mary's of California</t>
  </si>
  <si>
    <t>Bill Bordley</t>
  </si>
  <si>
    <t>El Camino, USC</t>
  </si>
  <si>
    <t>Joe Hesketh</t>
  </si>
  <si>
    <t>Brent Strom</t>
  </si>
  <si>
    <t>San Diego City, USC</t>
  </si>
  <si>
    <t>Important usage notes:</t>
  </si>
  <si>
    <t>- Creating and maintaining this database has required thousands of hours of work since 2012. I am committed to keeping it publically available for free.</t>
  </si>
  <si>
    <r>
      <rPr/>
      <t xml:space="preserve">- If you have benefitted from using the database and wish to make a donation, you may do so at </t>
    </r>
    <r>
      <rPr>
        <color rgb="FF1155CC"/>
        <u/>
      </rPr>
      <t>https://paypal.me/mlbplayeranalys?country.x=CA&amp;locale.x=en_US</t>
    </r>
  </si>
  <si>
    <t>- This list is *not* a complete list of *all* Tommy John surgeries. The list contains entries for all Tommy John surgeries of MLB and MiLB players that have been confirmed through media reports of some kind.</t>
  </si>
  <si>
    <t>- Some teams are much more guarded in releasing information about Tommy John surgeries than other teams. Some teams have beat writers or prospect writers who dig for MiLB injury statuses more than other teams.</t>
  </si>
  <si>
    <t>- Some Tommy John surgeries go completely unreported by the media and will not appear in this list.</t>
  </si>
  <si>
    <t>- Additional player information comes from Baseball Reference, Fangraphs, Baseball Cube, MiLB.com.</t>
  </si>
  <si>
    <t>- When the month of the surgery is known but not the exact date, MM/1/YYYY is used for the surgery date.</t>
  </si>
  <si>
    <t>- When the year of the surgery is known but not the month or date, 1/1/YYYY is used for the surgery date.</t>
  </si>
  <si>
    <t>- 'Level' is the level of baseball in which the player played his last game prior to having Tommy John surgery. Some players listed with an MiLB level have had previous MLB experience.</t>
  </si>
  <si>
    <t>- After the MLB Draft in June, players who sign who have had Tommy John surgery are added to the TJ List. Unsigned drafted players remain in the Unsigned Draftees list.</t>
  </si>
  <si>
    <t>- UCL PRP tracks players who had PRP/stem cell injections specifically due to UCL damage (i.e. not flexor tendon).</t>
  </si>
  <si>
    <t>- An asterisk under 'Throws' indicates the surgery was on the non-throwing arm.</t>
  </si>
  <si>
    <t>- UCL InternalBrace was developed by Dr. Jeffrey Dugas at ASMI.</t>
  </si>
  <si>
    <t>Notes</t>
  </si>
  <si>
    <t>Vinny Nittoli</t>
  </si>
  <si>
    <t>SEA, MiLB, RHP, one reference had it in 2014, can't confirm</t>
  </si>
  <si>
    <t>Bryan Blanton</t>
  </si>
  <si>
    <t>NYY, MiLB, RHP, unconfirmed that he had TJ surgery</t>
  </si>
  <si>
    <t>https://twitter.com/jeremyarroyo/status/1371651765528113153?s=11</t>
  </si>
  <si>
    <t>Rodney Theophile</t>
  </si>
  <si>
    <t>WAS, MiLB, RHP, unconfirmed that he had TJ surgery</t>
  </si>
  <si>
    <t>https://twitter.com/nicabeis/status/1389778623608012801?s=11</t>
  </si>
  <si>
    <t>TEX, MiLB, RHP, elbow surgery 5/26, either TJ or InternalBrace</t>
  </si>
  <si>
    <t>Angel Benitez</t>
  </si>
  <si>
    <t>NYY, MiLB, had TJ surgery but was it 2022 or early 2023</t>
  </si>
  <si>
    <t>https://twitter.com/NYY_Prospects/status/1617992159097151489</t>
  </si>
  <si>
    <t>SF, MiLB, A+, OF, had UCL surgery 4/1, not sure which kind</t>
  </si>
  <si>
    <t>Brandon White</t>
  </si>
  <si>
    <t>PIT, MiLB, need to confirm had TJ</t>
  </si>
  <si>
    <t>Yoelvis Sanchez</t>
  </si>
  <si>
    <t>Julio Mendez</t>
  </si>
  <si>
    <t>Hayden Robinson</t>
  </si>
  <si>
    <t>MIL, MiLB, needs surgery, either TJ or internal brace</t>
  </si>
  <si>
    <t>Alejandro Rosario</t>
  </si>
  <si>
    <t>TEX, MiLB, needs second TJ surgery?</t>
  </si>
  <si>
    <t>https://x.com/picksshelf/status/1893419808869294186?s=43&amp;t=NO0hlvLBbI0JRudVD13oLg</t>
  </si>
  <si>
    <t>Alex Young</t>
  </si>
  <si>
    <t>CIN, LHP, may need TJ surgery</t>
  </si>
  <si>
    <t>Jake Bloss</t>
  </si>
  <si>
    <t>TOR, MiLB, RHP, having some form of UCL surgery with Dr. Meister</t>
  </si>
  <si>
    <t>Nick Judice</t>
  </si>
  <si>
    <t>BOS, had some arm surgery, maybe TJ</t>
  </si>
  <si>
    <t>https://x.com/ByAndrewParker/status/1946640944582864933</t>
  </si>
  <si>
    <t>Carson Spiers</t>
  </si>
  <si>
    <t>CIN, MLB. had UCL surgery with Dr. Meister, either TJ or IB</t>
  </si>
  <si>
    <t>Manuel Rodriguez</t>
  </si>
  <si>
    <t>TB, MLB, had surgery 8/8, were going to look at UCL, Dr. Meister</t>
  </si>
  <si>
    <t>PRP 
Injection Date</t>
  </si>
  <si>
    <t>Stem
Cell?</t>
  </si>
  <si>
    <t>Return Date
(same level)</t>
  </si>
  <si>
    <t>UCL Damage Description</t>
  </si>
  <si>
    <t>Graham Ashcraft</t>
  </si>
  <si>
    <t>Jeff McNeil</t>
  </si>
  <si>
    <t>Ryan Weber</t>
  </si>
  <si>
    <t>Griffin Canning</t>
  </si>
  <si>
    <t>Tommy Pham</t>
  </si>
  <si>
    <t>Y</t>
  </si>
  <si>
    <t>2nd-grade tear (unrelated to previous tear)</t>
  </si>
  <si>
    <t>1st-degree tear</t>
  </si>
  <si>
    <t>partial tear</t>
  </si>
  <si>
    <t>Anthony Santander</t>
  </si>
  <si>
    <t>Seth Lugo</t>
  </si>
  <si>
    <t>slight tear</t>
  </si>
  <si>
    <t>partial tear (10%)</t>
  </si>
  <si>
    <t>Victor Arano</t>
  </si>
  <si>
    <t>Keston Hiura</t>
  </si>
  <si>
    <t>Yimmi Brasoban</t>
  </si>
  <si>
    <t>stretch (tried PRP earlier in summer too)</t>
  </si>
  <si>
    <t>Aaron Nola</t>
  </si>
  <si>
    <t>low-grade tear</t>
  </si>
  <si>
    <t>Jon Edwards</t>
  </si>
  <si>
    <t>wear</t>
  </si>
  <si>
    <t>lengthwise tear down middle (20-25%)</t>
  </si>
  <si>
    <t>some degree of tear</t>
  </si>
  <si>
    <t>Michael Lorenzen</t>
  </si>
  <si>
    <t>mild tear</t>
  </si>
  <si>
    <t>Connor Strain</t>
  </si>
  <si>
    <t>unknown</t>
  </si>
  <si>
    <t>weakness, slight tear (may be from 2004)</t>
  </si>
  <si>
    <t>Masahiro Tanaka</t>
  </si>
  <si>
    <t>soreness during TJ surgery rehab</t>
  </si>
  <si>
    <t>Takashi Saito</t>
  </si>
  <si>
    <t>partial tear, starting to come off bone</t>
  </si>
  <si>
    <t>UCL primary repair with internal brace construction Date</t>
  </si>
  <si>
    <t>Return Date
(any level)</t>
  </si>
  <si>
    <t>Recovery Schedule</t>
  </si>
  <si>
    <t>Humberto Cruz</t>
  </si>
  <si>
    <t>Trevor Williams</t>
  </si>
  <si>
    <t>Connor Thomas</t>
  </si>
  <si>
    <t>Cody Bradford</t>
  </si>
  <si>
    <t>Jared Jones</t>
  </si>
  <si>
    <t>Ben Abeldt</t>
  </si>
  <si>
    <t>Trei Cruz</t>
  </si>
  <si>
    <t>Patrick Sandoval</t>
  </si>
  <si>
    <t>Nate Lavender</t>
  </si>
  <si>
    <t>Landen Maroudis</t>
  </si>
  <si>
    <t>Dr. Timonthy Kremchek</t>
  </si>
  <si>
    <t>Brendan Donovan</t>
  </si>
  <si>
    <t>Vince Velasquez</t>
  </si>
  <si>
    <t>Trevor Story</t>
  </si>
  <si>
    <t>Eduardo Valencia</t>
  </si>
  <si>
    <t>Aaron Zavala</t>
  </si>
  <si>
    <t>Sean Doolittle</t>
  </si>
  <si>
    <t>Adam Meier</t>
  </si>
  <si>
    <t>Dr. Lyle Cain</t>
  </si>
  <si>
    <t>Nick Conte</t>
  </si>
  <si>
    <t>Nick Anderson</t>
  </si>
  <si>
    <t>Zach Britton</t>
  </si>
  <si>
    <t>Eli White</t>
  </si>
  <si>
    <t>Garrett Cooper</t>
  </si>
  <si>
    <t>Tyree Thompson</t>
  </si>
  <si>
    <t>Bryan Woo</t>
  </si>
  <si>
    <t>Lazaro Estrada</t>
  </si>
  <si>
    <t>Nick Frasso</t>
  </si>
  <si>
    <t>Rhys Hoskins</t>
  </si>
  <si>
    <t>Dr. Steve Cohen</t>
  </si>
  <si>
    <t>Surgery on non-throwing arm</t>
  </si>
  <si>
    <t>Danny Santana</t>
  </si>
  <si>
    <t>Yadiel Rivera</t>
  </si>
  <si>
    <t>Drew Robinson</t>
  </si>
  <si>
    <t>Ronnie Williams</t>
  </si>
  <si>
    <t>Kyle Marman</t>
  </si>
  <si>
    <t>11/27/2017: Started throwing baseball again</t>
  </si>
  <si>
    <t>Shea Murray</t>
  </si>
  <si>
    <t>Gunner Leger</t>
  </si>
  <si>
    <t>ULL</t>
  </si>
  <si>
    <t>Jordan Schafer</t>
  </si>
  <si>
    <t>CJ Eldred</t>
  </si>
  <si>
    <t>Seth Maness</t>
  </si>
  <si>
    <t>6 weeks: keep in brace, getting range of motion back</t>
  </si>
  <si>
    <t>Mitch Harris</t>
  </si>
  <si>
    <t>4 weeks: plyometrics, two-handed then one-handed with operative arm</t>
  </si>
  <si>
    <t>6-7 months total recovery</t>
  </si>
  <si>
    <t>Back to Playing?</t>
  </si>
  <si>
    <t>Years Between</t>
  </si>
  <si>
    <t>Surgeon</t>
  </si>
  <si>
    <t>2nd Surgeon</t>
  </si>
  <si>
    <t>Same?</t>
  </si>
  <si>
    <t>Multiple TJ</t>
  </si>
  <si>
    <t>Count</t>
  </si>
  <si>
    <t>Back</t>
  </si>
  <si>
    <t>Same Surgeon</t>
  </si>
  <si>
    <t>Diff Suregon</t>
  </si>
  <si>
    <t>Not back</t>
  </si>
  <si>
    <t>Not yet</t>
  </si>
  <si>
    <t>Connor Curry</t>
  </si>
  <si>
    <t>Keaton McKinney</t>
  </si>
  <si>
    <t>Kyle Perry</t>
  </si>
  <si>
    <t>Luke Scherzer</t>
  </si>
  <si>
    <t>Michael Doolin</t>
  </si>
  <si>
    <t>2024 MLB Pitchers Who Have Had TJ Surgery, By Team &amp; Usage</t>
  </si>
  <si>
    <t>Pitcher Used in 2024</t>
  </si>
  <si>
    <t>playerid</t>
  </si>
  <si>
    <t>TJ</t>
  </si>
  <si>
    <t>Pitcher on IL</t>
  </si>
  <si>
    <t>City</t>
  </si>
  <si>
    <t>Already</t>
  </si>
  <si>
    <t>Position Player</t>
  </si>
  <si>
    <t>Pitchers Used</t>
  </si>
  <si>
    <t>Pitchers</t>
  </si>
  <si>
    <t>Pitchers Not Used, on IL</t>
  </si>
  <si>
    <t>Pitchers on IL</t>
  </si>
  <si>
    <t>Yusei Kikuchi</t>
  </si>
  <si>
    <t>- - -</t>
  </si>
  <si>
    <t>Eddy Alvarez</t>
  </si>
  <si>
    <t>Jack Flaherty</t>
  </si>
  <si>
    <t>Atlanta</t>
  </si>
  <si>
    <t>Tucker Barnhart</t>
  </si>
  <si>
    <t>JT Chargois</t>
  </si>
  <si>
    <t>Zach Eflin</t>
  </si>
  <si>
    <t>Jake Bauers</t>
  </si>
  <si>
    <t>Lucas Erceg</t>
  </si>
  <si>
    <t>Félix Bautista</t>
  </si>
  <si>
    <t>Baltimore</t>
  </si>
  <si>
    <t>David Bote</t>
  </si>
  <si>
    <t>Tanner Scott</t>
  </si>
  <si>
    <t>Boston</t>
  </si>
  <si>
    <t>Vidal Bruján</t>
  </si>
  <si>
    <t>Martín Pérez</t>
  </si>
  <si>
    <t>Oswaldo Cabrera</t>
  </si>
  <si>
    <t>Jason Adam</t>
  </si>
  <si>
    <t>Diego Castillo</t>
  </si>
  <si>
    <t>Dennis Santana</t>
  </si>
  <si>
    <t>Willi Castro</t>
  </si>
  <si>
    <t>Carlos Estévez</t>
  </si>
  <si>
    <t>Chicago</t>
  </si>
  <si>
    <t>Tanner Banks</t>
  </si>
  <si>
    <t>Ernie Clement</t>
  </si>
  <si>
    <t>Aaron Civale</t>
  </si>
  <si>
    <t>Christian Roa</t>
  </si>
  <si>
    <t>Cincinnati</t>
  </si>
  <si>
    <t>sa3014477</t>
  </si>
  <si>
    <t>Brandon Crawford</t>
  </si>
  <si>
    <t>Yimi García</t>
  </si>
  <si>
    <t>Trevor Rogers</t>
  </si>
  <si>
    <t>Cleveland</t>
  </si>
  <si>
    <t>Kyle Farmer</t>
  </si>
  <si>
    <t>Jakob Junis</t>
  </si>
  <si>
    <t>James Karinchak</t>
  </si>
  <si>
    <t>Tyler Fitzgerald</t>
  </si>
  <si>
    <t>SFG</t>
  </si>
  <si>
    <t>Nick Mears</t>
  </si>
  <si>
    <t>Daniel Bard</t>
  </si>
  <si>
    <t>Luis Guillorme</t>
  </si>
  <si>
    <t>Detroit</t>
  </si>
  <si>
    <t>Garrett Hampson</t>
  </si>
  <si>
    <t>KCR</t>
  </si>
  <si>
    <t>Jesus Tinoco</t>
  </si>
  <si>
    <t>Brendan White</t>
  </si>
  <si>
    <t>Austin Hedges</t>
  </si>
  <si>
    <t>Shawn Armstrong</t>
  </si>
  <si>
    <t>Tyler Heineman</t>
  </si>
  <si>
    <t>SDP</t>
  </si>
  <si>
    <t>Huascar Brazobán</t>
  </si>
  <si>
    <t>David Hensley</t>
  </si>
  <si>
    <t>Michael Tonkin</t>
  </si>
  <si>
    <t>Enrique Hernández</t>
  </si>
  <si>
    <t>Dylan Floro</t>
  </si>
  <si>
    <t>Tyson Miller</t>
  </si>
  <si>
    <t>José Urquidy</t>
  </si>
  <si>
    <t>Grae Kessinger</t>
  </si>
  <si>
    <t>Tim Hill</t>
  </si>
  <si>
    <t>Bennett Sousa</t>
  </si>
  <si>
    <t>Isiah Kiner-Falefa</t>
  </si>
  <si>
    <t>Gregory Soto</t>
  </si>
  <si>
    <t>Oliver Ortega</t>
  </si>
  <si>
    <t>Andrew Knizner</t>
  </si>
  <si>
    <t>Paul Blackburn</t>
  </si>
  <si>
    <t>Josh Taylor</t>
  </si>
  <si>
    <t>Kansas City</t>
  </si>
  <si>
    <t>Nick Loftin</t>
  </si>
  <si>
    <t>Seranthony Domínguez</t>
  </si>
  <si>
    <t>Brock Burke</t>
  </si>
  <si>
    <t>Kyle Wright</t>
  </si>
  <si>
    <t>Luke Maile</t>
  </si>
  <si>
    <t>TBR</t>
  </si>
  <si>
    <t>Luis García</t>
  </si>
  <si>
    <t>Los Angeles</t>
  </si>
  <si>
    <t>James McCann</t>
  </si>
  <si>
    <t>Hunter Bigge</t>
  </si>
  <si>
    <t>Kelvin Caceres</t>
  </si>
  <si>
    <t>Zach McKinstry</t>
  </si>
  <si>
    <t>Enoli Paredes</t>
  </si>
  <si>
    <t>Danny Mendick</t>
  </si>
  <si>
    <t>Dillon Tate</t>
  </si>
  <si>
    <t>Matt Mervis</t>
  </si>
  <si>
    <t>Jonathan Hernández</t>
  </si>
  <si>
    <t>WSN</t>
  </si>
  <si>
    <t>Jorge López</t>
  </si>
  <si>
    <t>Owen Miller</t>
  </si>
  <si>
    <t>Eduardo Salazar</t>
  </si>
  <si>
    <t>Jhonny Pereda</t>
  </si>
  <si>
    <t>Total</t>
  </si>
  <si>
    <t>Anthony Veneziano</t>
  </si>
  <si>
    <t>Eury Pérez</t>
  </si>
  <si>
    <t>Nick Pratto</t>
  </si>
  <si>
    <t>Percentage</t>
  </si>
  <si>
    <t>Quinn Priester</t>
  </si>
  <si>
    <t>Brandon Woodruff</t>
  </si>
  <si>
    <t>Milwaukee</t>
  </si>
  <si>
    <t>Pablo Reyes</t>
  </si>
  <si>
    <t>Games Ended</t>
  </si>
  <si>
    <t>Yohan Ramírez</t>
  </si>
  <si>
    <t>Anthony DeSclafani</t>
  </si>
  <si>
    <t>Leo Rivas</t>
  </si>
  <si>
    <t>Phil Maton</t>
  </si>
  <si>
    <t>Emmanuel Rivera</t>
  </si>
  <si>
    <t>Overall</t>
  </si>
  <si>
    <t>Nate Pearson</t>
  </si>
  <si>
    <t>Josh Rojas</t>
  </si>
  <si>
    <t>Joel Kuhnel</t>
  </si>
  <si>
    <t>Oakland</t>
  </si>
  <si>
    <t>Miguel Rojas</t>
  </si>
  <si>
    <t>Ben Rortvedt</t>
  </si>
  <si>
    <t>Trevor Richards</t>
  </si>
  <si>
    <t>Miguel Sanó</t>
  </si>
  <si>
    <t>Jake Woodford</t>
  </si>
  <si>
    <t>Dominic Smith</t>
  </si>
  <si>
    <t>Brett de Geus</t>
  </si>
  <si>
    <t>Luis Patiño</t>
  </si>
  <si>
    <t>Shaun Anderson</t>
  </si>
  <si>
    <t>Michael Stefanic</t>
  </si>
  <si>
    <t>Xzavion Curry</t>
  </si>
  <si>
    <t>Garrett Stubbs</t>
  </si>
  <si>
    <t>Colin Selby</t>
  </si>
  <si>
    <t>St. Louis</t>
  </si>
  <si>
    <t>Rowdy Tellez</t>
  </si>
  <si>
    <t>Will Klein</t>
  </si>
  <si>
    <t>Drew Rom</t>
  </si>
  <si>
    <t>Luis Torrens</t>
  </si>
  <si>
    <t>Héctor Neris</t>
  </si>
  <si>
    <t>Tampa Bay</t>
  </si>
  <si>
    <t>Jose Trevino</t>
  </si>
  <si>
    <t>Walter Pennington</t>
  </si>
  <si>
    <t>Cole Tucker</t>
  </si>
  <si>
    <t>Tyler Jay</t>
  </si>
  <si>
    <t>Ildemaro Vargas</t>
  </si>
  <si>
    <t>Matt Wallner</t>
  </si>
  <si>
    <t>Ryne Stanek</t>
  </si>
  <si>
    <t>Donovan Walton</t>
  </si>
  <si>
    <t>Wes Parsons</t>
  </si>
  <si>
    <t>Luke Williams</t>
  </si>
  <si>
    <t>Janson Junk</t>
  </si>
  <si>
    <t>Weston Wilson</t>
  </si>
  <si>
    <t>Ryan Yarbrough</t>
  </si>
  <si>
    <t>Patrick Wisdom</t>
  </si>
  <si>
    <t>Joe Jacques</t>
  </si>
  <si>
    <t>Mike Yastrzemski</t>
  </si>
  <si>
    <t>Spencer Howard</t>
  </si>
  <si>
    <t>Easton Lucas</t>
  </si>
  <si>
    <t>Luis Frías</t>
  </si>
  <si>
    <t>Michael Petersen</t>
  </si>
  <si>
    <t>Elieser Hernández</t>
  </si>
  <si>
    <t>Lucas Sims</t>
  </si>
  <si>
    <t>Brandon Bielak</t>
  </si>
  <si>
    <t>Brad Keller</t>
  </si>
  <si>
    <t>Jose Cuas</t>
  </si>
  <si>
    <t>Mike Baumann</t>
  </si>
  <si>
    <t>Roansy Contreras</t>
  </si>
  <si>
    <t>Darren McCaughan</t>
  </si>
  <si>
    <t>Chase Anderson</t>
  </si>
  <si>
    <t>Connor Brogdon</t>
  </si>
  <si>
    <t>Yerry Rodríguez</t>
  </si>
  <si>
    <t>Enyel De Los Santos</t>
  </si>
  <si>
    <t>Brandon Pfaadt</t>
  </si>
  <si>
    <t>Zac Gallen</t>
  </si>
  <si>
    <t>Ryne Nelson</t>
  </si>
  <si>
    <t>Kevin Ginkel</t>
  </si>
  <si>
    <t>Merrill Kelly</t>
  </si>
  <si>
    <t>Paul Sewald</t>
  </si>
  <si>
    <t>Eduardo Rodriguez</t>
  </si>
  <si>
    <t>Slade Cecconi</t>
  </si>
  <si>
    <t>Yilber Diaz</t>
  </si>
  <si>
    <t>Logan Allen</t>
  </si>
  <si>
    <t>Kyle Nelson</t>
  </si>
  <si>
    <t>Miguel Castro</t>
  </si>
  <si>
    <t>Cristian Mena</t>
  </si>
  <si>
    <t>Brandon Hughes</t>
  </si>
  <si>
    <t>Bryce Jarvis</t>
  </si>
  <si>
    <t>Daysbel Hernández</t>
  </si>
  <si>
    <t>Reynaldo López</t>
  </si>
  <si>
    <t>Joe Jiménez</t>
  </si>
  <si>
    <t>Raisel Iglesias</t>
  </si>
  <si>
    <t>Grant Holmes</t>
  </si>
  <si>
    <t>Dylan Lee</t>
  </si>
  <si>
    <t>Pierce Johnson</t>
  </si>
  <si>
    <t>Bryce Elder</t>
  </si>
  <si>
    <t>Jimmy Herget</t>
  </si>
  <si>
    <t>Dylan Dodd</t>
  </si>
  <si>
    <t>Jackson Stephens</t>
  </si>
  <si>
    <t>Parker Dunshee</t>
  </si>
  <si>
    <t>Darius Vines</t>
  </si>
  <si>
    <t>Jesse Chavez</t>
  </si>
  <si>
    <t>Allan Winans</t>
  </si>
  <si>
    <t>Hurston Waldrep</t>
  </si>
  <si>
    <t>Albert Suárez</t>
  </si>
  <si>
    <t>Danny Coulombe</t>
  </si>
  <si>
    <t>Grayson Rodriguez</t>
  </si>
  <si>
    <t>Keegan Akin</t>
  </si>
  <si>
    <t>Dean Kremer</t>
  </si>
  <si>
    <t>Cionel Pérez</t>
  </si>
  <si>
    <t>Yennier Cano</t>
  </si>
  <si>
    <t>Cade Povich</t>
  </si>
  <si>
    <t>Bryan Baker</t>
  </si>
  <si>
    <t>Craig Kimbrel</t>
  </si>
  <si>
    <t>Nick Vespi</t>
  </si>
  <si>
    <t>Tucker Davidson</t>
  </si>
  <si>
    <t>Chayce McDermott</t>
  </si>
  <si>
    <t>Jonathan Heasley</t>
  </si>
  <si>
    <t>Cam Booser</t>
  </si>
  <si>
    <t>Nick Pivetta</t>
  </si>
  <si>
    <t>Brayan Bello</t>
  </si>
  <si>
    <t>Justin Slaten</t>
  </si>
  <si>
    <t>Kenley Jansen</t>
  </si>
  <si>
    <t>Cooper Criswell</t>
  </si>
  <si>
    <t>Chris Martin</t>
  </si>
  <si>
    <t>Greg Weissert</t>
  </si>
  <si>
    <t>Richard Fitts</t>
  </si>
  <si>
    <t>Luis Guerrero</t>
  </si>
  <si>
    <t>Josh Winckowski</t>
  </si>
  <si>
    <t>Brennan Bernardino</t>
  </si>
  <si>
    <t>Naoyuki Uwasawa</t>
  </si>
  <si>
    <t>Chase Shugart</t>
  </si>
  <si>
    <t>Joely Rodríguez</t>
  </si>
  <si>
    <t>Isaiah Campbell</t>
  </si>
  <si>
    <t>Shota Imanaga</t>
  </si>
  <si>
    <t>Javier Assad</t>
  </si>
  <si>
    <t>Porter Hodge</t>
  </si>
  <si>
    <t>Kyle Hendricks</t>
  </si>
  <si>
    <t>Colten Brewer</t>
  </si>
  <si>
    <t>Yency Almonte</t>
  </si>
  <si>
    <t>Daniel Palencia</t>
  </si>
  <si>
    <t>Luke Little</t>
  </si>
  <si>
    <t>Gavin Hollowell</t>
  </si>
  <si>
    <t>Caleb Kilian</t>
  </si>
  <si>
    <t>Jack Neely</t>
  </si>
  <si>
    <t>Jordan Wicks</t>
  </si>
  <si>
    <t>Jonathan Cannon</t>
  </si>
  <si>
    <t>Michael Soroka</t>
  </si>
  <si>
    <t>Jared Shuster</t>
  </si>
  <si>
    <t>Fraser Ellard</t>
  </si>
  <si>
    <t>Jairo Iriarte</t>
  </si>
  <si>
    <t>Sammy Peralta</t>
  </si>
  <si>
    <t>Deivi García</t>
  </si>
  <si>
    <t>Bryan Shaw</t>
  </si>
  <si>
    <t>Touki Toussaint</t>
  </si>
  <si>
    <t>Jordan Leasure</t>
  </si>
  <si>
    <t>Dominic Leone</t>
  </si>
  <si>
    <t>Nick Nastrini</t>
  </si>
  <si>
    <t>Alexis Díaz</t>
  </si>
  <si>
    <t>Nick Martinez</t>
  </si>
  <si>
    <t>Nick Lodolo</t>
  </si>
  <si>
    <t>Fernando Cruz</t>
  </si>
  <si>
    <t>Andrew Abbott</t>
  </si>
  <si>
    <t>Rhett Lowder</t>
  </si>
  <si>
    <t>Tony Santillan</t>
  </si>
  <si>
    <t>Buck Farmer</t>
  </si>
  <si>
    <t>Emilio Pagán</t>
  </si>
  <si>
    <t>Sam Moll</t>
  </si>
  <si>
    <t>David Buchanan</t>
  </si>
  <si>
    <t>Ian Gibaut</t>
  </si>
  <si>
    <t>Evan Kravetz</t>
  </si>
  <si>
    <t>Alan Busenitz</t>
  </si>
  <si>
    <t>Tanner Bibee</t>
  </si>
  <si>
    <t>Cade Smith</t>
  </si>
  <si>
    <t>Emmanuel Clase</t>
  </si>
  <si>
    <t>Hunter Gaddis</t>
  </si>
  <si>
    <t>Gavin Williams</t>
  </si>
  <si>
    <t>Tim Herrin</t>
  </si>
  <si>
    <t>Joey Cantillo</t>
  </si>
  <si>
    <t>Eli Morgan</t>
  </si>
  <si>
    <t>Connor Gillispie</t>
  </si>
  <si>
    <t>Andrew Walters</t>
  </si>
  <si>
    <t>Nick Sandlin</t>
  </si>
  <si>
    <t>Triston McKenzie</t>
  </si>
  <si>
    <t>Germán Márquez</t>
  </si>
  <si>
    <t>Ryan Feltner</t>
  </si>
  <si>
    <t>Austin Gomber</t>
  </si>
  <si>
    <t>Kyle Freeland</t>
  </si>
  <si>
    <t>Victor Vodnik</t>
  </si>
  <si>
    <t>Luis Peralta</t>
  </si>
  <si>
    <t>Anthony Molina</t>
  </si>
  <si>
    <t>Chasen Shreve</t>
  </si>
  <si>
    <t>Geoff Hartlieb</t>
  </si>
  <si>
    <t>Evan Justice</t>
  </si>
  <si>
    <t>Tyler Kinley</t>
  </si>
  <si>
    <t>Riley Pint</t>
  </si>
  <si>
    <t>Tanner Gordon</t>
  </si>
  <si>
    <t>Matt Koch</t>
  </si>
  <si>
    <t>Angel Chivilli</t>
  </si>
  <si>
    <t>Jake Bird</t>
  </si>
  <si>
    <t>Justin Lawrence</t>
  </si>
  <si>
    <t>Reese Olson</t>
  </si>
  <si>
    <t>Beau Brieske</t>
  </si>
  <si>
    <t>Matt Manning</t>
  </si>
  <si>
    <t>Ty Madden</t>
  </si>
  <si>
    <t>Alex Lange</t>
  </si>
  <si>
    <t>Keider Montero</t>
  </si>
  <si>
    <t>Bryan Sammons</t>
  </si>
  <si>
    <t>Framber Valdez</t>
  </si>
  <si>
    <t>Hunter Brown</t>
  </si>
  <si>
    <t>Spencer Arrighetti</t>
  </si>
  <si>
    <t>Josh Hader</t>
  </si>
  <si>
    <t>Bryan Abreu</t>
  </si>
  <si>
    <t>Ryan Pressly</t>
  </si>
  <si>
    <t>Shawn Dubin</t>
  </si>
  <si>
    <t>Tayler Scott</t>
  </si>
  <si>
    <t>Luis Contreras</t>
  </si>
  <si>
    <t>Miguel Díaz</t>
  </si>
  <si>
    <t>Dylan Coleman</t>
  </si>
  <si>
    <t>Wander Suero</t>
  </si>
  <si>
    <t>Parker Mushinski</t>
  </si>
  <si>
    <t>Seth Martinez</t>
  </si>
  <si>
    <t>Kaleb Ort</t>
  </si>
  <si>
    <t>Michael Wacha</t>
  </si>
  <si>
    <t>Brady Singer</t>
  </si>
  <si>
    <t>Alec Marsh</t>
  </si>
  <si>
    <t>John Schreiber</t>
  </si>
  <si>
    <t>Carlos Hernández</t>
  </si>
  <si>
    <t>Angel Zerpa</t>
  </si>
  <si>
    <t>Sam Long</t>
  </si>
  <si>
    <t>James McArthur</t>
  </si>
  <si>
    <t>Steven Cruz</t>
  </si>
  <si>
    <t>Jordan Lyles</t>
  </si>
  <si>
    <t>Tyler Duffey</t>
  </si>
  <si>
    <t>Daniel Lynch IV</t>
  </si>
  <si>
    <t>Chris Stratton</t>
  </si>
  <si>
    <t>José Cisnero</t>
  </si>
  <si>
    <t>José Soriano</t>
  </si>
  <si>
    <t>José Quijada</t>
  </si>
  <si>
    <t>Tyler Anderson</t>
  </si>
  <si>
    <t>Reid Detmers</t>
  </si>
  <si>
    <t>Jack Kochanowicz</t>
  </si>
  <si>
    <t>Ryan Zeferjahn</t>
  </si>
  <si>
    <t>Carson Fulmer</t>
  </si>
  <si>
    <t>Hans Crouse</t>
  </si>
  <si>
    <t>José Suarez</t>
  </si>
  <si>
    <t>José Marte</t>
  </si>
  <si>
    <t>Amir Garrett</t>
  </si>
  <si>
    <t>Adam Cimber</t>
  </si>
  <si>
    <t>Andrew Wantz</t>
  </si>
  <si>
    <t>Sam Aldegheri</t>
  </si>
  <si>
    <t>Chase Silseth</t>
  </si>
  <si>
    <t>Victor Mederos</t>
  </si>
  <si>
    <t>Kenny Rosenberg</t>
  </si>
  <si>
    <t>Caden Dana</t>
  </si>
  <si>
    <t>Guillo Zuñiga</t>
  </si>
  <si>
    <t>Yoshinobu Yamamoto</t>
  </si>
  <si>
    <t>Gavin Stone</t>
  </si>
  <si>
    <t>Alex Vesia</t>
  </si>
  <si>
    <t>Blake Treinen</t>
  </si>
  <si>
    <t>Clayton Kershaw</t>
  </si>
  <si>
    <t>Landon Knack</t>
  </si>
  <si>
    <t>Ben Casparius</t>
  </si>
  <si>
    <t>Nabil Crismatt</t>
  </si>
  <si>
    <t>Nick Ramirez</t>
  </si>
  <si>
    <t>Zach Logue</t>
  </si>
  <si>
    <t>Joe Kelly</t>
  </si>
  <si>
    <t>J.P. Feyereisen</t>
  </si>
  <si>
    <t>Bobby Miller</t>
  </si>
  <si>
    <t>Jesús Luzardo</t>
  </si>
  <si>
    <t>Calvin Faucher</t>
  </si>
  <si>
    <t>Ryan Weathers</t>
  </si>
  <si>
    <t>Andrew Nardi</t>
  </si>
  <si>
    <t>Edward Cabrera</t>
  </si>
  <si>
    <t>Anthony Maldonado</t>
  </si>
  <si>
    <t>John McMillon</t>
  </si>
  <si>
    <t>Sixto Sánchez</t>
  </si>
  <si>
    <t>Kyle Tyler</t>
  </si>
  <si>
    <t>Adam Oller</t>
  </si>
  <si>
    <t>Emmanuel Ramirez</t>
  </si>
  <si>
    <t>Eli Villalobos</t>
  </si>
  <si>
    <t>Austin Kitchen</t>
  </si>
  <si>
    <t>Matt Andriese</t>
  </si>
  <si>
    <t>Valente Bellozo</t>
  </si>
  <si>
    <t>Jonathan Bermúdez</t>
  </si>
  <si>
    <t>George Soriano</t>
  </si>
  <si>
    <t>Roddery Muñoz</t>
  </si>
  <si>
    <t>Freddy Peralta</t>
  </si>
  <si>
    <t>Tobias Myers</t>
  </si>
  <si>
    <t>Jared Koenig</t>
  </si>
  <si>
    <t>Hoby Milner</t>
  </si>
  <si>
    <t>Bryan Hudson</t>
  </si>
  <si>
    <t>Aaron Ashby</t>
  </si>
  <si>
    <t>Joel Payamps</t>
  </si>
  <si>
    <t>Rob Zastryzny</t>
  </si>
  <si>
    <t>DL Hall</t>
  </si>
  <si>
    <t>Elvis Peguero</t>
  </si>
  <si>
    <t>J.B. Bukauskas</t>
  </si>
  <si>
    <t>James Meeker</t>
  </si>
  <si>
    <t>Carlos Rodriguez</t>
  </si>
  <si>
    <t>Abner Uribe</t>
  </si>
  <si>
    <t>Dallas Keuchel</t>
  </si>
  <si>
    <t>Bryse Wilson</t>
  </si>
  <si>
    <t>Pablo López</t>
  </si>
  <si>
    <t>Joe Ryan</t>
  </si>
  <si>
    <t>Griffin Jax</t>
  </si>
  <si>
    <t>Simeon Woods Richardson</t>
  </si>
  <si>
    <t>Cole Sands</t>
  </si>
  <si>
    <t>Jhoan Duran</t>
  </si>
  <si>
    <t>David Festa</t>
  </si>
  <si>
    <t>Jorge Alcala</t>
  </si>
  <si>
    <t>Josh Staumont</t>
  </si>
  <si>
    <t>Caleb Thielbar</t>
  </si>
  <si>
    <t>Scott Blewett</t>
  </si>
  <si>
    <t>Caleb Boushley</t>
  </si>
  <si>
    <t>Brent Headrick</t>
  </si>
  <si>
    <t>Randy Dobnak</t>
  </si>
  <si>
    <t>Kody Funderburk</t>
  </si>
  <si>
    <t>Zebby Matthews</t>
  </si>
  <si>
    <t>Steven Okert</t>
  </si>
  <si>
    <t>Jay Jackson</t>
  </si>
  <si>
    <t>Louie Varland</t>
  </si>
  <si>
    <t>Dedniel Núñez</t>
  </si>
  <si>
    <t>Sean Manaea</t>
  </si>
  <si>
    <t>David Peterson</t>
  </si>
  <si>
    <t>Edwin Díaz</t>
  </si>
  <si>
    <t>Jose Quintana</t>
  </si>
  <si>
    <t>José Buttó</t>
  </si>
  <si>
    <t>Kodai Senga</t>
  </si>
  <si>
    <t>Josh Walker</t>
  </si>
  <si>
    <t>Julio Teheran</t>
  </si>
  <si>
    <t>Grant Hartwig</t>
  </si>
  <si>
    <t>Eric Orze</t>
  </si>
  <si>
    <t>Jake Diekman</t>
  </si>
  <si>
    <t>Jonathan Loáisiga</t>
  </si>
  <si>
    <t>Victor González</t>
  </si>
  <si>
    <t>Carlos Rodón</t>
  </si>
  <si>
    <t>Yoendrys Gómez</t>
  </si>
  <si>
    <t>Nestor Cortes</t>
  </si>
  <si>
    <t>Luke Weaver</t>
  </si>
  <si>
    <t>Marcus Stroman</t>
  </si>
  <si>
    <t>Ian Hamilton</t>
  </si>
  <si>
    <t>Will Warren</t>
  </si>
  <si>
    <t>Phil Bickford</t>
  </si>
  <si>
    <t>Josh Maciejewski</t>
  </si>
  <si>
    <t>Anthony Misiewicz</t>
  </si>
  <si>
    <t>Clayton Andrews</t>
  </si>
  <si>
    <t>Mason Miller</t>
  </si>
  <si>
    <t>Osvaldo Bido</t>
  </si>
  <si>
    <t>Mitch Spence</t>
  </si>
  <si>
    <t>JP Sears</t>
  </si>
  <si>
    <t>Joey Estes</t>
  </si>
  <si>
    <t>Michel Otañez</t>
  </si>
  <si>
    <t>Tyler Ferguson</t>
  </si>
  <si>
    <t>T.J. McFarland</t>
  </si>
  <si>
    <t>Joe Boyle</t>
  </si>
  <si>
    <t>Michael Kelly</t>
  </si>
  <si>
    <t>Kyle Muller</t>
  </si>
  <si>
    <t>Scott Alexander</t>
  </si>
  <si>
    <t>Grant Holman</t>
  </si>
  <si>
    <t>Austin Adams</t>
  </si>
  <si>
    <t>Jack O'Loughlin</t>
  </si>
  <si>
    <t>Aaron Brooks</t>
  </si>
  <si>
    <t>****</t>
  </si>
  <si>
    <t>Sean Newcomb</t>
  </si>
  <si>
    <t>Dany Jiménez</t>
  </si>
  <si>
    <t>Luis F. Ortiz</t>
  </si>
  <si>
    <t>Cristopher Sánchez</t>
  </si>
  <si>
    <t>Ranger Suárez</t>
  </si>
  <si>
    <t>Orion Kerkering</t>
  </si>
  <si>
    <t>José Alvarado</t>
  </si>
  <si>
    <t>Nick Nelson</t>
  </si>
  <si>
    <t>José Ruiz</t>
  </si>
  <si>
    <t>Kolby Allard</t>
  </si>
  <si>
    <t>Tyler Gilbert</t>
  </si>
  <si>
    <t>Ricardo Pinto</t>
  </si>
  <si>
    <t>Yunior Marte</t>
  </si>
  <si>
    <t>Domingo Germán</t>
  </si>
  <si>
    <t>Jose E. Hernandez</t>
  </si>
  <si>
    <t>Paul Skenes</t>
  </si>
  <si>
    <t>Mitch Keller</t>
  </si>
  <si>
    <t>Bailey Falter</t>
  </si>
  <si>
    <t>Aroldis Chapman</t>
  </si>
  <si>
    <t>Luis L. Ortiz</t>
  </si>
  <si>
    <t>Hunter Stratton</t>
  </si>
  <si>
    <t>Carmen Mlodzinski</t>
  </si>
  <si>
    <t>Kyle Nicolas</t>
  </si>
  <si>
    <t>Isaac Mattson</t>
  </si>
  <si>
    <t>Ryder Ryan</t>
  </si>
  <si>
    <t>Josh Fleming</t>
  </si>
  <si>
    <t>David Bednar</t>
  </si>
  <si>
    <t>Michael King</t>
  </si>
  <si>
    <t>Matt Waldron</t>
  </si>
  <si>
    <t>Randy Vásquez</t>
  </si>
  <si>
    <t>Yuki Matsui</t>
  </si>
  <si>
    <t>Stephen Kolek</t>
  </si>
  <si>
    <t>Sean Reynolds</t>
  </si>
  <si>
    <t>Alek Jacob</t>
  </si>
  <si>
    <t>Austin Davis</t>
  </si>
  <si>
    <t>Carl Edwards Jr.</t>
  </si>
  <si>
    <t>Logan Gillaspie</t>
  </si>
  <si>
    <t>Adam Mazur</t>
  </si>
  <si>
    <t>Wandy Peralta</t>
  </si>
  <si>
    <t>Andrés Muñoz</t>
  </si>
  <si>
    <t>George Kirby</t>
  </si>
  <si>
    <t>Logan Gilbert</t>
  </si>
  <si>
    <t>Bryce Miller</t>
  </si>
  <si>
    <t>Luis Castillo</t>
  </si>
  <si>
    <t>Trent Thornton</t>
  </si>
  <si>
    <t>Collin Snider</t>
  </si>
  <si>
    <t>Eduard Bazardo</t>
  </si>
  <si>
    <t>Tayler Saucedo</t>
  </si>
  <si>
    <t>Gregory Santos</t>
  </si>
  <si>
    <t>Austin Voth</t>
  </si>
  <si>
    <t>Troy Taylor</t>
  </si>
  <si>
    <t>Kirby Snead</t>
  </si>
  <si>
    <t>Jhonathan Díaz</t>
  </si>
  <si>
    <t>Cody Bolton</t>
  </si>
  <si>
    <t>Emerson Hancock</t>
  </si>
  <si>
    <t>Blake Snell</t>
  </si>
  <si>
    <t>Ryan Walker</t>
  </si>
  <si>
    <t>Kyle Harrison</t>
  </si>
  <si>
    <t>Tyler Rogers</t>
  </si>
  <si>
    <t>Landen Roupp</t>
  </si>
  <si>
    <t>Randy Rodríguez</t>
  </si>
  <si>
    <t>Erik Miller</t>
  </si>
  <si>
    <t>Sean Hjelle</t>
  </si>
  <si>
    <t>Taylor Rogers</t>
  </si>
  <si>
    <t>Tristan Beck</t>
  </si>
  <si>
    <t>Hayden Birdsong</t>
  </si>
  <si>
    <t>Camilo Doval</t>
  </si>
  <si>
    <t>Nick Avila</t>
  </si>
  <si>
    <t>Trevor McDonald</t>
  </si>
  <si>
    <t>Kai-Wei Teng</t>
  </si>
  <si>
    <t>Mason Black</t>
  </si>
  <si>
    <t>Spencer Bivens</t>
  </si>
  <si>
    <t>Sonny Gray</t>
  </si>
  <si>
    <t>Ryan Helsley</t>
  </si>
  <si>
    <t>Miles Mikolas</t>
  </si>
  <si>
    <t>Andre Pallante</t>
  </si>
  <si>
    <t>Ryan Fernandez</t>
  </si>
  <si>
    <t>Michael McGreevy</t>
  </si>
  <si>
    <t>Matthew Liberatore</t>
  </si>
  <si>
    <t>Kyle Leahy</t>
  </si>
  <si>
    <t>Chris Roycroft</t>
  </si>
  <si>
    <t>Adam Kloffenstein</t>
  </si>
  <si>
    <t>Gordon Graceffo</t>
  </si>
  <si>
    <t>Ryan Loutos</t>
  </si>
  <si>
    <t>Riley O'Brien</t>
  </si>
  <si>
    <t>Zack Thompson</t>
  </si>
  <si>
    <t>Pete Fairbanks</t>
  </si>
  <si>
    <t>Zack Littell</t>
  </si>
  <si>
    <t>Ryan Pepiot</t>
  </si>
  <si>
    <t>Edwin Uceta</t>
  </si>
  <si>
    <t>Taj Bradley</t>
  </si>
  <si>
    <t>Kevin Kelly</t>
  </si>
  <si>
    <t>Mason Montgomery</t>
  </si>
  <si>
    <t>Manuel Rodríguez</t>
  </si>
  <si>
    <t>Garrett Cleavinger</t>
  </si>
  <si>
    <t>Justin Sterner</t>
  </si>
  <si>
    <t>Jacob Waguespack</t>
  </si>
  <si>
    <t>Tyler Zuber</t>
  </si>
  <si>
    <t>Erasmo Ramírez</t>
  </si>
  <si>
    <t>Tyler Alexander</t>
  </si>
  <si>
    <t>José Leclerc</t>
  </si>
  <si>
    <t>Jon Gray</t>
  </si>
  <si>
    <t>Max Scherzer</t>
  </si>
  <si>
    <t>Josh Sborz</t>
  </si>
  <si>
    <t>José Ureña</t>
  </si>
  <si>
    <t>Marc Church</t>
  </si>
  <si>
    <t>Cole Winn</t>
  </si>
  <si>
    <t>Gerson Garabito</t>
  </si>
  <si>
    <t>Jack Leiter</t>
  </si>
  <si>
    <t>Jacob Latz</t>
  </si>
  <si>
    <t>Austin Pruitt</t>
  </si>
  <si>
    <t>Grant Anderson</t>
  </si>
  <si>
    <t>Kevin Gausman</t>
  </si>
  <si>
    <t>Yariel Rodríguez</t>
  </si>
  <si>
    <t>José Berríos</t>
  </si>
  <si>
    <t>Bowden Francis</t>
  </si>
  <si>
    <t>Brandon Eisert</t>
  </si>
  <si>
    <t>Paolo Espino</t>
  </si>
  <si>
    <t>Brendon Little</t>
  </si>
  <si>
    <t>Génesis Cabrera</t>
  </si>
  <si>
    <t>Erik Swanson</t>
  </si>
  <si>
    <t>MacKenzie Gore</t>
  </si>
  <si>
    <t>Mitchell Parker</t>
  </si>
  <si>
    <t>Robert Garcia</t>
  </si>
  <si>
    <t>Jose A. Ferrer</t>
  </si>
  <si>
    <t>Jackson Rutledge</t>
  </si>
  <si>
    <t>Matt Barnes</t>
  </si>
  <si>
    <t>Jacob Barnes</t>
  </si>
  <si>
    <t>Orlando Ribalta</t>
  </si>
  <si>
    <t>Kyle Finnegan</t>
  </si>
  <si>
    <t>Amos Willingham</t>
  </si>
  <si>
    <t>Joan Adon</t>
  </si>
  <si>
    <t>Joe La Sorsa</t>
  </si>
  <si>
    <t>Jordan Weems</t>
  </si>
  <si>
    <t>2023 MLB Pitchers Who Have Had TJ Surgery, By Team &amp; Usage</t>
  </si>
  <si>
    <t>Daniel Hudson, Justin Bruihl, Ryan Brasier, Brusdar Graterol, Lance Lynn, Andre Jackson, Nick Robertson, Victor González, Michael Grove, Shelby Miller, Gus Varland, Noah Syndergaard, Caleb Ferguson, Dustin May, Tony Gonsolin</t>
  </si>
  <si>
    <t>Alex Reyes, Jimmy Nelson, Walker Buehler</t>
  </si>
  <si>
    <t>Alec Mills, Derek Law, Alexis Díaz, Levi Stoudt, Kevin Herget, Silvino Bracho, Hunter Greene, Ricky Karcher, Casey Legumina, Jake Wong, Lyon Richardson, Tejay Antone, Connor Overton, Reiver Sanmartin</t>
  </si>
  <si>
    <t>Ron Marinaccio, Clay Holmes, Matt Krook, Domingo Germán, Jonathan Loáisiga, Jhony Brito, Clarke Schmidt, Keynan Middleton, Carlos Rodón, Luis Severino, Tommy Kahnle, Matt Bowman, Jimmy Cordero, Yoendrys Gómez</t>
  </si>
  <si>
    <t>Luis Gil, Scott Effross, Lou Trivino</t>
  </si>
  <si>
    <t>Lucas Giolito, Dylan Cease, Nicholas Padilla, Aaron Bummer, Lance Lynn, Brent Honeywell, Keynan Middleton, Kendall Graveman, Michael Kopech, Jimmy Lambert, Mike Clevinger, Garrett Crochet, Liam Hendriks</t>
  </si>
  <si>
    <t>José Cisnero, Will Vest, Garrett Hill, Tarik Skubal, Jason Foley, Tyler Holton, Mason Englert, Joey Wentz, Trey Wingenter, Alex Faedo, Brenan Hanifee, Spencer Turnbull, Matthew Boyd</t>
  </si>
  <si>
    <t>Casey Mize, Freddy Pacheco</t>
  </si>
  <si>
    <t>Zack Burdi, Pete Fairbanks, Drew Rasmussen, Ryan Thompson, Colin Poche, Yonny Chirinos, Jalen Beeks, Jacob Lopez, Chris Devenski, Tyler Glasnow, Andrew Kittredge, Jeffrey Springs, Shane McClanahan</t>
  </si>
  <si>
    <t>Martín Pérez, Andrew Heaney, Nathan Eovaldi, John King, Will Smith, Jordan Montgomery, Alex Speas, Dane Dunning, Owen White, Cole Ragans, José Leclerc, Jonathan Hernández, Jacob deGrom</t>
  </si>
  <si>
    <t/>
  </si>
  <si>
    <t>Ryan Brasier, Justin Garza, Nick Robertson, Brandon Walter, Dinelson Lamet, Matt Dermody, Ryan Sherriff, Garrett Whitlock, Kutter Crawford, Zack Kelly, Chris Sale, James Paxton</t>
  </si>
  <si>
    <t>Lucas Giolito, Reyes Moronta, Matt Moore, Jacob Webb, Shohei Ohtani, Davis Daniel, Ben Joyce, Gerardo Reyes, Chris Devenski, José Soriano, José Quijada, Austin Warren</t>
  </si>
  <si>
    <t>Rich Hill, Scott Barlow, Yu Darvish, Domingo Tapia, Steven Wilson, Robert Suarez, Nick Hernandez, Brent Honeywell, Pedro Avila, Tom Cosgrove, José Castillo, Adrian Morejon</t>
  </si>
  <si>
    <t>Andrew Chafin, Scott McGough, Cole Sulser, Peter Strzelecki, Ryan Thompson, Joe Mantiply, Peter Solomon, Carlos Vargas, Andrew Saalfrank, Justin Martinez, Drey Jameson</t>
  </si>
  <si>
    <t>Mark Melancon, Corbin Martin</t>
  </si>
  <si>
    <t>Shane Greene, Keegan Thompson, Anthony Kay, Drew Smyly, Justin Steele, Julian Merryweather, Mark Leiter Jr., Michael Fulmer, Jameson Taillon, Jeremiah Estrada, Nick Burdi</t>
  </si>
  <si>
    <t>Codi Heuer, Ethan Roberts</t>
  </si>
  <si>
    <t>Justin Bruihl, Chris Flexen, Blair Calvo, Noah Davis, Dinelson Lamet, Brent Suter, Matt Carasiti, Ty Blach, Peter Lambert, Germán Márquez, Antonio Senzatela</t>
  </si>
  <si>
    <t>JT Chargois, Matt Moore, Bryan Hoeing, Jesús Luzardo, Sean Nolin, Braxton Garrett, Chi Chi González, A.J. Puk, Johnny Cueto, David Robertson, Sandy Alcantara</t>
  </si>
  <si>
    <t>Tommy Nance, Max Meyer, Anthony Bender</t>
  </si>
  <si>
    <t>Carlos Carrasco, Jeff Brigham, Adam Ottavino, Anthony Kay, Sam Coonrod, David Robertson, Justin Verlander, Joey Lucchesi, John Curtiss, Sean Reid-Foley, Drew Smith</t>
  </si>
  <si>
    <t>Drew VerHagen, Steven Matz, Giovanny Gallegos, Adam Wainwright, Packy Naughton, James Naile, John King, Jordan Montgomery, Jordan Hicks, Dakota Hudson, JoJo Romero</t>
  </si>
  <si>
    <t>Gabe Speier, Chris Flexen, Justin Topa, Marco Gonzales, Matt Festa, Andrés Muñoz, Ty Adcock, Easton McGee, Robbie Ray, Penn Murfee</t>
  </si>
  <si>
    <t>Patrick Corbin, Andrés Machado, Hunter Harvey, Anthony Banda, Chad Kuhl, Jake Irvin, Rico Garcia, Thaddeus Ward, Tanner Rainey, Mason Thompson</t>
  </si>
  <si>
    <t>Charlie Morton, Max Fried, A.J. Minter, Lucas Luetge, Ben Heller, Spencer Strider, Yonny Chirinos, Kirby Yates, Daysbel Hernández</t>
  </si>
  <si>
    <t>Huascar Ynoa, Tyler Matzek</t>
  </si>
  <si>
    <t>Andrew Chafin, Trevor Megill, Peter Strzelecki, Ethan Small, Adrian Houser, Colin Rea, Devin Williams, Matt Bush, Gus Varland</t>
  </si>
  <si>
    <t>Vince Velasquez, Rich Hill, Ryan Borucki, Yerry De Los Santos, Wil Crowe, Andre Jackson, Colin Holderman, Jose Hernandez, Angel Perdomo</t>
  </si>
  <si>
    <t>Mitch White, Jordan Romano, Chris Bassitt, Yimi García, Zach Pop, Jordan Hicks, Tim Mayza, Chad Green, Hyun Jin Ryu</t>
  </si>
  <si>
    <t>Alex Wood, Ross Stripling, Alex Cobb, Logan Webb, John Brebbia, Keaton Winn, Luke Jackson, Cole Waites</t>
  </si>
  <si>
    <t>Danny Coulombe, Kyle Gibson, Cole Irvin, Jacob Webb, Tyler Wells, Félix Bautista, John Means</t>
  </si>
  <si>
    <t>Lucas Giolito, Matt Moore, Cal Quantrill, Cody Morris, Zach Plesac, Sam Hentges, Noah Syndergaard</t>
  </si>
  <si>
    <t>Pablo López, Bailey Ober, Brock Stewart, Kenta Maeda, Chris Paddack, Tyler Mahle, José De León</t>
  </si>
  <si>
    <t>Adrián Martínez, Trevor May, James Kaprielian, Hogan Harris, Rico Garcia, Richard Lovelady, Garrett Acton</t>
  </si>
  <si>
    <t>J.P. France, Rafael Montero, Kendall Graveman, Justin Verlander, Luis Garcia, José Urquidy</t>
  </si>
  <si>
    <t>Scott Barlow, Taylor Clarke, Brooks Kriske, Cole Ragans, Jonathan Bowlan, Kris Bubic</t>
  </si>
  <si>
    <t>Matt Strahm, Jeff Hoffman, Zack Wheeler, Andrew Bellatti, Taijuan Walker, Seranthony Domínguez</t>
  </si>
  <si>
    <t>10/1/1023</t>
  </si>
  <si>
    <t>2022 MLB Pitchers Who Have Had TJ Surgery, By Team &amp; Usage</t>
  </si>
  <si>
    <t>Shane Greene, Manny Banuelos, Ron Marinaccio, Clay Holmes, Domingo German, Jonathan Loaisiga, Clarke Schmidt, Lucas Luetge, Chi Chi Gonzalez, Jordan Montgomery, Anthony Banda, Jameson Taillon, Luis Severino, Luis Gil, Chad Green, Scott Effross</t>
  </si>
  <si>
    <t>Wily Peralta, Andrew Chafin, Drew Hutchison, Jose Cisnero, Derek Law, Will Vest, Garrett Hill, Tarik Skubal, Jason Foley, Michael Pineda, Bryan Garcia, Michael Fulmer, Joey Wentz, Alex Faedo, Casey Mize</t>
  </si>
  <si>
    <t>Adrian Sampson, Alec Mills, Nicholas Padilla, Keegan Thompson, Kervin Castro, Drew Smyly, Justin Steele, Matt Dermody, Mark Leiter, Anderson Espinoza, David Robertson, Jeremiah Estrada, Ethan Roberts, Scott Effross</t>
  </si>
  <si>
    <t>Shane Greene, Reyes Moronta, Daniel Hudson, Mitch White, Justin Bruihl, Brusdar Graterol, Robbie Erlin, Andrew Heaney, Andre Jackson, Michael Grove, Tommy Kahnle, Caleb Ferguson, Dustin May, Walker Buehler</t>
  </si>
  <si>
    <t>Jake McGee, Jason Alexander, Justin Topa, Peter Strzelecki, Ethan Small, Adrian Houser, Devin Williams, Jandel Gustave, Chi Chi Gonzalez, Brent Suter, Matt Bush, Connor Sadzeck, Luis Perdomo, Luke Barker</t>
  </si>
  <si>
    <t>Jeff Brigham, Tommy Nance, Pablo Lopez, Cole Sulser, Bryan Hoeing, Jesus Luzardo, Jordan Holloway, Braxton Garrett, A.J. Ladwig, Zach Pop, Max Meyer, Cody Poteet, Anthony Bender</t>
  </si>
  <si>
    <t>Ryan Borucki, Mitch White, Ross Stripling, Jordan Romano, Anthony Kay, Yimi Garcia, Julian Merryweather, David Phelps, Anthony Banda, Zach Pop, Tim Mayza, Foster Griffin, Hyun-Jin Ryu</t>
  </si>
  <si>
    <t>Hunter Strickland, Kyle Dowdy, Art Warren, Jeff Hoffman, Derek Law, Alexis Diaz, Connor Overton, Hunter Greene, Raynel Espinal, Jared Solomon, Justin Wilson, Vladimir Gutierrez</t>
  </si>
  <si>
    <t>Jacob deGrom, Carlos Carrasco, Bryce Montes de Oca, Adam Ottavino, Nate Fisher, Chris Bassitt, Trevor May, Thomas Szapucki, Colin Holderman, Taijuan Walker, Drew Smith, Sean Reid-Foley</t>
  </si>
  <si>
    <t>Stephen Ridings, Joey Lucchesi, John Curtiss</t>
  </si>
  <si>
    <t>Jake McGee, Alex Wood, Alex Cobb, Logan Webb, Kervin Castro, Shelby Miller, Thomas Szapucki, Jharel Cotton, Carlos Rodon, Tyler Beede, John Brebbia, Jose Alvarez</t>
  </si>
  <si>
    <t>Drew VerHagen, Steven Matz, Giovanny Gallegos, Adam Wainwright, Packy Naughton, James Naile, Kodi Whitley, Jordan Montgomery, Jordan Hicks, Jake Walsh, Dakota Hudson, JoJo Romero</t>
  </si>
  <si>
    <t>Kyle Gibson, Zack Wheeler, Nick Duron, Sam Coonrod, Andrew Bellatti, Corey Knebel, David Robertson, Noah Syndergaard, Seranthony Dominguez, JoJo Romero, Chris Devenski</t>
  </si>
  <si>
    <t>JT Chargois, Pete Fairbanks, Drew Rasmussen, Ryan Thompson, Kevin Herget, Colin Poche, Yonny Chirinos, Jalen Beeks, Tyler Glasnow, Andrew Kittredge, Shane Baz</t>
  </si>
  <si>
    <t>Matt Moore, Martin Perez, Greg Holland, John King, Garrett Richards, Dane Dunning, Cole Ragans, Matt Bush, Nicklaus Snyder, Jose Leclerc, Jonathan Hernandez</t>
  </si>
  <si>
    <t>Anibal Sanchez, Jake McGee, Stephen Strasburg, Patrick Murphy, Patrick Corbin, Erick Fedde, Andres Machado, Mason Thompson, Hunter Harvey, Josh Rogers, Tanner Rainey</t>
  </si>
  <si>
    <t>Charlie Morton, Max Fried, A.J. Minter, Will Smith, Spencer Strider, Silvino Bracho, Tyler Thornburg, Kirby Yates, Huascar Ynoa, Tyler Matzek</t>
  </si>
  <si>
    <t>Vince Velasquez, Lucas Giolito, Dylan Cease, Aaron Bummer, Lance Lynn, Kendall Graveman, Johnny Cueto, Michael Kopech, Jimmy Lambert, Ryan Burr</t>
  </si>
  <si>
    <t>Danny Coulombe, Trevor Megill, Dylan Bundy, Bailey Ober, Chi Chi Gonzalez, Jharel Cotton, Jhon Romero, Michael Fulmer, Tyler Thornburg, Chris Paddack</t>
  </si>
  <si>
    <t>Manny Banuelos, Dillon Peters, Beau Sulser, Yerry De Los Santos, Wil Crowe, Miguel Yajure, Colin Holderman, Anthony Banda, Tyler Beede, Max Kranick</t>
  </si>
  <si>
    <t>Mark Melancon, Reyes Moronta, J.B. Wendelken, Tyler Holton, Joe Mantiply, Keynan Middleton, Corbin Martin, Chris Devenski, Humberto Castellanos</t>
  </si>
  <si>
    <t>Yu Darvish, Steven Wilson, Robert Suarez, Dinelson Lamet, Pedro Avila, Mike Clevinger, Jose Castillo, Michel Baez, Adrian Morejon</t>
  </si>
  <si>
    <t>Rich Hill, Matt Strahm, Ryan Brasier, Nathan Eovaldi, Garrett Whitlock, Kutter Crawford, Zack Kelly, Chris Sale</t>
  </si>
  <si>
    <t>Zach Jackson, Cole Irvin, Domingo Tapia, Adrian Martinez, James Kaprielian, A.J. Puk, Collin Wiles, Daulton Jefferies</t>
  </si>
  <si>
    <t>Ryan Borucki, Drew Steckenrider, Chris Flexen, Marco Gonzales, Matthew Festa, Andres Munoz, Ken Giles, Roenis Elias</t>
  </si>
  <si>
    <t>Cal Quantrill, Anthony Castro, Cody Morris, Zach Plesac, Sam Hentges, Anthony Gose</t>
  </si>
  <si>
    <t>Blake Taylor, Jose Urquidy, Will Smith, Rafael Montero, Lance McCullers Jr., Justin Verlander</t>
  </si>
  <si>
    <t>Arodys Vizcaino, Scott Barlow, Taylor Clarke, Gabe Speier, Foster Griffin, Jake Brentz</t>
  </si>
  <si>
    <t>Jordan Sheffield, Noah Davis, Dinelson Lamet, Chad Kuhl, Ty Blach</t>
  </si>
  <si>
    <t>Brian Moran, Nash Walters, Shohei Ohtani, Noah Syndergaard, Gerardo Reyes</t>
  </si>
  <si>
    <t>Beau Sulser, Tyler Wells, Rico Garcia, John Means</t>
  </si>
  <si>
    <t>2021 MLB Pitchers Who Have Had TJ Surgery, By Team &amp; Usage</t>
  </si>
  <si>
    <t>Hyun-Jin Ryu, Rafael Dolis, Steven Matz, Joakim Soria, Patrick Murphy, Ryan Borucki, Ross Stripling, Tyler Chatwood, Jordan Romano, Anthony Castro, Travis Bergen, Nick Allgeyer, Anthony Kay, Connor Overton, Julian Merryweather, David Phelps, Tim Mayza</t>
  </si>
  <si>
    <t>Javy Guerra, Will Harris, Stephen Strasburg, Justin Miller, Patrick Murphy, Daniel Hudson, Patrick Corbin, Erick Fedde, Andres Machado, Mason Thompson, Sean Nolin, Joe Ross, Gabe Klobosits, Jhon Romero, Josh Rogers, Luis Avilan</t>
  </si>
  <si>
    <t>John Axford, Jordan Zimmermann, Brett Anderson, Hunter Strickland, Justin Topa, Adrian Houser, Colin Rea, Devin Williams, Jandel Gustave, Patrick Weigel, Drew Rasmussen, Brent Suter, Blaine Hardy, John Curtiss</t>
  </si>
  <si>
    <t>Shane Greene, Charlie Morton, Josh Tomlin, Nate Jones, Max Fried, A.J. Minter, Jacob Webb, Jesse Biddle, Will Smith, Drew Smyly, Grant Dayton, Edgar Santana, Spencer Strider</t>
  </si>
  <si>
    <t>Mark Melancon, Vince Velasquez, Daniel Hudson, Matt Strahm, Yu Darvish, Mason Thompson, Taylor Williams, Chris Paddack, Dinelson Lamet, Pedro Avila, Adrian Morejon, Keone Kela, Dan Altavilla</t>
  </si>
  <si>
    <t>Trey Wingenter, Mike Clevinger, Jose Castillo, Michel Baez</t>
  </si>
  <si>
    <t>Drew Steckenrider, JT Chargois, Chris Flexen, Domingo Tapia, Casey Sadler, Will Vest, Marco Gonzales, Rafael Montero, Keynan Middleton, Kendall Graveman, Andres Munoz, Ljay Newsome, James Paxton</t>
  </si>
  <si>
    <t>Andrew Chafin, Adrian Sampson, Joe Biagini, Brad Wieck, Tommy Nance, Trevor Megill, Alec Mills, Dan Winkler, Brandon Workman, Keegan Thompson, Shelby Miller, Justin Steele</t>
  </si>
  <si>
    <t>Shane Greene, Neftali Feliz, Mitch White, Justin Bruihl, Nate Jones, Brusdar Graterol, Walker Buehler, Andre Jackson, Victor Gonzalez, Corey Knebel, Dustin May, Jimmy Nelson</t>
  </si>
  <si>
    <t>Tommy Kahnle, Caleb Ferguson</t>
  </si>
  <si>
    <t>Brandon Brennan, Martin Perez, Ryan Brasier, Adam Ottavino, Brandon Workman, Nathan Eovaldi, Garrett Richards, Garrett Whitlock, Raynel Espinal, Kutter Crawford, Chris Sale</t>
  </si>
  <si>
    <t>Jacob deGrom, Rich Hill, Carlos Carrasco, Nick Tropeano, Trevor May, Thomas Szapucki, Taijuan Walker, Anthony Banda, Drew Smith, Noah Syndergaard, Joey Lucchesi</t>
  </si>
  <si>
    <t>Clay Holmes, Domingo German, Jonathan Loaisiga, Andrew Heaney, Stephen Ridings, Brooks Kriske, Clarke Schmidt, Lucas Luetge, Jordan Montgomery, Jameson Taillon, Luis Severino</t>
  </si>
  <si>
    <t>Rich Hill, Hunter Strickland, JT Chargois, Dietrich Enns, Pete Fairbanks, Drew Rasmussen, Ryan Thompson, Brent Honeywell, Ryan Sherriff, David Robertson, Tyler Glasnow</t>
  </si>
  <si>
    <t>Colin Poche, Yonny Chirinos, Jalen Beeks</t>
  </si>
  <si>
    <t>Lucas Giolito, Dylan Cease, Jace Fry, Aaron Bummer, Lance Lynn, Zack Burdi, Michael Kopech, Carlos Rodon, Ryan Burr, Jimmy Lambert</t>
  </si>
  <si>
    <t>Andrew Chafin, Cam Bedrosian, Cole Irvin, Burch Smith, Jesus Luzardo, Chris Bassitt, J.B. Wendelken, James Kaprielian, Daulton Jefferies, A.J. Puk</t>
  </si>
  <si>
    <t>Vince Velasquez, Kyle Gibson, Neftali Feliz, David Paulino, Andrew Knapp, Matt Moore, Zack Wheeler, Sam Coonrod, Seranthony Dominguez, JoJo Romero</t>
  </si>
  <si>
    <t>Jake McGee, Alex Wood, Reyes Moronta, Tyler Chatwood, Logan Webb, Nick Tropeano, Kervin Castro, Johnny Cueto, Tyler Beede, John Brebbia</t>
  </si>
  <si>
    <t>Dedniel Nunez, Sam Delaplane</t>
  </si>
  <si>
    <t>Matt Carpenter, Tyler Webb, Giovanny Gallegos, Adam Wainwright, Justin Miller, Kodi Whitley, Kwang-hyun Kim, Alex Reyes, Jordan Hicks, Dakota Hudson</t>
  </si>
  <si>
    <t>Wily Peralta, Drew Hutchison, Jose Cisnero, Tarik Skubal, Miguel Del Pozo, Jason Foley, Bryan Garcia, Michael Fulmer, Spencer Turnbull</t>
  </si>
  <si>
    <t>Pablo Lopez, Taylor Williams, Jesus Luzardo, Yimi Garcia, Jordan Holloway, Braxton Garrett, Andrew Bellatti, Zach Pop, John Curtiss</t>
  </si>
  <si>
    <t>Kyle Gibson, Wes Benjamin, Drew Anderson, John King, Jharel Cotton, Kyle Cody, Dane Dunning, Matt Bush, Nick Snyder</t>
  </si>
  <si>
    <t>Kent Emanuel, Blake Taylor, Yimi Garcia, Jose Urquidy, Rafael Montero, Kendall Graveman, Lance McCullers Jr., Peter Solomon</t>
  </si>
  <si>
    <t>Clay Holmes, Dillon Peters, Wil Crowe, Miguel Yajure, Connor Overton, Shelby Miller, Anthony Banda, Chad Kuhl</t>
  </si>
  <si>
    <t>Blake Cederlind, Jose Soriano</t>
  </si>
  <si>
    <t>Manny Barreda, Matt Harvey, Cole Sulser, Hunter Harvey, Brooks Kriske, Zack Burdi, Tyler Wells</t>
  </si>
  <si>
    <t>Jesse Hahn, Scott Barlow, Danny Duffy, Gabe Speier, Domingo Tapia, Greg Holland, Richard Lovelady</t>
  </si>
  <si>
    <t>AJ Ramos, Packy Naughton, Hunter Strickland, Dylan Bundy, Alex Cobb, Andrew Heaney, Shohei Ohtani</t>
  </si>
  <si>
    <t>Joakim Soria, Taylor Clarke, J.B. Wendelken, Joe Mantiply, Corbin Martin, Chris Devenski</t>
  </si>
  <si>
    <t>Josh Osich, Cam Bedrosian, Art Warren, Jeff Hoffman, Jose De Leon, Tejay Antone</t>
  </si>
  <si>
    <t>Andrew Albers, Danny Coulombe, Derek Law, Bailey Ober, Lewis Thorpe, Michael Pineda</t>
  </si>
  <si>
    <t>Cal Quantrill, Justin Garza, Zach Plesac, Sam Hentges</t>
  </si>
  <si>
    <t>Jordan Sheffield, Chi Chi Gonzalez, Julian Fernandez, Peter Lambert</t>
  </si>
  <si>
    <t>2020 MLB Pitchers Who Have Had TJ Surgery, By Team &amp; Usage</t>
  </si>
  <si>
    <t>Blue Jays</t>
  </si>
  <si>
    <t>Hyun-Jin Ryu, Rafael Dolis, Wilmer Font, Patrick Murphy, Ryan Borucki, Ross Stripling, Brian Moran, Jordan Romano, Travis Bergen, Anthony Kay, Julian Merryweather, Taijuan Walker, Ken Giles</t>
  </si>
  <si>
    <t>Nationals</t>
  </si>
  <si>
    <t>Anibal Sanchez, Javy Guerra, Will Harris, Stephen Strasburg, Daniel Hudson, Patrick Corbin, Erick Fedde, Wil Crowe, James Bourque, Aaron Barrett, Seth Romero, Sam Freeman</t>
  </si>
  <si>
    <t>Royals</t>
  </si>
  <si>
    <t>Jesse Hahn, Scott Barlow, Danny Duffy, Gabe Speier, Matt Harvey, Randy Rosario, Glenn Sparkman, Greg Holland, Trevor Rosenthal, Foster Griffin, Chance Adams</t>
  </si>
  <si>
    <t>Braves</t>
  </si>
  <si>
    <t>Mark Melancon, Shane Greene, Josh Tomlin, Max Fried, A.J. Minter, Jacob Webb, Robbie Erlin, Will Smith, Patrick Weigel, Grant Dayton</t>
  </si>
  <si>
    <t>Cubs</t>
  </si>
  <si>
    <t>Andrew Chafin, Josh Osich, Brad Wieck, Alec Mills, Dan Winkler, Tyler Chatwood, Yu Darvish, Casey Sadler, Colin Rea, Matt Dermody</t>
  </si>
  <si>
    <t>Padres</t>
  </si>
  <si>
    <t>Kirby Yates, Matt Strahm, Cal Quantrill, Taylor Williams, Chris Paddack, Trevor Rosenthal, Dinelson Lamet, Garrett Richards, Luis Perdomo, Mike Clevinger</t>
  </si>
  <si>
    <t>Anderson Espinoza, Trey Wingenter</t>
  </si>
  <si>
    <t>Brewers</t>
  </si>
  <si>
    <t>Ray Black, Brett Anderson, Justin Topa, Adrian Houser, Devin Williams, Drew Rasmussen, David Phelps, Brent Suter, Corey Knebel</t>
  </si>
  <si>
    <t>Marlins</t>
  </si>
  <si>
    <t>Josh A. Smith, Jeff Brigham, Pablo Lopez, Brian Moran, Yimi Garcia, Jordan Holloway, Braxton Garrett, Brett Eibner, Brandon Leibrandt</t>
  </si>
  <si>
    <t>Rangers</t>
  </si>
  <si>
    <t>Kyle Gibson, Nick Goody, Wes Benjamin, Lance Lynn, John King, Joseph Palumbo, Edinson Volquez, Rafael Montero, Kyle Cody</t>
  </si>
  <si>
    <t>Red Sox</t>
  </si>
  <si>
    <t>Andrew Triggs, Josh Osich, Marcus Walden, Kyle Hart, Martin Perez, Ryan Brasier, Domingo Tapia, Brandon Workman, Nathan Eovaldi</t>
  </si>
  <si>
    <t>White Sox</t>
  </si>
  <si>
    <t>Lucas Giolito, Dylan Cease, Drew Anderson, Jace Fry, Aaron Bummer, Zack Burdi, Dane Dunning, Carlos Rodon, Jimmy Lambert</t>
  </si>
  <si>
    <t>Cardinals</t>
  </si>
  <si>
    <t>Tyler Webb, Giovanny Gallegos, Adam Wainwright, Kodi Whitley, Kwang-hyun Kim, Alex Reyes, Dakota Hudson, Ricardo Sanchez</t>
  </si>
  <si>
    <t>Jordan Hicks, John Brebbia</t>
  </si>
  <si>
    <t>Dodgers</t>
  </si>
  <si>
    <t>Jake McGee, Alex Wood, Mitchell White, Ross Stripling, Brusdar Graterol, Walker Buehler, Victor Gonzalez, Caleb Ferguson</t>
  </si>
  <si>
    <t>Pirates</t>
  </si>
  <si>
    <t>Clay Holmes, Tyler Bashlor, Miguel Del Pozo, Robbie Erlin, Nick Tropeano, Nik Turley, Chad Kuhl, Nick Burdi</t>
  </si>
  <si>
    <t>Rays</t>
  </si>
  <si>
    <t>Charlie Morton, John Curtiss, Peter Fairbanks, Ryan Thompson, Ryan Sherriff, Anthony Banda, Yonny Chirinos, Jalen Beeks</t>
  </si>
  <si>
    <t>Yankees</t>
  </si>
  <si>
    <t>Adam Ottavino, Jonathan Loaisiga, Brooks Kriske, Miguel Yajure, Clarke Schmidt, Ben Heller, Jordan Montgomery, Tommy Kahnle</t>
  </si>
  <si>
    <t>Astros</t>
  </si>
  <si>
    <t>Joe Biagini, Brandon Bailey, Roberto Osuna, Blake Taylor, Jose Urquidy, Lance McCullers Jr., Justin Verlander</t>
  </si>
  <si>
    <t>Athletics</t>
  </si>
  <si>
    <t>Joakim Soria, Burch Smith, Jesus Luzardo, Chris Bassitt, J.B. Wendelken, James Kaprielian, Daulton Jefferies</t>
  </si>
  <si>
    <t>Diamondbacks</t>
  </si>
  <si>
    <t>Andrew Chafin, Hector Rondon, Taylor Clarke, Travis Bergen, Joe Mantiply, Artie Lewicki, Silvino Bracho</t>
  </si>
  <si>
    <t>Mariners</t>
  </si>
  <si>
    <t>Brandon Brennan, Matt Magill, Taylor Williams, Casey Sadler, Marco Gonzales, Taijuan Walker, Kendall Graveman</t>
  </si>
  <si>
    <t>Tigers</t>
  </si>
  <si>
    <t>Jordan Zimmermann, Ivan Nova, Jose Cisnero, Anthony Castro, Tarik Skubal, Bryan Garcia, Michael Fulmer</t>
  </si>
  <si>
    <t>Twins</t>
  </si>
  <si>
    <t>Daniel Coulombe, Rich Hill, Cory Gearrin, Lewis Thorpe, Homer Bailey, Trevor May, Michael Pineda</t>
  </si>
  <si>
    <t>Angels</t>
  </si>
  <si>
    <t>Cam Bedrosian, Dylan Bundy, Dillon Peters, Andrew Heaney, Keynan Middleton, Shohei Ohtani</t>
  </si>
  <si>
    <t>Rockies</t>
  </si>
  <si>
    <t>AJ Ramos, Jeff Hoffman, Joe Harvey, Jairo Diaz, Chi Chi Gonzalez, Jose Mujica</t>
  </si>
  <si>
    <t>Scott Oberg, Peter Lambert</t>
  </si>
  <si>
    <t>Giants</t>
  </si>
  <si>
    <t>Andrew Triggs, Logan Webb, Drew Smyly, Sam Coonrod, Johnny Cueto</t>
  </si>
  <si>
    <t>Reyes Moronta, Tyler Beede</t>
  </si>
  <si>
    <t>Indians</t>
  </si>
  <si>
    <t>Carlos Carrasco, Cal Quantrill, Zach Plesac, Cameron Hill, Mike Clevinger</t>
  </si>
  <si>
    <t>Mets</t>
  </si>
  <si>
    <t>Steven Matz, Jacob deGrom, Hunter Strickland, Franklyn Kilome, Drew Smith</t>
  </si>
  <si>
    <t>Orioles</t>
  </si>
  <si>
    <t>Cody Carroll, Cole Sulser, Alex Cobb, Branden Kline, Hunter Harvey</t>
  </si>
  <si>
    <t>Phillies</t>
  </si>
  <si>
    <t>Vince Velasquez, Cole Irvin, Zack Wheeler, Brandon Workman, David Phelps</t>
  </si>
  <si>
    <t>David Robertson, Seranthony Dominguez</t>
  </si>
  <si>
    <t>Reds</t>
  </si>
  <si>
    <t>Nate Jones, Jesse Biddle, Tejay Antone, Jose De Leon, Tyler Thornburg</t>
  </si>
  <si>
    <t>2019 MLB Pitchers Who Have Had TJ Surgery, By Team &amp; Usage</t>
  </si>
  <si>
    <t>Anibal Sanchez, Fernando Rodney, Javy Guerra, Tony Sipp, Stephen Strasburg, Justin Miller, Hunter Strickland, Daniel Hudson, Patrick Corbin, Erick Fedde, Jonny Venters, James Bourque, Aaron Barrett, Joe Ross, Trevor Rosenthal</t>
  </si>
  <si>
    <t>Cody Allen, Sam Freeman, Matt Ramsey, Cam Bedrosian, Jared Walsh, John Curtiss, Matt Harvey, Dillon Peters, Tyler Skaggs, Miguel Del Pozo, Andrew Heaney, Nick Tropeano, JC Ramirez, Keynan Middleton</t>
  </si>
  <si>
    <t>Javy Guerra, Ryan Feierabend, Joe Biagini, Wilmer Font, Ryan Borucki, Daniel Hudson, Derek Law, Jordan Romano, Nick Kingham, Anthony Kay, David Phelps, Tim Mayza</t>
  </si>
  <si>
    <t>Adrian Sampson, Shawn Kelley, Taylor Guerrieri, Kyle Dowdy, Jesse Biddle, Lance Lynn, Peter Fairbanks, Joseph Palumbo, Shelby Miller, Drew Smyly, Edinson Volquez, Rafael Montero</t>
  </si>
  <si>
    <t>Mark Melancon, Shane Greene, Arodys Vizcaino, Josh Tomlin, Dan Winkler, Max Fried, Jonny Venters, A.J. Minter, Jacob Webb, Jesse Biddle, Grant Dayton</t>
  </si>
  <si>
    <t>Mark Melancon, Ray Black, Sam Dyson, Reyes Moronta, Burch Smith, Travis Bergen, Logan Webb, Will Smith, Jandel Gustave, Sam Coonrod, Johnny Cueto</t>
  </si>
  <si>
    <t>Josh Osich, Lucas Giolito, Manny Banuelos, Caleb Frare, Ivan Nova, Dylan Cease, Nate Jones, Jace Fry, Aaron Bummer, Carlos Rodon, Ryan Burr</t>
  </si>
  <si>
    <t>Fernando Rodney, Wei-Chung Wang, Brian Schlitter, Brett Anderson, Joakim Soria, Homer Bailey, Jesus Luzardo, Chris Bassitt, J.B. Wendelken, A.J. Puk</t>
  </si>
  <si>
    <t>Hunter Strickland, Brandon Brennan, Art Warren, Connor Sadzeck, Cory Gearrin, Matt Magill, Jesse Biddle, Marco Gonzales, Nick Rumbelow, Chasen Bradford</t>
  </si>
  <si>
    <t>Kirby Yates, Brad Wieck, Matt Strahm, Cal Quantrill, Robbie Erlin, Chris Paddack, Dinelson Lamet, Garrett Richards, Pedro Avila, Adam Warren</t>
  </si>
  <si>
    <t>Hyun-Jin Ryu, Rich Hill, Jaime Schultz, JT Chargois, Ross Stripling, Caleb Ferguson, Walker Buehler, Casey Sadler, Yimi Garcia</t>
  </si>
  <si>
    <t>Steven Matz, Wilmer Font, Jacob deGrom, Brooks Pounders, Tyler Bashlor, Chris Flexen, Zack Wheeler, Jason Vargas, Ryan O'Rourke</t>
  </si>
  <si>
    <t>Seunghwan Oh, Jake McGee, Scott Oberg, Harrison Musgrave, Tim Melville, Jeff Hoffman, Joe Harvey, Jairo Diaz, Chi Chi Gonzalez</t>
  </si>
  <si>
    <t>Shane Greene, Drew VerHagen, Jordan Zimmermann, Matt Moore, Jose Cisnero, Eduardo Jimenez, Zac Reininger, Trevor Rosenthal, Bryan Garcia</t>
  </si>
  <si>
    <t>Sam Dyson, Kyle Gibson, Martin Perez, Fernando Romero, Lewis Thorpe, Matt Magill, Brusdar Graterol, Trevor May, Michael Pineda</t>
  </si>
  <si>
    <t>Alex Wilson, Ray Black, Aaron Wilkerson, Burch Smith, Taylor Williams, Adrian Houser, Devin Williams, Brent Suter</t>
  </si>
  <si>
    <t>Wilmer Font, Charlie Morton, Colin Poche, Cole Sulser, Casey Sadler, Peter Fairbanks, Jose De Leon, Anthony Banda</t>
  </si>
  <si>
    <t>Wily Peralta, Jesse Hahn, Scott Barlow, Danny Duffy, Gabe Speier, Randy Rosario, Homer Bailey, Glenn Sparkman</t>
  </si>
  <si>
    <t>Cory Gearrin, Domingo German, Adam Ottavino, Joe Harvey, Jonathan Loaisiga, Joe Mantiply, Ben Heller, Jordan Montgomery</t>
  </si>
  <si>
    <t>Will Harris, Joe Biagini, Hector Rondon, Roberto Osuna, Jose Urquidy, Brady Rodgers, Corbin Martin</t>
  </si>
  <si>
    <t>Brad Wieck, Alec Mills, Randy Rosario, Tyler Chatwood, Yu Darvish, Tim Collins, David Phelps</t>
  </si>
  <si>
    <t>Dan Otero, Danny Salazar, Carlos Carrasco, Mike Clevinger, Nick Goody, Zach Plesac, Cody Anderson</t>
  </si>
  <si>
    <t>Chandler Shepherd, Josh Lucas, Dylan Bundy, Alex Cobb, Branden Kline, Hunter Harvey, Josh Rogers</t>
  </si>
  <si>
    <t>Pat Neshek, Vince Velasquez, Cole Irvin, Drew Anderson, Jason Vargas, Drew Smyly, David Robertson</t>
  </si>
  <si>
    <t>Francisco Liriano, Wei-Chung Wang, Clay Holmes, James Marvel, Nick Kingham, Nick Burdi, Jameson Taillon</t>
  </si>
  <si>
    <t>Chad Kuhl, Edgar Santana</t>
  </si>
  <si>
    <t>Wei-Yin Chen, Hector Noesi, Jeff Brigham, Drew Steckenrider, Pablo Lopez, Brian Moran</t>
  </si>
  <si>
    <t>Josh A. Smith, Marcus Walden, Ryan Brasier, Brandon Workman, Nathan Eovaldi, Steven Wright</t>
  </si>
  <si>
    <t>Tyler Webb, Giovanny Gallegos, Adam Wainwright, Alex Reyes, Jordan Hicks</t>
  </si>
  <si>
    <t>Andrew Chafin, Taylor Clarke, Greg Holland, Taijuan Walker</t>
  </si>
  <si>
    <t>Alex Wood, David Hernandez, Zach Duke</t>
  </si>
  <si>
    <t>2018 MLB Pitchers Who Have Had TJ Surgery, By Team &amp; Usage</t>
  </si>
  <si>
    <t>Pitcher Used in 2018</t>
  </si>
  <si>
    <t>Pitchers Not Used, on DL</t>
  </si>
  <si>
    <t>Pitchers on DL</t>
  </si>
  <si>
    <t>John Axford, Hyun-Jin Ryu, Erik Goeddel, Adam Liberatore, Alex Wood, Wilmer Font, Rich Hill, Ryan Madson, Daniel Hudson, J.T. Chargois, Ross Stripling, Caleb Ferguson, Walker Buehler, Yimi Garcia</t>
  </si>
  <si>
    <t>Fernando Rodney, Andrew Triggs, Shawn Kelley, Wilmer Font, Josh Lucas, Daniel Coulombe, Brett Anderson, Cory Gearrin, Chris Bassitt, J.B. Wendelken, Kendall Graveman, Daniel Gossett</t>
  </si>
  <si>
    <t>Anibal Sanchez, Miguel Socolovich, Sam Freeman, Arodys Vizcaino, Peter Moylan, Dan Winkler, Max Fried, Jonny Venters, A.J. Minter, Brandon McCarthy, Chase Whitley, Jesse Biddle</t>
  </si>
  <si>
    <t>Grant Dayton, Jacob Lindgren</t>
  </si>
  <si>
    <t>Seung Hwan Oh</t>
  </si>
  <si>
    <t>Junichi Tazawa, Cam Bedrosian, Tyler Skaggs, Andrew Heaney, Nick Tropeano, JC Ramirez, Keynan Middleton, Blake Wood, John Lamb, Garrett Richards, Shohei Ohtani</t>
  </si>
  <si>
    <t>Mark Melancon, Ray Black, Josh Osich, Sam Dyson, Reyes Moronta, Casey Kelly, Hunter Strickland, Cory Gearrin, Derek Law, Will Smith, Johnny Cueto</t>
  </si>
  <si>
    <t>Shawn Kelley, Stephen Strasburg, Koda Glover, Sammy Solis, Justin Miller, Ryan Madson, Erick Fedde, Greg Holland, Tim Collins, Joe Ross</t>
  </si>
  <si>
    <t>Seung Hwan Oh, John Axford, Jaime Garcia, Joe Biagini, Ryan Borucki, David Paulino, Taylor Guerrieri, Roberto Osuna, Brandon Cumpton</t>
  </si>
  <si>
    <t>George Kontos, Clay Holmes, Jameson Taillon, Ivan Nova, Nick Kingham, Casey Sadler, Nick Burdi, Chad Kuhl, Edgar Santana</t>
  </si>
  <si>
    <t>Miguel Gonzalez, Joakim Soria, Lucas Giolito, Caleb Frare, Bruce Rondon, Nate Jones, Jace Fry, Aaron Bummer, Michael Kopech</t>
  </si>
  <si>
    <t>Javy Guerra, Wei-Yin Chen, Junichi Tazawa, Jeff Brigham, Drew Steckenrider, Pablo Lopez, Dillon Peters, Tyler Cloyd</t>
  </si>
  <si>
    <t>AJ Ramos, Steven Matz, Jacob deGrom, Matt Harvey, Tyler Bashlor, Chris Flexen, Zack Wheeler, Jason Vargas</t>
  </si>
  <si>
    <t>Matt Bush, Adrian Sampson, Drew Hutchison, Connor Sadzeck, Cory Gearrin, Matt Moore, Martin Perez, Ricardo Rodriguez</t>
  </si>
  <si>
    <t>Francisco Liriano, Alex Wilson, Shane Greene, Drew VerHagen, Jordan Zimmermann, Chad Bell, Zac Reininger, Artie Lewicki</t>
  </si>
  <si>
    <t>Fernando Rodney, Kyle Gibson, John Curtiss, Fernando Romero, Matt Magill, Lance Lynn, Zach Duke, Trevor May</t>
  </si>
  <si>
    <t>Alec Asher, Mike Zagurski, Aaron Wilkerson, Joakim Soria, Taylor Williams, Adrian Houser, Brent Suter</t>
  </si>
  <si>
    <t>Brian Duensing, Jaime Garcia, Jorge De La Rosa, Alec Mills, Randy Rosario, Tyler Chatwood, Yu Darvish</t>
  </si>
  <si>
    <t>Cody Allen, Dan Otero, George Kontos, Carlos Carrasco, Mike Clevinger, Josh Tomlin, Nick Goody</t>
  </si>
  <si>
    <t>Cody Anderson, Danny Salazar</t>
  </si>
  <si>
    <t>Seung Hwan Oh, Jake McGee, Scott Oberg, Harrison Musgrave, Brooks Pounders, Jeff Hoffman, Adam Ottavino</t>
  </si>
  <si>
    <t>Tony Sipp, Will Harris, Hector Rondon, Dean Deetz, Charlie Morton, Roberto Osuna, Joe Smith</t>
  </si>
  <si>
    <t>Tyler Webb, Giovanny Gallegos, Adam Wainwright, Greg Holland, Alex Reyes, Ryan Sherriff</t>
  </si>
  <si>
    <t>Andrew Chafin, Jorge De La Rosa, Kris Medlen, Patrick Corbin, Shelby Miller, Taijuan Walker</t>
  </si>
  <si>
    <t>Wily Peralta, Trevor Oaks, Scott Barlow, Danny Duffy, Burch Smith, Glenn Sparkman</t>
  </si>
  <si>
    <t>George Kontos, Giovanny Gallegos, Domingo German, Lance Lynn, Jonathan Loaisiga, Jordan Montgomery</t>
  </si>
  <si>
    <t>Erik Goeddel, Marco Gonzales, Nick Rumbelow, Zach Duke, Ryan Cook</t>
  </si>
  <si>
    <t>Kirby Yates, Tyler Webb, Brad Wieck, Matt Strahm, Robbie Erlin</t>
  </si>
  <si>
    <t>Jaime Schultz, Wilmer Font, Jonny Venters, Nathan Eovaldi, Anthony Banda</t>
  </si>
  <si>
    <t>Jose De Leon, Jose Mujica</t>
  </si>
  <si>
    <t>Marcus Walden, Ryan Brasier, Brandon Workman, Carson Smith, Nathan Eovaldi</t>
  </si>
  <si>
    <t>Cody Carroll, Josh Rogers, Dylan Bundy, Alex Cobb</t>
  </si>
  <si>
    <t>Pat Neshek, Vince Velasquez, Drew Hutchison, Drew Anderson</t>
  </si>
  <si>
    <t>Matt Harvey, David Hernandez, Homer Bailey, Kevin Shackelford</t>
  </si>
  <si>
    <t>2017 MLB Pitchers Who Have Had TJ Surgery, By Team &amp; Usage</t>
  </si>
  <si>
    <t>Pitcher Used in 2017</t>
  </si>
  <si>
    <t>Hyun-Jin Ryu, Adam Liberatore, Alex Wood, Wilmer Font, Rich Hill, Ross Stripling, Yu Darvish, Brandon McCarthy, Walker Buehler, Grant Dayton</t>
  </si>
  <si>
    <t>Bryan Morris, Mark Melancon, Albert Suarez, George Kontos, Josh Osich, Sam Dyson, Hunter Strickland, Cory Gearrin, Matt Moore, Derek Law</t>
  </si>
  <si>
    <t>Anibal Sanchez, Alex Wilson, Shane Greene, Drew VerHagen, Jordan Zimmermann, Jeff Ferrell, Artie Lewicki, Chad Bell, Bruce Rondon, Zac Reininger</t>
  </si>
  <si>
    <t>Jaime Garcia, Sam Freeman, Jason Hursh, Arodys Vizcaino, Jason Motte, Eric O'Flaherty, Daniel Winkler, Max Fried, A.J. Minter</t>
  </si>
  <si>
    <t>Dustin McGowan, Javy Guerra, Wei-Yin Chen, Brian Ellington, A.J. Ramos, Junichi Tazawa, Drew Steckenrider, Dillon Peters, Edinson Volquez</t>
  </si>
  <si>
    <t>Al Alburquerque, Miguel Gonzalez, Michael Ynoa, Mike Pelfrey, Lucas Giolito, Nate Jones, Jace Fry, Aaron Bummer, Zach Putnam</t>
  </si>
  <si>
    <t>Andrew Bailey, Kirby Yates, Cam Bedrosian, Blake Wood, Brooks Pounders, David Hernandez, Tyler Skaggs, Andrew Heaney</t>
  </si>
  <si>
    <t>John Axford, Josh Smith, Andrew Triggs, Jesse Hahn, Daniel Coulombe, Ryan Madson, Simon Castro, Raul Alcantara</t>
  </si>
  <si>
    <t>Seung Hwan Oh, Miguel Socolovich, Josh Lucas, Adam Wainwright, Lance Lynn, Marco Gonzales, Zach Duke, Trevor Rosenthal</t>
  </si>
  <si>
    <t>Erik Goeddel, A.J. Ramos, Jacob deGrom, Steven Matz, Matt Harvey, Chris Flexen, Josh Edgin, Zack Wheeler</t>
  </si>
  <si>
    <t>Jason Grilli, Matt Bush, Miguel Gonzalez, Sam Dyson, A.J. Griffin, Martin Perez, Ricardo Rodriguez, Yu Darvish</t>
  </si>
  <si>
    <t>Jake McGee, Pat Neshek, Scott Oberg, Jeff Hoffman, Tyler Chatwood, Adam Ottavino, Greg Holland, Jairo Diaz</t>
  </si>
  <si>
    <t>Al Alburquerque, Joakim Soria, Danny Duffy, Neftali Feliz, Matt Strahm, Peter Moylan, Andres Machado, Jason Vargas</t>
  </si>
  <si>
    <t>Francisco Liriano, Tony Sipp, Will Harris, Dayan Diaz, Charlie Morton, David Paulino, Jandel Gustave</t>
  </si>
  <si>
    <t>Jason Grilli, Francisco Liriano, Joe Biagini, Brett Anderson, Leonel Campos, Roberto Osuna, Glenn Sparkman</t>
  </si>
  <si>
    <t>Fernando Rodney, Andrew Chafin, Jorge de la Rosa, Patrick Corbin, David Hernandez, Shelby Miller, Rubby de la Rosa</t>
  </si>
  <si>
    <t>Cody Allen, Dan Otero, Danny Salazar, Carlos Carrasco, Mike Clevinger, Josh Tomlin, Nick Goody</t>
  </si>
  <si>
    <t>Dylan Baker, Cody Anderson</t>
  </si>
  <si>
    <t>Shawn Kelley, Stephen Strasburg, Koda Glover, Sammy Solis, Ryan Madson, Erick Fedde, Joe Ross</t>
  </si>
  <si>
    <t>Jaime Garcia, Kyle Gibson, John Curtiss, Alex Wimmers, Tim Melville, Randy Rosario, Dietrich Enns</t>
  </si>
  <si>
    <t>J.T. Chargois, Trevor May, Ryan O'Rourke</t>
  </si>
  <si>
    <t>Wily Peralta, Tyler Webb, Wei-Chung Wang, Aaron Wilkerson, Neftali Feliz, Taylor Williams</t>
  </si>
  <si>
    <t>George Kontos, Daniel Hudson, Jameson Taillon, Ivan Nova, Jack Leathersich, Angel Sanchez</t>
  </si>
  <si>
    <t>Scott Feldman, Blake Wood, Bronson Arroyo, Lisalverto Bonilla, Homer Bailey, Drew Storen</t>
  </si>
  <si>
    <t>Brian Duensing, Hector Rondon, Brett Anderson, John Lackey, Jack Leathersich</t>
  </si>
  <si>
    <t>Andrew Albers, Dillon Overton, Shae Simmons, Marco Gonzales, Tyler Cloyd</t>
  </si>
  <si>
    <t>Pedro Beato, Pat Neshek, Vince Velasquez, Drew Anderson, Jesen Therrien</t>
  </si>
  <si>
    <t>Tyler Webb, Jaime Garcia, Giovanny Gallegos, Domingo German, Michael Pineda</t>
  </si>
  <si>
    <t>Kirby Yates, Tim Melville, Dillon Overton, Carter Capps</t>
  </si>
  <si>
    <t>Robbie Erlin, Colin Rea</t>
  </si>
  <si>
    <t>Jumbo Diaz, Diego Moreno, Alex Cobb, Chase Whitley</t>
  </si>
  <si>
    <t>Taylor Guerrieri, Nathan Eovaldi, Shawn Tolleson</t>
  </si>
  <si>
    <t>Alec Asher, Dylan Bundy</t>
  </si>
  <si>
    <t>Brandon Workman, Carson Smith</t>
  </si>
  <si>
    <t>2016 MLB Pitchers Who Have Had TJ Surgery, By Team &amp; Usage</t>
  </si>
  <si>
    <t>Steve Delabar, Jumbo Diaz, Josh Smith, Dayan Diaz, Alfredo Simon, Layne Somsen, A.J. Morris, John Lamb, Blake Wood, Tim Melville, Matt Magill, Homer Bailey, Jon Moscot</t>
  </si>
  <si>
    <t>John Axford, Andrew Triggs, Jesse Hahn, Daniel Coulombe, Rich Hill, Ryan Madson, Eric Surkamp, Fernando Rodriguez, Dillon Overton, Raul Alcantara, Chris Bassitt</t>
  </si>
  <si>
    <t>Jarrod Parker, Felix Doubront</t>
  </si>
  <si>
    <t>Edinson Volquez, Joakim Soria, Danny Duffy, Matt Strahm, Alec Mills, Brooks Pounders, Luke Hochevar, Kris Medlen, Peter Moylan, Jason Vargas</t>
  </si>
  <si>
    <t>Anibal Sanchez, Dustin Molleken, Logan Kensing, Alex Wilson, Shane Greene, Drew VerHagen, Jordan Zimmermann, Mike Pelfrey, Bruce Rondon, Bobby Parnell</t>
  </si>
  <si>
    <t>Jason Grilli, Scott Feldman, Francisco Liriano, Joseph Biagini, Arnold Leon, Dustin Antolin, Drew Hutchison, Gavin Floyd, Roberto Osuna</t>
  </si>
  <si>
    <t>Jason Grilli, Matt Marksberry, Jason Hursh, Arodys Vizcaino, Casey Kelly, Eric O'Flaherty, Chris Withrow, Daniel Winkler, Shae Simmons</t>
  </si>
  <si>
    <t>Paco Rodriguez, Jesse Biddle, Andrew McKirahan</t>
  </si>
  <si>
    <t>Albert Suarez, George Kontos, Josh Osich, Hunter Strickland, Matt Reynolds, Cory Gearrin, Matt Moore, Derek Law, Joe Nathan</t>
  </si>
  <si>
    <t>Raymond Black</t>
  </si>
  <si>
    <t>Jeff Manship, Cody Allen, Dan Otero, Joseph Colon, Danny Salazar, Joba Chamberlain, Carlos Carrasco, Mike Clevinger, Josh Tomlin</t>
  </si>
  <si>
    <t>Chris Narveson, Jo-Jo Reyes, Fernando Rodney, Dustin McGowan, Wei-Yin Chen, Bryan Morris, Brian Ellington, A.J. Ramos, Jose Fernandez</t>
  </si>
  <si>
    <t>Ryan Vogelsong, Mark Melancon, Francisco Liriano, Arquimedes Caminero, Neftali Feliz, Drew Hutchison, Cory Luebke, Jameson Taillon, Ivan Nova</t>
  </si>
  <si>
    <t>Chin-hui Tsao, Hyun-Jin Ryu, Adam Liberatore, Alex Wood, Rich Hill, Brett Anderson, Ross Stripling, Brandon McCarthy</t>
  </si>
  <si>
    <t>Jake McGee, Scott Oberg, Jorge de la Rosa, Justin Miller, Jason Motte, Jeff Hoffman, Tyler Chatwood, Adam Ottavino</t>
  </si>
  <si>
    <t>Al Alburquerque, Javy Guerra, Andrew Bailey, Cam Bedrosian, Tyler Skaggs, Andrew Heaney, Nick Tropeano</t>
  </si>
  <si>
    <t>Keith Hessler, Andrew Chafin, Rubby de la Rosa, Kyle Drabek, Daniel Hudson, Patrick Corbin, Vicente Campos</t>
  </si>
  <si>
    <t>Mark Melancon, Shawn Kelley, Stephen Strasburg, Koda Glover, Sammy Solis, Lucas Giolito, Sean Burnett</t>
  </si>
  <si>
    <t>Andrew Bailey, Alec Asher, Elvis Araujo, Vince Velasquez, Charlie Morton, Frank Herrmann, David Hernandez</t>
  </si>
  <si>
    <t>Colby Lewis, Shawn Tolleson, Matt Bush, Sam Dyson, A.J. Griffin, Martin Perez, Yu Darvish</t>
  </si>
  <si>
    <t>Scott Feldman, Tony Sipp, Kevin Chapman, Pat Neshek, Will Harris, David Paulino</t>
  </si>
  <si>
    <t>Miguel Gonzalez, Michael Ynoa, Scott Carroll, Matt Purke, Nate Jones, Daniel Webb</t>
  </si>
  <si>
    <t>Kirby Yates, Conor Mullee, Nick Goody, Ivan Nova, Branden Pinder, Nathan Eovaldi</t>
  </si>
  <si>
    <t>Erik Goeddel, Jacob deGrom, Steven Matz, Matt Harvey, Josh Edgin</t>
  </si>
  <si>
    <t>Matt Thornton, Fernando Rodney, Keith Hessler, Leonel Campos, Robbie Erlin</t>
  </si>
  <si>
    <t>Eddie Gamboa, Tyler Sturdevant, Matt Moore, Alex Cobb, Chase Whitley</t>
  </si>
  <si>
    <t>Seung Hwan Oh, Miguel Socolovich, Jaime Garcia, Adam Wainwright</t>
  </si>
  <si>
    <t>Andrew Albers, Kyle Gibson, Alex Wimmers, J.T. Chargois</t>
  </si>
  <si>
    <t>Wily Peralta, Chris Capuano, Sam Freeman</t>
  </si>
  <si>
    <t>Hector Rondon, John Lackey, Joe Nathan</t>
  </si>
  <si>
    <t>Adrian Sampson, Arquimedes Caminero, Joe Wieland</t>
  </si>
  <si>
    <t>Charlie Furbush, Ryan Cook</t>
  </si>
  <si>
    <t>Brian Duensing, Dylan Bundy</t>
  </si>
  <si>
    <t>Junichi Tazawa, Carson Smith</t>
  </si>
  <si>
    <t>Done</t>
  </si>
  <si>
    <t>SO</t>
  </si>
  <si>
    <t>Ole Miss</t>
  </si>
  <si>
    <t>JR</t>
  </si>
  <si>
    <t>Evan Smith</t>
  </si>
  <si>
    <t>Dane Moehler</t>
  </si>
  <si>
    <t>FR</t>
  </si>
  <si>
    <t>NC State</t>
  </si>
  <si>
    <t>Patrick Steitz</t>
  </si>
  <si>
    <t>Bradley Hodges</t>
  </si>
  <si>
    <t>Matt Willadsen</t>
  </si>
  <si>
    <t>SR</t>
  </si>
  <si>
    <t>Cooper Dossett</t>
  </si>
  <si>
    <t>Shane Sdao</t>
  </si>
  <si>
    <t>Renzo Gonazlez</t>
  </si>
  <si>
    <t>Evan Kleinhans</t>
  </si>
  <si>
    <t>Finnegan Wall</t>
  </si>
  <si>
    <t>UC Irvine</t>
  </si>
  <si>
    <t>Ryan Szczepaniak</t>
  </si>
  <si>
    <t>Michigan State</t>
  </si>
  <si>
    <t>Josh Hyneman</t>
  </si>
  <si>
    <t>Tate Farquhar</t>
  </si>
  <si>
    <t>Hunter Elliott</t>
  </si>
  <si>
    <t>Dylan Carter</t>
  </si>
  <si>
    <t>Connor Lockwood</t>
  </si>
  <si>
    <t>Valparaiso</t>
  </si>
  <si>
    <t>Tanner Gresham</t>
  </si>
  <si>
    <t>Army</t>
  </si>
  <si>
    <t>Ashton Crowther</t>
  </si>
  <si>
    <t>Myles Caba</t>
  </si>
  <si>
    <t>Josh Mallitz</t>
  </si>
  <si>
    <t>Roman Kimball</t>
  </si>
  <si>
    <t>Antoine Jean</t>
  </si>
  <si>
    <t>Tyler Thomas</t>
  </si>
  <si>
    <t>Ryan McLinskey</t>
  </si>
  <si>
    <t>Darren Williams</t>
  </si>
  <si>
    <t>UCF</t>
  </si>
  <si>
    <t>Stone Simmons</t>
  </si>
  <si>
    <t>Javen Coleman</t>
  </si>
  <si>
    <t>Eric Hammond</t>
  </si>
  <si>
    <t>Trent Turzenski</t>
  </si>
  <si>
    <t>Charlie Hodges</t>
  </si>
  <si>
    <t>Ryan Calvert</t>
  </si>
  <si>
    <t>Dr. Timothy Griffith</t>
  </si>
  <si>
    <t>Sam Hliboki</t>
  </si>
  <si>
    <t>Riley Self</t>
  </si>
  <si>
    <t>Max Cioffi</t>
  </si>
  <si>
    <t>Cam Cowan</t>
  </si>
  <si>
    <t>Brett Thomas</t>
  </si>
  <si>
    <t>Joey Lancellotti</t>
  </si>
  <si>
    <t>Ty Buckner</t>
  </si>
  <si>
    <t>Ian McMahon</t>
  </si>
  <si>
    <t>JP Gates</t>
  </si>
  <si>
    <t>Boyd Vander Kooi</t>
  </si>
  <si>
    <t>Tyler Nesbitt</t>
  </si>
  <si>
    <t>Mason Hazelwood</t>
  </si>
  <si>
    <t>Nick Pogue</t>
  </si>
  <si>
    <t>Jaylen Guy</t>
  </si>
  <si>
    <t>Kaydon Patrick</t>
  </si>
  <si>
    <t>Sonny Fauci</t>
  </si>
  <si>
    <t>Jakob Brustoski</t>
  </si>
  <si>
    <t>Garrett Wade</t>
  </si>
  <si>
    <t>UT</t>
  </si>
  <si>
    <t>Max Nielsen</t>
  </si>
  <si>
    <t>Wesley Sweatt</t>
  </si>
  <si>
    <t>Ryan Dyal</t>
  </si>
  <si>
    <t>Ben Cruikshank</t>
  </si>
  <si>
    <t>Tyler Myers</t>
  </si>
  <si>
    <t>Dylan Harley</t>
  </si>
  <si>
    <t>Luke Brown</t>
  </si>
  <si>
    <t>Austin Peay</t>
  </si>
  <si>
    <t>Tom Biggs</t>
  </si>
  <si>
    <t>Drew Devine</t>
  </si>
  <si>
    <t>Sean Bretz</t>
  </si>
  <si>
    <t>Layne Looney</t>
  </si>
  <si>
    <t>Jason Rackers</t>
  </si>
  <si>
    <t>Pat Winkel</t>
  </si>
  <si>
    <t>Brandon Smith</t>
  </si>
  <si>
    <t>Cole Trichel</t>
  </si>
  <si>
    <t>Louisiana-Monroe</t>
  </si>
  <si>
    <t>Max Holmes</t>
  </si>
  <si>
    <t>Casey Kempner</t>
  </si>
  <si>
    <t>Cameron Kepley</t>
  </si>
  <si>
    <t>Bryce Collins</t>
  </si>
  <si>
    <t>Jayson Newman</t>
  </si>
  <si>
    <t>CSUN</t>
  </si>
  <si>
    <t>Jordan McCrum</t>
  </si>
  <si>
    <t>Monmouth</t>
  </si>
  <si>
    <t>Patrick Monteverde</t>
  </si>
  <si>
    <t>Ben Probst</t>
  </si>
  <si>
    <t>Jacob Maton</t>
  </si>
  <si>
    <t>Zack Helsel</t>
  </si>
  <si>
    <t>Jonathan Childress</t>
  </si>
  <si>
    <t>Max McKinley</t>
  </si>
  <si>
    <t>Caleb Sloan</t>
  </si>
  <si>
    <t>Luke Eldred</t>
  </si>
  <si>
    <t>Chris Troye</t>
  </si>
  <si>
    <t>Kyle Shimp</t>
  </si>
  <si>
    <t>Hayden Lehman</t>
  </si>
  <si>
    <t>Adam Scoggins</t>
  </si>
  <si>
    <t>Basilio Pacheco</t>
  </si>
  <si>
    <t>Ayden Callahan</t>
  </si>
  <si>
    <t>BYU</t>
  </si>
  <si>
    <t>Matt Bridges</t>
  </si>
  <si>
    <t>Landen Bourassa</t>
  </si>
  <si>
    <t>Brady Huffman</t>
  </si>
  <si>
    <t>Justin Foy</t>
  </si>
  <si>
    <t>Logan Chapman</t>
  </si>
  <si>
    <t>Little Rock</t>
  </si>
  <si>
    <t>Colin Coates</t>
  </si>
  <si>
    <t>Ryan Kutt</t>
  </si>
  <si>
    <t>Brandon Alberto</t>
  </si>
  <si>
    <t>NYIT</t>
  </si>
  <si>
    <t>Dru Dziedzic</t>
  </si>
  <si>
    <t>Hunter Milligan</t>
  </si>
  <si>
    <t>Pat Rumoro</t>
  </si>
  <si>
    <t>Andrew Reisinger</t>
  </si>
  <si>
    <t>Gabe Shepard</t>
  </si>
  <si>
    <t>Florida Atlantic</t>
  </si>
  <si>
    <t>Drew Hall</t>
  </si>
  <si>
    <t>Hunter Torres</t>
  </si>
  <si>
    <t>Albany</t>
  </si>
  <si>
    <t>Kobi Owen</t>
  </si>
  <si>
    <t>John Wilson</t>
  </si>
  <si>
    <t>Austin Bodrato</t>
  </si>
  <si>
    <t>John Sheaks</t>
  </si>
  <si>
    <t>Trevor Franklin</t>
  </si>
  <si>
    <t>Brad Dobzanski</t>
  </si>
  <si>
    <t>Austin Marozas</t>
  </si>
  <si>
    <t>Robbie Palkert</t>
  </si>
  <si>
    <t>Spencer Price</t>
  </si>
  <si>
    <t>Keaton Kneuppel</t>
  </si>
  <si>
    <t>Cody Dye</t>
  </si>
  <si>
    <t>Shaddon Peavyhouse</t>
  </si>
  <si>
    <t>Wade Martin</t>
  </si>
  <si>
    <t>David Orndorff</t>
  </si>
  <si>
    <t>Cal Jarrett</t>
  </si>
  <si>
    <t>Ray Gaither</t>
  </si>
  <si>
    <t>Matt Zaremba</t>
  </si>
  <si>
    <t>Niagara</t>
  </si>
  <si>
    <t>Kevin Stevens</t>
  </si>
  <si>
    <t>UTRGV</t>
  </si>
  <si>
    <t>Chad Luensmann</t>
  </si>
  <si>
    <t>Steven Casey</t>
  </si>
  <si>
    <t>Chase Haney</t>
  </si>
  <si>
    <t>Ben Dragani</t>
  </si>
  <si>
    <t>Richard Cunningham</t>
  </si>
  <si>
    <t>Chris Whelan</t>
  </si>
  <si>
    <t>Donny Diaz</t>
  </si>
  <si>
    <t>Sam Ferri</t>
  </si>
  <si>
    <t>Dalton Feeney</t>
  </si>
  <si>
    <t>Evan Giles</t>
  </si>
  <si>
    <t>Logan Smith</t>
  </si>
  <si>
    <t>Dylan Biumi</t>
  </si>
  <si>
    <t>Ty Shoaff</t>
  </si>
  <si>
    <t>Eric Walker</t>
  </si>
  <si>
    <t>Bryson Willis</t>
  </si>
  <si>
    <t>Gardner-Webb</t>
  </si>
  <si>
    <t>Ryan Froom</t>
  </si>
  <si>
    <t>UTSA</t>
  </si>
  <si>
    <t>David Barta</t>
  </si>
  <si>
    <t>Bobby Holmes</t>
  </si>
  <si>
    <t>Sam Boone</t>
  </si>
  <si>
    <t>Nick DeSantis</t>
  </si>
  <si>
    <t>Randy Polonia</t>
  </si>
  <si>
    <t>Jared Pettitte</t>
  </si>
  <si>
    <t>Garret Rukes</t>
  </si>
  <si>
    <t>Parker Scott</t>
  </si>
  <si>
    <t>Reese Eddins</t>
  </si>
  <si>
    <t>Brandon Donovan</t>
  </si>
  <si>
    <t>Radford</t>
  </si>
  <si>
    <t>Andrew Mundy</t>
  </si>
  <si>
    <t>Jarred Zill</t>
  </si>
  <si>
    <t>Cal Poly</t>
  </si>
  <si>
    <t>Kale Breaux</t>
  </si>
  <si>
    <t>Zane Strand</t>
  </si>
  <si>
    <t>Nathan Kuchta</t>
  </si>
  <si>
    <t>Blake Smith</t>
  </si>
  <si>
    <t>Zack Moore</t>
  </si>
  <si>
    <t>Dion Henderson</t>
  </si>
  <si>
    <t>Evan Larsen</t>
  </si>
  <si>
    <t>Jay Shadday</t>
  </si>
  <si>
    <t xml:space="preserve">FR </t>
  </si>
  <si>
    <t>Tom Githens</t>
  </si>
  <si>
    <t>Brett Smith</t>
  </si>
  <si>
    <t>CJ Stubbs</t>
  </si>
  <si>
    <t>Dom Bazzani</t>
  </si>
  <si>
    <t>UT Martin</t>
  </si>
  <si>
    <t>Dylan O'Connell</t>
  </si>
  <si>
    <t>Tyler Cohen</t>
  </si>
  <si>
    <t>Albert Maury Jr.</t>
  </si>
  <si>
    <t>Thomas Triantos</t>
  </si>
  <si>
    <t>Weston Rivers</t>
  </si>
  <si>
    <t>TK McWhertor</t>
  </si>
  <si>
    <t>Justin Ager</t>
  </si>
  <si>
    <t>Yale</t>
  </si>
  <si>
    <t>Brett Hyers</t>
  </si>
  <si>
    <t>Jared Padgett</t>
  </si>
  <si>
    <t>Matt Anderson</t>
  </si>
  <si>
    <t>Nathan Hadley</t>
  </si>
  <si>
    <t>Taylor Purus</t>
  </si>
  <si>
    <t>Lucas Hall</t>
  </si>
  <si>
    <t>Kyle Anderson</t>
  </si>
  <si>
    <t>Matthew McCollough</t>
  </si>
  <si>
    <t>Houston Baptist</t>
  </si>
  <si>
    <t>Matt Warren</t>
  </si>
  <si>
    <t>Cooper Hammond</t>
  </si>
  <si>
    <t>Josh Shepley</t>
  </si>
  <si>
    <t>Canisius</t>
  </si>
  <si>
    <t>Dr. Jason Smith</t>
  </si>
  <si>
    <t>Edward Yost</t>
  </si>
  <si>
    <t>Garrett Pearson</t>
  </si>
  <si>
    <t>VCU</t>
  </si>
  <si>
    <t>Noah Hughes</t>
  </si>
  <si>
    <t>Scott Tully</t>
  </si>
  <si>
    <t>Alden Cartwright</t>
  </si>
  <si>
    <t>Evan Fraliex</t>
  </si>
  <si>
    <t>Brendan McGuigan</t>
  </si>
  <si>
    <t>Richmond</t>
  </si>
  <si>
    <t>Robbie Coman</t>
  </si>
  <si>
    <t>Sean Martens</t>
  </si>
  <si>
    <t>Dr. James Lebolt</t>
  </si>
  <si>
    <t>Davis Baillie</t>
  </si>
  <si>
    <t>David Brosius</t>
  </si>
  <si>
    <t>Georgia State</t>
  </si>
  <si>
    <t>James Kannenberg</t>
  </si>
  <si>
    <t>Josh Pettitte</t>
  </si>
  <si>
    <t>Greg Shannahan</t>
  </si>
  <si>
    <t>Damien Richard</t>
  </si>
  <si>
    <t>Alec Daily</t>
  </si>
  <si>
    <t>Parker Ford</t>
  </si>
  <si>
    <t>Matthew Sellers</t>
  </si>
  <si>
    <t>Will Olson</t>
  </si>
  <si>
    <t>Texas-Arlington</t>
  </si>
  <si>
    <t>Sam Tweedt</t>
  </si>
  <si>
    <t>Jake Hohensee</t>
  </si>
  <si>
    <t>Dustin Berrong</t>
  </si>
  <si>
    <t>Northeastern State</t>
  </si>
  <si>
    <t>Denton Norman</t>
  </si>
  <si>
    <t>Dr. Burton Elrod</t>
  </si>
  <si>
    <t>Jacob Westphal</t>
  </si>
  <si>
    <t>Luke Fernandes</t>
  </si>
  <si>
    <t>Trevor Conn</t>
  </si>
  <si>
    <t>Andrew Rosa</t>
  </si>
  <si>
    <t>Michael Hearne</t>
  </si>
  <si>
    <t>Bubba Maxwell</t>
  </si>
  <si>
    <t>Luke Soroko</t>
  </si>
  <si>
    <t>Jackson Lamb</t>
  </si>
  <si>
    <t>Chase Cater</t>
  </si>
  <si>
    <t>Taso Stathopoulos</t>
  </si>
  <si>
    <t>Jake Post</t>
  </si>
  <si>
    <t>Sam Granoff</t>
  </si>
  <si>
    <t>Yianni Pavlopoulos</t>
  </si>
  <si>
    <t>Draft Year</t>
  </si>
  <si>
    <t>Draft Position</t>
  </si>
  <si>
    <t>Jaxon Jelkin</t>
  </si>
  <si>
    <t>Dane Burns</t>
  </si>
  <si>
    <t>Ryan Ure</t>
  </si>
  <si>
    <t>Javan Coleman</t>
  </si>
  <si>
    <t>Isaiah Bennett</t>
  </si>
  <si>
    <t>Chris Newell</t>
  </si>
  <si>
    <t>Waylon Richardson</t>
  </si>
  <si>
    <t>Hunter Ruth</t>
  </si>
  <si>
    <t>Jaxon Shirley</t>
  </si>
  <si>
    <t>Welby Malczewski</t>
  </si>
  <si>
    <t>Ryan Lillard</t>
  </si>
  <si>
    <t>Justin Dillon</t>
  </si>
  <si>
    <t>Josh Dezse</t>
  </si>
  <si>
    <t>Link</t>
  </si>
  <si>
    <t>Bartolome Fortunato</t>
  </si>
  <si>
    <t>Scheduled for May 18, 2006, but decided to get second opinion</t>
  </si>
  <si>
    <t>Brandon Webb</t>
  </si>
  <si>
    <t>Conflicting online claims, seems like shoulder surgery not TJ</t>
  </si>
  <si>
    <t>Brent Billingsley</t>
  </si>
  <si>
    <t>Carlos Beltran</t>
  </si>
  <si>
    <t>Third UCL injury did not lead to TJ</t>
  </si>
  <si>
    <t>http://www.baseballprospectus.com/article.php?articleid=16104</t>
  </si>
  <si>
    <t>First one date unknown, second one was July 2012</t>
  </si>
  <si>
    <t>Maybe no second one</t>
  </si>
  <si>
    <t>Only had one TJ, other two surgeries were not TJs</t>
  </si>
  <si>
    <t>https://twitter.com/cmullee11/status/728238350306578436</t>
  </si>
  <si>
    <t>Seems 2004 surgery was rotator cuff</t>
  </si>
  <si>
    <t>Not sure source is reliable</t>
  </si>
  <si>
    <t>Dana Eveland</t>
  </si>
  <si>
    <t>Boston Globe says TJ in 2013, but was pitching in KBO</t>
  </si>
  <si>
    <t>Dario Beltre</t>
  </si>
  <si>
    <t>Deion Sanders</t>
  </si>
  <si>
    <t>Dellin Betances</t>
  </si>
  <si>
    <t>NYY media guide says TJ 8/27/2009, Wikipedia says not TJ</t>
  </si>
  <si>
    <t>BP has surgery 7/8/2009, but he played games through then</t>
  </si>
  <si>
    <t>Seems 2008 was rotator cuff and labrum</t>
  </si>
  <si>
    <t>2005 surgery just repaired tear in original graft from 1997 TJ</t>
  </si>
  <si>
    <t>http://www.cbc.ca/sports/baseball/eric-gagne-dodges-tommy-john-surgery-1.550244</t>
  </si>
  <si>
    <t>Eric Stults</t>
  </si>
  <si>
    <t>Jamie Brown</t>
  </si>
  <si>
    <t>Jaret Wright</t>
  </si>
  <si>
    <t>2008 surgery was not a TJ, confirmed by the patient himself</t>
  </si>
  <si>
    <t>Jimmy Key</t>
  </si>
  <si>
    <t>1988 surgery was to remove bone chips</t>
  </si>
  <si>
    <t>Johan Santana</t>
  </si>
  <si>
    <t>Probably not TJ</t>
  </si>
  <si>
    <t>John Webb</t>
  </si>
  <si>
    <t>Second operation may not have been TJS</t>
  </si>
  <si>
    <t>http://books.google.ca/books?id=4TJ4gxrpRTQC&amp;pg=PA71&amp;lpg=PA71&amp;dq=Jose+Rijo+first+Tommy+John+surgery&amp;source=bl&amp;ots=-Q_0TB9nBe&amp;sig=Pl7KrbAaRCB2DvETYoAhDiNmXlc&amp;hl=en&amp;sa=X&amp;ei=GForU8aRMIPG0QH5z4DQAg&amp;ved=0CG4Q6AEwCQ#v=onepage&amp;q=Rijo&amp;f=false</t>
  </si>
  <si>
    <t>Third operation may not have been TJS</t>
  </si>
  <si>
    <t>Fourth operation was not TJS</t>
  </si>
  <si>
    <t>Fifth operation was not TJS</t>
  </si>
  <si>
    <t>Jose Rojas</t>
  </si>
  <si>
    <t>Kenny Rogers</t>
  </si>
  <si>
    <t>Seems 2006 was shoulder surgery, 2007 was non-TJ elbow</t>
  </si>
  <si>
    <t>Mariano Rivera</t>
  </si>
  <si>
    <t>Mark DiFelice</t>
  </si>
  <si>
    <t>Confirmed 2009 was shoulder surgery</t>
  </si>
  <si>
    <t>Mark Harriger</t>
  </si>
  <si>
    <t>Roberto Alomar</t>
  </si>
  <si>
    <t>Sandy Koufax</t>
  </si>
  <si>
    <t>Confirmed no TJS from Dr. Jobe HOF Group</t>
  </si>
  <si>
    <t>Only had two TJs</t>
  </si>
  <si>
    <t>http://blogs.mycentraljersey.com/patriots/2010/08/03/scott-williamson-q-a/</t>
  </si>
  <si>
    <t>Shintaro Ejiri</t>
  </si>
  <si>
    <t>Never pitched outside of Japan</t>
  </si>
  <si>
    <t>Tyson Ross</t>
  </si>
  <si>
    <t>BP has 2005, but looks like he pitched through 2005 and 2006</t>
  </si>
  <si>
    <t>https://calbears.com/roster.aspx?rp_id=5128</t>
  </si>
  <si>
    <t>https://www.baseballfactory.com/video/tyson-ross-2005-baseball-factory-pre-season/</t>
  </si>
  <si>
    <t>https://www.eastbaytimes.com/2005/04/01/oakland-high-frolics-15-0/</t>
  </si>
  <si>
    <t>Tommy John Surgery Recovery Time (to same level) in Months (for those recovered), by Era and Time of Year Surgery Occurred</t>
  </si>
  <si>
    <t>Start Year</t>
  </si>
  <si>
    <t>End Year</t>
  </si>
  <si>
    <t>All Professionals</t>
  </si>
  <si>
    <t>MLB Only</t>
  </si>
  <si>
    <t>Jan-Mar</t>
  </si>
  <si>
    <t>Apr-Jun</t>
  </si>
  <si>
    <t>Jul-Sep</t>
  </si>
  <si>
    <t>Oct-Dec</t>
  </si>
  <si>
    <t>Average</t>
  </si>
  <si>
    <t>Median</t>
  </si>
  <si>
    <t>Mode</t>
  </si>
  <si>
    <t>Return%</t>
  </si>
  <si>
    <t>Surgeries</t>
  </si>
  <si>
    <t>Totals / Averages</t>
  </si>
  <si>
    <t>Tommy John Surgery Recovery Time (to same level) in Months (for those recovered), by Age</t>
  </si>
  <si>
    <t>* Totals/Averages for surgeries up to: 12/31/2023</t>
  </si>
  <si>
    <t>Start Age</t>
  </si>
  <si>
    <t>End Age</t>
  </si>
  <si>
    <t>Totals / Averages</t>
  </si>
  <si>
    <t>Organization</t>
  </si>
  <si>
    <t>Recorded Tommy John Surgeries</t>
  </si>
  <si>
    <t>MiLB</t>
  </si>
  <si>
    <t>Draft</t>
  </si>
  <si>
    <t>Actual Return</t>
  </si>
  <si>
    <t>Return Time Philosophy</t>
  </si>
  <si>
    <t>No A- Team</t>
  </si>
  <si>
    <t>Months</t>
  </si>
  <si>
    <t>9-12</t>
  </si>
  <si>
    <t>https://twitter.com/m_sheldon/status/596798256627249153</t>
  </si>
  <si>
    <t>11+</t>
  </si>
  <si>
    <t>http://www.nydailynews.com/sports/baseball/mets/harvey-pitch-season-collins-job-safe-mets-gm-article-1.1824543</t>
  </si>
  <si>
    <t>12+</t>
  </si>
  <si>
    <t>http://news.nationalpost.com/sports/mlb/toronto-blue-jays-prospect-jeff-hoffman-in-a-low-spot-after-tommy-john-surgery-feeling-great-about-his-arm-and-his-team</t>
  </si>
  <si>
    <t>TOTAL</t>
  </si>
  <si>
    <t>Tommy John Surgeries Performed, by Surgeon</t>
  </si>
  <si>
    <t>MLB Return% *</t>
  </si>
  <si>
    <t>Revision Required%</t>
  </si>
  <si>
    <t>* MLB Return% includes all TJ surgeries performed on MLB players who have had 18 months to return to MLB. Surgeries performed prior to:</t>
  </si>
  <si>
    <t>Date</t>
  </si>
  <si>
    <t>Update Notes</t>
  </si>
  <si>
    <t>Original version, with 488 TJS</t>
  </si>
  <si>
    <t>Corrected Taylor Buchholz team from HOU to COL</t>
  </si>
  <si>
    <t>Corrected Randy Williams team from CHW to CHC</t>
  </si>
  <si>
    <t>Corrected Todd Coffee surgery date to 8/1/1999</t>
  </si>
  <si>
    <t>Added Bill Simas, Jason Bere, John Snyder, Lorenzo Barcelo, Rocky Biddle, Kris Honel, Mitch Wylie, Scott Radinsky, Mike Bielecki, Thomas Royce, Tony Pena, Joakim Soria (2003), Brian Wilson (2003), Brent Strom, Luke Scott, Randy Wolf (2012)</t>
  </si>
  <si>
    <t>Added Nick Hagadone, J.M. Gold, Jeremy Bonderman, Mitch Conner, Mike Jones, Jose Valdivia, Erik Cordier, Erubiel Durazo, Casey Crosby, Hector Gomez, Brad Hawpe, Tsuyoshi Wada, Jose Casilla, Drew Naylor, Cameron Bedrosian, Cesar Carrillo, Eddie Bonine, Jarrod Parker, Eric Milton, Victor Zambrano (1996), Darren Dreifort (1995), Steve Ontiveros (1989, 1996), Xavier Nady (2001), Scott Mathieson (2008), Jason Isringhausen (1998, 2008), Doug Brocail (2002), Al Reyes (1995), Matt Beech (1998, 1999), Tim Spooneybarger (2005), Matt Bashore, A.J. Jimenez</t>
  </si>
  <si>
    <t>Added Fautino De Los Santos, Rafael Furcal</t>
  </si>
  <si>
    <t>Added Casey Kelly</t>
  </si>
  <si>
    <t>Added Chad Billingsley, Chad Bell, Alex White, John Ely, Robert Whitenack, Nick Goody</t>
  </si>
  <si>
    <t>Added Danny Salazar</t>
  </si>
  <si>
    <t>Added Jonny Venters (2013)</t>
  </si>
  <si>
    <t>Added Eric O'Flaherty, Gavin Floyd</t>
  </si>
  <si>
    <t>Corrected Carlos Almanzar surgery date to 5/11/2005</t>
  </si>
  <si>
    <t>Added Kyuji Fujikawa, Joel Hanrahan, Sammy Solis, Patrick Murphy</t>
  </si>
  <si>
    <t>Added Jordan Norberto, Scott Elbert</t>
  </si>
  <si>
    <t>Added Dylan Bundy</t>
  </si>
  <si>
    <t>Added Lucas Giolito, Taylor Jordan</t>
  </si>
  <si>
    <t>Added Jason Motte, Frank Hermann, Fernando Rodriguez, Will Harris, Bruce Chen, Nathan Eovaldi, Pedro Beato, Brandon Gomes, Chris Narveson, Darren Oliver</t>
  </si>
  <si>
    <t>Added Taylor Guerrieri</t>
  </si>
  <si>
    <t>Added Jason Marquis</t>
  </si>
  <si>
    <t>Added Jeremy Hefner (2013)</t>
  </si>
  <si>
    <t>Added Andy Loomis</t>
  </si>
  <si>
    <t>Added Matt Reynolds, Rafael Betancourt</t>
  </si>
  <si>
    <t>Added Daniel Hudson (2013), Manny Banuelos, Ryan Beckman, Jose Contreras, Joe Beimel, Jose Canseco</t>
  </si>
  <si>
    <t>Added Kyle McPherson, Chang-Yong Lim (2012)</t>
  </si>
  <si>
    <t>Added Andrew Knapp, Brandon Sisk, Matt West, Matt Skole, Jason Hursh, Scott Barlow, Jose Rijo (1995), Shin-Soo Choo</t>
  </si>
  <si>
    <t>Added Matt Harvey</t>
  </si>
  <si>
    <t>Added Kris Johnson</t>
  </si>
  <si>
    <t>Updated Juan Pena to Majors</t>
  </si>
  <si>
    <t xml:space="preserve">Added Rymer Liriano </t>
  </si>
  <si>
    <t>Added Miguel Sano</t>
  </si>
  <si>
    <t>Added Cory Luebke (2014)</t>
  </si>
  <si>
    <t>Added Ross Stripling, Luke Hochevar, Jarrod Parker (2014), Josh Pettitte, Kris Medlen (2014)</t>
  </si>
  <si>
    <t>Added Paul Molitor, Repeat TJ List tab</t>
  </si>
  <si>
    <t>Added Brandon Beachy (2014)</t>
  </si>
  <si>
    <t>Updated Jose Rijo surgery date to 8/22/1995</t>
  </si>
  <si>
    <t>Added Clay Holmes</t>
  </si>
  <si>
    <t>Added Patrick Corbin, Jacob Bray</t>
  </si>
  <si>
    <t>Added David Hernandez</t>
  </si>
  <si>
    <t>Added Peter Moylan</t>
  </si>
  <si>
    <t>Added Bruce Rondon, Johnny Anderson (2010), Johnny Anderson (2011), Erik Davis</t>
  </si>
  <si>
    <t>Corrected Ross Stripling surgery date to 4/2/2014</t>
  </si>
  <si>
    <t>Added Bobby Parnell, Connor Sadzeck</t>
  </si>
  <si>
    <t>Added Nick McBride, Alfredo Silverio (2013)</t>
  </si>
  <si>
    <t>Corrected A.J. Jimenez, Michael Morrison, Alfredo Silverio (2012) surgery dates</t>
  </si>
  <si>
    <t>Added Luis Gonzalez</t>
  </si>
  <si>
    <t>Added Corey Williams, Jameson Taillon</t>
  </si>
  <si>
    <t>Added Cory Gearrin, Shane Loux (2013, 2005), Matt Moore, Scott Carroll, Jacob deGrom</t>
  </si>
  <si>
    <t>Updated Vincent Velasquez surgery date to 9/22/2010</t>
  </si>
  <si>
    <t>Added John Farrell</t>
  </si>
  <si>
    <t>Added Tom Candiotti, Ken Dayley, Andrew Chafin, Mark Lamm, Curt Casali, Navery Moore, Grayson Garvin</t>
  </si>
  <si>
    <t>Added Andy Simunic</t>
  </si>
  <si>
    <t>Added Junior Morillo, Seth Harvey</t>
  </si>
  <si>
    <t>Added Ryan Tatusko, Julio Ramos, Josh Johnson (2014)</t>
  </si>
  <si>
    <t>Added Ivan Nova, Ty Morrison, Bobby Bundy, J.T. Chargois, Greg Billo, Tim Berry, Mike Clevinger, Mason Felt, Robert Fish, Gabe Speier, Jason Garcia, Aaron Kurcz, Chen Chang Lee, Adam Liberatore, Chia-Jen Lo, Roberto Osuna, Dillon Overton, David Paulino, Austin Schuetzle, Hunter Strickland, Tom Stuifbergen, Alex Wood, Jace Chancellor</t>
  </si>
  <si>
    <t>Added Unsigned Draftees tab</t>
  </si>
  <si>
    <t>Corrected Matt Bergen surgery date/team, Scott Carroll surgery date, Brandon Sisk team</t>
  </si>
  <si>
    <t>Added Brian Moran</t>
  </si>
  <si>
    <t>Added Jose Campos, Matt Maloney</t>
  </si>
  <si>
    <t>Added Mac Williamson</t>
  </si>
  <si>
    <t>Added Johnny Hellweg, Pedro Figueroa</t>
  </si>
  <si>
    <t>Added Ryan Borucki, Trevor Foss, Elliot Morris, Michael Clevinger, Michael Smith, A.J. Griffin</t>
  </si>
  <si>
    <t>Added Scott McGregor, Al Alburquerque</t>
  </si>
  <si>
    <t>Added Eric Gagne (2005), Marcus Hatley</t>
  </si>
  <si>
    <t>Added Shawn Haviland</t>
  </si>
  <si>
    <t>Added Jeff Inman, Randy Henry</t>
  </si>
  <si>
    <t>Added Matt Reistetter, Danny Rosenbaum</t>
  </si>
  <si>
    <t>Added Steve Bast</t>
  </si>
  <si>
    <t>Added Rinku Singh</t>
  </si>
  <si>
    <t>Added Raul Alcantara, Kevin Towers, Taylor Teagarden</t>
  </si>
  <si>
    <t>Added Jose Fernandez</t>
  </si>
  <si>
    <t>Added Ray Black</t>
  </si>
  <si>
    <t>Updated Matt Riley (2000) surgery date to 9/1/2000</t>
  </si>
  <si>
    <t>Added Martin Perez</t>
  </si>
  <si>
    <t>Added Chad Jones</t>
  </si>
  <si>
    <t>Added Country, High School, Throws and College columns to list from Patrick Despain (@PatrickDespain)</t>
  </si>
  <si>
    <t>Added Masumi Kuwata</t>
  </si>
  <si>
    <t>Added Anthony Fernandez</t>
  </si>
  <si>
    <t>Added Clinton Hollon, Adam O'Neill, Ethan Katz, Duane Below, Tyler Henley, Spencer Kieboom, Tyler Chatwood (2006), Rocco Baldelli, Jay Buhner, Jose Guillen, Todd Hundley, Trey Lunsford, Tony Womack, Tony Alvarez, Trace Coquillette, Ben Davis, Craig Gentry, Justin Maxwell, Jay Payton</t>
  </si>
  <si>
    <t>Corrected Cameron Bedrosian surgery date</t>
  </si>
  <si>
    <t>Removed duplicate Michael Clevenger entry from 2012</t>
  </si>
  <si>
    <t>Added Jose Cisnero, Matt Purke, Keith Butler</t>
  </si>
  <si>
    <t>Added Chris Withrow</t>
  </si>
  <si>
    <t>Added Stephen Tromblee, Carmine Giardina, Shane Greene</t>
  </si>
  <si>
    <t>Added Duke Welker, Sean Burnett</t>
  </si>
  <si>
    <t>Added many surgeries to Unsigned Draftees tab from 2014 MLB Draft</t>
  </si>
  <si>
    <t>Added Jace Fry, Randy LeBlanc</t>
  </si>
  <si>
    <t>Added Joe Broussard, Trevor Oaks, Jeff Brigham, Brad Renner</t>
  </si>
  <si>
    <t>Added Scott McGough, Matt Wieters</t>
  </si>
  <si>
    <t>Added Frank Viola III, Sean Carley, Daniel Moskos, Jeff Walters</t>
  </si>
  <si>
    <t>Added Wes Benjamin, Ryan Butler, Garrett Bolt (2013, 2011)</t>
  </si>
  <si>
    <t>Added Michael Nolan</t>
  </si>
  <si>
    <t>Added Derek Law</t>
  </si>
  <si>
    <t>Added Dallas Beeler</t>
  </si>
  <si>
    <t>Added mlbamid column to list</t>
  </si>
  <si>
    <t>Added Daniel Winkler, Randy Rosario, Luis Mateo, Gabe Encinas, Dean Deetz</t>
  </si>
  <si>
    <t>Corrected Ben Davis and J.R House surgery dates</t>
  </si>
  <si>
    <t>Added Ben Smith, Jose Lopez</t>
  </si>
  <si>
    <t>Added Age, Return Date and Recovery Time columns</t>
  </si>
  <si>
    <t>Added Jeff Hoffman, John Curtiss, Endrys Briceno, Josh Mueller</t>
  </si>
  <si>
    <t>Updated Jose Canseco, Cal Eldred, Paul Wagner, Steve Karsay, Steve Sparks, Rheal Cormier, Jason Isringhausen (1998), Seth Greisinger, Kerry Ligtenberg surgery dates</t>
  </si>
  <si>
    <t>Updated Chad Fox, Seth Greisinger, Scott Elbert statuses/teams</t>
  </si>
  <si>
    <t>Added Caleb Ferguson</t>
  </si>
  <si>
    <t>Added Dylan Cease</t>
  </si>
  <si>
    <t>Updated Oscar Villareal surgery date</t>
  </si>
  <si>
    <t>Added Tom Robson</t>
  </si>
  <si>
    <t>Added Craig Tatum</t>
  </si>
  <si>
    <t>Added Bronson Arroyo, Dustin Houle, Christian Binford, Steven Moya</t>
  </si>
  <si>
    <t>Added Yoel Mecias, Collin Balester, Matt Jones</t>
  </si>
  <si>
    <t>Added Surgeon(s) column</t>
  </si>
  <si>
    <t>Added Josh Pennington, Erick Fedde, Andrew Chin, Jake Brigham, Kenn Kasparek, Tyler Sample, Adrian Sampson, Nick Neumann, Hayden Hurst, Will Kendall, Justin Topa, Bealyn Chourio, Xavier Macklin, David Palmer, Dwayne Henry, Brian Holton, Larry Christenson, Joe Sambito, Don Aase, Chuck Porter, Tom Filer, Gary Lavelle, Brad Arnsberg, John Tudor, Danny Cox, Greg Mathews, Todd Worrell, Brett Gideon, John Dopson, Brian Dubois, Joe Magrane, Scott Chiamparino, Scott Garrelts, Mike Witt, Clay Parker, Kevin Ritz, Norm Charlton, Paul Menhart, Scott Aldred, Scott Eyre, Frank Viola, Darryl Hamilton</t>
  </si>
  <si>
    <t>Updated Brent Strom, Matt Young surgery dates</t>
  </si>
  <si>
    <t>Removed Jimmy Key and Kenny Rogers</t>
  </si>
  <si>
    <t>Added Tyler Chatwood (2014)</t>
  </si>
  <si>
    <t>Added Nate Jones, Tyler Saladino, Dillon Peters, Hector Hernandez, Fernando Romero, Tyler Stirewalt</t>
  </si>
  <si>
    <t>Added Josh Conway, Ryan McNeil, Anthony Prieto, Barret Loux, Stephen Bruno, Tim Saunders</t>
  </si>
  <si>
    <t>Added Austin Ross</t>
  </si>
  <si>
    <t>Added Tyler Skaggs, Chris Flexen</t>
  </si>
  <si>
    <t>Added Neil Wagner</t>
  </si>
  <si>
    <t>Added Stephen Fife</t>
  </si>
  <si>
    <t>Added Max Fried</t>
  </si>
  <si>
    <t>Updated Paul Molitor surgery date</t>
  </si>
  <si>
    <t>Added Marvin Gorgas, Ramon Morla</t>
  </si>
  <si>
    <t>Added David Whitehead</t>
  </si>
  <si>
    <t>Added Kyle Higashioka</t>
  </si>
  <si>
    <t>Added Tyler Bashlor</t>
  </si>
  <si>
    <t>Added Vaughn Covington</t>
  </si>
  <si>
    <t>Added Daniel Coulombe</t>
  </si>
  <si>
    <t>Added Carlos Almanzar (2006)</t>
  </si>
  <si>
    <t>Removed Jason Isringhausen (2008), Bartolome Fortunato, Eric Gagne (2005)</t>
  </si>
  <si>
    <t>Added Geremi Gonzalez, Ben Christensen, Greg Wooten, Bryan Harvey</t>
  </si>
  <si>
    <t>Corrected Mark Wohlers, Matt Mantei, Dave Eiland (2001, 2002), Dan Kolb, Brian Anderson (2006) surgery dates</t>
  </si>
  <si>
    <t>Added Jonny Venters (2014), Dallas Gallant</t>
  </si>
  <si>
    <t>Added Mark Clark</t>
  </si>
  <si>
    <t>Added Jeff Ibarra</t>
  </si>
  <si>
    <t>Added Javier Herrera (2006, 2014)</t>
  </si>
  <si>
    <t>Added Matt Carpenter</t>
  </si>
  <si>
    <t>Added Organizations, Recovery Time and Surgeons tabs</t>
  </si>
  <si>
    <t>Added Jeremy Hefner (2014)</t>
  </si>
  <si>
    <t>Added Jeff Bianchi, James Parr, Jack Egbert</t>
  </si>
  <si>
    <t>Added Scott Maine, Danny Touchet, Aaron Looper, Brian Stitt</t>
  </si>
  <si>
    <t>Added Zak Wasilewski</t>
  </si>
  <si>
    <t>Added Colton Turner, Jordan Ellis (2002, 2012), Kevin Walter, Matt Smith</t>
  </si>
  <si>
    <t>Added Brett Bochy, Tip Fairchild, Eli Iorg, Bryan Brickhouse, Jack Armstrong Jr., John Bannister, Matt Nevarez, Matt Ramsey, Andrew Rohrbach, Josh Osich, Dusty Hughes, Paul Raglione</t>
  </si>
  <si>
    <t>Added Trevor Bell, Dallas Buck, Mason Melotakis, John Fasola</t>
  </si>
  <si>
    <t>Added Ryan Brasier</t>
  </si>
  <si>
    <t>Added Kaleb Fleck</t>
  </si>
  <si>
    <t>Added Jaime Schultz</t>
  </si>
  <si>
    <t>Added David Perez, Jesse Hahn, Jared Ruxer</t>
  </si>
  <si>
    <t>Added Yean Carlos Gil</t>
  </si>
  <si>
    <t>Added Tim Gustafson</t>
  </si>
  <si>
    <t>Added Michael Olmsted</t>
  </si>
  <si>
    <t>Added Garrett Gould</t>
  </si>
  <si>
    <t>Added Derick Velazquez</t>
  </si>
  <si>
    <t>Added Shae Simmons</t>
  </si>
  <si>
    <t>Added Onas Farfan</t>
  </si>
  <si>
    <t>Added Joe Hesketh, Mike Warren, Dan Opperman, Bryan Hickerson, Eric Bell, Jose Cecena, Jose Mesa, Mike Fyhrie, Rey Sanchez, Greg Colbrunn (1991, 1993), Dion James, Glenn Carter</t>
  </si>
  <si>
    <t>Added Stan Spencer, Matt Murray, Pat Treend, Jeff Knox, Mike Greenwell, Bob Wells, Dave Leiper, Julio Valera, Ken Patterson, Armando Reynoso, Huck Flener, Anthony Young</t>
  </si>
  <si>
    <t>Corrected John Farrell surgery date</t>
  </si>
  <si>
    <t>Added Chad Smith, Alec Asher</t>
  </si>
  <si>
    <t>Corrected Scott Williamson (2001) surgery date</t>
  </si>
  <si>
    <t>Added Joel Hanrahan (2015)</t>
  </si>
  <si>
    <t>Corrected Mason Tobin surgery date</t>
  </si>
  <si>
    <t>Added Matt DeRosier</t>
  </si>
  <si>
    <t>Added Brandon Cumpton</t>
  </si>
  <si>
    <t>Added Wei-Chung Wang, Gus Benusa, Ricky Orta</t>
  </si>
  <si>
    <t>Added Tim Collins</t>
  </si>
  <si>
    <t>Added Yu Darvish</t>
  </si>
  <si>
    <t>Added Josh Edgin, Jose Martinez, Luis Merejo, Tim Berry, Corey Black, Brandon Brennan, Scott Oberg, Austin Wood, Sam Dyson, Elvis Araujo, Leonel Campos, Cole Wiper</t>
  </si>
  <si>
    <t>Added Jose Garcia, Rodrigo Lopez, Edward Campusano</t>
  </si>
  <si>
    <t>Corrected Michael Gonzalez surgery date</t>
  </si>
  <si>
    <t>Added Jeff Johnson</t>
  </si>
  <si>
    <t>Added Zack Wheeler</t>
  </si>
  <si>
    <t>Added Pat Misch</t>
  </si>
  <si>
    <t>Added Post-TJ MLB G, Post-TJ MLB IP/PA and Active columns to TJ List</t>
  </si>
  <si>
    <t>Added Matt Quatraro</t>
  </si>
  <si>
    <t>Added Steven Inch, Will Remillard, Shawn Tolleson</t>
  </si>
  <si>
    <t>Added Erling Moreno, Austin Reed</t>
  </si>
  <si>
    <t>Added Rob Wooten, Jordan Romano, Domingo German</t>
  </si>
  <si>
    <t>Updated Tom Candiotti surgery date</t>
  </si>
  <si>
    <t>Added Kyle Smith, Andrew McKirahan, Christian Vazquez, Jacob Webb</t>
  </si>
  <si>
    <t>Added Lewis Thorpe</t>
  </si>
  <si>
    <t>Added Burch Smith, Ty Hensley, Aaron Crow</t>
  </si>
  <si>
    <t>Added B.J. Hermsen, Joe Rogers, Jesse Beal, Mario Hollands, Red Patterson, Jose Pena</t>
  </si>
  <si>
    <t>Added Kevin Johnson, Lisalverto Bonilla</t>
  </si>
  <si>
    <t>Added Drew Anderson</t>
  </si>
  <si>
    <t>Added Cameron Booser</t>
  </si>
  <si>
    <t>Added Jake Sweaney</t>
  </si>
  <si>
    <t>Added Will Fulmer</t>
  </si>
  <si>
    <t>Added Brady Feigl</t>
  </si>
  <si>
    <t>Added Jonas Dufek</t>
  </si>
  <si>
    <t>Added Joe Nathan</t>
  </si>
  <si>
    <t>Added Brandon McCarthy</t>
  </si>
  <si>
    <t>Added Homer Bailey, Jose Rosario</t>
  </si>
  <si>
    <t>Added Donald Lutz</t>
  </si>
  <si>
    <t>Added Domingo Tapia, Anthony Castro, Adam Ottavino, Matt Magill</t>
  </si>
  <si>
    <t>Added Alex Cobb</t>
  </si>
  <si>
    <t>Added Davis Ward</t>
  </si>
  <si>
    <t>Added Dayan Diaz, Daniel Missaki, Ramire Cleto, Justin Topa</t>
  </si>
  <si>
    <t>Added Mike Nesseth</t>
  </si>
  <si>
    <t>Added Kenny Mathews</t>
  </si>
  <si>
    <t>Added Chase Whitley</t>
  </si>
  <si>
    <t>Added Dylan Baker, Blaine Howell (2012, 2013), Reid Redman</t>
  </si>
  <si>
    <t>Corrected Justin Topa (2015) surgery date</t>
  </si>
  <si>
    <t>Added James Bourque, Brian Schlitter</t>
  </si>
  <si>
    <t>Added Nick Kingham</t>
  </si>
  <si>
    <t>Added Kevin Krause, Adrian Grullon</t>
  </si>
  <si>
    <t>Added Zeke McGranahan, Caleb Frare, Dietrich Enns, Conor Mullee, Jarret Leverett, Kent Emanuel</t>
  </si>
  <si>
    <t>Updated Jose Rosario and Conor Mullee surgery dates</t>
  </si>
  <si>
    <t>Added A.J. Ramos</t>
  </si>
  <si>
    <t>Added Jordan Stephens, Peter Fairbanks, Taylor Clarke</t>
  </si>
  <si>
    <t>Added Kyle Friedrichs, Pierce Romero, Erik Goeddel, Matt Crownover, Brian Ward, Dustin Hurlbutt, James Naile, Chase Johnson-Mullins, Andrew Lee, Adam Choplick (2011, 2010), Casey Mulholland, A.J. Minter, Mike Matuella</t>
  </si>
  <si>
    <t>Added Brandon Workman, Tommy Peterson, Trey Keegan, Ryan Perez, Alex Luna, Jordan Dunatov</t>
  </si>
  <si>
    <t>Added Dakota Mitchell, Yomar Morel, Nate Griep, Quintin Torres-Costa, Matt Lujan</t>
  </si>
  <si>
    <t>Added Grant Hockin, Jace Fry (2015), Nick Vander Tuig (2009, 2015), Michael Hacker</t>
  </si>
  <si>
    <t>Added Shao-Ching Chiang, Brady Aiken, Tyler Nevin, Reilly Hovis, Tyler Higgins, Joe Harvey</t>
  </si>
  <si>
    <t>Added Trevor Megill, Jake Kalish</t>
  </si>
  <si>
    <t>Added Jeff Degano</t>
  </si>
  <si>
    <t>Changed name from Jose Campos to Vicente Campos</t>
  </si>
  <si>
    <t>Added Justin Garza</t>
  </si>
  <si>
    <t>Added Austin DeCarr</t>
  </si>
  <si>
    <t>Added Sergio Santos</t>
  </si>
  <si>
    <t>Added Blake Hickman, Jeff Burke</t>
  </si>
  <si>
    <t>Corrected Al Reyes surgery date (2005)</t>
  </si>
  <si>
    <t>Added Marc Magliaro</t>
  </si>
  <si>
    <t>Added Matt Strahm, Alec Mills, Colin Rodgers</t>
  </si>
  <si>
    <t>Added Alex Wilson</t>
  </si>
  <si>
    <t>Added Derek DeYoung, J.J. Picollo</t>
  </si>
  <si>
    <t>Added Michael Smith (2015)</t>
  </si>
  <si>
    <t>Added Josh Goossen-Brown, Jose Barraza, Matt Lane, Josh Romanski, Adam Lopez, James Marvel</t>
  </si>
  <si>
    <t>Added Jonah Wesely, Nicholas Padilla</t>
  </si>
  <si>
    <t>Added Don Kelly, Jamie Nelson, Josh Rogers</t>
  </si>
  <si>
    <t>Added Chris Betts</t>
  </si>
  <si>
    <t>Converted from Majors to Level and College to College(s)</t>
  </si>
  <si>
    <t>Added Brad Kuntz</t>
  </si>
  <si>
    <t>Added Jacob Taylor</t>
  </si>
  <si>
    <t>Added Blake Taylor, Jack Leathersich</t>
  </si>
  <si>
    <t>Added Brooks Pounders</t>
  </si>
  <si>
    <t>Added Nate Adcock, Morgan Lofstrom, Glenn Sparkman, Walker Buehler</t>
  </si>
  <si>
    <t>Added Johnny Magliozzi, Wesley Rodriguez</t>
  </si>
  <si>
    <t>Added Hector Garcia, Ivan Cespedes, Eduardo Vera</t>
  </si>
  <si>
    <t>Added Cesar Araujo</t>
  </si>
  <si>
    <t>Added Taylor Williams, Jason Vargas</t>
  </si>
  <si>
    <t>Added Aaron Bummer</t>
  </si>
  <si>
    <t>Added Pete Kelich</t>
  </si>
  <si>
    <t>Added Brian Ellington</t>
  </si>
  <si>
    <t>Added Trey Nielsen</t>
  </si>
  <si>
    <t>Added Marcus Greene</t>
  </si>
  <si>
    <t>Added Hipolito Pichardo</t>
  </si>
  <si>
    <t>Added James Needy, Eduardo Jimenez</t>
  </si>
  <si>
    <t>Added Delvin Hiciano, Keaton Aldridge, Fernery Ozuna</t>
  </si>
  <si>
    <t>Added Nathan Kirby</t>
  </si>
  <si>
    <t>Added Aaron Barrett</t>
  </si>
  <si>
    <t>Added Harrison Musgrave</t>
  </si>
  <si>
    <t>Added Drew VerHagen</t>
  </si>
  <si>
    <t>Added Angel Sanchez, Saul De La Cruz, Cole Sulser (2011, 2015)</t>
  </si>
  <si>
    <t>Added Rene Arocha, Butch Henry</t>
  </si>
  <si>
    <t>Added Cameron Avila-Leeper</t>
  </si>
  <si>
    <t>Added David Ramos</t>
  </si>
  <si>
    <t>Added Kyle Waldrop</t>
  </si>
  <si>
    <t>Added Greg Holland</t>
  </si>
  <si>
    <t>Added Paco Rodriguez</t>
  </si>
  <si>
    <t>Added Jesse Biddle</t>
  </si>
  <si>
    <t>Added Eduardo Sanchez, Branden Kline, Greg Maisto</t>
  </si>
  <si>
    <t>Added Li-Jen Chu</t>
  </si>
  <si>
    <t>Added Mason Hope (2014, 2015)</t>
  </si>
  <si>
    <t>Added Marcos Molina</t>
  </si>
  <si>
    <t>Added Jacob Dahlstrand, Cameron Griffin</t>
  </si>
  <si>
    <t>Added Casey Sadler</t>
  </si>
  <si>
    <t>Corrected John Axford surgery date</t>
  </si>
  <si>
    <t>Added Lance Lynn</t>
  </si>
  <si>
    <t>Added Brad Bergesen</t>
  </si>
  <si>
    <t>Added Beau Wright</t>
  </si>
  <si>
    <t>Added Chang-Yong Lim (2005), Sam Demel</t>
  </si>
  <si>
    <t>Added Diego Moreno, Benino Pruneda, Derrick Lewis, Brett Cammons, Cody Allen, Mike James, Randy Velarde, Mitch LeVier, Bobby Munoz, Dae-Eun Rhee, Andrew Laughter, Steve Matre, Andrew Good, John Ennis, Marcus Walden, Parker Frazier, John Foster</t>
  </si>
  <si>
    <t>Added Mark Minicozzi, Mike Duvall, Lincoln Holdzkom, Scott Sobkowiak, Doug Creek, Todd Jennings, Osvaldo Fernandez, Ken Ryan, Luis Lopez, Francisco Cordova, Mike Benjamin, Tom Lampkin, Steve Stemle, Matt Hensley, Chuck Smith, Brian Rose, Nick Hill, Greg Wilborn, Jeff Wallace, Billy Petrick, Marc Valdes, T.J. Tucker, Jeff Tabaka, Brian Akin, Valerio De Los Santos, Jay Powell</t>
  </si>
  <si>
    <t>Added Seung-hwan Oh</t>
  </si>
  <si>
    <t>Added Sean Murphy</t>
  </si>
  <si>
    <t>Added Nick Petree</t>
  </si>
  <si>
    <t>Added Carter Capps</t>
  </si>
  <si>
    <t>Added Jairo Diaz</t>
  </si>
  <si>
    <t>Added Nick Sabo</t>
  </si>
  <si>
    <t>Added Matt Trowbridge</t>
  </si>
  <si>
    <t>Added Joel Bender</t>
  </si>
  <si>
    <t>Added Brusdar Graterol</t>
  </si>
  <si>
    <t>Added Andrew McKirahan (2016)</t>
  </si>
  <si>
    <t>Added Matt Whitehouse, Chaz Hebert</t>
  </si>
  <si>
    <t>Added Joan De La Cruz, Victor Diaz, Yosmer Leal, Milton Gomez</t>
  </si>
  <si>
    <t>Added Ian Gardeck</t>
  </si>
  <si>
    <t>Added Will Remillard (2016)</t>
  </si>
  <si>
    <t>Added Tyler Kolek</t>
  </si>
  <si>
    <t>Added Tim Collins (2016), Tim Melville, Felix Doubront</t>
  </si>
  <si>
    <t>Added Nick Rumbelow</t>
  </si>
  <si>
    <t>Added Marco Gonzales</t>
  </si>
  <si>
    <t>Added Jimmy Reed</t>
  </si>
  <si>
    <t>Added Jacob Lee</t>
  </si>
  <si>
    <t>Added Manny Parra, R.C. Orlan</t>
  </si>
  <si>
    <t>Added Gray Fenter</t>
  </si>
  <si>
    <t>Added Sebastian Kessay, Kirby Yates, George Kontos, Jose Alvarez, Joe Biagini</t>
  </si>
  <si>
    <t>Added Matt Marksberry, Brian Pearl, Arquimedes Caminero, Jumbo Diaz, Andrew Triggs, Harold Mozingo, Harrison Cooney, Wei-Yin Chen, Hyun-Jin Ryu</t>
  </si>
  <si>
    <t>Added Ryan Etsell, Delfo Terrero, Ramon Rodriguez, Miguel Del Pozo</t>
  </si>
  <si>
    <t>Added Keith Hessler</t>
  </si>
  <si>
    <t>Added Chris Bassitt</t>
  </si>
  <si>
    <t>Added Zac Reininger</t>
  </si>
  <si>
    <t>Added Javy Guerra, Steve Delabar, Eric Eadington (2008, 2014)</t>
  </si>
  <si>
    <t>Added Pablo Fernandez</t>
  </si>
  <si>
    <t>Added Michael Gibbons, Layne Somsen</t>
  </si>
  <si>
    <t>Added Dustin Antolin, Ben Bracewell</t>
  </si>
  <si>
    <t>Added Robbie Erlin, Deiyerbert Bolivar, Dylan Brooks</t>
  </si>
  <si>
    <t>Added Carson Smith, Alexis Diaz</t>
  </si>
  <si>
    <t>Added Tyler Cloyd, Tyler Sturdevant, A.J. Morris, Josh Smith</t>
  </si>
  <si>
    <t>Added Carlos Aponte</t>
  </si>
  <si>
    <t>Added Taylor Jordan (2016)</t>
  </si>
  <si>
    <t>Added Pedro Perez</t>
  </si>
  <si>
    <t>Added Aaron Wilkerson, Ty Hensley, Elliot Ashbeck</t>
  </si>
  <si>
    <t>Added Ryan Brett, Frank Batista</t>
  </si>
  <si>
    <t>Added Daniel Webb</t>
  </si>
  <si>
    <t>Added Cal Quantrill, Mitch White, Mason Thompson, Jesus Luzardo, Sam Tewes</t>
  </si>
  <si>
    <t>Added Matt Krook</t>
  </si>
  <si>
    <t>Added Jacob Bosiokovic, Cameron Roegner, Heath Holder, Robert Calvano</t>
  </si>
  <si>
    <t>Added Mikey York, Jonas Wyatt</t>
  </si>
  <si>
    <t>Added Zach Becherer, Braden Webb</t>
  </si>
  <si>
    <t>Added Jesse Stallings, Reid Humphreys, Raudel Lazo</t>
  </si>
  <si>
    <t>Added Zach Plesac, Adam Parks (2012, 2016)</t>
  </si>
  <si>
    <t>Added Sam Lewis, Tyler Benninghoff</t>
  </si>
  <si>
    <t>Added Jordan Sheffield, Cole Irvin, Robby Sexton, Ryan Williamson, Kyle Hart, Martin Agosta, Logan Webb, Hever Bueno</t>
  </si>
  <si>
    <t>Added Chris Thomas</t>
  </si>
  <si>
    <t>Added Jose Garcia, Scott Moss</t>
  </si>
  <si>
    <t>Added Andrew Heaney, Art Warren, Alex Hermeling, Matthew Grimes, Bryce Beeler, Kyle Survance, James Carter, Conor Costello</t>
  </si>
  <si>
    <t>Added Zach Remillard, Enrique Zamora, Joseph Colon, Jo-Jo Reyes</t>
  </si>
  <si>
    <t>Added Jon Moscot</t>
  </si>
  <si>
    <t>Added Matt Crouse, Koda Glover</t>
  </si>
  <si>
    <t>Added Adrian Houser, Hunter Harvey</t>
  </si>
  <si>
    <t>Added Carlos Luna</t>
  </si>
  <si>
    <t>Added Adrian Perez</t>
  </si>
  <si>
    <t>Added Malcolm Van Buren</t>
  </si>
  <si>
    <t>Added Miguel Socolovich, Tyler Melling</t>
  </si>
  <si>
    <t>Added Andrew Lee (2016)</t>
  </si>
  <si>
    <t>Added Raymond Burgos, Sam Hentges, Chad Donato, Francisco Lopez</t>
  </si>
  <si>
    <t>Added Jacob Lindgren</t>
  </si>
  <si>
    <t>Added David Elder, Dalton Geekie</t>
  </si>
  <si>
    <t>Added Walker Weickel</t>
  </si>
  <si>
    <t>Added Drew Steckenrider</t>
  </si>
  <si>
    <t>Added Chris Paddack</t>
  </si>
  <si>
    <t>Added Nathan Eovaldi (2016)</t>
  </si>
  <si>
    <t>Added Sean Nolin</t>
  </si>
  <si>
    <t>Added Nick Tropeano, Andy Parrino</t>
  </si>
  <si>
    <t>Added Derek Hill</t>
  </si>
  <si>
    <t>Added Doug Willey</t>
  </si>
  <si>
    <t>Added Eddie Gamboa, Josh Uhen</t>
  </si>
  <si>
    <t>Added Christian Morris</t>
  </si>
  <si>
    <t>Added Cesar Gonzalez, Johan Belisario</t>
  </si>
  <si>
    <t>Added Mark Armstrong</t>
  </si>
  <si>
    <t>Added Anthony Kay</t>
  </si>
  <si>
    <t>Added James Jones</t>
  </si>
  <si>
    <t>Added Andro Cutura, Erik Johnson, J.B. Wendelken</t>
  </si>
  <si>
    <t>Added Josh Prevost</t>
  </si>
  <si>
    <t>Added Zach Duke</t>
  </si>
  <si>
    <t>Added Derek Tate</t>
  </si>
  <si>
    <t>Added Ryan Cook</t>
  </si>
  <si>
    <t>Added Colin Rea</t>
  </si>
  <si>
    <t>Added Bryan Harper</t>
  </si>
  <si>
    <t>Added Yimi Garcia</t>
  </si>
  <si>
    <t>Added Kane Sweeney</t>
  </si>
  <si>
    <t>Added Jonathan Wandling</t>
  </si>
  <si>
    <t>Added Chandler Shepherd</t>
  </si>
  <si>
    <t>Added Bill Bordley</t>
  </si>
  <si>
    <t>Added Alex Reyes</t>
  </si>
  <si>
    <t>Added Michel Otanez, Alex Kirilloff</t>
  </si>
  <si>
    <t>Added Joseph Markus</t>
  </si>
  <si>
    <t>Added Jorge Ortega, Daniel Missaki (2016)</t>
  </si>
  <si>
    <t>Added Anderson Polanco</t>
  </si>
  <si>
    <t>Added Greg Williams (2012, 2015), Trevor May</t>
  </si>
  <si>
    <t>Added Justin Alleman</t>
  </si>
  <si>
    <t>Added Corey Black, Devin Williams, Wyatt Strahan, Dace Kime</t>
  </si>
  <si>
    <t>Added Rayan Gonzalez</t>
  </si>
  <si>
    <t>Added Cody Anderson, Jeremy Kivel, Tejay Antone, Andrew Wright</t>
  </si>
  <si>
    <t>Added Xavier Fernandez</t>
  </si>
  <si>
    <t>Added Bo Schultz</t>
  </si>
  <si>
    <t>Added Will Smith, Nick Hanson</t>
  </si>
  <si>
    <t>Added Tyson Perez, Mike Nikorak, James Kaprielian, Witt Haggard, Brad Wieck</t>
  </si>
  <si>
    <t>Removed Brad Bergesen</t>
  </si>
  <si>
    <t>Added Dariel Alvarez, John Fasola (2017)</t>
  </si>
  <si>
    <t>Added Keaton Siomkin, Daulton Jefferies</t>
  </si>
  <si>
    <t>Added Yoiber Marquina, Pablo Lopez</t>
  </si>
  <si>
    <t>Added Joe Palumbo</t>
  </si>
  <si>
    <t>Added John Pomeroy</t>
  </si>
  <si>
    <t>Added Brady Rodgers, Ryan O'Rourke</t>
  </si>
  <si>
    <t>Added Blake Tiberi</t>
  </si>
  <si>
    <t>Added Shelby Miller</t>
  </si>
  <si>
    <t>Added Mac Marshall</t>
  </si>
  <si>
    <t>Added Troy Rallings</t>
  </si>
  <si>
    <t>Added Corey Zangari</t>
  </si>
  <si>
    <t>Added Chase Johnson</t>
  </si>
  <si>
    <t>Added Giovanny Gallegos</t>
  </si>
  <si>
    <t>Added Tommy Collier, Montreal Robertson</t>
  </si>
  <si>
    <t>Added Shawn Tolleson, Ian Gardeck (2017), Ryan Koziol, Rayan Hernandez</t>
  </si>
  <si>
    <t>Added Rob Wooten (2017)</t>
  </si>
  <si>
    <t>Added Brian Hunter</t>
  </si>
  <si>
    <t>Added Bo Tucker</t>
  </si>
  <si>
    <t>Added Nick Burdi</t>
  </si>
  <si>
    <t>Added Nicholas Sawyer</t>
  </si>
  <si>
    <t>Added Joel Huertas</t>
  </si>
  <si>
    <t>Added Matt Wynne</t>
  </si>
  <si>
    <t>Added Joe Mortillaro, Braxton Garrett, Bryan Pall, Justin Watts, Travis Herrin, Gleyber Torres</t>
  </si>
  <si>
    <t>Added Jordan Holloway, Edgardo Sandoval, Jandel Gustave</t>
  </si>
  <si>
    <t>Added Trey Turner, Chris Muller</t>
  </si>
  <si>
    <t>Added Pavin Smith, Keegan Thompson, Jacob Steffens</t>
  </si>
  <si>
    <t>Added Clarke Schmidt</t>
  </si>
  <si>
    <t>Added Tyler Webb, Zach Putnam, Evan Van Hoosier, Blake Bass</t>
  </si>
  <si>
    <t>Added Kodi Whitley, Ryan Valdes, Lincoln Henzman, Joe Perez, Orlando Razo, Bailey Ober</t>
  </si>
  <si>
    <t>Added Josh Roberson, Patrick Weigel, Christian Taugner, Sean Johnson, Drew Smyly, Wil Crowe, Brigham Hill</t>
  </si>
  <si>
    <t>Added Jaimito Lebron, Adrian Martinez, Jean Cosme</t>
  </si>
  <si>
    <t>Added Andre Jackson</t>
  </si>
  <si>
    <t>Added Matt Brill</t>
  </si>
  <si>
    <t>Added Kyle Serrano, Mitchell Traver, Doug Norman, Morgan Cooper</t>
  </si>
  <si>
    <t>Added Kyle Keith</t>
  </si>
  <si>
    <t>Added Kevin Taylor, Edwin German, Joe Ross, Michael Pineda</t>
  </si>
  <si>
    <t>Added Simon Castro</t>
  </si>
  <si>
    <t>Added Thomas Szapucki</t>
  </si>
  <si>
    <t>Added Andre Rienzo</t>
  </si>
  <si>
    <t>Added Jason Foley</t>
  </si>
  <si>
    <t>Added Zack Burdi</t>
  </si>
  <si>
    <t>Added Wes Helsabeck, Darren Shred</t>
  </si>
  <si>
    <t>Added Max Kuhns</t>
  </si>
  <si>
    <t>Added Nick Longhi, Chi Chi Gonzalez</t>
  </si>
  <si>
    <t>Added Anderson Espinoza, Brett Eibner</t>
  </si>
  <si>
    <t>Added Edinson Volquez (2017)</t>
  </si>
  <si>
    <t>Added Kevin Gowdy</t>
  </si>
  <si>
    <t>Added Lance Thonvold, Grant Dyer</t>
  </si>
  <si>
    <t>Added Justin Steele, Rubby De La Rosa (2017)</t>
  </si>
  <si>
    <t>Added Grant Dayton, Casey Kulina, Frankie Tostado, Jeff Ferrell, Josh Lucas, Ricardo Rodriguez, Jordan Humphreys</t>
  </si>
  <si>
    <t>Added Luis De Los Santos</t>
  </si>
  <si>
    <t>Added Andres Machado</t>
  </si>
  <si>
    <t>Added Matt De La Rosa, Brett Morales, Trevor Rosenthal, T.J. Rivera</t>
  </si>
  <si>
    <t>Added Artie Lewicki</t>
  </si>
  <si>
    <t>Added Sam Coonrod</t>
  </si>
  <si>
    <t>Added Nick Christiani</t>
  </si>
  <si>
    <t>Added Jesen Therrien</t>
  </si>
  <si>
    <t>Added Drew Storen</t>
  </si>
  <si>
    <t>Added Jose Adames</t>
  </si>
  <si>
    <t>Added Packy Naughton</t>
  </si>
  <si>
    <t>Added Lucas Luetge</t>
  </si>
  <si>
    <t>Corrected John Fasola (2017) surgery to UCL InternalBrace</t>
  </si>
  <si>
    <t>Added Jonathan Loaisiga</t>
  </si>
  <si>
    <t>Added Bryan Garcia</t>
  </si>
  <si>
    <t>Added Brent Honeywell</t>
  </si>
  <si>
    <t>Added Julian Merryweather</t>
  </si>
  <si>
    <t>Added Joe Mantiply</t>
  </si>
  <si>
    <t>Added Matt Smith (2017)</t>
  </si>
  <si>
    <t>Added Jose De Leon</t>
  </si>
  <si>
    <t>Added Elieser Medrano</t>
  </si>
  <si>
    <t>Added Jharel Cotton</t>
  </si>
  <si>
    <t>Added Nash Walters, Andrew Vernon, Luis Cordero, Yosmer Leal (2017)</t>
  </si>
  <si>
    <t>Added David Phelps</t>
  </si>
  <si>
    <t>Added Rafael Montero</t>
  </si>
  <si>
    <t>Added Jacob Lindgren (2018), Cole Ragans, Grayson Huffman</t>
  </si>
  <si>
    <t>Added Alex Dickerson, Julian Fernandez</t>
  </si>
  <si>
    <t>Updated David Hernandez, Colby Lewis, Jacob deGrom, Matt Holliday, John Smoltz, Jay Payton (1995) surgery dates</t>
  </si>
  <si>
    <t>Added John Farrell (1990), Jay Payton (1997)</t>
  </si>
  <si>
    <t>Added J.B. Olson, Evan Grills, Colin Holderman</t>
  </si>
  <si>
    <t>Added Ben Heller, A.J. Puk, Heath Donica, Clayton Blackburn</t>
  </si>
  <si>
    <t>Added JC Ramirez</t>
  </si>
  <si>
    <t>Added Travis d'Arnaud, Pablo Ochoa</t>
  </si>
  <si>
    <t>Added Taijuan Walker</t>
  </si>
  <si>
    <t>Added Dinelson Lamet</t>
  </si>
  <si>
    <t>Added Connor Overton</t>
  </si>
  <si>
    <t>Added Matt Givin</t>
  </si>
  <si>
    <t>Added Chad Hockin, Jason Isringhausen (09/2009), Corey Seager</t>
  </si>
  <si>
    <t>Added Logan Harasta</t>
  </si>
  <si>
    <t>Added Lachlan Wells</t>
  </si>
  <si>
    <t>Added Collin Wiles</t>
  </si>
  <si>
    <t>Added Jay Groome, Adrian Rodriguez</t>
  </si>
  <si>
    <t>Added Steve Hathaway</t>
  </si>
  <si>
    <t>Added Seth Simmons</t>
  </si>
  <si>
    <t>Added Dalton Sawyer</t>
  </si>
  <si>
    <t>Added Josh Pennington (2018), Jose Hernandez</t>
  </si>
  <si>
    <t>Added Chuck Weaver</t>
  </si>
  <si>
    <t>Added Keynan Middleton</t>
  </si>
  <si>
    <t>Added Aaron Perry, Skylar Szynski</t>
  </si>
  <si>
    <t>Added Gerson Moreno, Zach Green</t>
  </si>
  <si>
    <t>Added Blake Wood (2018)</t>
  </si>
  <si>
    <t>Added Kyle Kinman</t>
  </si>
  <si>
    <t>Added Jordan Montgomery, Ryan Sherriff</t>
  </si>
  <si>
    <t>Added Grant Hockin (2018)</t>
  </si>
  <si>
    <t>Added Kevin Shackelford, Anthony Banda</t>
  </si>
  <si>
    <t>Added Steven Wilson</t>
  </si>
  <si>
    <t>Added Austin Lambright</t>
  </si>
  <si>
    <t>Added Jake Zokan, Seby Zavala, Bren Spillane, Matt Pidich, Nick Allgeyer, Cre Finfrock, Cobi Johnson</t>
  </si>
  <si>
    <t>Added Matt Mercer, Ryan Miller, Aaron Fletcher, Drew Strotman</t>
  </si>
  <si>
    <t>Added Nick Bush, Jason Bilous, Aaron Soto, Sam Bordner, Mitch McIntyre</t>
  </si>
  <si>
    <t>Added Reid Schaller, Tarik Skubal, Andrew McDonald, Bryce Montes de Oca, Tyler Holton, Nick Ernst, Garrett Hill, Travis Radke</t>
  </si>
  <si>
    <t>Added Cole Uvila, Reza Aleaziz, Glen Richardson</t>
  </si>
  <si>
    <t>Added Kevin Gadea</t>
  </si>
  <si>
    <t>Added Cody Morris, Derek Casey, Michael Murray, Sam Fuller</t>
  </si>
  <si>
    <t>Added Kyle Marman, Alex Speas, Drew Rasmussen (2016, 2017), Nick Meservey</t>
  </si>
  <si>
    <t>Added Chris Mathewson, Patrick Riehl, Brandon Koch, Kody Clemens, Riley Thompson, Javier Medina, Reyes Moronta, Steven Gingery</t>
  </si>
  <si>
    <t>Added Mitchell Kilkenny</t>
  </si>
  <si>
    <t>Added Clay Fisher, Dylan Dusek</t>
  </si>
  <si>
    <t>Added Kyri Washington</t>
  </si>
  <si>
    <t>Added Sam Carlson</t>
  </si>
  <si>
    <t>Added Noah Davis, Andrew Miller</t>
  </si>
  <si>
    <t>Added Michael Grove, Julian Smith, Jason Morgan</t>
  </si>
  <si>
    <t>Added Shane McClanahan, John Lamb, Andy Cox</t>
  </si>
  <si>
    <t>Added Cullen Dana</t>
  </si>
  <si>
    <t>Added Stephen Ridings</t>
  </si>
  <si>
    <t>Added Alger Hodgson</t>
  </si>
  <si>
    <t>Added John Parke</t>
  </si>
  <si>
    <t>Added Garrett Richards</t>
  </si>
  <si>
    <t>Added Kyle Cody, Brandon Bailey</t>
  </si>
  <si>
    <t>Added Micker Adolfo, Devin Conn</t>
  </si>
  <si>
    <t>Added Stiward Aquino</t>
  </si>
  <si>
    <t>Added Cam Hill</t>
  </si>
  <si>
    <t>Updated Andrew Chafin surgery date</t>
  </si>
  <si>
    <t>Added Edgar Arredondo</t>
  </si>
  <si>
    <t>Added Austin Franklin</t>
  </si>
  <si>
    <t>Added Luis Gamez, Brandon Leibrandt</t>
  </si>
  <si>
    <t>Added Daniel Gossett, Kendall Graveman</t>
  </si>
  <si>
    <t>Added Mario Sanchez, Brent Suter, Johnny Cueto</t>
  </si>
  <si>
    <t>Added Andrew Lantrip</t>
  </si>
  <si>
    <t>Added Cody Carroll</t>
  </si>
  <si>
    <t>Added Dustin Hunt</t>
  </si>
  <si>
    <t>Added Jacob Barnwell, Dakota Chalmers</t>
  </si>
  <si>
    <t>Added Isaiah Carranza, Rafael Martinez, Francis Martes</t>
  </si>
  <si>
    <t>Added Brooks Kriske</t>
  </si>
  <si>
    <t>Added Matt Rowland, Artie Lewicki (2018)</t>
  </si>
  <si>
    <t>Added Tim Cate, Andrew Edwards, Seth Romero</t>
  </si>
  <si>
    <t>Added Jose Mujica</t>
  </si>
  <si>
    <t>Added Randy LeBlanc (2018), Zach Featherstone, Yancarlos Baez, Miguel De Jesus</t>
  </si>
  <si>
    <t>Added Michael Kopech</t>
  </si>
  <si>
    <t>Added Chad Kuhl</t>
  </si>
  <si>
    <t>Added Sarkis Ohanian</t>
  </si>
  <si>
    <t>Added Shohei Ohtani</t>
  </si>
  <si>
    <t>Added Edgar Santana, Travis MacGregor</t>
  </si>
  <si>
    <t>Added Gabe Klobosits</t>
  </si>
  <si>
    <t>Added Yasel Antuna</t>
  </si>
  <si>
    <t>Added Didi Gregorius</t>
  </si>
  <si>
    <t>Added Quintin Torres-Costa</t>
  </si>
  <si>
    <t>Added Franklyn Kilome</t>
  </si>
  <si>
    <t>Added Tylor Fischer</t>
  </si>
  <si>
    <t>Added Jack DeGroat</t>
  </si>
  <si>
    <t>Added Lance McCullers Jr.</t>
  </si>
  <si>
    <t>Added Erick Leal</t>
  </si>
  <si>
    <t>Added Justin Marsden</t>
  </si>
  <si>
    <t>Added Luis Munoz</t>
  </si>
  <si>
    <t>Added Jairo Solis</t>
  </si>
  <si>
    <t>Corrected Jaime Schultz surgery date</t>
  </si>
  <si>
    <t>Added Travis Bergen, Ryan Thompson</t>
  </si>
  <si>
    <t>Added Nate Orf</t>
  </si>
  <si>
    <t>Added Joe Record</t>
  </si>
  <si>
    <t>Added Daniel Mahoney</t>
  </si>
  <si>
    <t>Added Roniel Raudes</t>
  </si>
  <si>
    <t>Added Chris Smith</t>
  </si>
  <si>
    <t>Added Jose Adames (2018), Salvador Perez</t>
  </si>
  <si>
    <t>Added Trey Cobb</t>
  </si>
  <si>
    <t>Added Drew Smith</t>
  </si>
  <si>
    <t>Added Matt Dermody</t>
  </si>
  <si>
    <t>Added Silvino Bracho</t>
  </si>
  <si>
    <t>Added Dane Dunning, Mark Leiter Jr.</t>
  </si>
  <si>
    <t>Added Ryan Brinley</t>
  </si>
  <si>
    <t>Added Michael Fulmer</t>
  </si>
  <si>
    <t>Added Brady Puckett</t>
  </si>
  <si>
    <t>Added Clark Beeker</t>
  </si>
  <si>
    <t>Added Corey Knebel</t>
  </si>
  <si>
    <t>Added Nik Turley, Mason Ward, Angel Vasquez</t>
  </si>
  <si>
    <t>Added Ryan Dease</t>
  </si>
  <si>
    <t>Added Hunter Greene</t>
  </si>
  <si>
    <t>Added Corey Black (2019), A.J. Ladwig</t>
  </si>
  <si>
    <t>Added Mason Englert</t>
  </si>
  <si>
    <t>Added Matt Sauer</t>
  </si>
  <si>
    <t>Added Anderson Espinoza (2019)</t>
  </si>
  <si>
    <t>Added Kyle Dowdy</t>
  </si>
  <si>
    <t>Added Jack DeGroat (2019)</t>
  </si>
  <si>
    <t>Added Owen White</t>
  </si>
  <si>
    <t>Added Braydon Fisher</t>
  </si>
  <si>
    <t>Added Garrett Davila, Nolan Watson</t>
  </si>
  <si>
    <t>Added Kyle Thomas</t>
  </si>
  <si>
    <t>Added John King, Kyle Young, Chase Ingram</t>
  </si>
  <si>
    <t>Added Carlos Rodon, Zach Pop, Peter Maris</t>
  </si>
  <si>
    <t>Added Cole Ragans (2019), Lenny Torres, Tate Budnick</t>
  </si>
  <si>
    <t>Added Peter Fairbanks (2017)</t>
  </si>
  <si>
    <t>Added Ryan Boldt</t>
  </si>
  <si>
    <t>Added Tyler Wells, Akil Baddoo, John Swanda, Jared Walsh</t>
  </si>
  <si>
    <t>Removed Kyle Marman (UCL InternalBrace)</t>
  </si>
  <si>
    <t>Added Duncan Robinson</t>
  </si>
  <si>
    <t>Added Ben Brown</t>
  </si>
  <si>
    <t>Added Cale Coshow</t>
  </si>
  <si>
    <t>Added Corey Taylor</t>
  </si>
  <si>
    <t>Added Mike Ellenbest</t>
  </si>
  <si>
    <t>Added Ashe Russell</t>
  </si>
  <si>
    <t>Added Colin Poche</t>
  </si>
  <si>
    <t>Added Victor Soteldo</t>
  </si>
  <si>
    <t>Added Breiling Eusebio</t>
  </si>
  <si>
    <t>Added Seth Nordlin, Jordan Hicks</t>
  </si>
  <si>
    <t>Added Corey Merrill, Cole Bellinger</t>
  </si>
  <si>
    <t>Added Jimmy Lambert, Ryan Burr, Trevor Bettencourt</t>
  </si>
  <si>
    <t>Added Andrew Bellatti</t>
  </si>
  <si>
    <t>Changed name from Jose Hernandez to Jose Urquidy</t>
  </si>
  <si>
    <t>Added Josh Rogers (2019), Corbin Martin, Matt Bush (2019)</t>
  </si>
  <si>
    <t>Added Stephen Greenlees</t>
  </si>
  <si>
    <t>Added Ethan Small, Peyton Burdick, Tristin English, Levi Stoudt, Michael McAvene, Chris Clarke, Josh Burgmann, Dante Biasi, Michael Limoncelli, Aaron Ochsenbein, Noah Murdock, Bryan Hoeing, Connor Lehmann, Davis Daniel, Nick Robertson, Brock Bell, Logan Gragg, Hunter McMahon, Alec Gamboa, Cody Scroggins, Chad Sykes, C.J. Stubbs, Mason Feole, Sean Mooney, Reid Morgan, Sahid Valenzuela, Justin Hooper, Lucas Knowles, Derek West, Matt Lloyd, Mitch Ragan, Alex Haynes, Cole McDonald, Evan Voliva, Jensen Elliott, Braidyn Fink, Thomas Rowan, Nic Enright, Kevin Strohschein, Blair Calvo, Keegan James, Kyle Molnar (2016), Kyle Molnar (2018), Jeremy Randolph, Brandon Walter, Tyler Osik, Mason Cole, Eric Lex, Tyler Poulin, Shane Combs, Josh Simpson, Brock Love, Dylan Shockley, Jake Walkinshaw, Montana Semmel</t>
  </si>
  <si>
    <t>Added Raynel Espinal</t>
  </si>
  <si>
    <t>Added Sam Tewes (2019)</t>
  </si>
  <si>
    <t>Added Miguel Mercedes</t>
  </si>
  <si>
    <t>Added Jordan Gore</t>
  </si>
  <si>
    <t>Added Joseph Jarneski</t>
  </si>
  <si>
    <t>Added John Fasola (2019)</t>
  </si>
  <si>
    <t>Added Boomer Biegalski</t>
  </si>
  <si>
    <t>Added Remey Reed</t>
  </si>
  <si>
    <t>Added Garrett Whitlock</t>
  </si>
  <si>
    <t>Added Jameson Taillon (2019), Patrick Ruotolo</t>
  </si>
  <si>
    <t>Added David Robertson</t>
  </si>
  <si>
    <t>Added Blake Townsend, Gus Varland, Daniel Robert</t>
  </si>
  <si>
    <t>Added Chasen Bradford</t>
  </si>
  <si>
    <t>Added Pablo Sandoval, Edouard Julien, Jhony Brito</t>
  </si>
  <si>
    <t>Added Jeremiah Estrada</t>
  </si>
  <si>
    <t>Added Peter Solomon</t>
  </si>
  <si>
    <t>Added Sal Giardina</t>
  </si>
  <si>
    <t>Added Tim Mayza</t>
  </si>
  <si>
    <t>Added Jose Alberro</t>
  </si>
  <si>
    <t>Added Ricky Karcher</t>
  </si>
  <si>
    <t>Added Erik Sabrowski</t>
  </si>
  <si>
    <t>Added Pedro Avila</t>
  </si>
  <si>
    <t>Added Steven Wright</t>
  </si>
  <si>
    <t>Added Trey Benton</t>
  </si>
  <si>
    <t>Added Aaron Hicks</t>
  </si>
  <si>
    <t>Added Kutter Crawford, Adam Warren</t>
  </si>
  <si>
    <t>Added Kwang Hyun Kim</t>
  </si>
  <si>
    <t>Added Michael Montero</t>
  </si>
  <si>
    <t>Added Eric Pardinho</t>
  </si>
  <si>
    <t>Added Jose Soriano</t>
  </si>
  <si>
    <t>Added Carlos Suniaga</t>
  </si>
  <si>
    <t>Added Jamal Wade, Nolan Hoffman</t>
  </si>
  <si>
    <t>Added Hunter Schryver</t>
  </si>
  <si>
    <t>Added Daniel Acosta, Leoner Colina, Preston Gainey (2019), Blake Lillis, Alec Kenilvort, Dantel Ramirez, Lun Zhao</t>
  </si>
  <si>
    <t>Added Juniel Querecuto, Caleb Dirks, Luis Mora</t>
  </si>
  <si>
    <t>Added Sebastian Elizalde, Aaron Fossas, Connor Sadzeck (2019), Luis Severino, Preston Gainey (2018), Drake Owenby, Peter Strzelecki, Christian Trent</t>
  </si>
  <si>
    <t>Added Gil Patterson, Luis Amaya, Jasier Herrera, Jordan Johnson, Caleb Simpson, Brac Warren, Kervin Castro, Jesus Reyes, Nathan Bannister, Mike Franco, Scott Engler, Scott Williams, Luke Lanphere, Jackson Stoeckinger</t>
  </si>
  <si>
    <t>Added Matt Festa</t>
  </si>
  <si>
    <t>Added Victor Gonzalez, Matt Carasiti</t>
  </si>
  <si>
    <t>Added Conner O'Neil</t>
  </si>
  <si>
    <t>Added Joey Wentz</t>
  </si>
  <si>
    <t>Added Tyler Beede</t>
  </si>
  <si>
    <t>Added Andres Munoz, Reggie Lawson</t>
  </si>
  <si>
    <t>Added Noah Syndergaard</t>
  </si>
  <si>
    <t>Added Max Roberts</t>
  </si>
  <si>
    <t>Added Blaine Hardy</t>
  </si>
  <si>
    <t>Added Chris Sale, Trevor Bettencourt (2014), Connor Van Scoyoc</t>
  </si>
  <si>
    <t>Added Ryan Poe</t>
  </si>
  <si>
    <t>Added Jean Casanova</t>
  </si>
  <si>
    <t>Added Nick Hernandez</t>
  </si>
  <si>
    <t>Added Jon Olsen</t>
  </si>
  <si>
    <t>Added Yerry De Los Santos</t>
  </si>
  <si>
    <t>Added John Brebbia</t>
  </si>
  <si>
    <t>Added J.T. Ginn, Clayton Beeter, Tyler Brown, Kade Mechals, Carson Ragsdale, Spencer Strider, Bailey Horn, Brandon Young, Graham Hoffman, Brian Van Belle, Ben Leeper, Scott Kobos, Graham Lawson, Zack Matthews, Kale Emshoff, Clay Aguilar, Buddy Hayward, Billy Sullivan, Ty Duvall, Wil Jensen</t>
  </si>
  <si>
    <t>Added Ty Blach</t>
  </si>
  <si>
    <t>Added Justin Anderson, Trey Wingenter</t>
  </si>
  <si>
    <t>Added Dax Fulton, Peter Lambert</t>
  </si>
  <si>
    <t>Added Sadrac Franco</t>
  </si>
  <si>
    <t>Added Seranthony Dominguez, Colin Poche</t>
  </si>
  <si>
    <t>Added Noah Bryant</t>
  </si>
  <si>
    <t>Added Tommy Kahnle</t>
  </si>
  <si>
    <t>Added Daniel Tillo, Foster Griffin</t>
  </si>
  <si>
    <t>Added Yonny Chirinos</t>
  </si>
  <si>
    <t>Added Darlin Noboa, Jalen Beeks</t>
  </si>
  <si>
    <t>Added Miguel Yajure</t>
  </si>
  <si>
    <t>Added Austen Williams</t>
  </si>
  <si>
    <t>Added Luis Durango Jr., Matt Bowman, Ricky Vanasco</t>
  </si>
  <si>
    <t>Added Sam Freeman (2020), Tyler Thornburg</t>
  </si>
  <si>
    <t>Added Caleb Ferguson, Jim Winn</t>
  </si>
  <si>
    <t>Added Dakota Hudson</t>
  </si>
  <si>
    <t>Added Justin Verlander, Ken Giles</t>
  </si>
  <si>
    <t>Added Ryan Garcia</t>
  </si>
  <si>
    <t>Added Luis Perdomo</t>
  </si>
  <si>
    <t>Added Ricardo Sanchez, Jake Irvin, Carter Baumler</t>
  </si>
  <si>
    <t>Added Nick Burdi (2020)</t>
  </si>
  <si>
    <t>Added Jake Thompson</t>
  </si>
  <si>
    <t>Added Mike Clevinger (2020)</t>
  </si>
  <si>
    <t>Added Chance Adams</t>
  </si>
  <si>
    <t>Added Jared Solomon</t>
  </si>
  <si>
    <t>Added Jerry Vasto</t>
  </si>
  <si>
    <t>Added Jack Hartman</t>
  </si>
  <si>
    <t>Added Alex Faedo</t>
  </si>
  <si>
    <t>Added Aaron Shortridge, Efrain Contreras</t>
  </si>
  <si>
    <t>Added Justin Courtney</t>
  </si>
  <si>
    <t>Added Yosver Zulueta, Robbie Glendinning, Brandon Bailey (2021)</t>
  </si>
  <si>
    <t>Added Mark Zimmerman, Casey Legumina</t>
  </si>
  <si>
    <t>Added Forrest Whitley</t>
  </si>
  <si>
    <t>Added Gerardo Reyes, Jimmy Cordero</t>
  </si>
  <si>
    <t>Added Brendan McCurry</t>
  </si>
  <si>
    <t>Added Dedniel Nunez, Jose Castillo, Jacob Nix</t>
  </si>
  <si>
    <t>Added Blake Cederlind, Rico Garcia</t>
  </si>
  <si>
    <t>Added Roenis Elias, Kirby Yates (2021)</t>
  </si>
  <si>
    <t>Added Jose Leclerc</t>
  </si>
  <si>
    <t>Added Michel Baez</t>
  </si>
  <si>
    <t>Corrected Jerry Vasto surgery date</t>
  </si>
  <si>
    <t>Added Will Vest</t>
  </si>
  <si>
    <t>Added Mason Denaburg</t>
  </si>
  <si>
    <t>Added Brandon Marklund</t>
  </si>
  <si>
    <t>Added Jonathan Hernandez</t>
  </si>
  <si>
    <t>Added Bryan Mata</t>
  </si>
  <si>
    <t>Added James Paxton</t>
  </si>
  <si>
    <t>Added Sam Delaplane</t>
  </si>
  <si>
    <t>Added Adrian Morejon</t>
  </si>
  <si>
    <t>Added Luis Avilan</t>
  </si>
  <si>
    <t>Added Aaron McGarity, Carlos Vargas, Max Lazar, Brian Eichhorn</t>
  </si>
  <si>
    <t>Added Dustin May</t>
  </si>
  <si>
    <t>Added John Russell</t>
  </si>
  <si>
    <t>Added Ben Hecht</t>
  </si>
  <si>
    <t>Added A.J. Puckett</t>
  </si>
  <si>
    <t>Added Harol Gonzalez</t>
  </si>
  <si>
    <t>Added Keone Kela</t>
  </si>
  <si>
    <t>Added Tommy Nance</t>
  </si>
  <si>
    <t>Added Brock Stewart, Matt Allan, Franklin Barreto, Ethan Hankins, JoJo Romero</t>
  </si>
  <si>
    <t>Added Ian Bedell</t>
  </si>
  <si>
    <t>Added Brock Bell (2021), Brenan Hanifee, Jonathan Bowlan</t>
  </si>
  <si>
    <t>Added Nick Fanti</t>
  </si>
  <si>
    <t>Added Thaddeus Ward</t>
  </si>
  <si>
    <t>Added Jesus Feliz</t>
  </si>
  <si>
    <t>Added Chris Devenski, Albertus Barber</t>
  </si>
  <si>
    <t>Added Blayne Enlow</t>
  </si>
  <si>
    <t>Added Troy Watson, Grant Townsend</t>
  </si>
  <si>
    <t>Added Seth Pinkerton, Jose Soriano (2021)</t>
  </si>
  <si>
    <t>Added Joander Suarez</t>
  </si>
  <si>
    <t>Added Joey Lucchesi</t>
  </si>
  <si>
    <t>Added Jairo Solis (2021), Dan Altavilla</t>
  </si>
  <si>
    <t>Added Tony Dibrell, Wilkel Hernandez, Troy Miller</t>
  </si>
  <si>
    <t>Added Cole Roederer</t>
  </si>
  <si>
    <t>Added Caden Lemons, Ben Leeper (2016), Walker Powell (2014, 2016)</t>
  </si>
  <si>
    <t>Added Tanner Andrews</t>
  </si>
  <si>
    <t>Added Starlyn Castillo</t>
  </si>
  <si>
    <t>Added Jerrod Riggan, Marc Lamacchia</t>
  </si>
  <si>
    <t>Added Spencer Turnbull, Shane McCarthy</t>
  </si>
  <si>
    <t>Added Braxton Ashcraft</t>
  </si>
  <si>
    <t>Added Tyler Glasnow, Conor Grammes, Bruce Maxwell, Jack Patterson, Tyler Callihan</t>
  </si>
  <si>
    <t>Added Nick Frasso</t>
  </si>
  <si>
    <t>Added Adam Wolf, Joe Cavallaro, Ryan Conroy, Justin Bruihl</t>
  </si>
  <si>
    <t>Added J.J. Niekro, Luis Rijo, Carter Loewen, Sergio Morillo, Miguel Vinicio, Jagger Haynes</t>
  </si>
  <si>
    <t>Added Jimmy Robbins</t>
  </si>
  <si>
    <t>Added Jordan Guerrero</t>
  </si>
  <si>
    <t>Added Cody Deason</t>
  </si>
  <si>
    <t>Added Nick Snyder, Jimmy Nelson</t>
  </si>
  <si>
    <t>Added Tejay Antone (2021)</t>
  </si>
  <si>
    <t>Added Austin Hansen</t>
  </si>
  <si>
    <t>Added Jake Eder</t>
  </si>
  <si>
    <t>Added Ljay Newsome</t>
  </si>
  <si>
    <t>Added Jackson Rees</t>
  </si>
  <si>
    <t>Added John Curtiss (2021), Jake Rogers</t>
  </si>
  <si>
    <t>Added Zack Britton, Cole Wilcox</t>
  </si>
  <si>
    <t>Added Bobby Cassevah</t>
  </si>
  <si>
    <t>Added Gunnar Hoglund, Jaden Hill, Russell Smith, Spencer Schwellenbach, Sean Burke, Kevin Kopps, Luke Murphy, Ryan Webb, Sam Praytor, Ryan Bergert, Brant Hurter, Noah Cameron, Kevin Abel, Theo Denlinger, Hunter Dobbins, Colton Gordon, Pat Monteverde, Cole Quintanilla, Patrick Winkel, Matt Litwicki, Hugh Fisher, Andrew Peters, Michael Hobbs, Trenton Wallace, Justin Wrobleski, Jackson Leath, Christopher Troye, Owen Sharts, Mo Hanley, Erik Tolman, Tyler Myrick, Antonio Menendez, Evan Elliott, Glenn Albanese, Alex Garbrick, Cooper Benson, Luke Boyd, Nick Mondak, Shane Smith</t>
  </si>
  <si>
    <t>Added Arman Sabouri, Manny Barreda</t>
  </si>
  <si>
    <t>Added Parker Curry</t>
  </si>
  <si>
    <t>Added Richard Lovelady</t>
  </si>
  <si>
    <t>Added Evan Marshall</t>
  </si>
  <si>
    <t>Added Jake Agnos</t>
  </si>
  <si>
    <t>Added Tanner McDougal</t>
  </si>
  <si>
    <t>Added Juan Tillman, Logan Franco, Alexandro Castro</t>
  </si>
  <si>
    <t>Added Pedro Santos</t>
  </si>
  <si>
    <t>Added Luke Shilling</t>
  </si>
  <si>
    <t>Added Miguel Amaya</t>
  </si>
  <si>
    <t>Added Erik Sabrowski (2021)</t>
  </si>
  <si>
    <t>Added Jose Dicochea, Brady Basso</t>
  </si>
  <si>
    <t>Added Kosuke Matsuda, Robert Suarez</t>
  </si>
  <si>
    <t>Added Jake Walters, Jordany Ventura</t>
  </si>
  <si>
    <t>Added Daysbel Hernandez, Brendan Beck, Yoendrys Gomez, Trevor Lane, CJ Van Eyk, Brett Schulze</t>
  </si>
  <si>
    <t>Added Zack Hess</t>
  </si>
  <si>
    <t>Added Scott Engler</t>
  </si>
  <si>
    <t>Added Christian MacLeod, Drew Gray, Codi Heuer</t>
  </si>
  <si>
    <t>Added Micah Pries</t>
  </si>
  <si>
    <t>Added Max Green, Ryley Gilliam, Garrett Crochet</t>
  </si>
  <si>
    <t>Added Daylen Lile</t>
  </si>
  <si>
    <t>Added Colby White, Andrew Schultz, Sean Guenther, Jared Johnson, Brooks Wilson, Daison Acosta, Lyon Richardson, Luke Jackson, Jonathan Teaney, Deolis Guerra, Keaton Winn, Juan Geraldo, Kyle Brnovich</t>
  </si>
  <si>
    <t>Added Daniel Camarena</t>
  </si>
  <si>
    <t>Added John Means, Darien Nunez</t>
  </si>
  <si>
    <t>Added Tom Hackimer</t>
  </si>
  <si>
    <t>Added Jeremy Wu-Yelland, John Dominguez</t>
  </si>
  <si>
    <t>Added Dominic LoBrutto</t>
  </si>
  <si>
    <t>Added Sean Reid-Foley, Luis Rodriguez</t>
  </si>
  <si>
    <t>Added Lake Bachar</t>
  </si>
  <si>
    <t>Added Chris Paddack (2022)</t>
  </si>
  <si>
    <t>Added Carter Kieboom, Jesse Franklin</t>
  </si>
  <si>
    <t>Added Luis Gil</t>
  </si>
  <si>
    <t>Added Jahmai Jones</t>
  </si>
  <si>
    <t>Added Justin Wilson, Chad Green</t>
  </si>
  <si>
    <t>Moved Zach Britton from TJ List to UCL InternalBrace List</t>
  </si>
  <si>
    <t>Added Max Kranick, Joe Ross (2022)</t>
  </si>
  <si>
    <t>Added Ariel Jurado</t>
  </si>
  <si>
    <t>Added John Axford (2021)</t>
  </si>
  <si>
    <t>Added Tanner Kohlhepp</t>
  </si>
  <si>
    <t>Added Casey Mize, Hyun-Jin Ryu (2022)</t>
  </si>
  <si>
    <t>Added Andrew Kittredge</t>
  </si>
  <si>
    <t>Added Elmson Candelario</t>
  </si>
  <si>
    <t>Added Alex Royalty</t>
  </si>
  <si>
    <t>Added John Gavin (2020, 2021), Taylor Lehman, Nicoly Pina</t>
  </si>
  <si>
    <t>Added Jon Olsen (2021)</t>
  </si>
  <si>
    <t>Added Allan Hernandez</t>
  </si>
  <si>
    <t>Added Ethan Roberts</t>
  </si>
  <si>
    <t>Added Ian Seymour</t>
  </si>
  <si>
    <t>Added Paul Campbell</t>
  </si>
  <si>
    <t>Added Michael Mercado</t>
  </si>
  <si>
    <t>Added Brady McConnell, Jake Miller</t>
  </si>
  <si>
    <t>Added Michael Limoncelli (2022), Jake Brentz</t>
  </si>
  <si>
    <t>Added Vladimir Gutierrez, Brad Wieck (2022)</t>
  </si>
  <si>
    <t>Added Yoljeldriz Diaz</t>
  </si>
  <si>
    <t>Added Dane Acker</t>
  </si>
  <si>
    <t>Added Logan Rinehart, Rafael Kelly, Ben Anderson</t>
  </si>
  <si>
    <t>Added Tanner Rainey, Connor Jones, Luke Barker, Seth Johnson, Zach Peek</t>
  </si>
  <si>
    <t>Added Humberto Castellanos, Max Meyer</t>
  </si>
  <si>
    <t>Added Matt Canterino</t>
  </si>
  <si>
    <t>Added Hogan Harris, Cody Poteet</t>
  </si>
  <si>
    <t>Added A.J. Block</t>
  </si>
  <si>
    <t>Added Jeferson Garcia, Bradley Blalock, Ty Adcock</t>
  </si>
  <si>
    <t>Added Sam Ryan</t>
  </si>
  <si>
    <t>Added Kevin Herget</t>
  </si>
  <si>
    <t>Added Anthony Bender, Walker Buehler (2022)</t>
  </si>
  <si>
    <t>Added Tyler Beck</t>
  </si>
  <si>
    <t>Added Trey Supak</t>
  </si>
  <si>
    <t>Added Jose Alvarez</t>
  </si>
  <si>
    <t>Added Huascar Ynoa</t>
  </si>
  <si>
    <t>Added Brendan McKay, Daulton Jefferies (2022)</t>
  </si>
  <si>
    <t>Added Anthony Gose</t>
  </si>
  <si>
    <t>Added Shane Baz</t>
  </si>
  <si>
    <t>Added Scott Effross, Tyler Matzek</t>
  </si>
  <si>
    <t>Added Trey McGough</t>
  </si>
  <si>
    <t>Added Trent Palmer, Joey Murray</t>
  </si>
  <si>
    <t>Added Bryce Harper</t>
  </si>
  <si>
    <t>Added Carlos Duran, Edgardo Henriquez</t>
  </si>
  <si>
    <t>Added Justin Martinez, Cade Horton, Dylan Lesko, Spencer Jones, Reggie Crawford, Landon Sims, Hunter Barco, Connor Prielipp, Cole Phillips, Payton Pallette, Ben Joyce, Henry Williams, Jake Madden, Anthony Hall, Brandon Birdsell, Hunter Patteson, Jack Perkins, Eric Reyzelman, Will Frisch, Jorel Ortega, Tyler Stuart, Roman Phansalkar, Caleb Bolden, Jackson Smeltz, Brian Fitzpatrick, Alex Williams, Hayden Mullins, Bo Bonds, Andrew Owen, Julian Bosnic, Omari Daniel, Joe Adametz, Roel Garcia, Billy Seidl, Austin Becker, Elijah Birdsong, Garrett Brown, Andrew Vail, Will Childers (2022, 2020), Jordan Woods, Michael Darrell-Hicks</t>
  </si>
  <si>
    <t>Added Jason Alexander</t>
  </si>
  <si>
    <t>Added Bryan King</t>
  </si>
  <si>
    <t>Added Nick Duron, Zach Jackson, Zack Kelly</t>
  </si>
  <si>
    <t>Added Ron Marinaccio, Beau Sulser, Jake Walsh</t>
  </si>
  <si>
    <t>Added Jake Wong</t>
  </si>
  <si>
    <t>Added P.J. Higgins</t>
  </si>
  <si>
    <t>Added Matt Allan (2023)</t>
  </si>
  <si>
    <t>Added Stefan Crichton</t>
  </si>
  <si>
    <t>Added Blake Burkhalter</t>
  </si>
  <si>
    <t>Added Lucas Gilbreath</t>
  </si>
  <si>
    <t>Added Cade Cavalli, Quincy Nieporte</t>
  </si>
  <si>
    <t>Added Nazier Mule, Seth Shuman</t>
  </si>
  <si>
    <t>Added Bryce Montes de Oca (2023), Joel Diaz, Nick Mikolajchak, Sandro Bargallo, Ben Leeper (2023), Blair Henley</t>
  </si>
  <si>
    <t>Added Dameivi Tineo</t>
  </si>
  <si>
    <t>Added JT Brubaker</t>
  </si>
  <si>
    <t>Added Ian Anderson</t>
  </si>
  <si>
    <t>Added Matt Foster, Kris Bubic</t>
  </si>
  <si>
    <t>Added Mike Burrows</t>
  </si>
  <si>
    <t>Added Lou Trivino, Robbie Ray, Jose Quijada, Austin Warren, Jeffrey Springs, German Marquez</t>
  </si>
  <si>
    <t>Added Davis Martin, Jacob Zibin, Luis Garcia</t>
  </si>
  <si>
    <t>Added Zachary Hammer, Will Kincanon, Kumar Rocker</t>
  </si>
  <si>
    <t>Added JR Ritchie</t>
  </si>
  <si>
    <t>Added Freddy Pacheco, Dylan DeLucia, J.P. France, Tyler Mahle, Tom Cosgrove, Josh Hejka</t>
  </si>
  <si>
    <t>Added Jacob deGrom (2023)</t>
  </si>
  <si>
    <t>Added Trevor Rosenthal (2023), Kervin Castro (2023), Miguel Del Pozo (2023), Aaron Haase</t>
  </si>
  <si>
    <t>Added Andrew Misiaszek</t>
  </si>
  <si>
    <t>Added Boris Vecerka</t>
  </si>
  <si>
    <t>Added Cody Sedlock</t>
  </si>
  <si>
    <t>Added Matthew Boyd</t>
  </si>
  <si>
    <t>Added Wyatt Mills, Zach Pettway</t>
  </si>
  <si>
    <t>Added Antonio Senzatela, Gabriel Hughes, Jackson Cox, Jordy Vargas, Christian McGowan, Dustin May (2023), Jose De Leon, Brody Rodning, Andrew Painter</t>
  </si>
  <si>
    <t>Added D.J. Carpenter, Indigo Diaz, Liam Hendriks</t>
  </si>
  <si>
    <t>Added Geo Rivera, Reiver Sanmartin</t>
  </si>
  <si>
    <t>Added Coleman Crow</t>
  </si>
  <si>
    <t>Added Adauri Vicente, Angel De Jesus</t>
  </si>
  <si>
    <t>Added Shane McClanahan</t>
  </si>
  <si>
    <t>Added John Valle</t>
  </si>
  <si>
    <t>Added Tony Gonsolin</t>
  </si>
  <si>
    <t>Added Drey Jameson, Noah Denoyer, Cole Waites</t>
  </si>
  <si>
    <t>Added Riley Greene, Jasson Dominguez, Jake Bennett</t>
  </si>
  <si>
    <t>Added Kenta Maeda (moved from UCL InternalBrace)</t>
  </si>
  <si>
    <t>Added Felix Bautista</t>
  </si>
  <si>
    <t>Added Sandy Alcantara</t>
  </si>
  <si>
    <t>Added Sonny DiChiara</t>
  </si>
  <si>
    <t>Added Easton McGee, Grant Taylor, Alonzo Tredwell, Jaxon Wiggins, Jack Mahoney, Teddy McGraw, Kyle Carr, Grayson Hitt, Calvin Harris, Jason Woodward, Wyatt Crowell, George Klassen, Seth Halvorsen, Jake Eddington, Mark Manfredi, Christian Worley, Ryan Brown, Brian Hendry, Garrett Edwards, Paulshawn Pasqualotto, Max Carlson, Ethan Bosacker</t>
  </si>
  <si>
    <t>Added James Hicks, Ethan Flanagan, Luke Fox, Zach Fogell, Gabe Gaeckle, Justin Chambers, Kai Peterson, Doug Kirkland, Trey Dillard</t>
  </si>
  <si>
    <t>Added Nate Webb, Logan Lyle</t>
  </si>
  <si>
    <t>Added Jose Hernandez</t>
  </si>
  <si>
    <t>Added Angel Perdomo, Garrett Hawkins, Zach Penrod, Taylor Broadway</t>
  </si>
  <si>
    <t>Added Jovani Moran</t>
  </si>
  <si>
    <t>Added Zach Brzykcy, Johan Oviedo</t>
  </si>
  <si>
    <t>Added Sean Hermann</t>
  </si>
  <si>
    <t>Added Endy Rodriguez</t>
  </si>
  <si>
    <t>Added Garrett Acton, Marcel Renteria</t>
  </si>
  <si>
    <t>Added Stephen Gonsalves</t>
  </si>
  <si>
    <t>Added Edgar Navarro</t>
  </si>
  <si>
    <t>Added Jesse Scholtens</t>
  </si>
  <si>
    <t>Added Tyler Phillips, Mason Thompson (2024)</t>
  </si>
  <si>
    <t>Added Cole Phillips (2024)</t>
  </si>
  <si>
    <t>Added Reese Sharp, Gerardo Carrillo, Jackson Kowar</t>
  </si>
  <si>
    <t>Added Angel Felipe, Trevor Stephan, Asa Lacy, Avery Weems, Dauri Moreta, Jerson Ramirez, Trevor Gott</t>
  </si>
  <si>
    <t>Added Noah Song, Tanner Shears, Trevor Stephan, Cole Miller, Justin Campbell, Eury Perez, Raimon Gomez</t>
  </si>
  <si>
    <t>Added Shane Bieber</t>
  </si>
  <si>
    <t>Added Chris Murphy</t>
  </si>
  <si>
    <t>Added Steven Gingery (2019), Jack Little</t>
  </si>
  <si>
    <t>Added Calvin Ziegler, Garrett McDaniels, Sawyer Gipson-Long, Jack Patterson (2022), Robert Stephenson, Riley Bauman, Wade Miley</t>
  </si>
  <si>
    <t>Added Preston Johnson, Brandon Barriera</t>
  </si>
  <si>
    <t>Added Tyler Schlaffer, Owen Kellington, Luis Patino, Blayne Enlow (2024)</t>
  </si>
  <si>
    <t>Added Reagan Todd, Ryan Costeiu, Andrew Saalfrank, Matt Brash</t>
  </si>
  <si>
    <t>Added Daniel Duarte, Carson Coleman, Emmet Sheehan, Ken Waldichuk, Zac Kristofak, Brooks Raley, Corey Lee, Zach Bryant, Owen Murphy, Jesse Bergin, Jose Franco</t>
  </si>
  <si>
    <t>Removed Zach Jackson</t>
  </si>
  <si>
    <t>Added Nolan DeVos</t>
  </si>
  <si>
    <t>Added Cristian Javier</t>
  </si>
  <si>
    <t>Added Jose Urquidy (2024)</t>
  </si>
  <si>
    <t>Added Everson Pereira</t>
  </si>
  <si>
    <t>Added John Means (2024)</t>
  </si>
  <si>
    <t>Added Tyler Hardman, Jack Bushell, Luis Perales, Alek Manoah, Kyle Bradish, Robert Gasser, Ryan Och</t>
  </si>
  <si>
    <t>Added Luis Ortiz</t>
  </si>
  <si>
    <t>Added Kiefer Lord, McCade Brown, Cade Kuehler, Drew Smith (2024)</t>
  </si>
  <si>
    <t>Added Evelio Hernandez</t>
  </si>
  <si>
    <t>Added Yohanfer Santana</t>
  </si>
  <si>
    <t>Added Josiah Gray, Luis Medina, Kyle Hurt</t>
  </si>
  <si>
    <t>Added Ricky Tiedemann</t>
  </si>
  <si>
    <t>Added David McCabe, Jose Corniell, Angel Bastardo, Christian Chamberlain</t>
  </si>
  <si>
    <t>Added Adbert Alzolay, Luke Keaschall, River Ryan, Penn Murfee</t>
  </si>
  <si>
    <t>Added Tyler Uberstine, Gerelmi Maldonado, Jorge Mateo</t>
  </si>
  <si>
    <t>Added Christian Scott, Chad Dallas, Nolan Perry, Carson Pierce, Ray Kerr</t>
  </si>
  <si>
    <t>Added Hunter Bishop</t>
  </si>
  <si>
    <t>Moved Shohei Ohtani (2023) from InternalBrace to TJ</t>
  </si>
  <si>
    <t>Added Joe Musgrove, Julian Aguiar, Brandon Williamson, Kale Fountain, Hagen Smith, Jac Caglianone, Carson Benge, Cole Mathis, Gage Jump, Luke Sinnard, Ryan Forcucci, Brandon Clarke, Jackson Wentworth, Ryan Gallagher, Brooks Auger, Garrett Horn, Dennis Colleran, Andrew Dutkanych IV, Nick Brink, Eli Jones, Jack Findlay, Gavin Adams, Donovan Zsak (2022, 2020), Travis Garnett, Ryan Smith, R.J. Sales, Christian Rodriguez, Jacob Bimbi, Dalton Pence, Joey Broughton, Xavier Kolhosser, Kyle Ayers, Tanner Witt, Alex Bouchard, Joey Gartrell, Tanner Smith, Nolan Hughes, Xavier Rivas, Ryan Slater, Michael Ross, Isaac Ayon, Alex Ramos</t>
  </si>
  <si>
    <t>Added Wen-Hui Pan, Cade Feeney</t>
  </si>
  <si>
    <t>Added Jack Dreyer, Tyler Mattison</t>
  </si>
  <si>
    <t>Added Braxton Garrett (2025)</t>
  </si>
  <si>
    <t>Added Ky Bush</t>
  </si>
  <si>
    <t>Moved Dax Fulton (2013) from UCL InternalBrace to TJ List</t>
  </si>
  <si>
    <t>Added Josh Knoth</t>
  </si>
  <si>
    <t>Added Thatcher Hurd, Chase Hampton, Bryce Montes de Oca (2025)</t>
  </si>
  <si>
    <t>Added Matt Duffy, Cole Tolbert, Reiss Knehr</t>
  </si>
  <si>
    <t>Added Danny Wirchansky</t>
  </si>
  <si>
    <t>Added Jeff Criswell</t>
  </si>
  <si>
    <t>Added Prelander Berroa, Juan Carela, Blake Larson, Jefry Yan</t>
  </si>
  <si>
    <t>Added Gerrit Cole, Thyago Vieira, Josh Winder</t>
  </si>
  <si>
    <t>Added Tyler Gough, Blake Walston</t>
  </si>
  <si>
    <t>Added Sean Boyle, Matt Donlan</t>
  </si>
  <si>
    <t>Added Drew Thorpe, Jordan Montgomery (2025)</t>
  </si>
  <si>
    <t>Added Aiden May</t>
  </si>
  <si>
    <t>Added Yujanyer Herrera, Mason Adams</t>
  </si>
  <si>
    <t>Added Jace Beck, Grant Knipp</t>
  </si>
  <si>
    <t>Added Cooper Hjerpe</t>
  </si>
  <si>
    <t>Added DJ Herz</t>
  </si>
  <si>
    <t>Added Justin Steele (2025)</t>
  </si>
  <si>
    <t>Added Casey Saucke</t>
  </si>
  <si>
    <t>Added Ryan Hendrix</t>
  </si>
  <si>
    <t>Added Connor Cooke, T.J. Brock</t>
  </si>
  <si>
    <t>Added Sem Robberse</t>
  </si>
  <si>
    <t>Added Moises Chace, Edgar Barclay, Patrick Reilly</t>
  </si>
  <si>
    <t>Added Alfredo Zarraga</t>
  </si>
  <si>
    <t>Added Hayden Wesneski, Danny Young</t>
  </si>
  <si>
    <t>Added Marlin Willis</t>
  </si>
  <si>
    <t>Added Noah Takacs, Evan Phillips</t>
  </si>
  <si>
    <t>Added Ronel Blanco</t>
  </si>
  <si>
    <t>Added Will Brennan, AJ Smith-Shawver, Ben Lively</t>
  </si>
  <si>
    <t>Added Jackson Jobe</t>
  </si>
  <si>
    <t>Added Yordanny Monegro, Jake Cousins</t>
  </si>
  <si>
    <t>Added Jair Camargo</t>
  </si>
  <si>
    <t>Added Trennor O'Donnell</t>
  </si>
  <si>
    <t>Added Emmett Olson, Kenya Huggins</t>
  </si>
  <si>
    <t>Added Dedniel Nunez (2025), Kade Anderson, Konner Eaton, Antonio Gomez, AJ Russell, Riley Quick, Mason McConnaughey</t>
  </si>
  <si>
    <t>Added Zach Fogell (2025), Caleb Leys, Antoine Jean, Jake Knapp, Sam Horn, Jake Casey, JC Vanek, Talon Haley, Chase Shores, Jason Reitz, Brian Walters, Michael Salina, Braden Osbolt, Justin Henschel, Payton Graham, Pico Kohn, Peyton Prescott, Grant Richardson, Aiden Jimenez, Jacob Remily, Tekoah Roby, Tanner Houck, Joseph Montalvo, Travis Sykora, David Fry (2024, 2017), Eli Jerzembeck, Luke Kovach, Ryan Prager, Caedmon Parker, Brayden Jones, Shane Van Dam, Kyle McCoy, Matthew Hoskins, Owen Puk, Riley Maddox, Jackson Phipps, Corbin Burnes, Justin Martinez, Tommy Henry</t>
  </si>
  <si>
    <t>Added Liam Best</t>
  </si>
  <si>
    <t>Added Luis Garcia (2025), Brandon Walter, Frankie Montas, Reed Garrett, Tylor Megill, Declan Cronin, Shelby Miller (2025), Tyler Stuart (2025), Bryce Jenkins, Nic Enright, Randy Rodriguez, Markus Solbach, Carson Montgomery</t>
  </si>
  <si>
    <t>Added Ronny Henriquez</t>
  </si>
  <si>
    <t>TJ Surgeries</t>
  </si>
  <si>
    <t>Average Age</t>
  </si>
  <si>
    <t>High School State</t>
  </si>
  <si>
    <t>Regulations?</t>
  </si>
  <si>
    <t>Mandated Rest?</t>
  </si>
  <si>
    <t>P TJ Surgeries</t>
  </si>
  <si>
    <t>State Population</t>
  </si>
  <si>
    <t>MLB TJ Surgeries</t>
  </si>
  <si>
    <t>US, warm climate</t>
  </si>
  <si>
    <t>US, cool climate</t>
  </si>
  <si>
    <t>Non-US</t>
  </si>
  <si>
    <t>Player Group</t>
  </si>
  <si>
    <t>Position Players</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</si>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</sst>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0.0"/>
    <numFmt numFmtId="166" formatCode="0.0%"/>
    <numFmt numFmtId="167" formatCode="m/d/yyyy"/>
    <numFmt numFmtId="168" formatCode="mm/dd/yyyy"/>
    <numFmt numFmtId="169" formatCode="M/d/yyyy"/>
  </numFmts>
  <fonts count="13">
    <font>
      <sz val="10.0"/>
      <color rgb="FF000000"/>
      <name val="Arial"/>
    </font>
    <font>
      <b/>
      <color rgb="FF1155CC"/>
    </font>
    <font>
      <b/>
      <u/>
      <color rgb="FF0000FF"/>
    </font>
    <font>
      <b/>
    </font>
    <font>
      <color rgb="FF000000"/>
      <name val="Arial"/>
    </font>
    <font/>
    <font>
      <name val="Arial"/>
    </font>
    <font>
      <sz val="10.0"/>
    </font>
    <font>
      <u/>
      <color rgb="FF0000FF"/>
    </font>
    <font>
      <u/>
      <color rgb="FF0000FF"/>
    </font>
    <font>
      <sz val="11.0"/>
      <color rgb="FF000000"/>
      <name val="Inconsolata"/>
    </font>
    <font>
      <b/>
      <color rgb="FF000000"/>
    </font>
    <font>
      <color rgb="FF000000"/>
    </font>
  </fonts>
  <fills count="6">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D9D9D9"/>
        <bgColor rgb="FFD9D9D9"/>
      </patternFill>
    </fill>
    <fill>
      <patternFill patternType="solid">
        <fgColor rgb="FFF3F3F3"/>
        <bgColor rgb="FFF3F3F3"/>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readingOrder="0" shrinkToFit="0" wrapText="1"/>
    </xf>
    <xf borderId="0" fillId="0" fontId="3" numFmtId="164" xfId="0" applyAlignment="1" applyFont="1" applyNumberFormat="1">
      <alignment horizontal="center" readingOrder="0" shrinkToFit="0" wrapText="1"/>
    </xf>
    <xf borderId="0" fillId="0" fontId="3" numFmtId="0" xfId="0" applyAlignment="1" applyFont="1">
      <alignment horizontal="center" readingOrder="0"/>
    </xf>
    <xf borderId="0" fillId="0" fontId="3" numFmtId="0" xfId="0" applyAlignment="1" applyFont="1">
      <alignment readingOrder="0"/>
    </xf>
    <xf borderId="0" fillId="0" fontId="3" numFmtId="165" xfId="0" applyAlignment="1" applyFont="1" applyNumberFormat="1">
      <alignment readingOrder="0"/>
    </xf>
    <xf borderId="0" fillId="0" fontId="3" numFmtId="166" xfId="0" applyAlignment="1" applyFont="1" applyNumberFormat="1">
      <alignment readingOrder="0"/>
    </xf>
    <xf borderId="0" fillId="2" fontId="4" numFmtId="0" xfId="0" applyAlignment="1" applyFill="1" applyFont="1">
      <alignment horizontal="left" readingOrder="0"/>
    </xf>
    <xf borderId="0" fillId="0" fontId="5" numFmtId="14" xfId="0" applyAlignment="1" applyFont="1" applyNumberFormat="1">
      <alignment readingOrder="0"/>
    </xf>
    <xf borderId="0" fillId="0" fontId="5" numFmtId="0" xfId="0" applyAlignment="1" applyFont="1">
      <alignment horizontal="center" readingOrder="0"/>
    </xf>
    <xf borderId="0" fillId="0" fontId="5" numFmtId="14" xfId="0" applyAlignment="1" applyFont="1" applyNumberFormat="1">
      <alignment horizontal="center" readingOrder="0"/>
    </xf>
    <xf borderId="0" fillId="0" fontId="5" numFmtId="0" xfId="0" applyAlignment="1" applyFont="1">
      <alignment readingOrder="0"/>
    </xf>
    <xf borderId="0" fillId="0" fontId="5" numFmtId="164" xfId="0" applyAlignment="1" applyFont="1" applyNumberFormat="1">
      <alignment horizontal="center" readingOrder="0"/>
    </xf>
    <xf borderId="0" fillId="0" fontId="5" numFmtId="165" xfId="0" applyFont="1" applyNumberFormat="1"/>
    <xf borderId="0" fillId="0" fontId="5" numFmtId="166" xfId="0" applyFont="1" applyNumberFormat="1"/>
    <xf borderId="0" fillId="0" fontId="5" numFmtId="167" xfId="0" applyAlignment="1" applyFont="1" applyNumberFormat="1">
      <alignment readingOrder="0"/>
    </xf>
    <xf borderId="0" fillId="0" fontId="6" numFmtId="0" xfId="0" applyAlignment="1" applyFont="1">
      <alignment horizontal="center" readingOrder="0" vertical="bottom"/>
    </xf>
    <xf borderId="0" fillId="0" fontId="6" numFmtId="0" xfId="0" applyAlignment="1" applyFont="1">
      <alignment vertical="bottom"/>
    </xf>
    <xf borderId="0" fillId="0" fontId="6" numFmtId="14" xfId="0" applyAlignment="1" applyFont="1" applyNumberFormat="1">
      <alignment horizontal="right" readingOrder="0" vertical="bottom"/>
    </xf>
    <xf borderId="0" fillId="0" fontId="6" numFmtId="0" xfId="0" applyAlignment="1" applyFont="1">
      <alignment horizontal="center" vertical="bottom"/>
    </xf>
    <xf borderId="0" fillId="0" fontId="6" numFmtId="14" xfId="0" applyAlignment="1" applyFont="1" applyNumberFormat="1">
      <alignment horizontal="center" vertical="bottom"/>
    </xf>
    <xf borderId="0" fillId="0" fontId="6" numFmtId="164" xfId="0" applyAlignment="1" applyFont="1" applyNumberFormat="1">
      <alignment horizontal="center" vertical="bottom"/>
    </xf>
    <xf borderId="0" fillId="0" fontId="6" numFmtId="0" xfId="0" applyAlignment="1" applyFont="1">
      <alignment vertical="bottom"/>
    </xf>
    <xf borderId="0" fillId="0" fontId="6" numFmtId="167" xfId="0" applyAlignment="1" applyFont="1" applyNumberFormat="1">
      <alignment horizontal="right" vertical="bottom"/>
    </xf>
    <xf borderId="0" fillId="0" fontId="6" numFmtId="165" xfId="0" applyAlignment="1" applyFont="1" applyNumberFormat="1">
      <alignment vertical="bottom"/>
    </xf>
    <xf borderId="0" fillId="0" fontId="6" numFmtId="166" xfId="0" applyAlignment="1" applyFont="1" applyNumberFormat="1">
      <alignment vertical="bottom"/>
    </xf>
    <xf borderId="0" fillId="0" fontId="6" numFmtId="0" xfId="0" applyAlignment="1" applyFont="1">
      <alignment horizontal="center" vertical="bottom"/>
    </xf>
    <xf borderId="0" fillId="0" fontId="6" numFmtId="14" xfId="0" applyAlignment="1" applyFont="1" applyNumberFormat="1">
      <alignment horizontal="right" vertical="bottom"/>
    </xf>
    <xf borderId="0" fillId="0" fontId="5" numFmtId="0" xfId="0" applyAlignment="1" applyFont="1">
      <alignment horizontal="center"/>
    </xf>
    <xf borderId="0" fillId="0" fontId="6" numFmtId="167" xfId="0" applyAlignment="1" applyFont="1" applyNumberFormat="1">
      <alignment horizontal="right" readingOrder="0" vertical="bottom"/>
    </xf>
    <xf borderId="0" fillId="0" fontId="6" numFmtId="14" xfId="0" applyAlignment="1" applyFont="1" applyNumberFormat="1">
      <alignment horizontal="center" readingOrder="0" vertical="bottom"/>
    </xf>
    <xf borderId="0" fillId="0" fontId="6" numFmtId="0" xfId="0" applyAlignment="1" applyFont="1">
      <alignment horizontal="right" vertical="bottom"/>
    </xf>
    <xf borderId="0" fillId="0" fontId="6" numFmtId="167" xfId="0" applyAlignment="1" applyFont="1" applyNumberFormat="1">
      <alignment readingOrder="0" vertical="bottom"/>
    </xf>
    <xf borderId="0" fillId="0" fontId="6" numFmtId="14" xfId="0" applyAlignment="1" applyFont="1" applyNumberFormat="1">
      <alignment vertical="bottom"/>
    </xf>
    <xf borderId="0" fillId="0" fontId="6" numFmtId="164" xfId="0" applyAlignment="1" applyFont="1" applyNumberFormat="1">
      <alignment horizontal="center" readingOrder="0" vertical="bottom"/>
    </xf>
    <xf borderId="0" fillId="2" fontId="4" numFmtId="0" xfId="0" applyAlignment="1" applyFont="1">
      <alignment horizontal="center" readingOrder="0"/>
    </xf>
    <xf borderId="0" fillId="0" fontId="6" numFmtId="0" xfId="0" applyAlignment="1" applyFont="1">
      <alignment readingOrder="0" vertical="bottom"/>
    </xf>
    <xf borderId="0" fillId="0" fontId="5" numFmtId="167" xfId="0" applyAlignment="1" applyFont="1" applyNumberFormat="1">
      <alignment horizontal="center" readingOrder="0"/>
    </xf>
    <xf borderId="0" fillId="0" fontId="6" numFmtId="167" xfId="0" applyAlignment="1" applyFont="1" applyNumberFormat="1">
      <alignment vertical="bottom"/>
    </xf>
    <xf borderId="0" fillId="0" fontId="5" numFmtId="0" xfId="0" applyAlignment="1" applyFont="1">
      <alignment horizontal="center"/>
    </xf>
    <xf borderId="0" fillId="0" fontId="5" numFmtId="168" xfId="0" applyAlignment="1" applyFont="1" applyNumberFormat="1">
      <alignment readingOrder="0"/>
    </xf>
    <xf borderId="0" fillId="3" fontId="6" numFmtId="14" xfId="0" applyAlignment="1" applyFill="1" applyFont="1" applyNumberFormat="1">
      <alignment vertical="bottom"/>
    </xf>
    <xf borderId="0" fillId="0" fontId="6" numFmtId="167" xfId="0" applyAlignment="1" applyFont="1" applyNumberFormat="1">
      <alignment horizontal="center" vertical="bottom"/>
    </xf>
    <xf borderId="0" fillId="0" fontId="5" numFmtId="164" xfId="0" applyAlignment="1" applyFont="1" applyNumberFormat="1">
      <alignment horizontal="center"/>
    </xf>
    <xf borderId="0" fillId="2" fontId="6" numFmtId="0" xfId="0" applyAlignment="1" applyFont="1">
      <alignment vertical="bottom"/>
    </xf>
    <xf borderId="0" fillId="0" fontId="6" numFmtId="167" xfId="0" applyAlignment="1" applyFont="1" applyNumberFormat="1">
      <alignment horizontal="center" readingOrder="0" vertical="bottom"/>
    </xf>
    <xf borderId="0" fillId="2" fontId="5" numFmtId="0" xfId="0" applyAlignment="1" applyFont="1">
      <alignment readingOrder="0"/>
    </xf>
    <xf borderId="0" fillId="0" fontId="5" numFmtId="4" xfId="0" applyAlignment="1" applyFont="1" applyNumberFormat="1">
      <alignment readingOrder="0"/>
    </xf>
    <xf borderId="0" fillId="0" fontId="5" numFmtId="165" xfId="0" applyAlignment="1" applyFont="1" applyNumberFormat="1">
      <alignment readingOrder="0"/>
    </xf>
    <xf borderId="0" fillId="0" fontId="5" numFmtId="166" xfId="0" applyAlignment="1" applyFont="1" applyNumberFormat="1">
      <alignment readingOrder="0"/>
    </xf>
    <xf borderId="0" fillId="0" fontId="7" numFmtId="0" xfId="0" applyAlignment="1" applyFont="1">
      <alignment horizontal="center" readingOrder="0" vertical="bottom"/>
    </xf>
    <xf borderId="0" fillId="3" fontId="6" numFmtId="14" xfId="0" applyAlignment="1" applyFont="1" applyNumberFormat="1">
      <alignment horizontal="center" vertical="bottom"/>
    </xf>
    <xf borderId="0" fillId="3" fontId="6" numFmtId="0" xfId="0" applyAlignment="1" applyFont="1">
      <alignment vertical="bottom"/>
    </xf>
    <xf borderId="0" fillId="0" fontId="7" numFmtId="0" xfId="0" applyAlignment="1" applyFont="1">
      <alignment horizontal="center" vertical="bottom"/>
    </xf>
    <xf borderId="0" fillId="0" fontId="7" numFmtId="164" xfId="0" applyAlignment="1" applyFont="1" applyNumberFormat="1">
      <alignment horizontal="center" vertical="bottom"/>
    </xf>
    <xf borderId="0" fillId="3" fontId="6" numFmtId="14" xfId="0" applyAlignment="1" applyFont="1" applyNumberFormat="1">
      <alignment horizontal="center" readingOrder="0" vertical="bottom"/>
    </xf>
    <xf borderId="0" fillId="3" fontId="6" numFmtId="0" xfId="0" applyAlignment="1" applyFont="1">
      <alignment vertical="bottom"/>
    </xf>
    <xf borderId="0" fillId="0" fontId="7" numFmtId="0" xfId="0" applyAlignment="1" applyFont="1">
      <alignment horizontal="left" readingOrder="0" vertical="bottom"/>
    </xf>
    <xf borderId="0" fillId="0" fontId="7" numFmtId="14" xfId="0" applyAlignment="1" applyFont="1" applyNumberFormat="1">
      <alignment horizontal="right" readingOrder="0" vertical="bottom"/>
    </xf>
    <xf borderId="0" fillId="0" fontId="7" numFmtId="14" xfId="0" applyAlignment="1" applyFont="1" applyNumberFormat="1">
      <alignment horizontal="center" readingOrder="0" vertical="bottom"/>
    </xf>
    <xf borderId="0" fillId="0" fontId="7" numFmtId="164" xfId="0" applyAlignment="1" applyFont="1" applyNumberFormat="1">
      <alignment horizontal="center" readingOrder="0" vertical="bottom"/>
    </xf>
    <xf borderId="0" fillId="0" fontId="7" numFmtId="165" xfId="0" applyAlignment="1" applyFont="1" applyNumberFormat="1">
      <alignment horizontal="left" vertical="bottom"/>
    </xf>
    <xf borderId="0" fillId="0" fontId="7" numFmtId="166" xfId="0" applyAlignment="1" applyFont="1" applyNumberFormat="1">
      <alignment horizontal="left" vertical="bottom"/>
    </xf>
    <xf borderId="0" fillId="0" fontId="7" numFmtId="0" xfId="0" applyAlignment="1" applyFont="1">
      <alignment horizontal="left" vertical="bottom"/>
    </xf>
    <xf borderId="0" fillId="0" fontId="7" numFmtId="0" xfId="0" applyAlignment="1" applyFont="1">
      <alignment horizontal="left" vertical="bottom"/>
    </xf>
    <xf borderId="0" fillId="0" fontId="7" numFmtId="0" xfId="0" applyAlignment="1" applyFont="1">
      <alignment horizontal="center" vertical="bottom"/>
    </xf>
    <xf borderId="0" fillId="0" fontId="7" numFmtId="14" xfId="0" applyAlignment="1" applyFont="1" applyNumberFormat="1">
      <alignment horizontal="center" vertical="bottom"/>
    </xf>
    <xf borderId="0" fillId="0" fontId="8" numFmtId="0" xfId="0" applyAlignment="1" applyFont="1">
      <alignment readingOrder="0"/>
    </xf>
    <xf borderId="0" fillId="0" fontId="9" numFmtId="0" xfId="0" applyAlignment="1" applyFont="1">
      <alignment readingOrder="0"/>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3" numFmtId="1" xfId="0" applyAlignment="1" applyFont="1" applyNumberFormat="1">
      <alignment horizontal="center" readingOrder="0"/>
    </xf>
    <xf borderId="0" fillId="0" fontId="3" numFmtId="0" xfId="0" applyAlignment="1" applyFont="1">
      <alignment horizontal="left" readingOrder="0"/>
    </xf>
    <xf borderId="0" fillId="0" fontId="5" numFmtId="1" xfId="0" applyAlignment="1" applyFont="1" applyNumberFormat="1">
      <alignment horizontal="center"/>
    </xf>
    <xf borderId="0" fillId="0" fontId="5" numFmtId="2" xfId="0" applyAlignment="1" applyFont="1" applyNumberFormat="1">
      <alignment horizontal="left"/>
    </xf>
    <xf borderId="0" fillId="0" fontId="5" numFmtId="2" xfId="0" applyAlignment="1" applyFont="1" applyNumberFormat="1">
      <alignment horizontal="left" readingOrder="0"/>
    </xf>
    <xf borderId="0" fillId="0" fontId="5" numFmtId="0" xfId="0" applyAlignment="1" applyFont="1">
      <alignment horizontal="left"/>
    </xf>
    <xf borderId="0" fillId="0" fontId="5" numFmtId="0" xfId="0" applyAlignment="1" applyFont="1">
      <alignment horizontal="left" readingOrder="0"/>
    </xf>
    <xf borderId="0" fillId="0" fontId="6" numFmtId="2" xfId="0" applyAlignment="1" applyFont="1" applyNumberFormat="1">
      <alignment vertical="bottom"/>
    </xf>
    <xf borderId="0" fillId="3" fontId="3" numFmtId="0" xfId="0" applyAlignment="1" applyFont="1">
      <alignment horizontal="center" readingOrder="0"/>
    </xf>
    <xf borderId="0" fillId="0" fontId="3" numFmtId="0" xfId="0" applyFont="1"/>
    <xf borderId="0" fillId="0" fontId="3" numFmtId="0" xfId="0" applyAlignment="1" applyFont="1">
      <alignment horizontal="right" readingOrder="0"/>
    </xf>
    <xf borderId="0" fillId="0" fontId="3" numFmtId="169" xfId="0" applyAlignment="1" applyFont="1" applyNumberFormat="1">
      <alignment readingOrder="0"/>
    </xf>
    <xf borderId="0" fillId="3" fontId="3" numFmtId="0" xfId="0" applyAlignment="1" applyFont="1">
      <alignment readingOrder="0"/>
    </xf>
    <xf borderId="0" fillId="0" fontId="5" numFmtId="0" xfId="0" applyAlignment="1" applyFont="1">
      <alignment horizontal="right" readingOrder="0"/>
    </xf>
    <xf borderId="0" fillId="0" fontId="5" numFmtId="14" xfId="0" applyFont="1" applyNumberFormat="1"/>
    <xf borderId="0" fillId="0" fontId="5" numFmtId="0" xfId="0" applyAlignment="1" applyFont="1">
      <alignment readingOrder="0"/>
    </xf>
    <xf borderId="0" fillId="0" fontId="5" numFmtId="167" xfId="0" applyFont="1" applyNumberFormat="1"/>
    <xf borderId="0" fillId="0" fontId="6" numFmtId="0" xfId="0" applyAlignment="1" applyFont="1">
      <alignment horizontal="right" readingOrder="0" vertical="bottom"/>
    </xf>
    <xf borderId="0" fillId="3" fontId="3" numFmtId="0" xfId="0" applyAlignment="1" applyFont="1">
      <alignment horizontal="center"/>
    </xf>
    <xf borderId="0" fillId="3" fontId="3" numFmtId="0" xfId="0" applyFont="1"/>
    <xf borderId="0" fillId="3" fontId="3" numFmtId="166" xfId="0" applyAlignment="1" applyFont="1" applyNumberFormat="1">
      <alignment horizontal="center"/>
    </xf>
    <xf borderId="0" fillId="0" fontId="6" numFmtId="0" xfId="0" applyAlignment="1" applyFont="1">
      <alignment horizontal="right" vertical="bottom"/>
    </xf>
    <xf borderId="0" fillId="3" fontId="3" numFmtId="167" xfId="0" applyAlignment="1" applyFont="1" applyNumberFormat="1">
      <alignment horizontal="center" readingOrder="0"/>
    </xf>
    <xf borderId="0" fillId="0" fontId="5" numFmtId="169" xfId="0" applyFont="1" applyNumberFormat="1"/>
    <xf borderId="0" fillId="2" fontId="10" numFmtId="0" xfId="0" applyAlignment="1" applyFont="1">
      <alignment readingOrder="0"/>
    </xf>
    <xf borderId="0" fillId="0" fontId="5" numFmtId="0" xfId="0" applyAlignment="1" applyFont="1">
      <alignment horizontal="right"/>
    </xf>
    <xf borderId="0" fillId="3" fontId="3" numFmtId="166" xfId="0" applyAlignment="1" applyFont="1" applyNumberFormat="1">
      <alignment horizontal="center" readingOrder="0"/>
    </xf>
    <xf borderId="0" fillId="3" fontId="3" numFmtId="14" xfId="0" applyAlignment="1" applyFont="1" applyNumberFormat="1">
      <alignment horizontal="center" readingOrder="0"/>
    </xf>
    <xf borderId="0" fillId="0" fontId="5" numFmtId="0" xfId="0" applyFont="1"/>
    <xf borderId="0" fillId="0" fontId="5" numFmtId="169" xfId="0" applyAlignment="1" applyFont="1" applyNumberFormat="1">
      <alignment readingOrder="0"/>
    </xf>
    <xf borderId="1" fillId="3" fontId="3" numFmtId="0" xfId="0" applyAlignment="1" applyBorder="1" applyFont="1">
      <alignment horizontal="center" readingOrder="0"/>
    </xf>
    <xf borderId="2" fillId="0" fontId="5" numFmtId="0" xfId="0" applyBorder="1" applyFont="1"/>
    <xf borderId="3" fillId="0" fontId="5" numFmtId="0" xfId="0" applyBorder="1" applyFont="1"/>
    <xf borderId="4" fillId="0" fontId="5" numFmtId="0" xfId="0" applyAlignment="1" applyBorder="1" applyFont="1">
      <alignment readingOrder="0"/>
    </xf>
    <xf borderId="5" fillId="0" fontId="5" numFmtId="0" xfId="0" applyBorder="1" applyFont="1"/>
    <xf borderId="1" fillId="0" fontId="3" numFmtId="0" xfId="0" applyAlignment="1" applyBorder="1" applyFont="1">
      <alignment horizontal="center" readingOrder="0"/>
    </xf>
    <xf borderId="3" fillId="0" fontId="3" numFmtId="0" xfId="0" applyAlignment="1" applyBorder="1" applyFont="1">
      <alignment horizontal="center" readingOrder="0"/>
    </xf>
    <xf borderId="2" fillId="3" fontId="3" numFmtId="0" xfId="0" applyAlignment="1" applyBorder="1" applyFont="1">
      <alignment horizontal="center" readingOrder="0"/>
    </xf>
    <xf borderId="6" fillId="0" fontId="5" numFmtId="0" xfId="0" applyBorder="1" applyFont="1"/>
    <xf borderId="7" fillId="0" fontId="5" numFmtId="0" xfId="0" applyBorder="1" applyFont="1"/>
    <xf borderId="6" fillId="0" fontId="3" numFmtId="0" xfId="0" applyAlignment="1" applyBorder="1" applyFont="1">
      <alignment horizontal="center" readingOrder="0"/>
    </xf>
    <xf borderId="8" fillId="0" fontId="3" numFmtId="0" xfId="0" applyAlignment="1" applyBorder="1" applyFont="1">
      <alignment horizontal="center" readingOrder="0"/>
    </xf>
    <xf borderId="7" fillId="0" fontId="3" numFmtId="0" xfId="0" applyAlignment="1" applyBorder="1" applyFont="1">
      <alignment horizontal="center" readingOrder="0"/>
    </xf>
    <xf borderId="6" fillId="3" fontId="3" numFmtId="0" xfId="0" applyAlignment="1" applyBorder="1" applyFont="1">
      <alignment horizontal="center" readingOrder="0"/>
    </xf>
    <xf borderId="8" fillId="3" fontId="3" numFmtId="0" xfId="0" applyAlignment="1" applyBorder="1" applyFont="1">
      <alignment horizontal="center" readingOrder="0"/>
    </xf>
    <xf borderId="7" fillId="3" fontId="3" numFmtId="0" xfId="0" applyAlignment="1" applyBorder="1" applyFont="1">
      <alignment horizontal="center" readingOrder="0"/>
    </xf>
    <xf borderId="4" fillId="0" fontId="5" numFmtId="0" xfId="0" applyAlignment="1" applyBorder="1" applyFont="1">
      <alignment horizontal="center" readingOrder="0"/>
    </xf>
    <xf borderId="5" fillId="0" fontId="5" numFmtId="0" xfId="0" applyAlignment="1" applyBorder="1" applyFont="1">
      <alignment horizontal="center" readingOrder="0"/>
    </xf>
    <xf borderId="0" fillId="0" fontId="5" numFmtId="165" xfId="0" applyAlignment="1" applyFont="1" applyNumberFormat="1">
      <alignment horizontal="center"/>
    </xf>
    <xf borderId="5" fillId="0" fontId="5" numFmtId="165" xfId="0" applyAlignment="1" applyBorder="1" applyFont="1" applyNumberFormat="1">
      <alignment horizontal="center"/>
    </xf>
    <xf borderId="4" fillId="3" fontId="3" numFmtId="165" xfId="0" applyAlignment="1" applyBorder="1" applyFont="1" applyNumberFormat="1">
      <alignment horizontal="center"/>
    </xf>
    <xf borderId="0" fillId="3" fontId="3" numFmtId="164" xfId="0" applyAlignment="1" applyFont="1" applyNumberFormat="1">
      <alignment horizontal="center"/>
    </xf>
    <xf borderId="0" fillId="3" fontId="3" numFmtId="9" xfId="0" applyAlignment="1" applyFont="1" applyNumberFormat="1">
      <alignment horizontal="center"/>
    </xf>
    <xf borderId="0" fillId="3" fontId="3" numFmtId="0" xfId="0" applyAlignment="1" applyFont="1">
      <alignment horizontal="center"/>
    </xf>
    <xf borderId="4" fillId="3" fontId="3" numFmtId="164" xfId="0" applyAlignment="1" applyBorder="1" applyFont="1" applyNumberFormat="1">
      <alignment horizontal="center"/>
    </xf>
    <xf borderId="5" fillId="3" fontId="3" numFmtId="0" xfId="0" applyAlignment="1" applyBorder="1" applyFont="1">
      <alignment horizontal="center"/>
    </xf>
    <xf borderId="0" fillId="3" fontId="3" numFmtId="9" xfId="0" applyAlignment="1" applyFont="1" applyNumberFormat="1">
      <alignment horizontal="center" readingOrder="0"/>
    </xf>
    <xf borderId="4" fillId="3" fontId="3" numFmtId="164" xfId="0" applyAlignment="1" applyBorder="1" applyFont="1" applyNumberFormat="1">
      <alignment horizontal="center" readingOrder="0"/>
    </xf>
    <xf borderId="5" fillId="3" fontId="3" numFmtId="0" xfId="0" applyAlignment="1" applyBorder="1" applyFont="1">
      <alignment horizontal="center" readingOrder="0"/>
    </xf>
    <xf borderId="9" fillId="4" fontId="11" numFmtId="0" xfId="0" applyAlignment="1" applyBorder="1" applyFill="1" applyFont="1">
      <alignment horizontal="center" readingOrder="0"/>
    </xf>
    <xf borderId="10" fillId="0" fontId="5" numFmtId="0" xfId="0" applyBorder="1" applyFont="1"/>
    <xf borderId="9" fillId="4" fontId="12" numFmtId="164" xfId="0" applyAlignment="1" applyBorder="1" applyFont="1" applyNumberFormat="1">
      <alignment horizontal="center"/>
    </xf>
    <xf borderId="11" fillId="4" fontId="12" numFmtId="164" xfId="0" applyAlignment="1" applyBorder="1" applyFont="1" applyNumberFormat="1">
      <alignment horizontal="center"/>
    </xf>
    <xf borderId="10" fillId="4" fontId="12" numFmtId="164" xfId="0" applyAlignment="1" applyBorder="1" applyFont="1" applyNumberFormat="1">
      <alignment horizontal="center"/>
    </xf>
    <xf borderId="9" fillId="4" fontId="11" numFmtId="164" xfId="0" applyAlignment="1" applyBorder="1" applyFont="1" applyNumberFormat="1">
      <alignment horizontal="center"/>
    </xf>
    <xf borderId="11" fillId="4" fontId="11" numFmtId="164" xfId="0" applyAlignment="1" applyBorder="1" applyFont="1" applyNumberFormat="1">
      <alignment horizontal="center"/>
    </xf>
    <xf borderId="11" fillId="4" fontId="11" numFmtId="9" xfId="0" applyAlignment="1" applyBorder="1" applyFont="1" applyNumberFormat="1">
      <alignment horizontal="center"/>
    </xf>
    <xf borderId="11" fillId="4" fontId="11" numFmtId="0" xfId="0" applyAlignment="1" applyBorder="1" applyFont="1">
      <alignment horizontal="center"/>
    </xf>
    <xf borderId="10" fillId="4" fontId="11" numFmtId="0" xfId="0" applyAlignment="1" applyBorder="1" applyFont="1">
      <alignment horizontal="center"/>
    </xf>
    <xf borderId="0" fillId="0" fontId="5" numFmtId="164" xfId="0" applyAlignment="1" applyFont="1" applyNumberFormat="1">
      <alignment readingOrder="0"/>
    </xf>
    <xf borderId="0" fillId="0" fontId="3" numFmtId="4" xfId="0" applyAlignment="1" applyFont="1" applyNumberFormat="1">
      <alignment horizontal="center" readingOrder="0"/>
    </xf>
    <xf borderId="4" fillId="3" fontId="3" numFmtId="165" xfId="0" applyAlignment="1" applyBorder="1" applyFont="1" applyNumberFormat="1">
      <alignment horizontal="center" readingOrder="0"/>
    </xf>
    <xf borderId="5" fillId="3" fontId="3" numFmtId="0" xfId="0" applyAlignment="1" applyBorder="1" applyFont="1">
      <alignment horizontal="center"/>
    </xf>
    <xf borderId="5" fillId="3" fontId="3" numFmtId="3" xfId="0" applyAlignment="1" applyBorder="1" applyFont="1" applyNumberFormat="1">
      <alignment horizontal="center" readingOrder="0"/>
    </xf>
    <xf borderId="6" fillId="0" fontId="5" numFmtId="0" xfId="0" applyAlignment="1" applyBorder="1" applyFont="1">
      <alignment horizontal="center" readingOrder="0"/>
    </xf>
    <xf borderId="7" fillId="0" fontId="5" numFmtId="0" xfId="0" applyAlignment="1" applyBorder="1" applyFont="1">
      <alignment horizontal="center" readingOrder="0"/>
    </xf>
    <xf borderId="6" fillId="3" fontId="3" numFmtId="165" xfId="0" applyAlignment="1" applyBorder="1" applyFont="1" applyNumberFormat="1">
      <alignment horizontal="center" readingOrder="0"/>
    </xf>
    <xf borderId="8" fillId="3" fontId="3" numFmtId="9" xfId="0" applyAlignment="1" applyBorder="1" applyFont="1" applyNumberFormat="1">
      <alignment horizontal="center"/>
    </xf>
    <xf borderId="7" fillId="3" fontId="3" numFmtId="0" xfId="0" applyAlignment="1" applyBorder="1" applyFont="1">
      <alignment horizontal="center"/>
    </xf>
    <xf borderId="7" fillId="3" fontId="3" numFmtId="3" xfId="0" applyAlignment="1" applyBorder="1" applyFont="1" applyNumberFormat="1">
      <alignment horizontal="center" readingOrder="0"/>
    </xf>
    <xf borderId="9" fillId="4" fontId="3" numFmtId="0" xfId="0" applyAlignment="1" applyBorder="1" applyFont="1">
      <alignment horizontal="center" readingOrder="0"/>
    </xf>
    <xf borderId="9" fillId="4" fontId="3" numFmtId="165" xfId="0" applyAlignment="1" applyBorder="1" applyFont="1" applyNumberFormat="1">
      <alignment horizontal="center" readingOrder="0"/>
    </xf>
    <xf borderId="11" fillId="4" fontId="3" numFmtId="9" xfId="0" applyAlignment="1" applyBorder="1" applyFont="1" applyNumberFormat="1">
      <alignment horizontal="center"/>
    </xf>
    <xf borderId="10" fillId="4" fontId="3" numFmtId="0" xfId="0" applyAlignment="1" applyBorder="1" applyFont="1">
      <alignment horizontal="center"/>
    </xf>
    <xf borderId="11" fillId="4" fontId="3" numFmtId="164" xfId="0" applyAlignment="1" applyBorder="1" applyFont="1" applyNumberFormat="1">
      <alignment horizontal="center"/>
    </xf>
    <xf borderId="0" fillId="3" fontId="5" numFmtId="0" xfId="0" applyFont="1"/>
    <xf borderId="0" fillId="3" fontId="3" numFmtId="0" xfId="0" applyAlignment="1" applyFont="1">
      <alignment horizontal="center" readingOrder="0"/>
    </xf>
    <xf borderId="0" fillId="3" fontId="3" numFmtId="1" xfId="0" applyAlignment="1" applyFont="1" applyNumberFormat="1">
      <alignment horizontal="center" readingOrder="0"/>
    </xf>
    <xf borderId="0" fillId="0" fontId="3" numFmtId="0" xfId="0" applyAlignment="1" applyFont="1">
      <alignment horizontal="center"/>
    </xf>
    <xf borderId="0" fillId="5" fontId="5" numFmtId="0" xfId="0" applyAlignment="1" applyFill="1" applyFont="1">
      <alignment horizontal="center"/>
    </xf>
    <xf borderId="0" fillId="0" fontId="5" numFmtId="1" xfId="0" applyAlignment="1" applyFont="1" applyNumberFormat="1">
      <alignment horizontal="center" readingOrder="0"/>
    </xf>
    <xf quotePrefix="1" borderId="0" fillId="0" fontId="5" numFmtId="0" xfId="0" applyAlignment="1" applyFont="1">
      <alignment horizontal="center" readingOrder="0"/>
    </xf>
    <xf borderId="0" fillId="3" fontId="3" numFmtId="1" xfId="0" applyAlignment="1" applyFont="1" applyNumberFormat="1">
      <alignment horizontal="center"/>
    </xf>
    <xf borderId="0" fillId="0" fontId="5" numFmtId="9" xfId="0" applyAlignment="1" applyFont="1" applyNumberFormat="1">
      <alignment horizontal="center"/>
    </xf>
    <xf borderId="0" fillId="0" fontId="6" numFmtId="9" xfId="0" applyAlignment="1" applyFont="1" applyNumberFormat="1">
      <alignment horizontal="center" vertical="bottom"/>
    </xf>
    <xf borderId="0" fillId="2" fontId="4" numFmtId="0" xfId="0" applyAlignment="1" applyFont="1">
      <alignment readingOrder="0"/>
    </xf>
    <xf borderId="0" fillId="3" fontId="5" numFmtId="0" xfId="0" applyAlignment="1" applyFont="1">
      <alignment horizontal="right" readingOrder="0" shrinkToFit="0" wrapText="1"/>
    </xf>
    <xf borderId="0" fillId="3" fontId="5" numFmtId="14" xfId="0" applyAlignment="1" applyFont="1" applyNumberFormat="1">
      <alignment horizontal="left" readingOrder="0" vertical="bottom"/>
    </xf>
    <xf borderId="0" fillId="0" fontId="5" numFmtId="0" xfId="0" applyAlignment="1" applyFont="1">
      <alignment horizontal="right" readingOrder="0" shrinkToFit="0" wrapText="1"/>
    </xf>
    <xf borderId="0" fillId="0" fontId="5" numFmtId="14" xfId="0" applyAlignment="1" applyFont="1" applyNumberFormat="1">
      <alignment horizontal="left" readingOrder="0" vertical="bottom"/>
    </xf>
    <xf borderId="0" fillId="0" fontId="5" numFmtId="0" xfId="0" applyAlignment="1" applyFont="1">
      <alignment readingOrder="0" shrinkToFit="0" wrapText="1"/>
    </xf>
    <xf borderId="0" fillId="2" fontId="5" numFmtId="0" xfId="0" applyAlignment="1" applyFont="1">
      <alignment readingOrder="0" shrinkToFit="0" wrapText="1"/>
    </xf>
    <xf borderId="0" fillId="0" fontId="3" numFmtId="3" xfId="0" applyAlignment="1" applyFont="1" applyNumberFormat="1">
      <alignment horizontal="center" readingOrder="0"/>
    </xf>
    <xf borderId="0" fillId="0" fontId="3" numFmtId="3" xfId="0" applyAlignment="1" applyFont="1" applyNumberFormat="1">
      <alignment readingOrder="0"/>
    </xf>
    <xf borderId="0" fillId="0" fontId="5" numFmtId="3" xfId="0" applyAlignment="1" applyFont="1" applyNumberFormat="1">
      <alignment readingOrder="0"/>
    </xf>
    <xf borderId="0" fillId="0" fontId="5" numFmtId="165" xfId="0" applyAlignment="1" applyFont="1" applyNumberFormat="1">
      <alignment horizontal="center" readingOrder="0"/>
    </xf>
    <xf borderId="0" fillId="0" fontId="5" numFmtId="3" xfId="0" applyAlignment="1" applyFont="1" applyNumberFormat="1">
      <alignment horizontal="center"/>
    </xf>
    <xf borderId="0" fillId="0" fontId="5" numFmtId="3" xfId="0" applyFont="1" applyNumberFormat="1"/>
    <xf borderId="0" fillId="0" fontId="5" numFmtId="3" xfId="0" applyAlignment="1" applyFont="1" applyNumberFormat="1">
      <alignment horizontal="center" readingOrder="0"/>
    </xf>
    <xf borderId="0" fillId="0" fontId="5" numFmtId="9" xfId="0" applyFont="1" applyNumberFormat="1"/>
    <xf borderId="0" fillId="0" fontId="5" numFmtId="9" xfId="0" applyAlignment="1" applyFont="1" applyNumberFormat="1">
      <alignment readingOrder="0"/>
    </xf>
  </cellXfs>
  <cellStyles count="1">
    <cellStyle xfId="0" name="Normal" builtinId="0"/>
  </cellStyles>
  <dxfs count="2">
    <dxf>
      <font/>
      <fill>
        <patternFill patternType="solid">
          <fgColor rgb="FFEFEFEF"/>
          <bgColor rgb="FFEFEFEF"/>
        </patternFill>
      </fill>
      <border/>
    </dxf>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5" Type="http://schemas.openxmlformats.org/officeDocument/2006/relationships/worksheet" Target="worksheets/sheet23.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paypal.me/mlbplayeranalys?country.x=CA&amp;locale.x=en_U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aypal.me/mlbplayeranalys?country.x=CA&amp;locale.x=en_U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witter.com/jeremyarroyo/status/1371651765528113153?s=11" TargetMode="External"/><Relationship Id="rId2" Type="http://schemas.openxmlformats.org/officeDocument/2006/relationships/hyperlink" Target="https://twitter.com/nicabeis/status/1389778623608012801?s=11" TargetMode="External"/><Relationship Id="rId3" Type="http://schemas.openxmlformats.org/officeDocument/2006/relationships/hyperlink" Target="https://twitter.com/NYY_Prospects/status/1617992159097151489" TargetMode="External"/><Relationship Id="rId4" Type="http://schemas.openxmlformats.org/officeDocument/2006/relationships/hyperlink" Target="https://x.com/picksshelf/status/1893419808869294186?s=43&amp;t=NO0hlvLBbI0JRudVD13oLg" TargetMode="External"/><Relationship Id="rId5" Type="http://schemas.openxmlformats.org/officeDocument/2006/relationships/hyperlink" Target="https://x.com/ByAndrewParker/status/1946640944582864933"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www.baseballprospectus.com/article.php?articleid=16104" TargetMode="External"/><Relationship Id="rId2" Type="http://schemas.openxmlformats.org/officeDocument/2006/relationships/hyperlink" Target="https://twitter.com/cmullee11/status/728238350306578436" TargetMode="External"/><Relationship Id="rId3" Type="http://schemas.openxmlformats.org/officeDocument/2006/relationships/hyperlink" Target="http://www.cbc.ca/sports/baseball/eric-gagne-dodges-tommy-john-surgery-1.550244" TargetMode="External"/><Relationship Id="rId4" Type="http://schemas.openxmlformats.org/officeDocument/2006/relationships/hyperlink" Target="http://books.google.ca/books?id=4TJ4gxrpRTQC&amp;pg=PA71&amp;lpg=PA71&amp;dq=Jose+Rijo+first+Tommy+John+surgery&amp;source=bl&amp;ots=-Q_0TB9nBe&amp;sig=Pl7KrbAaRCB2DvETYoAhDiNmXlc&amp;hl=en&amp;sa=X&amp;ei=GForU8aRMIPG0QH5z4DQAg&amp;ved=0CG4Q6AEwCQ" TargetMode="External"/><Relationship Id="rId11" Type="http://schemas.openxmlformats.org/officeDocument/2006/relationships/hyperlink" Target="https://www.eastbaytimes.com/2005/04/01/oakland-high-frolics-15-0/" TargetMode="External"/><Relationship Id="rId10" Type="http://schemas.openxmlformats.org/officeDocument/2006/relationships/hyperlink" Target="https://www.baseballfactory.com/video/tyson-ross-2005-baseball-factory-pre-season/" TargetMode="External"/><Relationship Id="rId12" Type="http://schemas.openxmlformats.org/officeDocument/2006/relationships/drawing" Target="../drawings/drawing18.xml"/><Relationship Id="rId9" Type="http://schemas.openxmlformats.org/officeDocument/2006/relationships/hyperlink" Target="https://calbears.com/roster.aspx?rp_id=5128" TargetMode="External"/><Relationship Id="rId5" Type="http://schemas.openxmlformats.org/officeDocument/2006/relationships/hyperlink" Target="http://books.google.ca/books?id=4TJ4gxrpRTQC&amp;pg=PA71&amp;lpg=PA71&amp;dq=Jose+Rijo+first+Tommy+John+surgery&amp;source=bl&amp;ots=-Q_0TB9nBe&amp;sig=Pl7KrbAaRCB2DvETYoAhDiNmXlc&amp;hl=en&amp;sa=X&amp;ei=GForU8aRMIPG0QH5z4DQAg&amp;ved=0CG4Q6AEwCQ" TargetMode="External"/><Relationship Id="rId6" Type="http://schemas.openxmlformats.org/officeDocument/2006/relationships/hyperlink" Target="http://books.google.ca/books?id=4TJ4gxrpRTQC&amp;pg=PA71&amp;lpg=PA71&amp;dq=Jose+Rijo+first+Tommy+John+surgery&amp;source=bl&amp;ots=-Q_0TB9nBe&amp;sig=Pl7KrbAaRCB2DvETYoAhDiNmXlc&amp;hl=en&amp;sa=X&amp;ei=GForU8aRMIPG0QH5z4DQAg&amp;ved=0CG4Q6AEwCQ" TargetMode="External"/><Relationship Id="rId7" Type="http://schemas.openxmlformats.org/officeDocument/2006/relationships/hyperlink" Target="http://books.google.ca/books?id=4TJ4gxrpRTQC&amp;pg=PA71&amp;lpg=PA71&amp;dq=Jose+Rijo+first+Tommy+John+surgery&amp;source=bl&amp;ots=-Q_0TB9nBe&amp;sig=Pl7KrbAaRCB2DvETYoAhDiNmXlc&amp;hl=en&amp;sa=X&amp;ei=GForU8aRMIPG0QH5z4DQAg&amp;ved=0CG4Q6AEwCQ" TargetMode="External"/><Relationship Id="rId8" Type="http://schemas.openxmlformats.org/officeDocument/2006/relationships/hyperlink" Target="http://blogs.mycentraljersey.com/patriots/2010/08/03/scott-williamson-q-a/"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twitter.com/m_sheldon/status/596798256627249153" TargetMode="External"/><Relationship Id="rId2" Type="http://schemas.openxmlformats.org/officeDocument/2006/relationships/hyperlink" Target="http://www.nydailynews.com/sports/baseball/mets/harvey-pitch-season-collins-job-safe-mets-gm-article-1.1824543" TargetMode="External"/><Relationship Id="rId3" Type="http://schemas.openxmlformats.org/officeDocument/2006/relationships/hyperlink" Target="http://news.nationalpost.com/sports/mlb/toronto-blue-jays-prospect-jeff-hoffman-in-a-low-spot-after-tommy-john-surgery-feeling-great-about-his-arm-and-his-team"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8.88"/>
    <col customWidth="1" min="2" max="2" width="13.5"/>
    <col customWidth="1" min="3" max="3" width="5.13"/>
    <col customWidth="1" min="4" max="4" width="5.0"/>
    <col customWidth="1" min="5" max="5" width="7.25"/>
    <col customWidth="1" min="6" max="6" width="6.63"/>
    <col customWidth="1" min="7" max="7" width="12.5"/>
    <col customWidth="1" min="8" max="8" width="12.38"/>
    <col customWidth="1" min="9" max="9" width="34.5"/>
    <col customWidth="1" min="10" max="10" width="4.0"/>
    <col customWidth="1" min="11" max="11" width="10.63"/>
    <col customWidth="1" min="12" max="12" width="12.63"/>
    <col customWidth="1" min="13" max="13" width="7.5"/>
    <col customWidth="1" min="14" max="14" width="9.0"/>
    <col customWidth="1" min="15" max="15" width="39.88"/>
    <col customWidth="1" hidden="1" min="16" max="16" width="7.5"/>
    <col customWidth="1" hidden="1" min="17" max="17" width="9.88"/>
    <col customWidth="1" hidden="1" min="18" max="18" width="5.75"/>
    <col customWidth="1" hidden="1" min="19" max="19" width="4.38"/>
    <col customWidth="1" hidden="1" min="20" max="20" width="5.75"/>
    <col customWidth="1" hidden="1" min="21" max="21" width="4.0"/>
    <col customWidth="1" hidden="1" min="22" max="23" width="9.0"/>
    <col customWidth="1" hidden="1" min="24" max="24" width="8.38"/>
    <col customWidth="1" hidden="1" min="25" max="26" width="9.0"/>
    <col customWidth="1" hidden="1" min="27" max="27" width="8.88"/>
    <col customWidth="1" hidden="1" min="28" max="28" width="23.0"/>
    <col customWidth="1" hidden="1" min="29" max="29" width="8.0"/>
    <col customWidth="1" hidden="1" min="30" max="30" width="19.38"/>
    <col customWidth="1" hidden="1" min="31" max="32" width="3.25"/>
    <col customWidth="1" hidden="1" min="33" max="33" width="5.5"/>
    <col customWidth="1" hidden="1" min="34" max="34" width="7.75"/>
    <col customWidth="1" hidden="1" min="35" max="36" width="6.88"/>
    <col customWidth="1" hidden="1" min="37" max="38" width="3.88"/>
    <col customWidth="1" hidden="1" min="39" max="39" width="6.38"/>
    <col customWidth="1" hidden="1" min="40" max="40" width="6.75"/>
    <col customWidth="1" hidden="1" min="41" max="41" width="7.0"/>
    <col customWidth="1" hidden="1" min="42" max="42" width="6.63"/>
  </cols>
  <sheetData>
    <row r="1">
      <c r="A1" s="1" t="s">
        <v>0</v>
      </c>
      <c r="B1" s="2" t="s">
        <v>1</v>
      </c>
      <c r="P1" s="3"/>
      <c r="Q1" s="4"/>
      <c r="R1" s="5"/>
      <c r="S1" s="6"/>
      <c r="T1" s="6"/>
      <c r="U1" s="6"/>
      <c r="V1" s="6"/>
      <c r="W1" s="6"/>
      <c r="X1" s="6"/>
      <c r="Y1" s="6"/>
      <c r="Z1" s="6"/>
      <c r="AA1" s="6"/>
      <c r="AB1" s="6"/>
      <c r="AC1" s="6"/>
      <c r="AD1" s="6"/>
      <c r="AE1" s="6"/>
      <c r="AF1" s="6"/>
      <c r="AG1" s="7"/>
      <c r="AH1" s="8"/>
      <c r="AI1" s="6"/>
      <c r="AJ1" s="6"/>
      <c r="AK1" s="6"/>
      <c r="AL1" s="6"/>
      <c r="AM1" s="7"/>
      <c r="AN1" s="8"/>
      <c r="AO1" s="6"/>
      <c r="AP1" s="6"/>
    </row>
    <row r="2">
      <c r="A2" s="6" t="s">
        <v>2</v>
      </c>
      <c r="B2" s="6" t="s">
        <v>3</v>
      </c>
      <c r="C2" s="5" t="s">
        <v>4</v>
      </c>
      <c r="D2" s="5" t="s">
        <v>5</v>
      </c>
      <c r="E2" s="5" t="s">
        <v>6</v>
      </c>
      <c r="F2" s="5" t="s">
        <v>7</v>
      </c>
      <c r="G2" s="5" t="s">
        <v>8</v>
      </c>
      <c r="H2" s="5" t="s">
        <v>9</v>
      </c>
      <c r="I2" s="5" t="s">
        <v>10</v>
      </c>
      <c r="J2" s="5" t="s">
        <v>11</v>
      </c>
      <c r="K2" s="3" t="s">
        <v>12</v>
      </c>
      <c r="L2" s="3" t="s">
        <v>13</v>
      </c>
      <c r="M2" s="5" t="s">
        <v>14</v>
      </c>
      <c r="N2" s="5" t="s">
        <v>15</v>
      </c>
      <c r="O2" s="6" t="s">
        <v>16</v>
      </c>
      <c r="P2" s="3" t="s">
        <v>17</v>
      </c>
      <c r="Q2" s="4" t="s">
        <v>18</v>
      </c>
      <c r="R2" s="5" t="s">
        <v>19</v>
      </c>
      <c r="S2" s="6" t="s">
        <v>20</v>
      </c>
      <c r="T2" s="6" t="s">
        <v>21</v>
      </c>
      <c r="U2" s="6" t="s">
        <v>22</v>
      </c>
      <c r="V2" s="6" t="s">
        <v>23</v>
      </c>
      <c r="W2" s="6" t="s">
        <v>24</v>
      </c>
      <c r="X2" s="6" t="s">
        <v>25</v>
      </c>
      <c r="Y2" s="6" t="s">
        <v>26</v>
      </c>
      <c r="Z2" s="6" t="s">
        <v>27</v>
      </c>
      <c r="AA2" s="6" t="s">
        <v>28</v>
      </c>
      <c r="AB2" s="6" t="s">
        <v>29</v>
      </c>
      <c r="AC2" s="6" t="s">
        <v>28</v>
      </c>
      <c r="AD2" s="6" t="s">
        <v>29</v>
      </c>
      <c r="AE2" s="6" t="s">
        <v>30</v>
      </c>
      <c r="AF2" s="6" t="s">
        <v>31</v>
      </c>
      <c r="AG2" s="7" t="s">
        <v>32</v>
      </c>
      <c r="AH2" s="8" t="s">
        <v>33</v>
      </c>
      <c r="AI2" s="6" t="s">
        <v>34</v>
      </c>
      <c r="AJ2" s="6" t="s">
        <v>35</v>
      </c>
      <c r="AK2" s="6" t="s">
        <v>30</v>
      </c>
      <c r="AL2" s="6" t="s">
        <v>31</v>
      </c>
      <c r="AM2" s="7" t="s">
        <v>32</v>
      </c>
      <c r="AN2" s="8" t="s">
        <v>33</v>
      </c>
      <c r="AO2" s="6" t="s">
        <v>34</v>
      </c>
      <c r="AP2" s="6" t="s">
        <v>35</v>
      </c>
    </row>
    <row r="3">
      <c r="A3" s="9" t="s">
        <v>36</v>
      </c>
      <c r="B3" s="10">
        <v>45992.0</v>
      </c>
      <c r="C3" s="11" t="s">
        <v>37</v>
      </c>
      <c r="D3" s="11" t="s">
        <v>38</v>
      </c>
      <c r="E3" s="11" t="s">
        <v>39</v>
      </c>
      <c r="F3" s="11" t="s">
        <v>40</v>
      </c>
      <c r="G3" s="11" t="s">
        <v>41</v>
      </c>
      <c r="H3" s="11"/>
      <c r="I3" s="11"/>
      <c r="J3" s="11">
        <v>25.0</v>
      </c>
      <c r="K3" s="12"/>
      <c r="L3" s="11"/>
      <c r="M3" s="11">
        <v>678692.0</v>
      </c>
      <c r="N3" s="11">
        <v>24094.0</v>
      </c>
      <c r="O3" s="13" t="s">
        <v>42</v>
      </c>
      <c r="P3" s="11">
        <v>0.0</v>
      </c>
      <c r="Q3" s="14">
        <v>0.0</v>
      </c>
      <c r="R3" s="11">
        <v>1.0</v>
      </c>
      <c r="S3">
        <f t="shared" ref="S3:S2668" si="1">YEAR(B3)</f>
        <v>2025</v>
      </c>
      <c r="T3">
        <f t="shared" ref="T3:T2668" si="2">MONTH(B3)</f>
        <v>12</v>
      </c>
      <c r="U3">
        <f t="shared" ref="U3:U2668" si="3">DAY(B3)</f>
        <v>1</v>
      </c>
      <c r="AG3" s="15"/>
      <c r="AH3" s="16"/>
      <c r="AM3" s="15"/>
      <c r="AN3" s="16"/>
    </row>
    <row r="4">
      <c r="A4" s="9" t="s">
        <v>43</v>
      </c>
      <c r="B4" s="10">
        <v>45959.0</v>
      </c>
      <c r="C4" s="11" t="s">
        <v>44</v>
      </c>
      <c r="D4" s="11" t="s">
        <v>38</v>
      </c>
      <c r="E4" s="11" t="s">
        <v>39</v>
      </c>
      <c r="F4" s="11" t="s">
        <v>40</v>
      </c>
      <c r="G4" s="11" t="s">
        <v>45</v>
      </c>
      <c r="H4" s="11" t="s">
        <v>46</v>
      </c>
      <c r="I4" s="11" t="s">
        <v>47</v>
      </c>
      <c r="J4" s="11">
        <v>28.0</v>
      </c>
      <c r="K4" s="12"/>
      <c r="L4" s="11"/>
      <c r="M4" s="11">
        <v>663671.0</v>
      </c>
      <c r="N4" s="11">
        <v>25553.0</v>
      </c>
      <c r="O4" s="13"/>
      <c r="P4" s="11">
        <v>0.0</v>
      </c>
      <c r="Q4" s="14">
        <v>0.0</v>
      </c>
      <c r="R4" s="11">
        <v>1.0</v>
      </c>
      <c r="S4">
        <f t="shared" si="1"/>
        <v>2025</v>
      </c>
      <c r="T4">
        <f t="shared" si="2"/>
        <v>10</v>
      </c>
      <c r="U4">
        <f t="shared" si="3"/>
        <v>29</v>
      </c>
      <c r="AG4" s="15"/>
      <c r="AH4" s="16"/>
      <c r="AM4" s="15"/>
      <c r="AN4" s="16"/>
    </row>
    <row r="5">
      <c r="A5" s="9" t="s">
        <v>48</v>
      </c>
      <c r="B5" s="10">
        <v>45938.0</v>
      </c>
      <c r="C5" s="11" t="s">
        <v>49</v>
      </c>
      <c r="D5" s="11" t="s">
        <v>38</v>
      </c>
      <c r="E5" s="11" t="s">
        <v>39</v>
      </c>
      <c r="F5" s="11" t="s">
        <v>40</v>
      </c>
      <c r="G5" s="11" t="s">
        <v>45</v>
      </c>
      <c r="H5" s="11" t="s">
        <v>46</v>
      </c>
      <c r="I5" s="11" t="s">
        <v>50</v>
      </c>
      <c r="J5" s="11">
        <v>32.0</v>
      </c>
      <c r="K5" s="12"/>
      <c r="L5" s="11"/>
      <c r="M5" s="11">
        <v>657585.0</v>
      </c>
      <c r="N5" s="11">
        <v>16866.0</v>
      </c>
      <c r="O5" s="13"/>
      <c r="P5" s="11">
        <v>0.0</v>
      </c>
      <c r="Q5" s="14">
        <v>0.0</v>
      </c>
      <c r="R5" s="11">
        <v>1.0</v>
      </c>
      <c r="S5">
        <f t="shared" si="1"/>
        <v>2025</v>
      </c>
      <c r="T5">
        <f t="shared" si="2"/>
        <v>10</v>
      </c>
      <c r="U5">
        <f t="shared" si="3"/>
        <v>8</v>
      </c>
      <c r="AG5" s="15"/>
      <c r="AH5" s="16"/>
      <c r="AM5" s="15"/>
      <c r="AN5" s="16"/>
    </row>
    <row r="6">
      <c r="A6" s="9" t="s">
        <v>51</v>
      </c>
      <c r="B6" s="10">
        <v>45931.0</v>
      </c>
      <c r="C6" s="11" t="s">
        <v>52</v>
      </c>
      <c r="D6" s="11" t="s">
        <v>38</v>
      </c>
      <c r="E6" s="11" t="s">
        <v>39</v>
      </c>
      <c r="F6" s="11" t="s">
        <v>40</v>
      </c>
      <c r="G6" s="11" t="s">
        <v>53</v>
      </c>
      <c r="H6" s="11"/>
      <c r="I6" s="11"/>
      <c r="J6" s="11">
        <v>28.0</v>
      </c>
      <c r="K6" s="12"/>
      <c r="L6" s="11"/>
      <c r="M6" s="11">
        <v>677651.0</v>
      </c>
      <c r="N6" s="11">
        <v>23735.0</v>
      </c>
      <c r="O6" s="13"/>
      <c r="P6" s="11">
        <v>0.0</v>
      </c>
      <c r="Q6" s="14">
        <v>0.0</v>
      </c>
      <c r="R6" s="11">
        <v>1.0</v>
      </c>
      <c r="S6">
        <f t="shared" si="1"/>
        <v>2025</v>
      </c>
      <c r="T6">
        <f t="shared" si="2"/>
        <v>10</v>
      </c>
      <c r="U6">
        <f t="shared" si="3"/>
        <v>1</v>
      </c>
      <c r="AG6" s="15"/>
      <c r="AH6" s="16"/>
      <c r="AM6" s="15"/>
      <c r="AN6" s="16"/>
    </row>
    <row r="7">
      <c r="A7" s="9" t="s">
        <v>54</v>
      </c>
      <c r="B7" s="10">
        <v>45931.0</v>
      </c>
      <c r="C7" s="11" t="s">
        <v>55</v>
      </c>
      <c r="D7" s="11" t="s">
        <v>38</v>
      </c>
      <c r="E7" s="11" t="s">
        <v>39</v>
      </c>
      <c r="F7" s="11" t="s">
        <v>40</v>
      </c>
      <c r="G7" s="11" t="s">
        <v>45</v>
      </c>
      <c r="H7" s="11" t="s">
        <v>56</v>
      </c>
      <c r="I7" s="11"/>
      <c r="J7" s="11">
        <v>34.0</v>
      </c>
      <c r="K7" s="12"/>
      <c r="L7" s="11"/>
      <c r="M7" s="11">
        <v>571946.0</v>
      </c>
      <c r="N7" s="11">
        <v>10197.0</v>
      </c>
      <c r="O7" s="13" t="s">
        <v>42</v>
      </c>
      <c r="P7" s="11">
        <v>0.0</v>
      </c>
      <c r="Q7" s="14">
        <v>0.0</v>
      </c>
      <c r="R7" s="11">
        <v>1.0</v>
      </c>
      <c r="S7">
        <f t="shared" si="1"/>
        <v>2025</v>
      </c>
      <c r="T7">
        <f t="shared" si="2"/>
        <v>10</v>
      </c>
      <c r="U7">
        <f t="shared" si="3"/>
        <v>1</v>
      </c>
      <c r="AG7" s="15"/>
      <c r="AH7" s="16"/>
      <c r="AM7" s="15"/>
      <c r="AN7" s="16"/>
    </row>
    <row r="8">
      <c r="A8" s="9" t="s">
        <v>57</v>
      </c>
      <c r="B8" s="10">
        <v>45929.0</v>
      </c>
      <c r="C8" s="11" t="s">
        <v>37</v>
      </c>
      <c r="D8" s="11" t="s">
        <v>58</v>
      </c>
      <c r="E8" s="11" t="s">
        <v>39</v>
      </c>
      <c r="F8" s="11" t="s">
        <v>40</v>
      </c>
      <c r="G8" s="11" t="s">
        <v>45</v>
      </c>
      <c r="H8" s="11" t="s">
        <v>59</v>
      </c>
      <c r="I8" s="11" t="s">
        <v>60</v>
      </c>
      <c r="J8" s="11">
        <v>27.0</v>
      </c>
      <c r="K8" s="12"/>
      <c r="L8" s="11"/>
      <c r="M8" s="11">
        <v>686539.0</v>
      </c>
      <c r="N8" s="11">
        <v>25645.0</v>
      </c>
      <c r="O8" s="13"/>
      <c r="P8" s="11">
        <v>0.0</v>
      </c>
      <c r="Q8" s="14">
        <v>0.0</v>
      </c>
      <c r="R8" s="11">
        <v>1.0</v>
      </c>
      <c r="S8">
        <f t="shared" si="1"/>
        <v>2025</v>
      </c>
      <c r="T8">
        <f t="shared" si="2"/>
        <v>9</v>
      </c>
      <c r="U8">
        <f t="shared" si="3"/>
        <v>29</v>
      </c>
      <c r="AG8" s="15"/>
      <c r="AH8" s="16"/>
      <c r="AM8" s="15"/>
      <c r="AN8" s="16"/>
    </row>
    <row r="9">
      <c r="A9" s="9" t="s">
        <v>61</v>
      </c>
      <c r="B9" s="10">
        <v>45924.0</v>
      </c>
      <c r="C9" s="11" t="s">
        <v>62</v>
      </c>
      <c r="D9" s="11" t="s">
        <v>38</v>
      </c>
      <c r="E9" s="11" t="s">
        <v>39</v>
      </c>
      <c r="F9" s="11" t="s">
        <v>40</v>
      </c>
      <c r="G9" s="11" t="s">
        <v>41</v>
      </c>
      <c r="H9" s="11"/>
      <c r="I9" s="11"/>
      <c r="J9" s="11">
        <v>25.0</v>
      </c>
      <c r="K9" s="12"/>
      <c r="L9" s="11"/>
      <c r="M9" s="11">
        <v>678495.0</v>
      </c>
      <c r="N9" s="11">
        <v>23974.0</v>
      </c>
      <c r="O9" s="13"/>
      <c r="P9" s="11">
        <v>0.0</v>
      </c>
      <c r="Q9" s="14">
        <v>0.0</v>
      </c>
      <c r="R9" s="11">
        <v>1.0</v>
      </c>
      <c r="S9">
        <f t="shared" si="1"/>
        <v>2025</v>
      </c>
      <c r="T9">
        <f t="shared" si="2"/>
        <v>9</v>
      </c>
      <c r="U9">
        <f t="shared" si="3"/>
        <v>24</v>
      </c>
      <c r="AG9" s="15"/>
      <c r="AH9" s="16"/>
      <c r="AM9" s="15"/>
      <c r="AN9" s="16"/>
    </row>
    <row r="10">
      <c r="A10" s="9" t="s">
        <v>63</v>
      </c>
      <c r="B10" s="10">
        <v>45922.0</v>
      </c>
      <c r="C10" s="11" t="s">
        <v>52</v>
      </c>
      <c r="D10" s="11" t="s">
        <v>38</v>
      </c>
      <c r="E10" s="11" t="s">
        <v>39</v>
      </c>
      <c r="F10" s="11" t="s">
        <v>64</v>
      </c>
      <c r="G10" s="11" t="s">
        <v>45</v>
      </c>
      <c r="H10" s="11" t="s">
        <v>65</v>
      </c>
      <c r="I10" s="11" t="s">
        <v>65</v>
      </c>
      <c r="J10" s="11">
        <v>28.0</v>
      </c>
      <c r="K10" s="12"/>
      <c r="L10" s="11"/>
      <c r="M10" s="11">
        <v>687888.0</v>
      </c>
      <c r="N10" s="11">
        <v>26056.0</v>
      </c>
      <c r="O10" s="13"/>
      <c r="P10" s="11">
        <v>0.0</v>
      </c>
      <c r="Q10" s="14">
        <v>0.0</v>
      </c>
      <c r="R10" s="11">
        <v>1.0</v>
      </c>
      <c r="S10">
        <f t="shared" si="1"/>
        <v>2025</v>
      </c>
      <c r="T10">
        <f t="shared" si="2"/>
        <v>9</v>
      </c>
      <c r="U10">
        <f t="shared" si="3"/>
        <v>22</v>
      </c>
      <c r="AG10" s="15"/>
      <c r="AH10" s="16"/>
      <c r="AM10" s="15"/>
      <c r="AN10" s="16"/>
    </row>
    <row r="11">
      <c r="A11" s="9" t="s">
        <v>66</v>
      </c>
      <c r="B11" s="10">
        <v>45922.0</v>
      </c>
      <c r="C11" s="11" t="s">
        <v>49</v>
      </c>
      <c r="D11" s="11" t="s">
        <v>58</v>
      </c>
      <c r="E11" s="11" t="s">
        <v>39</v>
      </c>
      <c r="F11" s="11" t="s">
        <v>40</v>
      </c>
      <c r="G11" s="11" t="s">
        <v>45</v>
      </c>
      <c r="H11" s="11" t="s">
        <v>67</v>
      </c>
      <c r="I11" s="11" t="s">
        <v>68</v>
      </c>
      <c r="J11" s="11">
        <v>29.0</v>
      </c>
      <c r="K11" s="12"/>
      <c r="L11" s="11"/>
      <c r="M11" s="11">
        <v>656731.0</v>
      </c>
      <c r="N11" s="11">
        <v>21318.0</v>
      </c>
      <c r="O11" s="13" t="s">
        <v>69</v>
      </c>
      <c r="P11" s="11">
        <v>0.0</v>
      </c>
      <c r="Q11" s="14">
        <v>0.0</v>
      </c>
      <c r="R11" s="11">
        <v>1.0</v>
      </c>
      <c r="S11">
        <f t="shared" si="1"/>
        <v>2025</v>
      </c>
      <c r="T11">
        <f t="shared" si="2"/>
        <v>9</v>
      </c>
      <c r="U11">
        <f t="shared" si="3"/>
        <v>22</v>
      </c>
      <c r="AG11" s="15"/>
      <c r="AH11" s="16"/>
      <c r="AM11" s="15"/>
      <c r="AN11" s="16"/>
    </row>
    <row r="12">
      <c r="A12" s="9" t="s">
        <v>70</v>
      </c>
      <c r="B12" s="10">
        <v>45909.0</v>
      </c>
      <c r="C12" s="11" t="s">
        <v>49</v>
      </c>
      <c r="D12" s="11" t="s">
        <v>38</v>
      </c>
      <c r="E12" s="11" t="s">
        <v>39</v>
      </c>
      <c r="F12" s="11" t="s">
        <v>40</v>
      </c>
      <c r="G12" s="11" t="s">
        <v>41</v>
      </c>
      <c r="H12" s="11"/>
      <c r="I12" s="11"/>
      <c r="J12" s="11">
        <v>32.0</v>
      </c>
      <c r="K12" s="12"/>
      <c r="L12" s="11"/>
      <c r="M12" s="11">
        <v>593423.0</v>
      </c>
      <c r="N12" s="11">
        <v>14309.0</v>
      </c>
      <c r="O12" s="13"/>
      <c r="P12" s="11">
        <v>0.0</v>
      </c>
      <c r="Q12" s="14">
        <v>0.0</v>
      </c>
      <c r="R12" s="11">
        <v>1.0</v>
      </c>
      <c r="S12">
        <f t="shared" si="1"/>
        <v>2025</v>
      </c>
      <c r="T12">
        <f t="shared" si="2"/>
        <v>9</v>
      </c>
      <c r="U12">
        <f t="shared" si="3"/>
        <v>9</v>
      </c>
      <c r="AG12" s="15"/>
      <c r="AH12" s="16"/>
      <c r="AM12" s="15"/>
      <c r="AN12" s="16"/>
    </row>
    <row r="13">
      <c r="A13" s="9" t="s">
        <v>71</v>
      </c>
      <c r="B13" s="10">
        <v>45875.0</v>
      </c>
      <c r="C13" s="11" t="s">
        <v>72</v>
      </c>
      <c r="D13" s="11" t="s">
        <v>58</v>
      </c>
      <c r="E13" s="11" t="s">
        <v>39</v>
      </c>
      <c r="F13" s="11" t="s">
        <v>40</v>
      </c>
      <c r="G13" s="11" t="s">
        <v>45</v>
      </c>
      <c r="H13" s="11" t="s">
        <v>73</v>
      </c>
      <c r="I13" s="11" t="s">
        <v>74</v>
      </c>
      <c r="J13" s="11">
        <v>29.0</v>
      </c>
      <c r="K13" s="12"/>
      <c r="L13" s="11"/>
      <c r="M13" s="11">
        <v>656557.0</v>
      </c>
      <c r="N13" s="11">
        <v>19879.0</v>
      </c>
      <c r="O13" s="13" t="s">
        <v>42</v>
      </c>
      <c r="P13" s="11">
        <v>0.0</v>
      </c>
      <c r="Q13" s="14">
        <v>0.0</v>
      </c>
      <c r="R13" s="11">
        <v>1.0</v>
      </c>
      <c r="S13">
        <f t="shared" si="1"/>
        <v>2025</v>
      </c>
      <c r="T13">
        <f t="shared" si="2"/>
        <v>8</v>
      </c>
      <c r="U13">
        <f t="shared" si="3"/>
        <v>6</v>
      </c>
      <c r="AG13" s="15"/>
      <c r="AH13" s="16"/>
      <c r="AM13" s="15"/>
      <c r="AN13" s="16"/>
    </row>
    <row r="14">
      <c r="A14" s="9" t="s">
        <v>75</v>
      </c>
      <c r="B14" s="10">
        <v>45870.0</v>
      </c>
      <c r="C14" s="11" t="s">
        <v>76</v>
      </c>
      <c r="D14" s="11" t="s">
        <v>77</v>
      </c>
      <c r="E14" s="11" t="s">
        <v>39</v>
      </c>
      <c r="F14" s="11" t="s">
        <v>40</v>
      </c>
      <c r="G14" s="11" t="s">
        <v>45</v>
      </c>
      <c r="H14" s="11" t="s">
        <v>73</v>
      </c>
      <c r="I14" s="11" t="s">
        <v>78</v>
      </c>
      <c r="J14" s="11">
        <v>25.0</v>
      </c>
      <c r="K14" s="12"/>
      <c r="L14" s="11"/>
      <c r="M14" s="11">
        <v>701603.0</v>
      </c>
      <c r="N14" s="11" t="s">
        <v>79</v>
      </c>
      <c r="O14" s="13"/>
      <c r="P14" s="11">
        <v>0.0</v>
      </c>
      <c r="Q14" s="14">
        <v>0.0</v>
      </c>
      <c r="R14" s="11">
        <v>1.0</v>
      </c>
      <c r="S14">
        <f t="shared" si="1"/>
        <v>2025</v>
      </c>
      <c r="T14">
        <f t="shared" si="2"/>
        <v>8</v>
      </c>
      <c r="U14">
        <f t="shared" si="3"/>
        <v>1</v>
      </c>
      <c r="AG14" s="15"/>
      <c r="AH14" s="16"/>
      <c r="AM14" s="15"/>
      <c r="AN14" s="16"/>
    </row>
    <row r="15">
      <c r="A15" s="9" t="s">
        <v>80</v>
      </c>
      <c r="B15" s="10">
        <v>45870.0</v>
      </c>
      <c r="C15" s="11" t="s">
        <v>76</v>
      </c>
      <c r="D15" s="11" t="s">
        <v>77</v>
      </c>
      <c r="E15" s="11" t="s">
        <v>39</v>
      </c>
      <c r="F15" s="11" t="s">
        <v>40</v>
      </c>
      <c r="G15" s="11" t="s">
        <v>45</v>
      </c>
      <c r="H15" s="11" t="s">
        <v>56</v>
      </c>
      <c r="I15" s="11"/>
      <c r="J15" s="11">
        <v>21.0</v>
      </c>
      <c r="K15" s="12"/>
      <c r="L15" s="11"/>
      <c r="M15" s="11">
        <v>805809.0</v>
      </c>
      <c r="N15" s="11" t="s">
        <v>81</v>
      </c>
      <c r="O15" s="13"/>
      <c r="P15" s="11">
        <v>0.0</v>
      </c>
      <c r="Q15" s="14">
        <v>0.0</v>
      </c>
      <c r="R15" s="11">
        <v>1.0</v>
      </c>
      <c r="S15">
        <f t="shared" si="1"/>
        <v>2025</v>
      </c>
      <c r="T15">
        <f t="shared" si="2"/>
        <v>8</v>
      </c>
      <c r="U15">
        <f t="shared" si="3"/>
        <v>1</v>
      </c>
      <c r="AG15" s="15"/>
      <c r="AH15" s="16"/>
      <c r="AM15" s="15"/>
      <c r="AN15" s="16"/>
    </row>
    <row r="16">
      <c r="A16" s="9" t="s">
        <v>82</v>
      </c>
      <c r="B16" s="10">
        <v>45863.0</v>
      </c>
      <c r="C16" s="11" t="s">
        <v>83</v>
      </c>
      <c r="D16" s="11" t="s">
        <v>58</v>
      </c>
      <c r="E16" s="11" t="s">
        <v>39</v>
      </c>
      <c r="F16" s="11" t="s">
        <v>40</v>
      </c>
      <c r="G16" s="11" t="s">
        <v>45</v>
      </c>
      <c r="H16" s="11" t="s">
        <v>84</v>
      </c>
      <c r="I16" s="11"/>
      <c r="J16" s="11">
        <v>23.0</v>
      </c>
      <c r="K16" s="12"/>
      <c r="L16" s="11"/>
      <c r="M16" s="11">
        <v>694358.0</v>
      </c>
      <c r="N16" s="11" t="s">
        <v>85</v>
      </c>
      <c r="O16" s="13"/>
      <c r="P16" s="11">
        <v>0.0</v>
      </c>
      <c r="Q16" s="14">
        <v>0.0</v>
      </c>
      <c r="R16" s="11">
        <v>1.0</v>
      </c>
      <c r="S16">
        <f t="shared" si="1"/>
        <v>2025</v>
      </c>
      <c r="T16">
        <f t="shared" si="2"/>
        <v>7</v>
      </c>
      <c r="U16">
        <f t="shared" si="3"/>
        <v>25</v>
      </c>
      <c r="AG16" s="15"/>
      <c r="AH16" s="16"/>
      <c r="AM16" s="15"/>
      <c r="AN16" s="16"/>
    </row>
    <row r="17">
      <c r="A17" s="9" t="s">
        <v>86</v>
      </c>
      <c r="B17" s="10">
        <v>45852.0</v>
      </c>
      <c r="C17" s="11" t="s">
        <v>49</v>
      </c>
      <c r="D17" s="11" t="s">
        <v>38</v>
      </c>
      <c r="E17" s="11" t="s">
        <v>39</v>
      </c>
      <c r="F17" s="11" t="s">
        <v>40</v>
      </c>
      <c r="G17" s="11" t="s">
        <v>41</v>
      </c>
      <c r="H17" s="11"/>
      <c r="I17" s="11"/>
      <c r="J17" s="11">
        <v>29.0</v>
      </c>
      <c r="K17" s="12"/>
      <c r="L17" s="11"/>
      <c r="M17" s="11">
        <v>673380.0</v>
      </c>
      <c r="N17" s="11">
        <v>23055.0</v>
      </c>
      <c r="O17" s="13" t="s">
        <v>42</v>
      </c>
      <c r="P17" s="11">
        <v>0.0</v>
      </c>
      <c r="Q17" s="14">
        <v>0.0</v>
      </c>
      <c r="R17" s="11">
        <v>1.0</v>
      </c>
      <c r="S17">
        <f t="shared" si="1"/>
        <v>2025</v>
      </c>
      <c r="T17">
        <f t="shared" si="2"/>
        <v>7</v>
      </c>
      <c r="U17">
        <f t="shared" si="3"/>
        <v>14</v>
      </c>
      <c r="AG17" s="15"/>
      <c r="AH17" s="16"/>
      <c r="AM17" s="15"/>
      <c r="AN17" s="16"/>
    </row>
    <row r="18">
      <c r="A18" s="9" t="s">
        <v>87</v>
      </c>
      <c r="B18" s="10">
        <v>45839.0</v>
      </c>
      <c r="C18" s="11" t="s">
        <v>72</v>
      </c>
      <c r="D18" s="11" t="s">
        <v>88</v>
      </c>
      <c r="E18" s="11" t="s">
        <v>39</v>
      </c>
      <c r="F18" s="11" t="s">
        <v>40</v>
      </c>
      <c r="G18" s="11" t="s">
        <v>45</v>
      </c>
      <c r="H18" s="11" t="s">
        <v>89</v>
      </c>
      <c r="I18" s="11" t="s">
        <v>90</v>
      </c>
      <c r="J18" s="11">
        <v>24.0</v>
      </c>
      <c r="K18" s="12"/>
      <c r="L18" s="11"/>
      <c r="M18" s="11">
        <v>808820.0</v>
      </c>
      <c r="N18" s="11" t="s">
        <v>91</v>
      </c>
      <c r="O18" s="13"/>
      <c r="P18" s="11">
        <v>0.0</v>
      </c>
      <c r="Q18" s="14">
        <v>0.0</v>
      </c>
      <c r="R18" s="11">
        <v>1.0</v>
      </c>
      <c r="S18">
        <f t="shared" si="1"/>
        <v>2025</v>
      </c>
      <c r="T18">
        <f t="shared" si="2"/>
        <v>7</v>
      </c>
      <c r="U18">
        <f t="shared" si="3"/>
        <v>1</v>
      </c>
      <c r="AG18" s="15"/>
      <c r="AH18" s="16"/>
      <c r="AM18" s="15"/>
      <c r="AN18" s="16"/>
    </row>
    <row r="19">
      <c r="A19" s="13" t="s">
        <v>92</v>
      </c>
      <c r="B19" s="17">
        <v>45839.0</v>
      </c>
      <c r="C19" s="11" t="s">
        <v>49</v>
      </c>
      <c r="D19" s="11" t="s">
        <v>93</v>
      </c>
      <c r="E19" s="11" t="s">
        <v>39</v>
      </c>
      <c r="F19" s="11" t="s">
        <v>40</v>
      </c>
      <c r="G19" s="11" t="s">
        <v>45</v>
      </c>
      <c r="H19" s="11" t="s">
        <v>84</v>
      </c>
      <c r="I19" s="11" t="s">
        <v>94</v>
      </c>
      <c r="J19" s="11">
        <v>21.0</v>
      </c>
      <c r="K19" s="12"/>
      <c r="L19" s="11"/>
      <c r="M19" s="11">
        <v>807290.0</v>
      </c>
      <c r="N19" s="11" t="s">
        <v>95</v>
      </c>
      <c r="O19" s="13"/>
      <c r="P19" s="11">
        <v>0.0</v>
      </c>
      <c r="Q19" s="14">
        <v>0.0</v>
      </c>
      <c r="R19" s="11">
        <v>1.0</v>
      </c>
      <c r="S19">
        <f t="shared" si="1"/>
        <v>2025</v>
      </c>
      <c r="T19">
        <f t="shared" si="2"/>
        <v>7</v>
      </c>
      <c r="U19">
        <f t="shared" si="3"/>
        <v>1</v>
      </c>
      <c r="AG19" s="15"/>
      <c r="AH19" s="16"/>
      <c r="AM19" s="15"/>
      <c r="AN19" s="16"/>
    </row>
    <row r="20">
      <c r="A20" s="9" t="s">
        <v>96</v>
      </c>
      <c r="B20" s="10">
        <v>45838.0</v>
      </c>
      <c r="C20" s="11" t="s">
        <v>72</v>
      </c>
      <c r="D20" s="11" t="s">
        <v>97</v>
      </c>
      <c r="E20" s="11" t="s">
        <v>39</v>
      </c>
      <c r="F20" s="11" t="s">
        <v>40</v>
      </c>
      <c r="G20" s="11" t="s">
        <v>45</v>
      </c>
      <c r="H20" s="11" t="s">
        <v>56</v>
      </c>
      <c r="I20" s="11" t="s">
        <v>98</v>
      </c>
      <c r="J20" s="11">
        <v>24.0</v>
      </c>
      <c r="K20" s="12"/>
      <c r="L20" s="11"/>
      <c r="M20" s="11">
        <v>815064.0</v>
      </c>
      <c r="N20" s="11" t="s">
        <v>99</v>
      </c>
      <c r="O20" s="13"/>
      <c r="P20" s="11">
        <v>0.0</v>
      </c>
      <c r="Q20" s="14">
        <v>0.0</v>
      </c>
      <c r="R20" s="11">
        <v>1.0</v>
      </c>
      <c r="S20">
        <f t="shared" si="1"/>
        <v>2025</v>
      </c>
      <c r="T20">
        <f t="shared" si="2"/>
        <v>6</v>
      </c>
      <c r="U20">
        <f t="shared" si="3"/>
        <v>30</v>
      </c>
      <c r="AG20" s="15"/>
      <c r="AH20" s="16"/>
      <c r="AM20" s="15"/>
      <c r="AN20" s="16"/>
    </row>
    <row r="21">
      <c r="A21" s="9" t="s">
        <v>100</v>
      </c>
      <c r="B21" s="10">
        <v>45833.0</v>
      </c>
      <c r="C21" s="11" t="s">
        <v>101</v>
      </c>
      <c r="D21" s="11" t="s">
        <v>38</v>
      </c>
      <c r="E21" s="11" t="s">
        <v>39</v>
      </c>
      <c r="F21" s="11" t="s">
        <v>40</v>
      </c>
      <c r="G21" s="11" t="s">
        <v>41</v>
      </c>
      <c r="H21" s="11"/>
      <c r="I21" s="11"/>
      <c r="J21" s="11">
        <v>23.0</v>
      </c>
      <c r="K21" s="12"/>
      <c r="L21" s="11"/>
      <c r="M21" s="11">
        <v>679885.0</v>
      </c>
      <c r="N21" s="11">
        <v>24453.0</v>
      </c>
      <c r="O21" s="13" t="s">
        <v>42</v>
      </c>
      <c r="P21" s="11">
        <v>0.0</v>
      </c>
      <c r="Q21" s="14">
        <v>0.0</v>
      </c>
      <c r="R21" s="11">
        <v>1.0</v>
      </c>
      <c r="S21">
        <f t="shared" si="1"/>
        <v>2025</v>
      </c>
      <c r="T21">
        <f t="shared" si="2"/>
        <v>6</v>
      </c>
      <c r="U21">
        <f t="shared" si="3"/>
        <v>25</v>
      </c>
      <c r="AG21" s="15"/>
      <c r="AH21" s="16"/>
      <c r="AM21" s="15"/>
      <c r="AN21" s="16"/>
    </row>
    <row r="22">
      <c r="A22" s="9" t="s">
        <v>102</v>
      </c>
      <c r="B22" s="10">
        <v>45833.0</v>
      </c>
      <c r="C22" s="11" t="s">
        <v>103</v>
      </c>
      <c r="D22" s="11" t="s">
        <v>58</v>
      </c>
      <c r="E22" s="11" t="s">
        <v>104</v>
      </c>
      <c r="F22" s="11" t="s">
        <v>40</v>
      </c>
      <c r="G22" s="11" t="s">
        <v>105</v>
      </c>
      <c r="H22" s="11"/>
      <c r="I22" s="11"/>
      <c r="J22" s="11">
        <v>25.0</v>
      </c>
      <c r="K22" s="12"/>
      <c r="L22" s="11"/>
      <c r="M22" s="11">
        <v>665856.0</v>
      </c>
      <c r="N22" s="11">
        <v>21730.0</v>
      </c>
      <c r="O22" s="13" t="s">
        <v>106</v>
      </c>
      <c r="P22" s="11">
        <v>0.0</v>
      </c>
      <c r="Q22" s="14">
        <v>0.0</v>
      </c>
      <c r="R22" s="11">
        <v>1.0</v>
      </c>
      <c r="S22">
        <f t="shared" si="1"/>
        <v>2025</v>
      </c>
      <c r="T22">
        <f t="shared" si="2"/>
        <v>6</v>
      </c>
      <c r="U22">
        <f t="shared" si="3"/>
        <v>25</v>
      </c>
      <c r="AG22" s="15"/>
      <c r="AH22" s="16"/>
      <c r="AM22" s="15"/>
      <c r="AN22" s="16"/>
    </row>
    <row r="23">
      <c r="A23" s="9" t="s">
        <v>107</v>
      </c>
      <c r="B23" s="10">
        <v>45826.0</v>
      </c>
      <c r="C23" s="11" t="s">
        <v>108</v>
      </c>
      <c r="D23" s="11" t="s">
        <v>88</v>
      </c>
      <c r="E23" s="11" t="s">
        <v>39</v>
      </c>
      <c r="F23" s="11" t="s">
        <v>40</v>
      </c>
      <c r="G23" s="11" t="s">
        <v>45</v>
      </c>
      <c r="H23" s="11" t="s">
        <v>73</v>
      </c>
      <c r="I23" s="11" t="s">
        <v>109</v>
      </c>
      <c r="J23" s="11">
        <v>30.0</v>
      </c>
      <c r="K23" s="12"/>
      <c r="L23" s="11"/>
      <c r="M23" s="11">
        <v>664776.0</v>
      </c>
      <c r="N23" s="11">
        <v>21620.0</v>
      </c>
      <c r="O23" s="13" t="s">
        <v>42</v>
      </c>
      <c r="P23" s="11">
        <v>0.0</v>
      </c>
      <c r="Q23" s="14">
        <v>0.0</v>
      </c>
      <c r="R23" s="11">
        <v>1.0</v>
      </c>
      <c r="S23">
        <f t="shared" si="1"/>
        <v>2025</v>
      </c>
      <c r="T23">
        <f t="shared" si="2"/>
        <v>6</v>
      </c>
      <c r="U23">
        <f t="shared" si="3"/>
        <v>18</v>
      </c>
      <c r="AG23" s="15"/>
      <c r="AH23" s="16"/>
      <c r="AM23" s="15"/>
      <c r="AN23" s="16"/>
    </row>
    <row r="24">
      <c r="A24" s="9" t="s">
        <v>110</v>
      </c>
      <c r="B24" s="10">
        <v>45824.0</v>
      </c>
      <c r="C24" s="11" t="s">
        <v>111</v>
      </c>
      <c r="D24" s="11" t="s">
        <v>38</v>
      </c>
      <c r="E24" s="11" t="s">
        <v>39</v>
      </c>
      <c r="F24" s="11" t="s">
        <v>40</v>
      </c>
      <c r="G24" s="11" t="s">
        <v>45</v>
      </c>
      <c r="H24" s="11" t="s">
        <v>112</v>
      </c>
      <c r="I24" s="11"/>
      <c r="J24" s="11">
        <v>22.0</v>
      </c>
      <c r="K24" s="12"/>
      <c r="L24" s="11"/>
      <c r="M24" s="11">
        <v>695549.0</v>
      </c>
      <c r="N24" s="11">
        <v>30203.0</v>
      </c>
      <c r="O24" s="13" t="s">
        <v>42</v>
      </c>
      <c r="P24" s="11">
        <v>0.0</v>
      </c>
      <c r="Q24" s="14">
        <v>0.0</v>
      </c>
      <c r="R24" s="11">
        <v>1.0</v>
      </c>
      <c r="S24">
        <f t="shared" si="1"/>
        <v>2025</v>
      </c>
      <c r="T24">
        <f t="shared" si="2"/>
        <v>6</v>
      </c>
      <c r="U24">
        <f t="shared" si="3"/>
        <v>16</v>
      </c>
      <c r="AG24" s="15"/>
      <c r="AH24" s="16"/>
      <c r="AM24" s="15"/>
      <c r="AN24" s="16"/>
    </row>
    <row r="25">
      <c r="A25" s="9" t="s">
        <v>113</v>
      </c>
      <c r="B25" s="10">
        <v>45819.0</v>
      </c>
      <c r="C25" s="11" t="s">
        <v>101</v>
      </c>
      <c r="D25" s="11" t="s">
        <v>38</v>
      </c>
      <c r="E25" s="11" t="s">
        <v>39</v>
      </c>
      <c r="F25" s="11" t="s">
        <v>40</v>
      </c>
      <c r="G25" s="11" t="s">
        <v>45</v>
      </c>
      <c r="H25" s="11" t="s">
        <v>67</v>
      </c>
      <c r="I25" s="11" t="s">
        <v>114</v>
      </c>
      <c r="J25" s="11">
        <v>30.0</v>
      </c>
      <c r="K25" s="12"/>
      <c r="L25" s="11"/>
      <c r="M25" s="11">
        <v>669203.0</v>
      </c>
      <c r="N25" s="11">
        <v>19361.0</v>
      </c>
      <c r="O25" s="13" t="s">
        <v>69</v>
      </c>
      <c r="P25" s="11">
        <v>0.0</v>
      </c>
      <c r="Q25" s="14">
        <v>0.0</v>
      </c>
      <c r="R25" s="11">
        <v>1.0</v>
      </c>
      <c r="S25">
        <f t="shared" si="1"/>
        <v>2025</v>
      </c>
      <c r="T25">
        <f t="shared" si="2"/>
        <v>6</v>
      </c>
      <c r="U25">
        <f t="shared" si="3"/>
        <v>11</v>
      </c>
      <c r="AG25" s="15"/>
      <c r="AH25" s="16"/>
      <c r="AM25" s="15"/>
      <c r="AN25" s="16"/>
    </row>
    <row r="26">
      <c r="A26" s="9" t="s">
        <v>115</v>
      </c>
      <c r="B26" s="10">
        <v>45817.0</v>
      </c>
      <c r="C26" s="11" t="s">
        <v>116</v>
      </c>
      <c r="D26" s="11" t="s">
        <v>38</v>
      </c>
      <c r="E26" s="11" t="s">
        <v>39</v>
      </c>
      <c r="F26" s="11" t="s">
        <v>40</v>
      </c>
      <c r="G26" s="11" t="s">
        <v>45</v>
      </c>
      <c r="H26" s="11" t="s">
        <v>56</v>
      </c>
      <c r="I26" s="11"/>
      <c r="J26" s="11">
        <v>22.0</v>
      </c>
      <c r="K26" s="12"/>
      <c r="L26" s="11"/>
      <c r="M26" s="11">
        <v>700363.0</v>
      </c>
      <c r="N26" s="11">
        <v>29960.0</v>
      </c>
      <c r="O26" s="13" t="s">
        <v>42</v>
      </c>
      <c r="P26" s="11">
        <v>0.0</v>
      </c>
      <c r="Q26" s="14">
        <v>0.0</v>
      </c>
      <c r="R26" s="11">
        <v>1.0</v>
      </c>
      <c r="S26">
        <f t="shared" si="1"/>
        <v>2025</v>
      </c>
      <c r="T26">
        <f t="shared" si="2"/>
        <v>6</v>
      </c>
      <c r="U26">
        <f t="shared" si="3"/>
        <v>9</v>
      </c>
      <c r="AG26" s="15"/>
      <c r="AH26" s="16"/>
      <c r="AM26" s="15"/>
      <c r="AN26" s="16"/>
    </row>
    <row r="27">
      <c r="A27" s="9" t="s">
        <v>117</v>
      </c>
      <c r="B27" s="10">
        <v>45817.0</v>
      </c>
      <c r="C27" s="11" t="s">
        <v>44</v>
      </c>
      <c r="D27" s="11" t="s">
        <v>38</v>
      </c>
      <c r="E27" s="11" t="s">
        <v>118</v>
      </c>
      <c r="F27" s="11" t="s">
        <v>64</v>
      </c>
      <c r="G27" s="11" t="s">
        <v>45</v>
      </c>
      <c r="H27" s="11" t="s">
        <v>119</v>
      </c>
      <c r="I27" s="11" t="s">
        <v>120</v>
      </c>
      <c r="J27" s="11">
        <v>27.0</v>
      </c>
      <c r="K27" s="12"/>
      <c r="L27" s="11"/>
      <c r="M27" s="11">
        <v>686823.0</v>
      </c>
      <c r="N27" s="11">
        <v>25660.0</v>
      </c>
      <c r="O27" s="13" t="s">
        <v>42</v>
      </c>
      <c r="P27" s="11">
        <v>0.0</v>
      </c>
      <c r="Q27" s="14">
        <v>0.0</v>
      </c>
      <c r="R27" s="11">
        <v>1.0</v>
      </c>
      <c r="S27">
        <f t="shared" si="1"/>
        <v>2025</v>
      </c>
      <c r="T27">
        <f t="shared" si="2"/>
        <v>6</v>
      </c>
      <c r="U27">
        <f t="shared" si="3"/>
        <v>9</v>
      </c>
      <c r="AA27" s="17">
        <v>45904.0</v>
      </c>
      <c r="AB27" s="13" t="s">
        <v>121</v>
      </c>
      <c r="AG27" s="15"/>
      <c r="AH27" s="16"/>
      <c r="AM27" s="15"/>
      <c r="AN27" s="16"/>
    </row>
    <row r="28">
      <c r="A28" s="9" t="s">
        <v>122</v>
      </c>
      <c r="B28" s="10">
        <v>45814.0</v>
      </c>
      <c r="C28" s="11" t="s">
        <v>52</v>
      </c>
      <c r="D28" s="11" t="s">
        <v>38</v>
      </c>
      <c r="E28" s="11" t="s">
        <v>39</v>
      </c>
      <c r="F28" s="11" t="s">
        <v>40</v>
      </c>
      <c r="G28" s="11" t="s">
        <v>41</v>
      </c>
      <c r="H28" s="11"/>
      <c r="I28" s="11"/>
      <c r="J28" s="11">
        <v>31.0</v>
      </c>
      <c r="K28" s="12"/>
      <c r="L28" s="11"/>
      <c r="M28" s="11">
        <v>669854.0</v>
      </c>
      <c r="N28" s="11">
        <v>19407.0</v>
      </c>
      <c r="O28" s="13"/>
      <c r="P28" s="11">
        <v>0.0</v>
      </c>
      <c r="Q28" s="14">
        <v>0.0</v>
      </c>
      <c r="R28" s="11">
        <v>1.0</v>
      </c>
      <c r="S28">
        <f t="shared" si="1"/>
        <v>2025</v>
      </c>
      <c r="T28">
        <f t="shared" si="2"/>
        <v>6</v>
      </c>
      <c r="U28">
        <f t="shared" si="3"/>
        <v>6</v>
      </c>
      <c r="AG28" s="15"/>
      <c r="AH28" s="16"/>
      <c r="AM28" s="15"/>
      <c r="AN28" s="16"/>
    </row>
    <row r="29">
      <c r="A29" s="9" t="s">
        <v>123</v>
      </c>
      <c r="B29" s="10">
        <v>45812.0</v>
      </c>
      <c r="C29" s="11" t="s">
        <v>44</v>
      </c>
      <c r="D29" s="11" t="s">
        <v>38</v>
      </c>
      <c r="E29" s="11" t="s">
        <v>39</v>
      </c>
      <c r="F29" s="11" t="s">
        <v>40</v>
      </c>
      <c r="G29" s="11" t="s">
        <v>45</v>
      </c>
      <c r="H29" s="11" t="s">
        <v>84</v>
      </c>
      <c r="I29" s="11" t="s">
        <v>124</v>
      </c>
      <c r="J29" s="11">
        <v>33.0</v>
      </c>
      <c r="K29" s="12"/>
      <c r="L29" s="11"/>
      <c r="M29" s="11">
        <v>594902.0</v>
      </c>
      <c r="N29" s="11">
        <v>14932.0</v>
      </c>
      <c r="O29" s="13" t="s">
        <v>42</v>
      </c>
      <c r="P29" s="11">
        <v>0.0</v>
      </c>
      <c r="Q29" s="14">
        <v>0.0</v>
      </c>
      <c r="R29" s="11">
        <v>1.0</v>
      </c>
      <c r="S29">
        <f t="shared" si="1"/>
        <v>2025</v>
      </c>
      <c r="T29">
        <f t="shared" si="2"/>
        <v>6</v>
      </c>
      <c r="U29">
        <f t="shared" si="3"/>
        <v>4</v>
      </c>
      <c r="AG29" s="15"/>
      <c r="AH29" s="16"/>
      <c r="AM29" s="15"/>
      <c r="AN29" s="16"/>
    </row>
    <row r="30">
      <c r="A30" s="9" t="s">
        <v>125</v>
      </c>
      <c r="B30" s="10">
        <v>45812.0</v>
      </c>
      <c r="C30" s="11" t="s">
        <v>126</v>
      </c>
      <c r="D30" s="11" t="s">
        <v>38</v>
      </c>
      <c r="E30" s="11" t="s">
        <v>39</v>
      </c>
      <c r="F30" s="11" t="s">
        <v>40</v>
      </c>
      <c r="G30" s="11" t="s">
        <v>45</v>
      </c>
      <c r="H30" s="11" t="s">
        <v>127</v>
      </c>
      <c r="I30" s="11" t="s">
        <v>127</v>
      </c>
      <c r="J30" s="11">
        <v>30.0</v>
      </c>
      <c r="K30" s="12"/>
      <c r="L30" s="11"/>
      <c r="M30" s="11">
        <v>623465.0</v>
      </c>
      <c r="N30" s="11">
        <v>17734.0</v>
      </c>
      <c r="O30" s="13" t="s">
        <v>69</v>
      </c>
      <c r="P30" s="11">
        <v>0.0</v>
      </c>
      <c r="Q30" s="14">
        <v>0.0</v>
      </c>
      <c r="R30" s="11">
        <v>1.0</v>
      </c>
      <c r="S30">
        <f t="shared" si="1"/>
        <v>2025</v>
      </c>
      <c r="T30">
        <f t="shared" si="2"/>
        <v>6</v>
      </c>
      <c r="U30">
        <f t="shared" si="3"/>
        <v>4</v>
      </c>
      <c r="AG30" s="15"/>
      <c r="AH30" s="16"/>
      <c r="AM30" s="15"/>
      <c r="AN30" s="16"/>
    </row>
    <row r="31">
      <c r="A31" s="9" t="s">
        <v>128</v>
      </c>
      <c r="B31" s="10">
        <v>45809.0</v>
      </c>
      <c r="C31" s="11" t="s">
        <v>101</v>
      </c>
      <c r="D31" s="11" t="s">
        <v>38</v>
      </c>
      <c r="E31" s="11" t="s">
        <v>39</v>
      </c>
      <c r="F31" s="11" t="s">
        <v>64</v>
      </c>
      <c r="G31" s="11" t="s">
        <v>45</v>
      </c>
      <c r="H31" s="11" t="s">
        <v>129</v>
      </c>
      <c r="I31" s="11" t="s">
        <v>129</v>
      </c>
      <c r="J31" s="11">
        <v>27.0</v>
      </c>
      <c r="K31" s="12"/>
      <c r="L31" s="11"/>
      <c r="M31" s="11">
        <v>674072.0</v>
      </c>
      <c r="N31" s="11">
        <v>26285.0</v>
      </c>
      <c r="P31" s="11">
        <v>0.0</v>
      </c>
      <c r="Q31" s="14">
        <v>0.0</v>
      </c>
      <c r="R31" s="11">
        <v>1.0</v>
      </c>
      <c r="S31">
        <f t="shared" si="1"/>
        <v>2025</v>
      </c>
      <c r="T31">
        <f t="shared" si="2"/>
        <v>6</v>
      </c>
      <c r="U31">
        <f t="shared" si="3"/>
        <v>1</v>
      </c>
      <c r="AG31" s="15"/>
      <c r="AH31" s="16"/>
      <c r="AM31" s="15"/>
      <c r="AN31" s="16"/>
    </row>
    <row r="32">
      <c r="A32" s="9" t="s">
        <v>130</v>
      </c>
      <c r="B32" s="10">
        <v>45809.0</v>
      </c>
      <c r="C32" s="11" t="s">
        <v>72</v>
      </c>
      <c r="D32" s="11" t="s">
        <v>77</v>
      </c>
      <c r="E32" s="11" t="s">
        <v>39</v>
      </c>
      <c r="F32" s="11" t="s">
        <v>40</v>
      </c>
      <c r="G32" s="11" t="s">
        <v>41</v>
      </c>
      <c r="H32" s="11"/>
      <c r="I32" s="11"/>
      <c r="J32" s="11">
        <v>22.0</v>
      </c>
      <c r="K32" s="12"/>
      <c r="L32" s="11"/>
      <c r="M32" s="11">
        <v>694057.0</v>
      </c>
      <c r="N32" s="11" t="s">
        <v>131</v>
      </c>
      <c r="O32" s="13"/>
      <c r="P32" s="11">
        <v>0.0</v>
      </c>
      <c r="Q32" s="14">
        <v>0.0</v>
      </c>
      <c r="R32" s="11">
        <v>1.0</v>
      </c>
      <c r="S32">
        <f t="shared" si="1"/>
        <v>2025</v>
      </c>
      <c r="T32">
        <f t="shared" si="2"/>
        <v>6</v>
      </c>
      <c r="U32">
        <f t="shared" si="3"/>
        <v>1</v>
      </c>
      <c r="AG32" s="15"/>
      <c r="AH32" s="16"/>
      <c r="AM32" s="15"/>
      <c r="AN32" s="16"/>
    </row>
    <row r="33">
      <c r="A33" s="9" t="s">
        <v>132</v>
      </c>
      <c r="B33" s="10">
        <v>45809.0</v>
      </c>
      <c r="C33" s="11" t="s">
        <v>37</v>
      </c>
      <c r="D33" s="11" t="s">
        <v>88</v>
      </c>
      <c r="E33" s="11" t="s">
        <v>39</v>
      </c>
      <c r="F33" s="11" t="s">
        <v>64</v>
      </c>
      <c r="G33" s="11" t="s">
        <v>45</v>
      </c>
      <c r="H33" s="11" t="s">
        <v>73</v>
      </c>
      <c r="I33" s="11" t="s">
        <v>133</v>
      </c>
      <c r="J33" s="11">
        <v>23.0</v>
      </c>
      <c r="K33" s="12"/>
      <c r="L33" s="11"/>
      <c r="M33" s="11">
        <v>801207.0</v>
      </c>
      <c r="N33" s="11" t="s">
        <v>134</v>
      </c>
      <c r="O33" s="13"/>
      <c r="P33" s="11">
        <v>0.0</v>
      </c>
      <c r="Q33" s="14">
        <v>0.0</v>
      </c>
      <c r="R33" s="11">
        <v>1.0</v>
      </c>
      <c r="S33">
        <f t="shared" si="1"/>
        <v>2025</v>
      </c>
      <c r="T33">
        <f t="shared" si="2"/>
        <v>6</v>
      </c>
      <c r="U33">
        <f t="shared" si="3"/>
        <v>1</v>
      </c>
      <c r="AG33" s="15"/>
      <c r="AH33" s="16"/>
      <c r="AM33" s="15"/>
      <c r="AN33" s="16"/>
    </row>
    <row r="34">
      <c r="A34" s="9" t="s">
        <v>135</v>
      </c>
      <c r="B34" s="10">
        <v>45800.0</v>
      </c>
      <c r="C34" s="11" t="s">
        <v>52</v>
      </c>
      <c r="D34" s="11" t="s">
        <v>38</v>
      </c>
      <c r="E34" s="11" t="s">
        <v>39</v>
      </c>
      <c r="F34" s="11" t="s">
        <v>40</v>
      </c>
      <c r="G34" s="11" t="s">
        <v>45</v>
      </c>
      <c r="H34" s="11" t="s">
        <v>56</v>
      </c>
      <c r="I34" s="11" t="s">
        <v>136</v>
      </c>
      <c r="J34" s="11">
        <v>27.0</v>
      </c>
      <c r="K34" s="12"/>
      <c r="L34" s="11"/>
      <c r="M34" s="11">
        <v>669713.0</v>
      </c>
      <c r="N34" s="11">
        <v>27581.0</v>
      </c>
      <c r="O34" s="13"/>
      <c r="P34" s="11">
        <v>0.0</v>
      </c>
      <c r="Q34" s="14">
        <v>0.0</v>
      </c>
      <c r="R34" s="11">
        <v>1.0</v>
      </c>
      <c r="S34">
        <f t="shared" si="1"/>
        <v>2025</v>
      </c>
      <c r="T34">
        <f t="shared" si="2"/>
        <v>5</v>
      </c>
      <c r="U34">
        <f t="shared" si="3"/>
        <v>23</v>
      </c>
      <c r="AG34" s="15"/>
      <c r="AH34" s="16"/>
      <c r="AM34" s="15"/>
      <c r="AN34" s="16"/>
    </row>
    <row r="35">
      <c r="A35" s="9" t="s">
        <v>137</v>
      </c>
      <c r="B35" s="10">
        <v>45791.0</v>
      </c>
      <c r="C35" s="11" t="s">
        <v>138</v>
      </c>
      <c r="D35" s="11" t="s">
        <v>77</v>
      </c>
      <c r="E35" s="11" t="s">
        <v>39</v>
      </c>
      <c r="F35" s="11" t="s">
        <v>40</v>
      </c>
      <c r="G35" s="11" t="s">
        <v>45</v>
      </c>
      <c r="H35" s="11" t="s">
        <v>139</v>
      </c>
      <c r="I35" s="11" t="s">
        <v>140</v>
      </c>
      <c r="J35" s="11">
        <v>23.0</v>
      </c>
      <c r="K35" s="12"/>
      <c r="L35" s="11"/>
      <c r="M35" s="11">
        <v>694345.0</v>
      </c>
      <c r="N35" s="11" t="s">
        <v>141</v>
      </c>
      <c r="O35" s="13" t="s">
        <v>42</v>
      </c>
      <c r="P35" s="11">
        <v>0.0</v>
      </c>
      <c r="Q35" s="14">
        <v>0.0</v>
      </c>
      <c r="R35" s="11">
        <v>1.0</v>
      </c>
      <c r="S35">
        <f t="shared" si="1"/>
        <v>2025</v>
      </c>
      <c r="T35">
        <f t="shared" si="2"/>
        <v>5</v>
      </c>
      <c r="U35">
        <f t="shared" si="3"/>
        <v>14</v>
      </c>
      <c r="AG35" s="15"/>
      <c r="AH35" s="16"/>
      <c r="AM35" s="15"/>
      <c r="AN35" s="16"/>
    </row>
    <row r="36">
      <c r="A36" s="9" t="s">
        <v>142</v>
      </c>
      <c r="B36" s="10">
        <v>45778.0</v>
      </c>
      <c r="C36" s="11" t="s">
        <v>143</v>
      </c>
      <c r="D36" s="11" t="s">
        <v>97</v>
      </c>
      <c r="E36" s="11" t="s">
        <v>118</v>
      </c>
      <c r="F36" s="11" t="s">
        <v>40</v>
      </c>
      <c r="G36" s="11" t="s">
        <v>45</v>
      </c>
      <c r="H36" s="11" t="s">
        <v>59</v>
      </c>
      <c r="I36" s="11" t="s">
        <v>46</v>
      </c>
      <c r="J36" s="11">
        <v>21.0</v>
      </c>
      <c r="K36" s="12"/>
      <c r="L36" s="11"/>
      <c r="M36" s="11">
        <v>695565.0</v>
      </c>
      <c r="N36" s="11" t="s">
        <v>144</v>
      </c>
      <c r="O36" s="13"/>
      <c r="P36" s="11">
        <v>0.0</v>
      </c>
      <c r="Q36" s="14">
        <v>0.0</v>
      </c>
      <c r="R36" s="11">
        <v>1.0</v>
      </c>
      <c r="S36">
        <f t="shared" si="1"/>
        <v>2025</v>
      </c>
      <c r="T36">
        <f t="shared" si="2"/>
        <v>5</v>
      </c>
      <c r="U36">
        <f t="shared" si="3"/>
        <v>1</v>
      </c>
      <c r="AG36" s="15"/>
      <c r="AH36" s="16"/>
      <c r="AM36" s="15"/>
      <c r="AN36" s="16"/>
    </row>
    <row r="37">
      <c r="A37" s="9" t="s">
        <v>145</v>
      </c>
      <c r="B37" s="10">
        <v>45778.0</v>
      </c>
      <c r="C37" s="11" t="s">
        <v>49</v>
      </c>
      <c r="D37" s="11" t="s">
        <v>38</v>
      </c>
      <c r="E37" s="11" t="s">
        <v>39</v>
      </c>
      <c r="F37" s="11" t="s">
        <v>64</v>
      </c>
      <c r="G37" s="11" t="s">
        <v>45</v>
      </c>
      <c r="H37" s="11" t="s">
        <v>84</v>
      </c>
      <c r="I37" s="11" t="s">
        <v>84</v>
      </c>
      <c r="J37" s="11">
        <v>31.0</v>
      </c>
      <c r="K37" s="12"/>
      <c r="L37" s="11"/>
      <c r="M37" s="11">
        <v>664849.0</v>
      </c>
      <c r="N37" s="11">
        <v>18439.0</v>
      </c>
      <c r="O37" s="13"/>
      <c r="P37" s="11">
        <v>0.0</v>
      </c>
      <c r="Q37" s="14">
        <v>0.0</v>
      </c>
      <c r="R37" s="11">
        <v>1.0</v>
      </c>
      <c r="S37">
        <f t="shared" si="1"/>
        <v>2025</v>
      </c>
      <c r="T37">
        <f t="shared" si="2"/>
        <v>5</v>
      </c>
      <c r="U37">
        <f t="shared" si="3"/>
        <v>1</v>
      </c>
      <c r="AG37" s="15"/>
      <c r="AH37" s="16"/>
      <c r="AM37" s="15"/>
      <c r="AN37" s="16"/>
    </row>
    <row r="38">
      <c r="A38" s="9" t="s">
        <v>146</v>
      </c>
      <c r="B38" s="10">
        <v>45778.0</v>
      </c>
      <c r="C38" s="11" t="s">
        <v>108</v>
      </c>
      <c r="D38" s="11" t="s">
        <v>77</v>
      </c>
      <c r="E38" s="11" t="s">
        <v>39</v>
      </c>
      <c r="F38" s="11" t="s">
        <v>64</v>
      </c>
      <c r="G38" s="11" t="s">
        <v>45</v>
      </c>
      <c r="H38" s="11" t="s">
        <v>112</v>
      </c>
      <c r="I38" s="11" t="s">
        <v>147</v>
      </c>
      <c r="J38" s="11">
        <v>27.0</v>
      </c>
      <c r="K38" s="12"/>
      <c r="L38" s="11"/>
      <c r="M38" s="11">
        <v>687607.0</v>
      </c>
      <c r="N38" s="11" t="s">
        <v>148</v>
      </c>
      <c r="O38" s="13"/>
      <c r="P38" s="11">
        <v>0.0</v>
      </c>
      <c r="Q38" s="14">
        <v>0.0</v>
      </c>
      <c r="R38" s="11">
        <v>1.0</v>
      </c>
      <c r="S38">
        <f t="shared" si="1"/>
        <v>2025</v>
      </c>
      <c r="T38">
        <f t="shared" si="2"/>
        <v>5</v>
      </c>
      <c r="U38">
        <f t="shared" si="3"/>
        <v>1</v>
      </c>
      <c r="AG38" s="15"/>
      <c r="AH38" s="16"/>
      <c r="AM38" s="15"/>
      <c r="AN38" s="16"/>
    </row>
    <row r="39">
      <c r="A39" s="9" t="s">
        <v>149</v>
      </c>
      <c r="B39" s="10">
        <v>45778.0</v>
      </c>
      <c r="C39" s="11" t="s">
        <v>150</v>
      </c>
      <c r="D39" s="11" t="s">
        <v>77</v>
      </c>
      <c r="E39" s="11" t="s">
        <v>39</v>
      </c>
      <c r="F39" s="11" t="s">
        <v>40</v>
      </c>
      <c r="G39" s="11" t="s">
        <v>53</v>
      </c>
      <c r="H39" s="11"/>
      <c r="I39" s="11"/>
      <c r="J39" s="11">
        <v>22.0</v>
      </c>
      <c r="K39" s="12"/>
      <c r="L39" s="11"/>
      <c r="M39" s="11">
        <v>691330.0</v>
      </c>
      <c r="N39" s="11" t="s">
        <v>151</v>
      </c>
      <c r="O39" s="13"/>
      <c r="P39" s="11">
        <v>0.0</v>
      </c>
      <c r="Q39" s="14">
        <v>0.0</v>
      </c>
      <c r="R39" s="11">
        <v>1.0</v>
      </c>
      <c r="S39">
        <f t="shared" si="1"/>
        <v>2025</v>
      </c>
      <c r="T39">
        <f t="shared" si="2"/>
        <v>5</v>
      </c>
      <c r="U39">
        <f t="shared" si="3"/>
        <v>1</v>
      </c>
      <c r="AG39" s="15"/>
      <c r="AH39" s="16"/>
      <c r="AM39" s="15"/>
      <c r="AN39" s="16"/>
    </row>
    <row r="40">
      <c r="A40" s="9" t="s">
        <v>152</v>
      </c>
      <c r="B40" s="10">
        <v>45778.0</v>
      </c>
      <c r="C40" s="11" t="s">
        <v>83</v>
      </c>
      <c r="D40" s="11" t="s">
        <v>58</v>
      </c>
      <c r="E40" s="11" t="s">
        <v>39</v>
      </c>
      <c r="F40" s="11" t="s">
        <v>40</v>
      </c>
      <c r="G40" s="11" t="s">
        <v>153</v>
      </c>
      <c r="H40" s="11"/>
      <c r="I40" s="11"/>
      <c r="J40" s="11">
        <v>23.0</v>
      </c>
      <c r="K40" s="12"/>
      <c r="L40" s="11"/>
      <c r="M40" s="11">
        <v>691828.0</v>
      </c>
      <c r="N40" s="11" t="s">
        <v>154</v>
      </c>
      <c r="O40" s="13"/>
      <c r="P40" s="11">
        <v>0.0</v>
      </c>
      <c r="Q40" s="14">
        <v>0.0</v>
      </c>
      <c r="R40" s="11">
        <v>1.0</v>
      </c>
      <c r="S40">
        <f t="shared" si="1"/>
        <v>2025</v>
      </c>
      <c r="T40">
        <f t="shared" si="2"/>
        <v>5</v>
      </c>
      <c r="U40">
        <f t="shared" si="3"/>
        <v>1</v>
      </c>
      <c r="AG40" s="15"/>
      <c r="AH40" s="16"/>
      <c r="AM40" s="15"/>
      <c r="AN40" s="16"/>
    </row>
    <row r="41">
      <c r="A41" s="9" t="s">
        <v>155</v>
      </c>
      <c r="B41" s="10">
        <v>45778.0</v>
      </c>
      <c r="C41" s="11" t="s">
        <v>156</v>
      </c>
      <c r="D41" s="11" t="s">
        <v>77</v>
      </c>
      <c r="E41" s="11" t="s">
        <v>39</v>
      </c>
      <c r="F41" s="11" t="s">
        <v>40</v>
      </c>
      <c r="G41" s="11" t="s">
        <v>53</v>
      </c>
      <c r="H41" s="11"/>
      <c r="I41" s="11"/>
      <c r="J41" s="11">
        <v>24.0</v>
      </c>
      <c r="K41" s="12"/>
      <c r="L41" s="11"/>
      <c r="M41" s="11">
        <v>700287.0</v>
      </c>
      <c r="N41" s="11" t="s">
        <v>157</v>
      </c>
      <c r="O41" s="13"/>
      <c r="P41" s="11">
        <v>0.0</v>
      </c>
      <c r="Q41" s="14">
        <v>0.0</v>
      </c>
      <c r="R41" s="11">
        <v>1.0</v>
      </c>
      <c r="S41">
        <f t="shared" si="1"/>
        <v>2025</v>
      </c>
      <c r="T41">
        <f t="shared" si="2"/>
        <v>5</v>
      </c>
      <c r="U41">
        <f t="shared" si="3"/>
        <v>1</v>
      </c>
      <c r="AG41" s="15"/>
      <c r="AH41" s="16"/>
      <c r="AM41" s="15"/>
      <c r="AN41" s="16"/>
    </row>
    <row r="42">
      <c r="A42" s="13" t="s">
        <v>158</v>
      </c>
      <c r="B42" s="17">
        <v>45778.0</v>
      </c>
      <c r="C42" s="11" t="s">
        <v>156</v>
      </c>
      <c r="D42" s="11" t="s">
        <v>93</v>
      </c>
      <c r="E42" s="11" t="s">
        <v>39</v>
      </c>
      <c r="F42" s="11" t="s">
        <v>40</v>
      </c>
      <c r="G42" s="11" t="s">
        <v>45</v>
      </c>
      <c r="H42" s="11" t="s">
        <v>159</v>
      </c>
      <c r="I42" s="11" t="s">
        <v>159</v>
      </c>
      <c r="J42" s="11">
        <v>23.0</v>
      </c>
      <c r="K42" s="12"/>
      <c r="L42" s="11"/>
      <c r="M42" s="11"/>
      <c r="N42" s="11" t="s">
        <v>160</v>
      </c>
      <c r="O42" s="13"/>
      <c r="P42" s="11">
        <v>0.0</v>
      </c>
      <c r="Q42" s="14">
        <v>0.0</v>
      </c>
      <c r="R42" s="11">
        <v>1.0</v>
      </c>
      <c r="S42">
        <f t="shared" si="1"/>
        <v>2025</v>
      </c>
      <c r="T42">
        <f t="shared" si="2"/>
        <v>5</v>
      </c>
      <c r="U42">
        <f t="shared" si="3"/>
        <v>1</v>
      </c>
      <c r="AG42" s="15"/>
      <c r="AH42" s="16"/>
      <c r="AM42" s="15"/>
      <c r="AN42" s="16"/>
    </row>
    <row r="43">
      <c r="A43" s="13" t="s">
        <v>161</v>
      </c>
      <c r="B43" s="17">
        <v>45770.0</v>
      </c>
      <c r="C43" s="11" t="s">
        <v>162</v>
      </c>
      <c r="D43" s="11" t="s">
        <v>93</v>
      </c>
      <c r="E43" s="11" t="s">
        <v>39</v>
      </c>
      <c r="F43" s="11" t="s">
        <v>40</v>
      </c>
      <c r="G43" s="11" t="s">
        <v>45</v>
      </c>
      <c r="H43" s="11" t="s">
        <v>163</v>
      </c>
      <c r="I43" s="11" t="s">
        <v>164</v>
      </c>
      <c r="J43" s="11">
        <v>20.0</v>
      </c>
      <c r="K43" s="12"/>
      <c r="L43" s="11"/>
      <c r="M43" s="11"/>
      <c r="N43" s="11" t="s">
        <v>165</v>
      </c>
      <c r="O43" s="13"/>
      <c r="P43" s="11">
        <v>0.0</v>
      </c>
      <c r="Q43" s="14">
        <v>0.0</v>
      </c>
      <c r="R43" s="11">
        <v>1.0</v>
      </c>
      <c r="S43">
        <f t="shared" si="1"/>
        <v>2025</v>
      </c>
      <c r="T43">
        <f t="shared" si="2"/>
        <v>4</v>
      </c>
      <c r="U43">
        <f t="shared" si="3"/>
        <v>23</v>
      </c>
      <c r="AG43" s="15"/>
      <c r="AH43" s="16"/>
      <c r="AM43" s="15"/>
      <c r="AN43" s="16"/>
    </row>
    <row r="44">
      <c r="A44" s="9" t="s">
        <v>166</v>
      </c>
      <c r="B44" s="10">
        <v>45765.0</v>
      </c>
      <c r="C44" s="11" t="s">
        <v>167</v>
      </c>
      <c r="D44" s="11" t="s">
        <v>38</v>
      </c>
      <c r="E44" s="11" t="s">
        <v>39</v>
      </c>
      <c r="F44" s="11" t="s">
        <v>64</v>
      </c>
      <c r="G44" s="11" t="s">
        <v>45</v>
      </c>
      <c r="H44" s="11" t="s">
        <v>159</v>
      </c>
      <c r="I44" s="11"/>
      <c r="J44" s="11">
        <v>29.0</v>
      </c>
      <c r="K44" s="12"/>
      <c r="L44" s="11"/>
      <c r="M44" s="11">
        <v>657006.0</v>
      </c>
      <c r="N44" s="11">
        <v>17312.0</v>
      </c>
      <c r="O44" s="13" t="s">
        <v>42</v>
      </c>
      <c r="P44" s="11">
        <v>0.0</v>
      </c>
      <c r="Q44" s="14">
        <v>0.0</v>
      </c>
      <c r="R44" s="11">
        <v>1.0</v>
      </c>
      <c r="S44">
        <f t="shared" si="1"/>
        <v>2025</v>
      </c>
      <c r="T44">
        <f t="shared" si="2"/>
        <v>4</v>
      </c>
      <c r="U44">
        <f t="shared" si="3"/>
        <v>18</v>
      </c>
      <c r="AG44" s="15"/>
      <c r="AH44" s="16"/>
      <c r="AM44" s="15"/>
      <c r="AN44" s="16"/>
    </row>
    <row r="45">
      <c r="A45" s="9" t="s">
        <v>168</v>
      </c>
      <c r="B45" s="10">
        <v>45763.0</v>
      </c>
      <c r="C45" s="11" t="s">
        <v>76</v>
      </c>
      <c r="D45" s="11" t="s">
        <v>38</v>
      </c>
      <c r="E45" s="11" t="s">
        <v>39</v>
      </c>
      <c r="F45" s="11" t="s">
        <v>64</v>
      </c>
      <c r="G45" s="11" t="s">
        <v>45</v>
      </c>
      <c r="H45" s="11" t="s">
        <v>127</v>
      </c>
      <c r="I45" s="11"/>
      <c r="J45" s="11">
        <v>24.0</v>
      </c>
      <c r="K45" s="12"/>
      <c r="L45" s="11"/>
      <c r="M45" s="11">
        <v>687792.0</v>
      </c>
      <c r="N45" s="11">
        <v>26389.0</v>
      </c>
      <c r="O45" s="13" t="s">
        <v>42</v>
      </c>
      <c r="P45" s="11">
        <v>0.0</v>
      </c>
      <c r="Q45" s="14">
        <v>0.0</v>
      </c>
      <c r="R45" s="11">
        <v>1.0</v>
      </c>
      <c r="S45">
        <f t="shared" si="1"/>
        <v>2025</v>
      </c>
      <c r="T45">
        <f t="shared" si="2"/>
        <v>4</v>
      </c>
      <c r="U45">
        <f t="shared" si="3"/>
        <v>16</v>
      </c>
      <c r="AG45" s="15"/>
      <c r="AH45" s="16"/>
      <c r="AM45" s="15"/>
      <c r="AN45" s="16"/>
    </row>
    <row r="46">
      <c r="A46" s="9" t="s">
        <v>169</v>
      </c>
      <c r="B46" s="10">
        <v>45749.0</v>
      </c>
      <c r="C46" s="11" t="s">
        <v>143</v>
      </c>
      <c r="D46" s="11" t="s">
        <v>58</v>
      </c>
      <c r="E46" s="11" t="s">
        <v>39</v>
      </c>
      <c r="F46" s="11" t="s">
        <v>40</v>
      </c>
      <c r="G46" s="11" t="s">
        <v>45</v>
      </c>
      <c r="H46" s="11" t="s">
        <v>84</v>
      </c>
      <c r="I46" s="11" t="s">
        <v>170</v>
      </c>
      <c r="J46" s="11">
        <v>25.0</v>
      </c>
      <c r="K46" s="12"/>
      <c r="L46" s="11"/>
      <c r="M46" s="11">
        <v>690279.0</v>
      </c>
      <c r="N46" s="11" t="s">
        <v>171</v>
      </c>
      <c r="O46" s="13" t="s">
        <v>42</v>
      </c>
      <c r="P46" s="11">
        <v>0.0</v>
      </c>
      <c r="Q46" s="14">
        <v>0.0</v>
      </c>
      <c r="R46" s="11">
        <v>1.0</v>
      </c>
      <c r="S46">
        <f t="shared" si="1"/>
        <v>2025</v>
      </c>
      <c r="T46">
        <f t="shared" si="2"/>
        <v>4</v>
      </c>
      <c r="U46">
        <f t="shared" si="3"/>
        <v>2</v>
      </c>
      <c r="AG46" s="15"/>
      <c r="AH46" s="16"/>
      <c r="AM46" s="15"/>
      <c r="AN46" s="16"/>
    </row>
    <row r="47">
      <c r="A47" s="9" t="s">
        <v>172</v>
      </c>
      <c r="B47" s="10">
        <v>45748.0</v>
      </c>
      <c r="C47" s="11" t="s">
        <v>101</v>
      </c>
      <c r="D47" s="11" t="s">
        <v>38</v>
      </c>
      <c r="E47" s="11" t="s">
        <v>39</v>
      </c>
      <c r="F47" s="11" t="s">
        <v>64</v>
      </c>
      <c r="G47" s="11" t="s">
        <v>45</v>
      </c>
      <c r="H47" s="11" t="s">
        <v>173</v>
      </c>
      <c r="I47" s="11" t="s">
        <v>173</v>
      </c>
      <c r="J47" s="11">
        <v>32.0</v>
      </c>
      <c r="K47" s="12"/>
      <c r="L47" s="11"/>
      <c r="M47" s="11">
        <v>656756.0</v>
      </c>
      <c r="N47" s="11">
        <v>16511.0</v>
      </c>
      <c r="O47" s="13"/>
      <c r="P47" s="11">
        <v>0.0</v>
      </c>
      <c r="Q47" s="14">
        <v>0.0</v>
      </c>
      <c r="R47" s="11">
        <v>1.0</v>
      </c>
      <c r="S47">
        <f t="shared" si="1"/>
        <v>2025</v>
      </c>
      <c r="T47">
        <f t="shared" si="2"/>
        <v>4</v>
      </c>
      <c r="U47">
        <f t="shared" si="3"/>
        <v>1</v>
      </c>
      <c r="AG47" s="15"/>
      <c r="AH47" s="16"/>
      <c r="AM47" s="15"/>
      <c r="AN47" s="16"/>
    </row>
    <row r="48">
      <c r="A48" s="13" t="s">
        <v>174</v>
      </c>
      <c r="B48" s="17">
        <v>45748.0</v>
      </c>
      <c r="C48" s="11" t="s">
        <v>175</v>
      </c>
      <c r="D48" s="11" t="s">
        <v>93</v>
      </c>
      <c r="E48" s="11" t="s">
        <v>39</v>
      </c>
      <c r="F48" s="11" t="s">
        <v>40</v>
      </c>
      <c r="G48" s="18" t="s">
        <v>45</v>
      </c>
      <c r="H48" s="11" t="s">
        <v>59</v>
      </c>
      <c r="I48" s="11" t="s">
        <v>176</v>
      </c>
      <c r="J48" s="11">
        <v>21.0</v>
      </c>
      <c r="K48" s="12"/>
      <c r="L48" s="11"/>
      <c r="M48" s="11">
        <v>823745.0</v>
      </c>
      <c r="N48" s="11" t="s">
        <v>177</v>
      </c>
      <c r="O48" s="13"/>
      <c r="P48" s="11">
        <v>0.0</v>
      </c>
      <c r="Q48" s="14">
        <v>0.0</v>
      </c>
      <c r="R48" s="11">
        <v>1.0</v>
      </c>
      <c r="S48">
        <f t="shared" si="1"/>
        <v>2025</v>
      </c>
      <c r="T48">
        <f t="shared" si="2"/>
        <v>4</v>
      </c>
      <c r="U48">
        <f t="shared" si="3"/>
        <v>1</v>
      </c>
      <c r="AG48" s="15"/>
      <c r="AH48" s="16"/>
      <c r="AM48" s="15"/>
      <c r="AN48" s="16"/>
    </row>
    <row r="49">
      <c r="A49" s="9" t="s">
        <v>178</v>
      </c>
      <c r="B49" s="10">
        <v>45748.0</v>
      </c>
      <c r="C49" s="11" t="s">
        <v>83</v>
      </c>
      <c r="D49" s="11" t="s">
        <v>77</v>
      </c>
      <c r="E49" s="11" t="s">
        <v>39</v>
      </c>
      <c r="F49" s="11" t="s">
        <v>64</v>
      </c>
      <c r="G49" s="18" t="s">
        <v>45</v>
      </c>
      <c r="H49" s="11" t="s">
        <v>67</v>
      </c>
      <c r="I49" s="11" t="s">
        <v>179</v>
      </c>
      <c r="J49" s="11">
        <v>24.0</v>
      </c>
      <c r="K49" s="12"/>
      <c r="L49" s="11"/>
      <c r="M49" s="11">
        <v>687309.0</v>
      </c>
      <c r="N49" s="11" t="s">
        <v>180</v>
      </c>
      <c r="O49" s="13"/>
      <c r="P49" s="11">
        <v>0.0</v>
      </c>
      <c r="Q49" s="14">
        <v>0.0</v>
      </c>
      <c r="R49" s="11">
        <v>1.0</v>
      </c>
      <c r="S49">
        <f t="shared" si="1"/>
        <v>2025</v>
      </c>
      <c r="T49">
        <f t="shared" si="2"/>
        <v>4</v>
      </c>
      <c r="U49">
        <f t="shared" si="3"/>
        <v>1</v>
      </c>
      <c r="AG49" s="15"/>
      <c r="AH49" s="16"/>
      <c r="AM49" s="15"/>
      <c r="AN49" s="16"/>
    </row>
    <row r="50">
      <c r="A50" s="13" t="s">
        <v>181</v>
      </c>
      <c r="B50" s="17">
        <v>45748.0</v>
      </c>
      <c r="C50" s="11" t="s">
        <v>83</v>
      </c>
      <c r="D50" s="11" t="s">
        <v>93</v>
      </c>
      <c r="E50" s="11" t="s">
        <v>39</v>
      </c>
      <c r="F50" s="11" t="s">
        <v>40</v>
      </c>
      <c r="G50" s="18" t="s">
        <v>45</v>
      </c>
      <c r="H50" s="18" t="s">
        <v>182</v>
      </c>
      <c r="I50" s="18" t="s">
        <v>183</v>
      </c>
      <c r="J50" s="11">
        <v>21.0</v>
      </c>
      <c r="K50" s="12"/>
      <c r="L50" s="11"/>
      <c r="M50" s="11">
        <v>804979.0</v>
      </c>
      <c r="N50" s="11" t="s">
        <v>184</v>
      </c>
      <c r="O50" s="13"/>
      <c r="P50" s="11">
        <v>0.0</v>
      </c>
      <c r="Q50" s="14">
        <v>0.0</v>
      </c>
      <c r="R50" s="11">
        <v>1.0</v>
      </c>
      <c r="S50">
        <f t="shared" si="1"/>
        <v>2025</v>
      </c>
      <c r="T50">
        <f t="shared" si="2"/>
        <v>4</v>
      </c>
      <c r="U50">
        <f t="shared" si="3"/>
        <v>1</v>
      </c>
      <c r="AG50" s="15"/>
      <c r="AH50" s="16"/>
      <c r="AM50" s="15"/>
      <c r="AN50" s="16"/>
    </row>
    <row r="51">
      <c r="A51" s="9" t="s">
        <v>185</v>
      </c>
      <c r="B51" s="10">
        <v>45748.0</v>
      </c>
      <c r="C51" s="11" t="s">
        <v>186</v>
      </c>
      <c r="D51" s="11" t="s">
        <v>93</v>
      </c>
      <c r="E51" s="11" t="s">
        <v>39</v>
      </c>
      <c r="F51" s="11" t="s">
        <v>40</v>
      </c>
      <c r="G51" s="18" t="s">
        <v>45</v>
      </c>
      <c r="H51" s="18" t="s">
        <v>119</v>
      </c>
      <c r="I51" s="18" t="s">
        <v>133</v>
      </c>
      <c r="J51" s="11">
        <v>21.0</v>
      </c>
      <c r="K51" s="12"/>
      <c r="L51" s="11"/>
      <c r="M51" s="11"/>
      <c r="N51" s="11" t="s">
        <v>187</v>
      </c>
      <c r="O51" s="13"/>
      <c r="P51" s="11">
        <v>0.0</v>
      </c>
      <c r="Q51" s="14">
        <v>0.0</v>
      </c>
      <c r="R51" s="11">
        <v>1.0</v>
      </c>
      <c r="S51">
        <f t="shared" si="1"/>
        <v>2025</v>
      </c>
      <c r="T51">
        <f t="shared" si="2"/>
        <v>4</v>
      </c>
      <c r="U51">
        <f t="shared" si="3"/>
        <v>1</v>
      </c>
      <c r="AG51" s="15"/>
      <c r="AH51" s="16"/>
      <c r="AM51" s="15"/>
      <c r="AN51" s="16"/>
    </row>
    <row r="52">
      <c r="A52" s="9" t="s">
        <v>188</v>
      </c>
      <c r="B52" s="10">
        <v>45742.0</v>
      </c>
      <c r="C52" s="11" t="s">
        <v>101</v>
      </c>
      <c r="D52" s="11" t="s">
        <v>38</v>
      </c>
      <c r="E52" s="11" t="s">
        <v>39</v>
      </c>
      <c r="F52" s="11" t="s">
        <v>64</v>
      </c>
      <c r="G52" s="18" t="s">
        <v>45</v>
      </c>
      <c r="H52" s="11" t="s">
        <v>127</v>
      </c>
      <c r="I52" s="11"/>
      <c r="J52" s="11">
        <v>24.0</v>
      </c>
      <c r="K52" s="12"/>
      <c r="L52" s="11"/>
      <c r="M52" s="11">
        <v>686796.0</v>
      </c>
      <c r="N52" s="11">
        <v>26270.0</v>
      </c>
      <c r="O52" s="13"/>
      <c r="P52" s="11">
        <v>0.0</v>
      </c>
      <c r="Q52" s="14">
        <v>0.0</v>
      </c>
      <c r="R52" s="11">
        <v>1.0</v>
      </c>
      <c r="S52">
        <f t="shared" si="1"/>
        <v>2025</v>
      </c>
      <c r="T52">
        <f t="shared" si="2"/>
        <v>3</v>
      </c>
      <c r="U52">
        <f t="shared" si="3"/>
        <v>26</v>
      </c>
      <c r="AG52" s="15"/>
      <c r="AH52" s="16"/>
      <c r="AM52" s="15"/>
      <c r="AN52" s="16"/>
    </row>
    <row r="53">
      <c r="A53" s="9" t="s">
        <v>189</v>
      </c>
      <c r="B53" s="10">
        <v>45727.0</v>
      </c>
      <c r="C53" s="11" t="s">
        <v>108</v>
      </c>
      <c r="D53" s="11" t="s">
        <v>38</v>
      </c>
      <c r="E53" s="11" t="s">
        <v>39</v>
      </c>
      <c r="F53" s="11" t="s">
        <v>40</v>
      </c>
      <c r="G53" s="18" t="s">
        <v>45</v>
      </c>
      <c r="H53" s="11" t="s">
        <v>67</v>
      </c>
      <c r="I53" s="11" t="s">
        <v>190</v>
      </c>
      <c r="J53" s="11">
        <v>34.0</v>
      </c>
      <c r="K53" s="12"/>
      <c r="L53" s="11"/>
      <c r="M53" s="11">
        <v>543037.0</v>
      </c>
      <c r="N53" s="11">
        <v>13125.0</v>
      </c>
      <c r="O53" s="13" t="s">
        <v>69</v>
      </c>
      <c r="P53" s="11">
        <v>0.0</v>
      </c>
      <c r="Q53" s="14">
        <v>0.0</v>
      </c>
      <c r="R53" s="11">
        <v>1.0</v>
      </c>
      <c r="S53">
        <f t="shared" si="1"/>
        <v>2025</v>
      </c>
      <c r="T53">
        <f t="shared" si="2"/>
        <v>3</v>
      </c>
      <c r="U53">
        <f t="shared" si="3"/>
        <v>11</v>
      </c>
      <c r="V53" s="17">
        <v>45880.0</v>
      </c>
      <c r="AG53" s="15"/>
      <c r="AH53" s="16"/>
      <c r="AM53" s="15"/>
      <c r="AN53" s="16"/>
    </row>
    <row r="54">
      <c r="A54" s="9" t="s">
        <v>191</v>
      </c>
      <c r="B54" s="10">
        <v>45730.0</v>
      </c>
      <c r="C54" s="11" t="s">
        <v>192</v>
      </c>
      <c r="D54" s="11" t="s">
        <v>38</v>
      </c>
      <c r="E54" s="11" t="s">
        <v>39</v>
      </c>
      <c r="F54" s="11" t="s">
        <v>40</v>
      </c>
      <c r="G54" s="18" t="s">
        <v>45</v>
      </c>
      <c r="H54" s="11" t="s">
        <v>129</v>
      </c>
      <c r="I54" s="11" t="s">
        <v>129</v>
      </c>
      <c r="J54" s="11">
        <v>26.0</v>
      </c>
      <c r="K54" s="12"/>
      <c r="L54" s="11"/>
      <c r="M54" s="11">
        <v>676105.0</v>
      </c>
      <c r="N54" s="11">
        <v>27608.0</v>
      </c>
      <c r="O54" s="13" t="s">
        <v>42</v>
      </c>
      <c r="P54" s="11">
        <v>0.0</v>
      </c>
      <c r="Q54" s="14">
        <v>0.0</v>
      </c>
      <c r="R54" s="11">
        <v>1.0</v>
      </c>
      <c r="S54">
        <f t="shared" si="1"/>
        <v>2025</v>
      </c>
      <c r="T54">
        <f t="shared" si="2"/>
        <v>3</v>
      </c>
      <c r="U54">
        <f t="shared" si="3"/>
        <v>14</v>
      </c>
      <c r="AG54" s="15"/>
      <c r="AH54" s="16"/>
      <c r="AM54" s="15"/>
      <c r="AN54" s="16"/>
    </row>
    <row r="55">
      <c r="A55" s="9" t="s">
        <v>193</v>
      </c>
      <c r="B55" s="10">
        <v>45721.0</v>
      </c>
      <c r="C55" s="11" t="s">
        <v>72</v>
      </c>
      <c r="D55" s="11" t="s">
        <v>97</v>
      </c>
      <c r="E55" s="11" t="s">
        <v>39</v>
      </c>
      <c r="F55" s="11" t="s">
        <v>40</v>
      </c>
      <c r="G55" s="18" t="s">
        <v>194</v>
      </c>
      <c r="H55" s="11"/>
      <c r="I55" s="11"/>
      <c r="J55" s="11">
        <v>23.0</v>
      </c>
      <c r="K55" s="12"/>
      <c r="L55" s="11"/>
      <c r="M55" s="11">
        <v>683314.0</v>
      </c>
      <c r="N55" s="11" t="s">
        <v>195</v>
      </c>
      <c r="O55" s="13"/>
      <c r="P55" s="11">
        <v>0.0</v>
      </c>
      <c r="Q55" s="14">
        <v>0.0</v>
      </c>
      <c r="R55" s="11">
        <v>1.0</v>
      </c>
      <c r="S55">
        <f t="shared" si="1"/>
        <v>2025</v>
      </c>
      <c r="T55">
        <f t="shared" si="2"/>
        <v>3</v>
      </c>
      <c r="U55">
        <f t="shared" si="3"/>
        <v>5</v>
      </c>
      <c r="AG55" s="15"/>
      <c r="AH55" s="16"/>
      <c r="AM55" s="15"/>
      <c r="AN55" s="16"/>
    </row>
    <row r="56">
      <c r="A56" s="9" t="s">
        <v>196</v>
      </c>
      <c r="B56" s="10">
        <v>45721.0</v>
      </c>
      <c r="C56" s="11" t="s">
        <v>72</v>
      </c>
      <c r="D56" s="11" t="s">
        <v>97</v>
      </c>
      <c r="E56" s="11" t="s">
        <v>39</v>
      </c>
      <c r="F56" s="11" t="s">
        <v>40</v>
      </c>
      <c r="G56" s="18" t="s">
        <v>45</v>
      </c>
      <c r="H56" s="11" t="s">
        <v>159</v>
      </c>
      <c r="I56" s="11" t="s">
        <v>159</v>
      </c>
      <c r="J56" s="11">
        <v>22.0</v>
      </c>
      <c r="K56" s="12"/>
      <c r="L56" s="11"/>
      <c r="M56" s="11">
        <v>824613.0</v>
      </c>
      <c r="N56" s="11" t="s">
        <v>197</v>
      </c>
      <c r="O56" s="13"/>
      <c r="P56" s="11">
        <v>0.0</v>
      </c>
      <c r="Q56" s="14">
        <v>0.0</v>
      </c>
      <c r="R56" s="11">
        <v>1.0</v>
      </c>
      <c r="S56">
        <f t="shared" si="1"/>
        <v>2025</v>
      </c>
      <c r="T56">
        <f t="shared" si="2"/>
        <v>3</v>
      </c>
      <c r="U56">
        <f t="shared" si="3"/>
        <v>5</v>
      </c>
      <c r="AG56" s="15"/>
      <c r="AH56" s="16"/>
      <c r="AM56" s="15"/>
      <c r="AN56" s="16"/>
    </row>
    <row r="57">
      <c r="A57" s="9" t="s">
        <v>198</v>
      </c>
      <c r="B57" s="10">
        <v>45717.0</v>
      </c>
      <c r="C57" s="11" t="s">
        <v>101</v>
      </c>
      <c r="D57" s="11" t="s">
        <v>38</v>
      </c>
      <c r="E57" s="11" t="s">
        <v>39</v>
      </c>
      <c r="F57" s="11" t="s">
        <v>40</v>
      </c>
      <c r="G57" s="18" t="s">
        <v>199</v>
      </c>
      <c r="H57" s="11"/>
      <c r="I57" s="11"/>
      <c r="J57" s="11">
        <v>32.0</v>
      </c>
      <c r="K57" s="12"/>
      <c r="L57" s="11"/>
      <c r="M57" s="11">
        <v>600986.0</v>
      </c>
      <c r="N57" s="11">
        <v>14510.0</v>
      </c>
      <c r="O57" s="13"/>
      <c r="P57" s="11">
        <v>0.0</v>
      </c>
      <c r="Q57" s="14">
        <v>0.0</v>
      </c>
      <c r="R57" s="11">
        <v>1.0</v>
      </c>
      <c r="S57">
        <f t="shared" si="1"/>
        <v>2025</v>
      </c>
      <c r="T57">
        <f t="shared" si="2"/>
        <v>3</v>
      </c>
      <c r="U57">
        <f t="shared" si="3"/>
        <v>1</v>
      </c>
      <c r="AG57" s="15"/>
      <c r="AH57" s="16"/>
      <c r="AM57" s="15"/>
      <c r="AN57" s="16"/>
    </row>
    <row r="58">
      <c r="A58" s="9" t="s">
        <v>200</v>
      </c>
      <c r="B58" s="10">
        <v>45717.0</v>
      </c>
      <c r="C58" s="11" t="s">
        <v>101</v>
      </c>
      <c r="D58" s="11" t="s">
        <v>58</v>
      </c>
      <c r="E58" s="11" t="s">
        <v>39</v>
      </c>
      <c r="F58" s="11" t="s">
        <v>40</v>
      </c>
      <c r="G58" s="18" t="s">
        <v>45</v>
      </c>
      <c r="H58" s="11" t="s">
        <v>46</v>
      </c>
      <c r="I58" s="11" t="s">
        <v>50</v>
      </c>
      <c r="J58" s="11">
        <v>28.0</v>
      </c>
      <c r="K58" s="12"/>
      <c r="L58" s="11"/>
      <c r="M58" s="11">
        <v>680739.0</v>
      </c>
      <c r="N58" s="11">
        <v>24606.0</v>
      </c>
      <c r="O58" s="13"/>
      <c r="P58" s="11">
        <v>0.0</v>
      </c>
      <c r="Q58" s="14">
        <v>0.0</v>
      </c>
      <c r="R58" s="11">
        <v>1.0</v>
      </c>
      <c r="S58">
        <f t="shared" si="1"/>
        <v>2025</v>
      </c>
      <c r="T58">
        <f t="shared" si="2"/>
        <v>3</v>
      </c>
      <c r="U58">
        <f t="shared" si="3"/>
        <v>1</v>
      </c>
      <c r="AG58" s="15"/>
      <c r="AH58" s="16"/>
      <c r="AM58" s="15"/>
      <c r="AN58" s="16"/>
    </row>
    <row r="59">
      <c r="A59" s="9" t="s">
        <v>201</v>
      </c>
      <c r="B59" s="10">
        <v>45717.0</v>
      </c>
      <c r="C59" s="11" t="s">
        <v>143</v>
      </c>
      <c r="D59" s="11" t="s">
        <v>38</v>
      </c>
      <c r="E59" s="11" t="s">
        <v>39</v>
      </c>
      <c r="F59" s="11" t="s">
        <v>40</v>
      </c>
      <c r="G59" s="18" t="s">
        <v>202</v>
      </c>
      <c r="H59" s="11"/>
      <c r="I59" s="11"/>
      <c r="J59" s="11">
        <v>25.0</v>
      </c>
      <c r="K59" s="12"/>
      <c r="L59" s="11"/>
      <c r="M59" s="11">
        <v>672860.0</v>
      </c>
      <c r="N59" s="11">
        <v>22932.0</v>
      </c>
      <c r="O59" s="13" t="s">
        <v>42</v>
      </c>
      <c r="P59" s="11">
        <v>0.0</v>
      </c>
      <c r="Q59" s="14">
        <v>0.0</v>
      </c>
      <c r="R59" s="11">
        <v>1.0</v>
      </c>
      <c r="S59">
        <f t="shared" si="1"/>
        <v>2025</v>
      </c>
      <c r="T59">
        <f t="shared" si="2"/>
        <v>3</v>
      </c>
      <c r="U59">
        <f t="shared" si="3"/>
        <v>1</v>
      </c>
      <c r="AG59" s="15"/>
      <c r="AH59" s="16"/>
      <c r="AM59" s="15"/>
      <c r="AN59" s="16"/>
    </row>
    <row r="60">
      <c r="A60" s="9" t="s">
        <v>203</v>
      </c>
      <c r="B60" s="10">
        <v>45717.0</v>
      </c>
      <c r="C60" s="11" t="s">
        <v>143</v>
      </c>
      <c r="D60" s="11" t="s">
        <v>77</v>
      </c>
      <c r="E60" s="11" t="s">
        <v>39</v>
      </c>
      <c r="F60" s="11" t="s">
        <v>40</v>
      </c>
      <c r="G60" s="18" t="s">
        <v>202</v>
      </c>
      <c r="H60" s="11"/>
      <c r="I60" s="11"/>
      <c r="J60" s="11">
        <v>23.0</v>
      </c>
      <c r="K60" s="12"/>
      <c r="L60" s="11"/>
      <c r="M60" s="11">
        <v>683636.0</v>
      </c>
      <c r="N60" s="11">
        <v>22932.0</v>
      </c>
      <c r="O60" s="13" t="s">
        <v>42</v>
      </c>
      <c r="P60" s="11">
        <v>0.0</v>
      </c>
      <c r="Q60" s="14">
        <v>0.0</v>
      </c>
      <c r="R60" s="11">
        <v>1.0</v>
      </c>
      <c r="S60">
        <f t="shared" si="1"/>
        <v>2025</v>
      </c>
      <c r="T60">
        <f t="shared" si="2"/>
        <v>3</v>
      </c>
      <c r="U60">
        <f t="shared" si="3"/>
        <v>1</v>
      </c>
      <c r="AG60" s="15"/>
      <c r="AH60" s="16"/>
      <c r="AM60" s="15"/>
      <c r="AN60" s="16"/>
    </row>
    <row r="61">
      <c r="A61" s="9" t="s">
        <v>204</v>
      </c>
      <c r="B61" s="10">
        <v>45717.0</v>
      </c>
      <c r="C61" s="11" t="s">
        <v>143</v>
      </c>
      <c r="D61" s="11" t="s">
        <v>38</v>
      </c>
      <c r="E61" s="11" t="s">
        <v>39</v>
      </c>
      <c r="F61" s="11" t="s">
        <v>40</v>
      </c>
      <c r="G61" s="18" t="s">
        <v>45</v>
      </c>
      <c r="H61" s="11" t="s">
        <v>205</v>
      </c>
      <c r="I61" s="11" t="s">
        <v>206</v>
      </c>
      <c r="J61" s="11">
        <v>24.0</v>
      </c>
      <c r="K61" s="12"/>
      <c r="L61" s="11"/>
      <c r="M61" s="11">
        <v>689672.0</v>
      </c>
      <c r="N61" s="11">
        <v>31967.0</v>
      </c>
      <c r="O61" s="13" t="s">
        <v>42</v>
      </c>
      <c r="P61" s="11">
        <v>0.0</v>
      </c>
      <c r="Q61" s="14">
        <v>0.0</v>
      </c>
      <c r="R61" s="11">
        <v>1.0</v>
      </c>
      <c r="S61">
        <f t="shared" si="1"/>
        <v>2025</v>
      </c>
      <c r="T61">
        <f t="shared" si="2"/>
        <v>3</v>
      </c>
      <c r="U61">
        <f t="shared" si="3"/>
        <v>1</v>
      </c>
      <c r="AG61" s="15"/>
      <c r="AH61" s="16"/>
      <c r="AM61" s="15"/>
      <c r="AN61" s="16"/>
    </row>
    <row r="62">
      <c r="A62" s="9" t="s">
        <v>207</v>
      </c>
      <c r="B62" s="10">
        <v>45709.0</v>
      </c>
      <c r="C62" s="11" t="s">
        <v>108</v>
      </c>
      <c r="D62" s="11" t="s">
        <v>77</v>
      </c>
      <c r="E62" s="11" t="s">
        <v>39</v>
      </c>
      <c r="F62" s="11" t="s">
        <v>40</v>
      </c>
      <c r="G62" s="18" t="s">
        <v>45</v>
      </c>
      <c r="H62" s="11" t="s">
        <v>56</v>
      </c>
      <c r="I62" s="11" t="s">
        <v>208</v>
      </c>
      <c r="J62" s="11">
        <v>23.0</v>
      </c>
      <c r="K62" s="12"/>
      <c r="L62" s="11"/>
      <c r="M62" s="11">
        <v>694633.0</v>
      </c>
      <c r="N62" s="11" t="s">
        <v>209</v>
      </c>
      <c r="O62" s="13"/>
      <c r="P62" s="11">
        <v>0.0</v>
      </c>
      <c r="Q62" s="14">
        <v>0.0</v>
      </c>
      <c r="R62" s="11">
        <v>1.0</v>
      </c>
      <c r="S62">
        <f t="shared" si="1"/>
        <v>2025</v>
      </c>
      <c r="T62">
        <f t="shared" si="2"/>
        <v>2</v>
      </c>
      <c r="U62">
        <f t="shared" si="3"/>
        <v>21</v>
      </c>
      <c r="AG62" s="15"/>
      <c r="AH62" s="16"/>
      <c r="AM62" s="15"/>
      <c r="AN62" s="16"/>
    </row>
    <row r="63">
      <c r="A63" s="9" t="s">
        <v>210</v>
      </c>
      <c r="B63" s="10">
        <v>45700.0</v>
      </c>
      <c r="C63" s="11" t="s">
        <v>143</v>
      </c>
      <c r="D63" s="11" t="s">
        <v>58</v>
      </c>
      <c r="E63" s="11" t="s">
        <v>39</v>
      </c>
      <c r="F63" s="11" t="s">
        <v>64</v>
      </c>
      <c r="G63" s="18" t="s">
        <v>45</v>
      </c>
      <c r="H63" s="11" t="s">
        <v>205</v>
      </c>
      <c r="I63" s="11" t="s">
        <v>211</v>
      </c>
      <c r="J63" s="11">
        <v>25.0</v>
      </c>
      <c r="K63" s="12"/>
      <c r="L63" s="11"/>
      <c r="M63" s="11">
        <v>681066.0</v>
      </c>
      <c r="N63" s="11">
        <v>29823.0</v>
      </c>
      <c r="O63" s="13"/>
      <c r="P63" s="11">
        <v>0.0</v>
      </c>
      <c r="Q63" s="14">
        <v>0.0</v>
      </c>
      <c r="R63" s="11">
        <v>1.0</v>
      </c>
      <c r="S63">
        <f t="shared" si="1"/>
        <v>2025</v>
      </c>
      <c r="T63">
        <f t="shared" si="2"/>
        <v>2</v>
      </c>
      <c r="U63">
        <f t="shared" si="3"/>
        <v>12</v>
      </c>
      <c r="AG63" s="15"/>
      <c r="AH63" s="16"/>
      <c r="AM63" s="15"/>
      <c r="AN63" s="16"/>
    </row>
    <row r="64">
      <c r="A64" s="9" t="s">
        <v>212</v>
      </c>
      <c r="B64" s="10">
        <v>45689.0</v>
      </c>
      <c r="C64" s="11" t="s">
        <v>143</v>
      </c>
      <c r="D64" s="11" t="s">
        <v>213</v>
      </c>
      <c r="E64" s="11" t="s">
        <v>39</v>
      </c>
      <c r="F64" s="11" t="s">
        <v>64</v>
      </c>
      <c r="G64" s="18" t="s">
        <v>45</v>
      </c>
      <c r="H64" s="11" t="s">
        <v>84</v>
      </c>
      <c r="I64" s="11"/>
      <c r="J64" s="11">
        <v>19.0</v>
      </c>
      <c r="K64" s="12"/>
      <c r="L64" s="11"/>
      <c r="M64" s="11">
        <v>820836.0</v>
      </c>
      <c r="N64" s="11"/>
      <c r="O64" s="13"/>
      <c r="P64" s="11">
        <v>0.0</v>
      </c>
      <c r="Q64" s="14">
        <v>0.0</v>
      </c>
      <c r="R64" s="11">
        <v>1.0</v>
      </c>
      <c r="S64">
        <f t="shared" si="1"/>
        <v>2025</v>
      </c>
      <c r="T64">
        <f t="shared" si="2"/>
        <v>2</v>
      </c>
      <c r="U64">
        <f t="shared" si="3"/>
        <v>1</v>
      </c>
      <c r="AG64" s="15"/>
      <c r="AH64" s="16"/>
      <c r="AM64" s="15"/>
      <c r="AN64" s="16"/>
    </row>
    <row r="65">
      <c r="A65" s="9" t="s">
        <v>214</v>
      </c>
      <c r="B65" s="10">
        <v>45689.0</v>
      </c>
      <c r="C65" s="11" t="s">
        <v>108</v>
      </c>
      <c r="D65" s="11" t="s">
        <v>93</v>
      </c>
      <c r="E65" s="11" t="s">
        <v>39</v>
      </c>
      <c r="F65" s="11" t="s">
        <v>40</v>
      </c>
      <c r="G65" s="18" t="s">
        <v>45</v>
      </c>
      <c r="H65" s="11" t="s">
        <v>67</v>
      </c>
      <c r="I65" s="11" t="s">
        <v>215</v>
      </c>
      <c r="J65" s="11">
        <v>22.0</v>
      </c>
      <c r="K65" s="12"/>
      <c r="L65" s="11"/>
      <c r="M65" s="11">
        <v>695765.0</v>
      </c>
      <c r="N65" s="11" t="s">
        <v>216</v>
      </c>
      <c r="O65" s="13" t="s">
        <v>42</v>
      </c>
      <c r="P65" s="11">
        <v>0.0</v>
      </c>
      <c r="Q65" s="14">
        <v>0.0</v>
      </c>
      <c r="R65" s="11">
        <v>1.0</v>
      </c>
      <c r="S65">
        <f t="shared" si="1"/>
        <v>2025</v>
      </c>
      <c r="T65">
        <f t="shared" si="2"/>
        <v>2</v>
      </c>
      <c r="U65">
        <f t="shared" si="3"/>
        <v>1</v>
      </c>
      <c r="AG65" s="15"/>
      <c r="AH65" s="16"/>
      <c r="AM65" s="15"/>
      <c r="AN65" s="16"/>
    </row>
    <row r="66">
      <c r="A66" s="13" t="s">
        <v>217</v>
      </c>
      <c r="B66" s="17">
        <v>45658.0</v>
      </c>
      <c r="C66" s="11" t="s">
        <v>162</v>
      </c>
      <c r="D66" s="11" t="s">
        <v>93</v>
      </c>
      <c r="E66" s="11" t="s">
        <v>39</v>
      </c>
      <c r="F66" s="11" t="s">
        <v>40</v>
      </c>
      <c r="G66" s="18" t="s">
        <v>45</v>
      </c>
      <c r="H66" s="11" t="s">
        <v>84</v>
      </c>
      <c r="I66" s="11" t="s">
        <v>218</v>
      </c>
      <c r="J66" s="11">
        <v>21.0</v>
      </c>
      <c r="K66" s="12"/>
      <c r="L66" s="11"/>
      <c r="M66" s="11"/>
      <c r="N66" s="11" t="s">
        <v>219</v>
      </c>
      <c r="O66" s="13"/>
      <c r="P66" s="11">
        <v>0.0</v>
      </c>
      <c r="Q66" s="14">
        <v>0.0</v>
      </c>
      <c r="R66" s="11">
        <v>1.0</v>
      </c>
      <c r="S66">
        <f t="shared" si="1"/>
        <v>2025</v>
      </c>
      <c r="T66">
        <f t="shared" si="2"/>
        <v>1</v>
      </c>
      <c r="U66">
        <f t="shared" si="3"/>
        <v>1</v>
      </c>
      <c r="AG66" s="15"/>
      <c r="AH66" s="16"/>
      <c r="AM66" s="15"/>
      <c r="AN66" s="16"/>
    </row>
    <row r="67">
      <c r="A67" s="9" t="s">
        <v>220</v>
      </c>
      <c r="B67" s="10">
        <v>45658.0</v>
      </c>
      <c r="C67" s="11" t="s">
        <v>44</v>
      </c>
      <c r="D67" s="11" t="s">
        <v>221</v>
      </c>
      <c r="E67" s="11" t="s">
        <v>39</v>
      </c>
      <c r="F67" s="11" t="s">
        <v>40</v>
      </c>
      <c r="G67" s="18" t="s">
        <v>45</v>
      </c>
      <c r="H67" s="11" t="s">
        <v>222</v>
      </c>
      <c r="I67" s="11"/>
      <c r="J67" s="11">
        <v>19.0</v>
      </c>
      <c r="K67" s="12"/>
      <c r="L67" s="11"/>
      <c r="M67" s="11">
        <v>825757.0</v>
      </c>
      <c r="N67" s="11" t="s">
        <v>223</v>
      </c>
      <c r="O67" s="13"/>
      <c r="P67" s="11">
        <v>0.0</v>
      </c>
      <c r="Q67" s="14">
        <v>0.0</v>
      </c>
      <c r="R67" s="11">
        <v>1.0</v>
      </c>
      <c r="S67">
        <f t="shared" si="1"/>
        <v>2025</v>
      </c>
      <c r="T67">
        <f t="shared" si="2"/>
        <v>1</v>
      </c>
      <c r="U67">
        <f t="shared" si="3"/>
        <v>1</v>
      </c>
      <c r="AG67" s="15"/>
      <c r="AH67" s="16"/>
      <c r="AM67" s="15"/>
      <c r="AN67" s="16"/>
    </row>
    <row r="68">
      <c r="A68" s="9" t="s">
        <v>224</v>
      </c>
      <c r="B68" s="10">
        <v>45658.0</v>
      </c>
      <c r="C68" s="11" t="s">
        <v>111</v>
      </c>
      <c r="D68" s="11" t="s">
        <v>77</v>
      </c>
      <c r="E68" s="11" t="s">
        <v>39</v>
      </c>
      <c r="F68" s="11" t="s">
        <v>40</v>
      </c>
      <c r="G68" s="18" t="s">
        <v>225</v>
      </c>
      <c r="H68" s="11"/>
      <c r="I68" s="11"/>
      <c r="J68" s="11">
        <v>23.0</v>
      </c>
      <c r="K68" s="12"/>
      <c r="L68" s="11"/>
      <c r="M68" s="11">
        <v>702477.0</v>
      </c>
      <c r="N68" s="11" t="s">
        <v>226</v>
      </c>
      <c r="O68" s="13"/>
      <c r="P68" s="11">
        <v>0.0</v>
      </c>
      <c r="Q68" s="14">
        <v>0.0</v>
      </c>
      <c r="R68" s="11">
        <v>1.0</v>
      </c>
      <c r="S68">
        <f t="shared" si="1"/>
        <v>2025</v>
      </c>
      <c r="T68">
        <f t="shared" si="2"/>
        <v>1</v>
      </c>
      <c r="U68">
        <f t="shared" si="3"/>
        <v>1</v>
      </c>
      <c r="AG68" s="15"/>
      <c r="AH68" s="16"/>
      <c r="AM68" s="15"/>
      <c r="AN68" s="16"/>
    </row>
    <row r="69">
      <c r="A69" s="9" t="s">
        <v>227</v>
      </c>
      <c r="B69" s="10">
        <v>45658.0</v>
      </c>
      <c r="C69" s="11" t="s">
        <v>55</v>
      </c>
      <c r="D69" s="11" t="s">
        <v>97</v>
      </c>
      <c r="E69" s="11" t="s">
        <v>39</v>
      </c>
      <c r="F69" s="11" t="s">
        <v>40</v>
      </c>
      <c r="G69" s="18" t="s">
        <v>45</v>
      </c>
      <c r="H69" s="11" t="s">
        <v>59</v>
      </c>
      <c r="I69" s="11"/>
      <c r="J69" s="11">
        <v>19.0</v>
      </c>
      <c r="K69" s="12"/>
      <c r="L69" s="11"/>
      <c r="M69" s="11">
        <v>805807.0</v>
      </c>
      <c r="N69" s="11" t="s">
        <v>228</v>
      </c>
      <c r="O69" s="13"/>
      <c r="P69" s="11">
        <v>0.0</v>
      </c>
      <c r="Q69" s="14">
        <v>0.0</v>
      </c>
      <c r="R69" s="11">
        <v>1.0</v>
      </c>
      <c r="S69">
        <f t="shared" si="1"/>
        <v>2025</v>
      </c>
      <c r="T69">
        <f t="shared" si="2"/>
        <v>1</v>
      </c>
      <c r="U69">
        <f t="shared" si="3"/>
        <v>1</v>
      </c>
      <c r="AG69" s="15"/>
      <c r="AH69" s="16"/>
      <c r="AM69" s="15"/>
      <c r="AN69" s="16"/>
    </row>
    <row r="70">
      <c r="A70" s="9" t="s">
        <v>229</v>
      </c>
      <c r="B70" s="10">
        <v>45658.0</v>
      </c>
      <c r="C70" s="11" t="s">
        <v>230</v>
      </c>
      <c r="D70" s="11" t="s">
        <v>93</v>
      </c>
      <c r="E70" s="11" t="s">
        <v>39</v>
      </c>
      <c r="F70" s="11" t="s">
        <v>40</v>
      </c>
      <c r="G70" s="18" t="s">
        <v>45</v>
      </c>
      <c r="H70" s="11" t="s">
        <v>231</v>
      </c>
      <c r="I70" s="11" t="s">
        <v>232</v>
      </c>
      <c r="J70" s="11">
        <v>23.0</v>
      </c>
      <c r="K70" s="12"/>
      <c r="L70" s="11"/>
      <c r="M70" s="11">
        <v>694840.0</v>
      </c>
      <c r="N70" s="11" t="s">
        <v>233</v>
      </c>
      <c r="O70" s="13"/>
      <c r="P70" s="11">
        <v>0.0</v>
      </c>
      <c r="Q70" s="14">
        <v>0.0</v>
      </c>
      <c r="R70" s="11">
        <v>1.0</v>
      </c>
      <c r="S70">
        <f t="shared" si="1"/>
        <v>2025</v>
      </c>
      <c r="T70">
        <f t="shared" si="2"/>
        <v>1</v>
      </c>
      <c r="U70">
        <f t="shared" si="3"/>
        <v>1</v>
      </c>
      <c r="AG70" s="15"/>
      <c r="AH70" s="16"/>
      <c r="AM70" s="15"/>
      <c r="AN70" s="16"/>
    </row>
    <row r="71">
      <c r="A71" s="9" t="s">
        <v>234</v>
      </c>
      <c r="B71" s="10">
        <v>45658.0</v>
      </c>
      <c r="C71" s="11" t="s">
        <v>235</v>
      </c>
      <c r="D71" s="11" t="s">
        <v>77</v>
      </c>
      <c r="E71" s="11" t="s">
        <v>39</v>
      </c>
      <c r="F71" s="11" t="s">
        <v>40</v>
      </c>
      <c r="G71" s="18" t="s">
        <v>45</v>
      </c>
      <c r="H71" s="11" t="s">
        <v>236</v>
      </c>
      <c r="I71" s="11" t="s">
        <v>237</v>
      </c>
      <c r="J71" s="11">
        <v>25.0</v>
      </c>
      <c r="K71" s="12"/>
      <c r="L71" s="11"/>
      <c r="M71" s="11">
        <v>697813.0</v>
      </c>
      <c r="N71" s="11" t="s">
        <v>238</v>
      </c>
      <c r="O71" s="13"/>
      <c r="P71" s="11">
        <v>0.0</v>
      </c>
      <c r="Q71" s="14">
        <v>0.0</v>
      </c>
      <c r="R71" s="11">
        <v>1.0</v>
      </c>
      <c r="S71">
        <f t="shared" si="1"/>
        <v>2025</v>
      </c>
      <c r="T71">
        <f t="shared" si="2"/>
        <v>1</v>
      </c>
      <c r="U71">
        <f t="shared" si="3"/>
        <v>1</v>
      </c>
      <c r="AG71" s="15"/>
      <c r="AH71" s="16"/>
      <c r="AM71" s="15"/>
      <c r="AN71" s="16"/>
    </row>
    <row r="72">
      <c r="A72" s="9" t="s">
        <v>239</v>
      </c>
      <c r="B72" s="10">
        <v>45658.0</v>
      </c>
      <c r="C72" s="11" t="s">
        <v>235</v>
      </c>
      <c r="D72" s="11" t="s">
        <v>58</v>
      </c>
      <c r="E72" s="11" t="s">
        <v>39</v>
      </c>
      <c r="F72" s="11" t="s">
        <v>40</v>
      </c>
      <c r="G72" s="18" t="s">
        <v>45</v>
      </c>
      <c r="H72" s="11" t="s">
        <v>240</v>
      </c>
      <c r="I72" s="11" t="s">
        <v>240</v>
      </c>
      <c r="J72" s="11">
        <v>25.0</v>
      </c>
      <c r="K72" s="12"/>
      <c r="L72" s="11"/>
      <c r="M72" s="11">
        <v>701566.0</v>
      </c>
      <c r="N72" s="11" t="s">
        <v>241</v>
      </c>
      <c r="O72" s="13"/>
      <c r="P72" s="11">
        <v>0.0</v>
      </c>
      <c r="Q72" s="14">
        <v>0.0</v>
      </c>
      <c r="R72" s="11">
        <v>1.0</v>
      </c>
      <c r="S72">
        <f t="shared" si="1"/>
        <v>2025</v>
      </c>
      <c r="T72">
        <f t="shared" si="2"/>
        <v>1</v>
      </c>
      <c r="U72">
        <f t="shared" si="3"/>
        <v>1</v>
      </c>
      <c r="AG72" s="15"/>
      <c r="AH72" s="16"/>
      <c r="AM72" s="15"/>
      <c r="AN72" s="16"/>
    </row>
    <row r="73">
      <c r="A73" s="9" t="s">
        <v>242</v>
      </c>
      <c r="B73" s="10">
        <v>45640.0</v>
      </c>
      <c r="C73" s="11" t="s">
        <v>37</v>
      </c>
      <c r="D73" s="11" t="s">
        <v>58</v>
      </c>
      <c r="E73" s="11" t="s">
        <v>39</v>
      </c>
      <c r="F73" s="11" t="s">
        <v>64</v>
      </c>
      <c r="G73" s="18" t="s">
        <v>45</v>
      </c>
      <c r="H73" s="11" t="s">
        <v>243</v>
      </c>
      <c r="I73" s="11"/>
      <c r="J73" s="11">
        <v>26.0</v>
      </c>
      <c r="K73" s="12"/>
      <c r="L73" s="11"/>
      <c r="M73" s="11">
        <v>666129.0</v>
      </c>
      <c r="N73" s="11">
        <v>21844.0</v>
      </c>
      <c r="O73" s="13"/>
      <c r="P73" s="11">
        <v>0.0</v>
      </c>
      <c r="Q73" s="14">
        <v>0.0</v>
      </c>
      <c r="R73" s="11">
        <v>1.0</v>
      </c>
      <c r="S73">
        <f t="shared" si="1"/>
        <v>2024</v>
      </c>
      <c r="T73">
        <f t="shared" si="2"/>
        <v>12</v>
      </c>
      <c r="U73">
        <f t="shared" si="3"/>
        <v>14</v>
      </c>
      <c r="AG73" s="15"/>
      <c r="AH73" s="16"/>
      <c r="AM73" s="15"/>
      <c r="AN73" s="16"/>
    </row>
    <row r="74">
      <c r="A74" s="9" t="s">
        <v>244</v>
      </c>
      <c r="B74" s="10">
        <v>45597.0</v>
      </c>
      <c r="C74" s="11" t="s">
        <v>150</v>
      </c>
      <c r="D74" s="11" t="s">
        <v>88</v>
      </c>
      <c r="E74" s="11" t="s">
        <v>39</v>
      </c>
      <c r="F74" s="11" t="s">
        <v>40</v>
      </c>
      <c r="G74" s="18" t="s">
        <v>245</v>
      </c>
      <c r="H74" s="11"/>
      <c r="I74" s="11"/>
      <c r="J74" s="11">
        <v>21.0</v>
      </c>
      <c r="K74" s="12"/>
      <c r="L74" s="11"/>
      <c r="M74" s="11">
        <v>808207.0</v>
      </c>
      <c r="N74" s="11" t="s">
        <v>246</v>
      </c>
      <c r="O74" s="13"/>
      <c r="P74" s="11">
        <v>0.0</v>
      </c>
      <c r="Q74" s="14">
        <v>0.0</v>
      </c>
      <c r="R74" s="11">
        <v>1.0</v>
      </c>
      <c r="S74">
        <f t="shared" si="1"/>
        <v>2024</v>
      </c>
      <c r="T74">
        <f t="shared" si="2"/>
        <v>11</v>
      </c>
      <c r="U74">
        <f t="shared" si="3"/>
        <v>1</v>
      </c>
      <c r="AG74" s="15"/>
      <c r="AH74" s="16"/>
      <c r="AM74" s="15"/>
      <c r="AN74" s="16"/>
    </row>
    <row r="75">
      <c r="A75" s="9" t="s">
        <v>247</v>
      </c>
      <c r="B75" s="10">
        <v>45576.0</v>
      </c>
      <c r="C75" s="11" t="s">
        <v>162</v>
      </c>
      <c r="D75" s="11" t="s">
        <v>38</v>
      </c>
      <c r="E75" s="11" t="s">
        <v>39</v>
      </c>
      <c r="F75" s="11" t="s">
        <v>40</v>
      </c>
      <c r="G75" s="18" t="s">
        <v>45</v>
      </c>
      <c r="H75" s="11" t="s">
        <v>67</v>
      </c>
      <c r="I75" s="11" t="s">
        <v>248</v>
      </c>
      <c r="J75" s="11">
        <v>23.0</v>
      </c>
      <c r="K75" s="12"/>
      <c r="L75" s="11"/>
      <c r="M75" s="11">
        <v>687924.0</v>
      </c>
      <c r="N75" s="11">
        <v>30031.0</v>
      </c>
      <c r="O75" s="13" t="s">
        <v>42</v>
      </c>
      <c r="P75" s="11">
        <v>0.0</v>
      </c>
      <c r="Q75" s="14">
        <v>0.0</v>
      </c>
      <c r="R75" s="11">
        <v>1.0</v>
      </c>
      <c r="S75">
        <f t="shared" si="1"/>
        <v>2024</v>
      </c>
      <c r="T75">
        <f t="shared" si="2"/>
        <v>10</v>
      </c>
      <c r="U75">
        <f t="shared" si="3"/>
        <v>11</v>
      </c>
      <c r="AG75" s="15"/>
      <c r="AH75" s="16"/>
      <c r="AM75" s="15"/>
      <c r="AN75" s="16"/>
    </row>
    <row r="76">
      <c r="A76" s="9" t="s">
        <v>249</v>
      </c>
      <c r="B76" s="10">
        <v>45576.0</v>
      </c>
      <c r="C76" s="11" t="s">
        <v>175</v>
      </c>
      <c r="D76" s="11" t="s">
        <v>38</v>
      </c>
      <c r="E76" s="11" t="s">
        <v>39</v>
      </c>
      <c r="F76" s="11" t="s">
        <v>40</v>
      </c>
      <c r="G76" s="18" t="s">
        <v>45</v>
      </c>
      <c r="H76" s="11" t="s">
        <v>67</v>
      </c>
      <c r="I76" s="11"/>
      <c r="J76" s="11">
        <v>31.0</v>
      </c>
      <c r="K76" s="12"/>
      <c r="L76" s="11"/>
      <c r="M76" s="11">
        <v>605397.0</v>
      </c>
      <c r="N76" s="11">
        <v>12970.0</v>
      </c>
      <c r="O76" s="13" t="s">
        <v>42</v>
      </c>
      <c r="P76" s="11">
        <v>0.0</v>
      </c>
      <c r="Q76" s="14">
        <v>0.0</v>
      </c>
      <c r="R76" s="11">
        <v>1.0</v>
      </c>
      <c r="S76">
        <f t="shared" si="1"/>
        <v>2024</v>
      </c>
      <c r="T76">
        <f t="shared" si="2"/>
        <v>10</v>
      </c>
      <c r="U76">
        <f t="shared" si="3"/>
        <v>11</v>
      </c>
      <c r="V76" s="17">
        <v>45754.0</v>
      </c>
      <c r="AG76" s="15"/>
      <c r="AH76" s="16"/>
      <c r="AM76" s="15"/>
      <c r="AN76" s="16"/>
    </row>
    <row r="77">
      <c r="A77" s="9" t="s">
        <v>250</v>
      </c>
      <c r="B77" s="10">
        <v>45566.0</v>
      </c>
      <c r="C77" s="11" t="s">
        <v>72</v>
      </c>
      <c r="D77" s="11" t="s">
        <v>88</v>
      </c>
      <c r="E77" s="11" t="s">
        <v>39</v>
      </c>
      <c r="F77" s="11" t="s">
        <v>40</v>
      </c>
      <c r="G77" s="18" t="s">
        <v>45</v>
      </c>
      <c r="H77" s="11" t="s">
        <v>251</v>
      </c>
      <c r="I77" s="11" t="s">
        <v>252</v>
      </c>
      <c r="J77" s="11">
        <v>22.0</v>
      </c>
      <c r="K77" s="12"/>
      <c r="L77" s="11"/>
      <c r="M77" s="11">
        <v>814366.0</v>
      </c>
      <c r="N77" s="11" t="s">
        <v>253</v>
      </c>
      <c r="O77" s="13"/>
      <c r="P77" s="11">
        <v>0.0</v>
      </c>
      <c r="Q77" s="14">
        <v>0.0</v>
      </c>
      <c r="R77" s="11">
        <v>1.0</v>
      </c>
      <c r="S77">
        <f t="shared" si="1"/>
        <v>2024</v>
      </c>
      <c r="T77">
        <f t="shared" si="2"/>
        <v>10</v>
      </c>
      <c r="U77">
        <f t="shared" si="3"/>
        <v>1</v>
      </c>
      <c r="AG77" s="15"/>
      <c r="AH77" s="16"/>
      <c r="AM77" s="15"/>
      <c r="AN77" s="16"/>
    </row>
    <row r="78">
      <c r="A78" s="9" t="s">
        <v>254</v>
      </c>
      <c r="B78" s="10">
        <v>45566.0</v>
      </c>
      <c r="C78" s="11" t="s">
        <v>192</v>
      </c>
      <c r="D78" s="11" t="s">
        <v>88</v>
      </c>
      <c r="E78" s="11" t="s">
        <v>39</v>
      </c>
      <c r="F78" s="11" t="s">
        <v>40</v>
      </c>
      <c r="G78" s="18" t="s">
        <v>53</v>
      </c>
      <c r="H78" s="11"/>
      <c r="I78" s="11"/>
      <c r="J78" s="11">
        <v>20.0</v>
      </c>
      <c r="K78" s="12"/>
      <c r="L78" s="11"/>
      <c r="M78" s="11">
        <v>692632.0</v>
      </c>
      <c r="N78" s="11" t="s">
        <v>255</v>
      </c>
      <c r="O78" s="13"/>
      <c r="P78" s="11">
        <v>0.0</v>
      </c>
      <c r="Q78" s="14">
        <v>0.0</v>
      </c>
      <c r="R78" s="11">
        <v>1.0</v>
      </c>
      <c r="S78">
        <f t="shared" si="1"/>
        <v>2024</v>
      </c>
      <c r="T78">
        <f t="shared" si="2"/>
        <v>10</v>
      </c>
      <c r="U78">
        <f t="shared" si="3"/>
        <v>1</v>
      </c>
      <c r="AG78" s="15"/>
      <c r="AH78" s="16"/>
      <c r="AM78" s="15"/>
      <c r="AN78" s="16"/>
    </row>
    <row r="79">
      <c r="A79" s="9" t="s">
        <v>256</v>
      </c>
      <c r="B79" s="10">
        <v>45560.0</v>
      </c>
      <c r="C79" s="11" t="s">
        <v>49</v>
      </c>
      <c r="D79" s="11" t="s">
        <v>38</v>
      </c>
      <c r="E79" s="11" t="s">
        <v>39</v>
      </c>
      <c r="F79" s="11" t="s">
        <v>40</v>
      </c>
      <c r="G79" s="18" t="s">
        <v>45</v>
      </c>
      <c r="H79" s="11" t="s">
        <v>84</v>
      </c>
      <c r="I79" s="11" t="s">
        <v>84</v>
      </c>
      <c r="J79" s="11">
        <v>25.0</v>
      </c>
      <c r="K79" s="12"/>
      <c r="L79" s="11"/>
      <c r="M79" s="11">
        <v>681035.0</v>
      </c>
      <c r="N79" s="11">
        <v>30107.0</v>
      </c>
      <c r="O79" s="13" t="s">
        <v>42</v>
      </c>
      <c r="P79" s="11">
        <v>0.0</v>
      </c>
      <c r="Q79" s="14">
        <v>0.0</v>
      </c>
      <c r="R79" s="11">
        <v>1.0</v>
      </c>
      <c r="S79">
        <f t="shared" si="1"/>
        <v>2024</v>
      </c>
      <c r="T79">
        <f t="shared" si="2"/>
        <v>9</v>
      </c>
      <c r="U79">
        <f t="shared" si="3"/>
        <v>25</v>
      </c>
      <c r="AG79" s="15"/>
      <c r="AH79" s="16"/>
      <c r="AM79" s="15"/>
      <c r="AN79" s="16"/>
    </row>
    <row r="80">
      <c r="A80" s="9" t="s">
        <v>257</v>
      </c>
      <c r="B80" s="10">
        <v>45536.0</v>
      </c>
      <c r="C80" s="11" t="s">
        <v>162</v>
      </c>
      <c r="D80" s="11" t="s">
        <v>38</v>
      </c>
      <c r="E80" s="11" t="s">
        <v>39</v>
      </c>
      <c r="F80" s="11" t="s">
        <v>64</v>
      </c>
      <c r="G80" s="18" t="s">
        <v>45</v>
      </c>
      <c r="H80" s="11" t="s">
        <v>258</v>
      </c>
      <c r="I80" s="11" t="s">
        <v>259</v>
      </c>
      <c r="J80" s="11">
        <v>26.0</v>
      </c>
      <c r="K80" s="12"/>
      <c r="L80" s="11"/>
      <c r="M80" s="11">
        <v>682227.0</v>
      </c>
      <c r="N80" s="11">
        <v>25463.0</v>
      </c>
      <c r="O80" s="13"/>
      <c r="P80" s="11">
        <v>0.0</v>
      </c>
      <c r="Q80" s="14">
        <v>0.0</v>
      </c>
      <c r="R80" s="11">
        <v>1.0</v>
      </c>
      <c r="S80">
        <f t="shared" si="1"/>
        <v>2024</v>
      </c>
      <c r="T80">
        <f t="shared" si="2"/>
        <v>9</v>
      </c>
      <c r="U80">
        <f t="shared" si="3"/>
        <v>1</v>
      </c>
      <c r="AG80" s="15"/>
      <c r="AH80" s="16"/>
      <c r="AM80" s="15"/>
      <c r="AN80" s="16"/>
    </row>
    <row r="81">
      <c r="A81" s="19" t="s">
        <v>260</v>
      </c>
      <c r="B81" s="20">
        <v>45536.0</v>
      </c>
      <c r="C81" s="21" t="s">
        <v>49</v>
      </c>
      <c r="D81" s="21" t="s">
        <v>58</v>
      </c>
      <c r="E81" s="21" t="s">
        <v>39</v>
      </c>
      <c r="F81" s="21" t="s">
        <v>40</v>
      </c>
      <c r="G81" s="21" t="s">
        <v>45</v>
      </c>
      <c r="H81" s="21" t="s">
        <v>119</v>
      </c>
      <c r="I81" s="21" t="s">
        <v>74</v>
      </c>
      <c r="J81" s="18">
        <v>29.0</v>
      </c>
      <c r="K81" s="22"/>
      <c r="L81" s="21"/>
      <c r="M81" s="21">
        <v>656755.0</v>
      </c>
      <c r="N81" s="21">
        <v>21319.0</v>
      </c>
      <c r="O81" s="19"/>
      <c r="P81" s="21">
        <v>0.0</v>
      </c>
      <c r="Q81" s="23">
        <v>0.0</v>
      </c>
      <c r="R81" s="21">
        <v>1.0</v>
      </c>
      <c r="S81">
        <f t="shared" si="1"/>
        <v>2024</v>
      </c>
      <c r="T81">
        <f t="shared" si="2"/>
        <v>9</v>
      </c>
      <c r="U81">
        <f t="shared" si="3"/>
        <v>1</v>
      </c>
      <c r="V81" s="24"/>
      <c r="W81" s="24"/>
      <c r="X81" s="24"/>
      <c r="Y81" s="24"/>
      <c r="Z81" s="25"/>
      <c r="AA81" s="24"/>
      <c r="AB81" s="24"/>
      <c r="AC81" s="24"/>
      <c r="AD81" s="24"/>
      <c r="AE81" s="24"/>
      <c r="AF81" s="24"/>
      <c r="AG81" s="26"/>
      <c r="AH81" s="27"/>
      <c r="AI81" s="24"/>
      <c r="AJ81" s="24"/>
      <c r="AK81" s="24"/>
      <c r="AL81" s="24"/>
      <c r="AM81" s="26"/>
      <c r="AN81" s="27"/>
      <c r="AO81" s="24"/>
      <c r="AP81" s="24"/>
    </row>
    <row r="82">
      <c r="A82" s="9" t="s">
        <v>261</v>
      </c>
      <c r="B82" s="10">
        <v>45536.0</v>
      </c>
      <c r="C82" s="11" t="s">
        <v>235</v>
      </c>
      <c r="D82" s="11" t="s">
        <v>58</v>
      </c>
      <c r="E82" s="11" t="s">
        <v>39</v>
      </c>
      <c r="F82" s="11" t="s">
        <v>40</v>
      </c>
      <c r="G82" s="18" t="s">
        <v>45</v>
      </c>
      <c r="H82" s="11" t="s">
        <v>56</v>
      </c>
      <c r="I82" s="11" t="s">
        <v>262</v>
      </c>
      <c r="J82" s="11">
        <v>24.0</v>
      </c>
      <c r="K82" s="12"/>
      <c r="L82" s="11"/>
      <c r="M82" s="11">
        <v>689149.0</v>
      </c>
      <c r="N82" s="11" t="s">
        <v>263</v>
      </c>
      <c r="O82" s="13"/>
      <c r="P82" s="11">
        <v>0.0</v>
      </c>
      <c r="Q82" s="14">
        <v>0.0</v>
      </c>
      <c r="R82" s="11">
        <v>1.0</v>
      </c>
      <c r="S82">
        <f t="shared" si="1"/>
        <v>2024</v>
      </c>
      <c r="T82">
        <f t="shared" si="2"/>
        <v>9</v>
      </c>
      <c r="U82">
        <f t="shared" si="3"/>
        <v>1</v>
      </c>
      <c r="AG82" s="15"/>
      <c r="AH82" s="16"/>
      <c r="AM82" s="15"/>
      <c r="AN82" s="16"/>
    </row>
    <row r="83">
      <c r="A83" s="9" t="s">
        <v>264</v>
      </c>
      <c r="B83" s="10">
        <v>45536.0</v>
      </c>
      <c r="C83" s="11" t="s">
        <v>235</v>
      </c>
      <c r="D83" s="11" t="s">
        <v>97</v>
      </c>
      <c r="E83" s="11" t="s">
        <v>39</v>
      </c>
      <c r="F83" s="11" t="s">
        <v>40</v>
      </c>
      <c r="G83" s="18" t="s">
        <v>45</v>
      </c>
      <c r="H83" s="11" t="s">
        <v>265</v>
      </c>
      <c r="I83" s="11"/>
      <c r="J83" s="11">
        <v>20.0</v>
      </c>
      <c r="K83" s="12"/>
      <c r="L83" s="11"/>
      <c r="M83" s="11">
        <v>804526.0</v>
      </c>
      <c r="N83" s="11" t="s">
        <v>266</v>
      </c>
      <c r="O83" s="13"/>
      <c r="P83" s="11">
        <v>0.0</v>
      </c>
      <c r="Q83" s="14">
        <v>0.0</v>
      </c>
      <c r="R83" s="11">
        <v>1.0</v>
      </c>
      <c r="S83">
        <f t="shared" si="1"/>
        <v>2024</v>
      </c>
      <c r="T83">
        <f t="shared" si="2"/>
        <v>9</v>
      </c>
      <c r="U83">
        <f t="shared" si="3"/>
        <v>1</v>
      </c>
      <c r="AG83" s="15"/>
      <c r="AH83" s="16"/>
      <c r="AM83" s="15"/>
      <c r="AN83" s="16"/>
    </row>
    <row r="84">
      <c r="A84" s="9" t="s">
        <v>267</v>
      </c>
      <c r="B84" s="10">
        <v>45536.0</v>
      </c>
      <c r="C84" s="11" t="s">
        <v>235</v>
      </c>
      <c r="D84" s="11" t="s">
        <v>88</v>
      </c>
      <c r="E84" s="11" t="s">
        <v>39</v>
      </c>
      <c r="F84" s="11" t="s">
        <v>40</v>
      </c>
      <c r="G84" s="18" t="s">
        <v>45</v>
      </c>
      <c r="H84" s="11" t="s">
        <v>112</v>
      </c>
      <c r="I84" s="11" t="s">
        <v>112</v>
      </c>
      <c r="J84" s="11">
        <v>22.0</v>
      </c>
      <c r="K84" s="12"/>
      <c r="L84" s="11"/>
      <c r="M84" s="11">
        <v>804544.0</v>
      </c>
      <c r="N84" s="11" t="s">
        <v>268</v>
      </c>
      <c r="O84" s="13"/>
      <c r="P84" s="11">
        <v>0.0</v>
      </c>
      <c r="Q84" s="14">
        <v>0.0</v>
      </c>
      <c r="R84" s="11">
        <v>1.0</v>
      </c>
      <c r="S84">
        <f t="shared" si="1"/>
        <v>2024</v>
      </c>
      <c r="T84">
        <f t="shared" si="2"/>
        <v>9</v>
      </c>
      <c r="U84">
        <f t="shared" si="3"/>
        <v>1</v>
      </c>
      <c r="AG84" s="15"/>
      <c r="AH84" s="16"/>
      <c r="AM84" s="15"/>
      <c r="AN84" s="16"/>
    </row>
    <row r="85">
      <c r="A85" s="9" t="s">
        <v>269</v>
      </c>
      <c r="B85" s="10">
        <v>45532.0</v>
      </c>
      <c r="C85" s="11" t="s">
        <v>138</v>
      </c>
      <c r="D85" s="11" t="s">
        <v>38</v>
      </c>
      <c r="E85" s="11" t="s">
        <v>270</v>
      </c>
      <c r="F85" s="11" t="s">
        <v>271</v>
      </c>
      <c r="G85" s="18" t="s">
        <v>41</v>
      </c>
      <c r="H85" s="11"/>
      <c r="I85" s="11"/>
      <c r="J85" s="11">
        <v>29.0</v>
      </c>
      <c r="K85" s="12">
        <v>45743.0</v>
      </c>
      <c r="L85" s="11">
        <f>ROUND(((K85-B85)/365)*12,0)</f>
        <v>7</v>
      </c>
      <c r="M85" s="11">
        <v>622761.0</v>
      </c>
      <c r="N85" s="11">
        <v>17273.0</v>
      </c>
      <c r="O85" s="13" t="s">
        <v>42</v>
      </c>
      <c r="P85" s="11">
        <v>0.0</v>
      </c>
      <c r="Q85" s="14">
        <v>0.0</v>
      </c>
      <c r="R85" s="11">
        <v>1.0</v>
      </c>
      <c r="S85">
        <f t="shared" si="1"/>
        <v>2024</v>
      </c>
      <c r="T85">
        <f t="shared" si="2"/>
        <v>8</v>
      </c>
      <c r="U85">
        <f t="shared" si="3"/>
        <v>28</v>
      </c>
      <c r="Z85" s="17">
        <v>45743.0</v>
      </c>
      <c r="AG85" s="15"/>
      <c r="AH85" s="16"/>
      <c r="AM85" s="15"/>
      <c r="AN85" s="16"/>
    </row>
    <row r="86">
      <c r="A86" s="9" t="s">
        <v>272</v>
      </c>
      <c r="B86" s="10">
        <v>45511.0</v>
      </c>
      <c r="C86" s="11" t="s">
        <v>167</v>
      </c>
      <c r="D86" s="11" t="s">
        <v>58</v>
      </c>
      <c r="E86" s="11" t="s">
        <v>39</v>
      </c>
      <c r="F86" s="11" t="s">
        <v>40</v>
      </c>
      <c r="G86" s="18" t="s">
        <v>53</v>
      </c>
      <c r="H86" s="11"/>
      <c r="I86" s="11"/>
      <c r="J86" s="11">
        <v>29.0</v>
      </c>
      <c r="K86" s="12"/>
      <c r="L86" s="11"/>
      <c r="M86" s="11">
        <v>640470.0</v>
      </c>
      <c r="N86" s="11">
        <v>17859.0</v>
      </c>
      <c r="O86" s="13" t="s">
        <v>42</v>
      </c>
      <c r="P86" s="11">
        <v>0.0</v>
      </c>
      <c r="Q86" s="14">
        <v>0.0</v>
      </c>
      <c r="R86" s="11">
        <v>1.0</v>
      </c>
      <c r="S86">
        <f t="shared" si="1"/>
        <v>2024</v>
      </c>
      <c r="T86">
        <f t="shared" si="2"/>
        <v>8</v>
      </c>
      <c r="U86">
        <f t="shared" si="3"/>
        <v>7</v>
      </c>
      <c r="AG86" s="15"/>
      <c r="AH86" s="16"/>
      <c r="AM86" s="15"/>
      <c r="AN86" s="16"/>
    </row>
    <row r="87">
      <c r="A87" s="9" t="s">
        <v>273</v>
      </c>
      <c r="B87" s="10">
        <v>45511.0</v>
      </c>
      <c r="C87" s="11" t="s">
        <v>274</v>
      </c>
      <c r="D87" s="11" t="s">
        <v>38</v>
      </c>
      <c r="E87" s="11" t="s">
        <v>39</v>
      </c>
      <c r="F87" s="11" t="s">
        <v>40</v>
      </c>
      <c r="G87" s="18" t="s">
        <v>41</v>
      </c>
      <c r="H87" s="11"/>
      <c r="I87" s="11"/>
      <c r="J87" s="11">
        <v>25.0</v>
      </c>
      <c r="K87" s="12"/>
      <c r="L87" s="11"/>
      <c r="M87" s="11">
        <v>665622.0</v>
      </c>
      <c r="N87" s="11">
        <v>21649.0</v>
      </c>
      <c r="O87" s="13" t="s">
        <v>42</v>
      </c>
      <c r="P87" s="11">
        <v>0.0</v>
      </c>
      <c r="Q87" s="14">
        <v>0.0</v>
      </c>
      <c r="R87" s="11">
        <v>1.0</v>
      </c>
      <c r="S87">
        <f t="shared" si="1"/>
        <v>2024</v>
      </c>
      <c r="T87">
        <f t="shared" si="2"/>
        <v>8</v>
      </c>
      <c r="U87">
        <f t="shared" si="3"/>
        <v>7</v>
      </c>
      <c r="AG87" s="15"/>
      <c r="AH87" s="16"/>
      <c r="AM87" s="15"/>
      <c r="AN87" s="16"/>
    </row>
    <row r="88">
      <c r="A88" s="9" t="s">
        <v>275</v>
      </c>
      <c r="B88" s="10">
        <v>45505.0</v>
      </c>
      <c r="C88" s="11" t="s">
        <v>72</v>
      </c>
      <c r="D88" s="11" t="s">
        <v>77</v>
      </c>
      <c r="E88" s="11" t="s">
        <v>39</v>
      </c>
      <c r="F88" s="11" t="s">
        <v>40</v>
      </c>
      <c r="G88" s="18" t="s">
        <v>45</v>
      </c>
      <c r="H88" s="11" t="s">
        <v>276</v>
      </c>
      <c r="I88" s="11" t="s">
        <v>276</v>
      </c>
      <c r="J88" s="11">
        <v>24.0</v>
      </c>
      <c r="K88" s="12"/>
      <c r="L88" s="11"/>
      <c r="M88" s="11">
        <v>804596.0</v>
      </c>
      <c r="N88" s="11" t="s">
        <v>277</v>
      </c>
      <c r="O88" s="13"/>
      <c r="P88" s="11">
        <v>0.0</v>
      </c>
      <c r="Q88" s="14">
        <v>0.0</v>
      </c>
      <c r="R88" s="11">
        <v>1.0</v>
      </c>
      <c r="S88">
        <f t="shared" si="1"/>
        <v>2024</v>
      </c>
      <c r="T88">
        <f t="shared" si="2"/>
        <v>8</v>
      </c>
      <c r="U88">
        <f t="shared" si="3"/>
        <v>1</v>
      </c>
      <c r="AG88" s="15"/>
      <c r="AH88" s="16"/>
      <c r="AM88" s="15"/>
      <c r="AN88" s="16"/>
    </row>
    <row r="89">
      <c r="A89" s="9" t="s">
        <v>278</v>
      </c>
      <c r="B89" s="10">
        <v>45505.0</v>
      </c>
      <c r="C89" s="11" t="s">
        <v>167</v>
      </c>
      <c r="D89" s="11" t="s">
        <v>93</v>
      </c>
      <c r="E89" s="11" t="s">
        <v>279</v>
      </c>
      <c r="F89" s="11" t="s">
        <v>40</v>
      </c>
      <c r="G89" s="18" t="s">
        <v>45</v>
      </c>
      <c r="H89" s="11" t="s">
        <v>163</v>
      </c>
      <c r="I89" s="11" t="s">
        <v>280</v>
      </c>
      <c r="J89" s="11">
        <v>20.0</v>
      </c>
      <c r="K89" s="12">
        <v>45751.0</v>
      </c>
      <c r="L89" s="11">
        <f>ROUND(((K89-B89)/365)*12,0)</f>
        <v>8</v>
      </c>
      <c r="M89" s="11">
        <v>695573.0</v>
      </c>
      <c r="N89" s="11" t="s">
        <v>281</v>
      </c>
      <c r="O89" s="13" t="s">
        <v>282</v>
      </c>
      <c r="P89" s="11">
        <v>0.0</v>
      </c>
      <c r="Q89" s="14">
        <v>0.0</v>
      </c>
      <c r="R89" s="11">
        <v>1.0</v>
      </c>
      <c r="S89">
        <f t="shared" si="1"/>
        <v>2024</v>
      </c>
      <c r="T89">
        <f t="shared" si="2"/>
        <v>8</v>
      </c>
      <c r="U89">
        <f t="shared" si="3"/>
        <v>1</v>
      </c>
      <c r="Z89" s="17">
        <v>45751.0</v>
      </c>
      <c r="AG89" s="15"/>
      <c r="AH89" s="16"/>
      <c r="AM89" s="15"/>
      <c r="AN89" s="16"/>
    </row>
    <row r="90">
      <c r="A90" s="9" t="s">
        <v>283</v>
      </c>
      <c r="B90" s="10">
        <v>45505.0</v>
      </c>
      <c r="C90" s="11" t="s">
        <v>126</v>
      </c>
      <c r="D90" s="11" t="s">
        <v>38</v>
      </c>
      <c r="E90" s="11" t="s">
        <v>39</v>
      </c>
      <c r="F90" s="11" t="s">
        <v>40</v>
      </c>
      <c r="G90" s="18" t="s">
        <v>45</v>
      </c>
      <c r="H90" s="11" t="s">
        <v>127</v>
      </c>
      <c r="I90" s="11" t="s">
        <v>127</v>
      </c>
      <c r="J90" s="11">
        <v>25.0</v>
      </c>
      <c r="K90" s="12"/>
      <c r="L90" s="11"/>
      <c r="M90" s="11">
        <v>689981.0</v>
      </c>
      <c r="N90" s="11">
        <v>29514.0</v>
      </c>
      <c r="O90" s="13" t="s">
        <v>69</v>
      </c>
      <c r="P90" s="11">
        <v>0.0</v>
      </c>
      <c r="Q90" s="14">
        <v>0.0</v>
      </c>
      <c r="R90" s="11">
        <v>1.0</v>
      </c>
      <c r="S90">
        <f t="shared" si="1"/>
        <v>2024</v>
      </c>
      <c r="T90">
        <f t="shared" si="2"/>
        <v>8</v>
      </c>
      <c r="U90">
        <f t="shared" si="3"/>
        <v>1</v>
      </c>
      <c r="AG90" s="15"/>
      <c r="AH90" s="16"/>
      <c r="AM90" s="15"/>
      <c r="AN90" s="16"/>
    </row>
    <row r="91">
      <c r="A91" s="9" t="s">
        <v>284</v>
      </c>
      <c r="B91" s="10">
        <v>45505.0</v>
      </c>
      <c r="C91" s="11" t="s">
        <v>103</v>
      </c>
      <c r="D91" s="11" t="s">
        <v>77</v>
      </c>
      <c r="E91" s="11" t="s">
        <v>270</v>
      </c>
      <c r="F91" s="11" t="s">
        <v>40</v>
      </c>
      <c r="G91" s="18" t="s">
        <v>45</v>
      </c>
      <c r="H91" s="11" t="s">
        <v>67</v>
      </c>
      <c r="I91" s="11" t="s">
        <v>285</v>
      </c>
      <c r="J91" s="11">
        <v>21.0</v>
      </c>
      <c r="K91" s="12">
        <v>45744.0</v>
      </c>
      <c r="L91" s="11">
        <f t="shared" ref="L91:L92" si="4">ROUND(((K91-B91)/365)*12,0)</f>
        <v>8</v>
      </c>
      <c r="M91" s="11">
        <v>807712.0</v>
      </c>
      <c r="N91" s="11">
        <v>33321.0</v>
      </c>
      <c r="O91" s="13"/>
      <c r="P91" s="11">
        <v>0.0</v>
      </c>
      <c r="Q91" s="14">
        <v>0.0</v>
      </c>
      <c r="R91" s="11">
        <v>1.0</v>
      </c>
      <c r="S91">
        <f t="shared" si="1"/>
        <v>2024</v>
      </c>
      <c r="T91">
        <f t="shared" si="2"/>
        <v>8</v>
      </c>
      <c r="U91">
        <f t="shared" si="3"/>
        <v>1</v>
      </c>
      <c r="Z91" s="17">
        <v>45744.0</v>
      </c>
      <c r="AG91" s="15"/>
      <c r="AH91" s="16"/>
      <c r="AM91" s="15"/>
      <c r="AN91" s="16"/>
    </row>
    <row r="92">
      <c r="A92" s="9" t="s">
        <v>286</v>
      </c>
      <c r="B92" s="10">
        <v>45503.0</v>
      </c>
      <c r="C92" s="11" t="s">
        <v>126</v>
      </c>
      <c r="D92" s="11" t="s">
        <v>58</v>
      </c>
      <c r="E92" s="11" t="s">
        <v>39</v>
      </c>
      <c r="F92" s="11" t="s">
        <v>40</v>
      </c>
      <c r="G92" s="18" t="s">
        <v>45</v>
      </c>
      <c r="H92" s="11" t="s">
        <v>67</v>
      </c>
      <c r="I92" s="11" t="s">
        <v>287</v>
      </c>
      <c r="J92" s="11">
        <v>26.0</v>
      </c>
      <c r="K92" s="12">
        <v>45902.0</v>
      </c>
      <c r="L92" s="11">
        <f t="shared" si="4"/>
        <v>13</v>
      </c>
      <c r="M92" s="11">
        <v>669165.0</v>
      </c>
      <c r="N92" s="11">
        <v>27514.0</v>
      </c>
      <c r="O92" s="13" t="s">
        <v>69</v>
      </c>
      <c r="P92" s="11">
        <v>0.0</v>
      </c>
      <c r="Q92" s="14">
        <v>0.0</v>
      </c>
      <c r="R92" s="11">
        <v>1.0</v>
      </c>
      <c r="S92">
        <f t="shared" si="1"/>
        <v>2024</v>
      </c>
      <c r="T92">
        <f t="shared" si="2"/>
        <v>7</v>
      </c>
      <c r="U92">
        <f t="shared" si="3"/>
        <v>30</v>
      </c>
      <c r="Z92" s="17">
        <v>45902.0</v>
      </c>
      <c r="AG92" s="15"/>
      <c r="AH92" s="16"/>
      <c r="AM92" s="15"/>
      <c r="AN92" s="16"/>
    </row>
    <row r="93">
      <c r="A93" s="9" t="s">
        <v>288</v>
      </c>
      <c r="B93" s="10">
        <v>45503.0</v>
      </c>
      <c r="C93" s="11" t="s">
        <v>235</v>
      </c>
      <c r="D93" s="11" t="s">
        <v>58</v>
      </c>
      <c r="E93" s="11" t="s">
        <v>39</v>
      </c>
      <c r="F93" s="11" t="s">
        <v>64</v>
      </c>
      <c r="G93" s="18" t="s">
        <v>45</v>
      </c>
      <c r="H93" s="11" t="s">
        <v>67</v>
      </c>
      <c r="I93" s="11" t="s">
        <v>289</v>
      </c>
      <c r="J93" s="11">
        <v>21.0</v>
      </c>
      <c r="K93" s="12"/>
      <c r="L93" s="11"/>
      <c r="M93" s="11">
        <v>694357.0</v>
      </c>
      <c r="N93" s="11" t="s">
        <v>290</v>
      </c>
      <c r="O93" s="13" t="s">
        <v>69</v>
      </c>
      <c r="P93" s="11">
        <v>0.0</v>
      </c>
      <c r="Q93" s="14">
        <v>0.0</v>
      </c>
      <c r="R93" s="11">
        <v>1.0</v>
      </c>
      <c r="S93">
        <f t="shared" si="1"/>
        <v>2024</v>
      </c>
      <c r="T93">
        <f t="shared" si="2"/>
        <v>7</v>
      </c>
      <c r="U93">
        <f t="shared" si="3"/>
        <v>30</v>
      </c>
      <c r="AG93" s="15"/>
      <c r="AH93" s="16"/>
      <c r="AM93" s="15"/>
      <c r="AN93" s="16"/>
    </row>
    <row r="94">
      <c r="A94" s="9" t="s">
        <v>291</v>
      </c>
      <c r="B94" s="10">
        <v>45497.0</v>
      </c>
      <c r="C94" s="11" t="s">
        <v>76</v>
      </c>
      <c r="D94" s="11" t="s">
        <v>58</v>
      </c>
      <c r="E94" s="11" t="s">
        <v>39</v>
      </c>
      <c r="F94" s="11" t="s">
        <v>40</v>
      </c>
      <c r="G94" s="18" t="s">
        <v>45</v>
      </c>
      <c r="H94" s="11" t="s">
        <v>59</v>
      </c>
      <c r="I94" s="11" t="s">
        <v>292</v>
      </c>
      <c r="J94" s="11">
        <v>26.0</v>
      </c>
      <c r="K94" s="12"/>
      <c r="L94" s="11"/>
      <c r="M94" s="11">
        <v>680686.0</v>
      </c>
      <c r="N94" s="11">
        <v>24580.0</v>
      </c>
      <c r="O94" s="13" t="s">
        <v>42</v>
      </c>
      <c r="P94" s="11">
        <v>0.0</v>
      </c>
      <c r="Q94" s="14">
        <v>0.0</v>
      </c>
      <c r="R94" s="11">
        <v>1.0</v>
      </c>
      <c r="S94">
        <f t="shared" si="1"/>
        <v>2024</v>
      </c>
      <c r="T94">
        <f t="shared" si="2"/>
        <v>7</v>
      </c>
      <c r="U94">
        <f t="shared" si="3"/>
        <v>24</v>
      </c>
      <c r="Z94" s="17">
        <v>45907.0</v>
      </c>
      <c r="AG94" s="15"/>
      <c r="AH94" s="16"/>
      <c r="AM94" s="15"/>
      <c r="AN94" s="16"/>
    </row>
    <row r="95">
      <c r="A95" s="9" t="s">
        <v>293</v>
      </c>
      <c r="B95" s="10">
        <v>45485.0</v>
      </c>
      <c r="C95" s="11" t="s">
        <v>49</v>
      </c>
      <c r="D95" s="11" t="s">
        <v>38</v>
      </c>
      <c r="E95" s="11" t="s">
        <v>39</v>
      </c>
      <c r="F95" s="11" t="s">
        <v>40</v>
      </c>
      <c r="G95" s="18" t="s">
        <v>45</v>
      </c>
      <c r="H95" s="11" t="s">
        <v>56</v>
      </c>
      <c r="I95" s="11" t="s">
        <v>294</v>
      </c>
      <c r="J95" s="11">
        <v>30.0</v>
      </c>
      <c r="K95" s="12"/>
      <c r="L95" s="11"/>
      <c r="M95" s="11">
        <v>622098.0</v>
      </c>
      <c r="N95" s="11">
        <v>17755.0</v>
      </c>
      <c r="O95" s="13" t="s">
        <v>42</v>
      </c>
      <c r="P95" s="11">
        <v>0.0</v>
      </c>
      <c r="Q95" s="14">
        <v>0.0</v>
      </c>
      <c r="R95" s="11">
        <v>1.0</v>
      </c>
      <c r="S95">
        <f t="shared" si="1"/>
        <v>2024</v>
      </c>
      <c r="T95">
        <f t="shared" si="2"/>
        <v>7</v>
      </c>
      <c r="U95">
        <f t="shared" si="3"/>
        <v>12</v>
      </c>
      <c r="AG95" s="15"/>
      <c r="AH95" s="16"/>
      <c r="AM95" s="15"/>
      <c r="AN95" s="16"/>
    </row>
    <row r="96">
      <c r="A96" s="9" t="s">
        <v>295</v>
      </c>
      <c r="B96" s="10">
        <v>45484.0</v>
      </c>
      <c r="C96" s="11" t="s">
        <v>150</v>
      </c>
      <c r="D96" s="11" t="s">
        <v>58</v>
      </c>
      <c r="E96" s="11" t="s">
        <v>39</v>
      </c>
      <c r="F96" s="11" t="s">
        <v>40</v>
      </c>
      <c r="G96" s="18" t="s">
        <v>45</v>
      </c>
      <c r="H96" s="18" t="s">
        <v>67</v>
      </c>
      <c r="I96" s="18"/>
      <c r="J96" s="11">
        <v>28.0</v>
      </c>
      <c r="K96" s="12"/>
      <c r="L96" s="11"/>
      <c r="M96" s="11">
        <v>656814.0</v>
      </c>
      <c r="N96" s="11">
        <v>16942.0</v>
      </c>
      <c r="O96" s="13"/>
      <c r="P96" s="11">
        <v>0.0</v>
      </c>
      <c r="Q96" s="14">
        <v>0.0</v>
      </c>
      <c r="R96" s="11">
        <v>1.0</v>
      </c>
      <c r="S96">
        <f t="shared" si="1"/>
        <v>2024</v>
      </c>
      <c r="T96">
        <f t="shared" si="2"/>
        <v>7</v>
      </c>
      <c r="U96">
        <f t="shared" si="3"/>
        <v>11</v>
      </c>
      <c r="AG96" s="15"/>
      <c r="AH96" s="16"/>
      <c r="AM96" s="15"/>
      <c r="AN96" s="16"/>
    </row>
    <row r="97">
      <c r="A97" s="9" t="s">
        <v>296</v>
      </c>
      <c r="B97" s="10">
        <v>45476.0</v>
      </c>
      <c r="C97" s="11" t="s">
        <v>138</v>
      </c>
      <c r="D97" s="11" t="s">
        <v>221</v>
      </c>
      <c r="E97" s="11" t="s">
        <v>39</v>
      </c>
      <c r="F97" s="11" t="s">
        <v>40</v>
      </c>
      <c r="G97" s="18" t="s">
        <v>45</v>
      </c>
      <c r="H97" s="18" t="s">
        <v>67</v>
      </c>
      <c r="I97" s="18" t="s">
        <v>297</v>
      </c>
      <c r="J97" s="11">
        <v>21.0</v>
      </c>
      <c r="K97" s="12">
        <v>45889.0</v>
      </c>
      <c r="L97" s="11">
        <f>ROUND(((K97-B97)/365)*12,0)</f>
        <v>14</v>
      </c>
      <c r="M97" s="11">
        <v>811296.0</v>
      </c>
      <c r="N97" s="11" t="s">
        <v>298</v>
      </c>
      <c r="O97" s="13" t="s">
        <v>42</v>
      </c>
      <c r="P97" s="11">
        <v>0.0</v>
      </c>
      <c r="Q97" s="14">
        <v>0.0</v>
      </c>
      <c r="R97" s="11">
        <v>1.0</v>
      </c>
      <c r="S97">
        <f t="shared" si="1"/>
        <v>2024</v>
      </c>
      <c r="T97">
        <f t="shared" si="2"/>
        <v>7</v>
      </c>
      <c r="U97">
        <f t="shared" si="3"/>
        <v>3</v>
      </c>
      <c r="Z97" s="17">
        <v>45889.0</v>
      </c>
      <c r="AG97" s="15"/>
      <c r="AH97" s="16"/>
      <c r="AM97" s="15"/>
      <c r="AN97" s="16"/>
    </row>
    <row r="98">
      <c r="A98" s="13" t="s">
        <v>299</v>
      </c>
      <c r="B98" s="17">
        <v>45475.0</v>
      </c>
      <c r="C98" s="11" t="s">
        <v>55</v>
      </c>
      <c r="D98" s="11" t="s">
        <v>93</v>
      </c>
      <c r="E98" s="11" t="s">
        <v>39</v>
      </c>
      <c r="F98" s="11" t="s">
        <v>64</v>
      </c>
      <c r="G98" s="18" t="s">
        <v>45</v>
      </c>
      <c r="H98" s="18" t="s">
        <v>129</v>
      </c>
      <c r="I98" s="18"/>
      <c r="J98" s="11"/>
      <c r="K98" s="12"/>
      <c r="L98" s="11"/>
      <c r="M98" s="11"/>
      <c r="N98" s="11"/>
      <c r="O98" s="13"/>
      <c r="P98" s="11">
        <v>0.0</v>
      </c>
      <c r="Q98" s="14">
        <v>0.0</v>
      </c>
      <c r="R98" s="11">
        <v>1.0</v>
      </c>
      <c r="S98">
        <f t="shared" si="1"/>
        <v>2024</v>
      </c>
      <c r="T98">
        <f t="shared" si="2"/>
        <v>7</v>
      </c>
      <c r="U98">
        <f t="shared" si="3"/>
        <v>2</v>
      </c>
      <c r="AG98" s="15"/>
      <c r="AH98" s="16"/>
      <c r="AM98" s="15"/>
      <c r="AN98" s="16"/>
    </row>
    <row r="99">
      <c r="A99" s="9" t="s">
        <v>300</v>
      </c>
      <c r="B99" s="10">
        <v>45474.0</v>
      </c>
      <c r="C99" s="11" t="s">
        <v>116</v>
      </c>
      <c r="D99" s="11" t="s">
        <v>38</v>
      </c>
      <c r="E99" s="11" t="s">
        <v>39</v>
      </c>
      <c r="F99" s="11" t="s">
        <v>64</v>
      </c>
      <c r="G99" s="18" t="s">
        <v>45</v>
      </c>
      <c r="H99" s="18" t="s">
        <v>301</v>
      </c>
      <c r="I99" s="18" t="s">
        <v>302</v>
      </c>
      <c r="J99" s="11">
        <v>29.0</v>
      </c>
      <c r="K99" s="12"/>
      <c r="L99" s="11"/>
      <c r="M99" s="11">
        <v>678061.0</v>
      </c>
      <c r="N99" s="11">
        <v>23809.0</v>
      </c>
      <c r="O99" s="13"/>
      <c r="P99" s="11">
        <v>0.0</v>
      </c>
      <c r="Q99" s="14">
        <v>0.0</v>
      </c>
      <c r="R99" s="11">
        <v>1.0</v>
      </c>
      <c r="S99">
        <f t="shared" si="1"/>
        <v>2024</v>
      </c>
      <c r="T99">
        <f t="shared" si="2"/>
        <v>7</v>
      </c>
      <c r="U99">
        <f t="shared" si="3"/>
        <v>1</v>
      </c>
      <c r="AG99" s="15"/>
      <c r="AH99" s="16"/>
      <c r="AM99" s="15"/>
      <c r="AN99" s="16"/>
    </row>
    <row r="100">
      <c r="A100" s="9" t="s">
        <v>303</v>
      </c>
      <c r="B100" s="10">
        <v>45474.0</v>
      </c>
      <c r="C100" s="11" t="s">
        <v>116</v>
      </c>
      <c r="D100" s="11" t="s">
        <v>88</v>
      </c>
      <c r="E100" s="11" t="s">
        <v>39</v>
      </c>
      <c r="F100" s="11" t="s">
        <v>40</v>
      </c>
      <c r="G100" s="18" t="s">
        <v>45</v>
      </c>
      <c r="H100" s="18" t="s">
        <v>127</v>
      </c>
      <c r="I100" s="18" t="s">
        <v>304</v>
      </c>
      <c r="J100" s="11">
        <v>22.0</v>
      </c>
      <c r="K100" s="12"/>
      <c r="L100" s="11"/>
      <c r="M100" s="11">
        <v>805780.0</v>
      </c>
      <c r="N100" s="11" t="s">
        <v>305</v>
      </c>
      <c r="O100" s="13"/>
      <c r="P100" s="11">
        <v>0.0</v>
      </c>
      <c r="Q100" s="14">
        <v>0.0</v>
      </c>
      <c r="R100" s="11">
        <v>1.0</v>
      </c>
      <c r="S100">
        <f t="shared" si="1"/>
        <v>2024</v>
      </c>
      <c r="T100">
        <f t="shared" si="2"/>
        <v>7</v>
      </c>
      <c r="U100">
        <f t="shared" si="3"/>
        <v>1</v>
      </c>
      <c r="AG100" s="15"/>
      <c r="AH100" s="16"/>
      <c r="AM100" s="15"/>
      <c r="AN100" s="16"/>
    </row>
    <row r="101">
      <c r="A101" s="9" t="s">
        <v>306</v>
      </c>
      <c r="B101" s="10">
        <v>45474.0</v>
      </c>
      <c r="C101" s="11" t="s">
        <v>44</v>
      </c>
      <c r="D101" s="11" t="s">
        <v>221</v>
      </c>
      <c r="E101" s="11" t="s">
        <v>39</v>
      </c>
      <c r="F101" s="11" t="s">
        <v>40</v>
      </c>
      <c r="G101" s="18" t="s">
        <v>53</v>
      </c>
      <c r="H101" s="18"/>
      <c r="I101" s="18"/>
      <c r="J101" s="11">
        <v>20.0</v>
      </c>
      <c r="K101" s="12"/>
      <c r="L101" s="11"/>
      <c r="M101" s="11">
        <v>801787.0</v>
      </c>
      <c r="N101" s="11" t="s">
        <v>307</v>
      </c>
      <c r="O101" s="13"/>
      <c r="P101" s="11">
        <v>0.0</v>
      </c>
      <c r="Q101" s="14">
        <v>0.0</v>
      </c>
      <c r="R101" s="11">
        <v>1.0</v>
      </c>
      <c r="S101">
        <f t="shared" si="1"/>
        <v>2024</v>
      </c>
      <c r="T101">
        <f t="shared" si="2"/>
        <v>7</v>
      </c>
      <c r="U101">
        <f t="shared" si="3"/>
        <v>1</v>
      </c>
      <c r="AG101" s="15"/>
      <c r="AH101" s="16"/>
      <c r="AM101" s="15"/>
      <c r="AN101" s="16"/>
    </row>
    <row r="102">
      <c r="A102" s="9" t="s">
        <v>308</v>
      </c>
      <c r="B102" s="10">
        <v>45474.0</v>
      </c>
      <c r="C102" s="11" t="s">
        <v>37</v>
      </c>
      <c r="D102" s="11" t="s">
        <v>221</v>
      </c>
      <c r="E102" s="11" t="s">
        <v>39</v>
      </c>
      <c r="F102" s="11" t="s">
        <v>40</v>
      </c>
      <c r="G102" s="18" t="s">
        <v>41</v>
      </c>
      <c r="H102" s="18"/>
      <c r="I102" s="18"/>
      <c r="J102" s="11">
        <v>18.0</v>
      </c>
      <c r="K102" s="12">
        <v>45850.0</v>
      </c>
      <c r="L102" s="11">
        <f t="shared" ref="L102:L104" si="5">ROUND(((K102-B102)/365)*12,0)</f>
        <v>12</v>
      </c>
      <c r="M102" s="11">
        <v>808690.0</v>
      </c>
      <c r="N102" s="11" t="s">
        <v>309</v>
      </c>
      <c r="O102" s="13"/>
      <c r="P102" s="11">
        <v>0.0</v>
      </c>
      <c r="Q102" s="14">
        <v>0.0</v>
      </c>
      <c r="R102" s="11">
        <v>1.0</v>
      </c>
      <c r="S102">
        <f t="shared" si="1"/>
        <v>2024</v>
      </c>
      <c r="T102">
        <f t="shared" si="2"/>
        <v>7</v>
      </c>
      <c r="U102">
        <f t="shared" si="3"/>
        <v>1</v>
      </c>
      <c r="Z102" s="17">
        <v>45850.0</v>
      </c>
      <c r="AG102" s="15"/>
      <c r="AH102" s="16"/>
      <c r="AM102" s="15"/>
      <c r="AN102" s="16"/>
    </row>
    <row r="103">
      <c r="A103" s="9" t="s">
        <v>310</v>
      </c>
      <c r="B103" s="10">
        <v>45474.0</v>
      </c>
      <c r="C103" s="11" t="s">
        <v>186</v>
      </c>
      <c r="D103" s="11" t="s">
        <v>88</v>
      </c>
      <c r="E103" s="11" t="s">
        <v>39</v>
      </c>
      <c r="F103" s="11" t="s">
        <v>40</v>
      </c>
      <c r="G103" s="18" t="s">
        <v>41</v>
      </c>
      <c r="H103" s="18"/>
      <c r="I103" s="18"/>
      <c r="J103" s="11">
        <v>21.0</v>
      </c>
      <c r="K103" s="12">
        <v>45857.0</v>
      </c>
      <c r="L103" s="11">
        <f t="shared" si="5"/>
        <v>13</v>
      </c>
      <c r="M103" s="11">
        <v>692030.0</v>
      </c>
      <c r="N103" s="11" t="s">
        <v>311</v>
      </c>
      <c r="O103" s="13"/>
      <c r="P103" s="11">
        <v>0.0</v>
      </c>
      <c r="Q103" s="14">
        <v>0.0</v>
      </c>
      <c r="R103" s="11">
        <v>1.0</v>
      </c>
      <c r="S103">
        <f t="shared" si="1"/>
        <v>2024</v>
      </c>
      <c r="T103">
        <f t="shared" si="2"/>
        <v>7</v>
      </c>
      <c r="U103">
        <f t="shared" si="3"/>
        <v>1</v>
      </c>
      <c r="Z103" s="17">
        <v>45841.0</v>
      </c>
      <c r="AG103" s="15"/>
      <c r="AH103" s="16"/>
      <c r="AM103" s="15"/>
      <c r="AN103" s="16"/>
    </row>
    <row r="104">
      <c r="A104" s="9" t="s">
        <v>312</v>
      </c>
      <c r="B104" s="10">
        <v>45474.0</v>
      </c>
      <c r="C104" s="11" t="s">
        <v>235</v>
      </c>
      <c r="D104" s="11" t="s">
        <v>88</v>
      </c>
      <c r="E104" s="11" t="s">
        <v>39</v>
      </c>
      <c r="F104" s="11" t="s">
        <v>40</v>
      </c>
      <c r="G104" s="18" t="s">
        <v>45</v>
      </c>
      <c r="H104" s="18" t="s">
        <v>262</v>
      </c>
      <c r="I104" s="18" t="s">
        <v>140</v>
      </c>
      <c r="J104" s="11">
        <v>24.0</v>
      </c>
      <c r="K104" s="12">
        <v>45815.0</v>
      </c>
      <c r="L104" s="11">
        <f t="shared" si="5"/>
        <v>11</v>
      </c>
      <c r="M104" s="11">
        <v>687226.0</v>
      </c>
      <c r="N104" s="11" t="s">
        <v>313</v>
      </c>
      <c r="O104" s="13"/>
      <c r="P104" s="11">
        <v>0.0</v>
      </c>
      <c r="Q104" s="14">
        <v>0.0</v>
      </c>
      <c r="R104" s="11">
        <v>1.0</v>
      </c>
      <c r="S104">
        <f t="shared" si="1"/>
        <v>2024</v>
      </c>
      <c r="T104">
        <f t="shared" si="2"/>
        <v>7</v>
      </c>
      <c r="U104">
        <f t="shared" si="3"/>
        <v>1</v>
      </c>
      <c r="Y104" s="17">
        <v>45746.0</v>
      </c>
      <c r="Z104" s="17">
        <v>45785.0</v>
      </c>
      <c r="AG104" s="15"/>
      <c r="AH104" s="16"/>
      <c r="AM104" s="15"/>
      <c r="AN104" s="16"/>
    </row>
    <row r="105">
      <c r="A105" s="9" t="s">
        <v>314</v>
      </c>
      <c r="B105" s="10">
        <v>45467.0</v>
      </c>
      <c r="C105" s="11" t="s">
        <v>55</v>
      </c>
      <c r="D105" s="11" t="s">
        <v>38</v>
      </c>
      <c r="E105" s="11" t="s">
        <v>39</v>
      </c>
      <c r="F105" s="11" t="s">
        <v>64</v>
      </c>
      <c r="G105" s="18" t="s">
        <v>45</v>
      </c>
      <c r="H105" s="18" t="s">
        <v>67</v>
      </c>
      <c r="I105" s="18" t="s">
        <v>315</v>
      </c>
      <c r="J105" s="11">
        <v>25.0</v>
      </c>
      <c r="K105" s="12"/>
      <c r="L105" s="11"/>
      <c r="M105" s="11">
        <v>688107.0</v>
      </c>
      <c r="N105" s="11">
        <v>29812.0</v>
      </c>
      <c r="O105" s="13" t="s">
        <v>42</v>
      </c>
      <c r="P105" s="11">
        <v>0.0</v>
      </c>
      <c r="Q105" s="14">
        <v>0.0</v>
      </c>
      <c r="R105" s="11">
        <v>1.0</v>
      </c>
      <c r="S105">
        <f t="shared" si="1"/>
        <v>2024</v>
      </c>
      <c r="T105">
        <f t="shared" si="2"/>
        <v>6</v>
      </c>
      <c r="U105">
        <f t="shared" si="3"/>
        <v>24</v>
      </c>
      <c r="Z105" s="17">
        <v>45857.0</v>
      </c>
      <c r="AG105" s="15"/>
      <c r="AH105" s="16"/>
      <c r="AM105" s="15"/>
      <c r="AN105" s="16"/>
    </row>
    <row r="106">
      <c r="A106" s="9" t="s">
        <v>316</v>
      </c>
      <c r="B106" s="10">
        <v>45462.0</v>
      </c>
      <c r="C106" s="11" t="s">
        <v>138</v>
      </c>
      <c r="D106" s="11" t="s">
        <v>38</v>
      </c>
      <c r="E106" s="11" t="s">
        <v>39</v>
      </c>
      <c r="F106" s="11" t="s">
        <v>40</v>
      </c>
      <c r="G106" s="18" t="s">
        <v>45</v>
      </c>
      <c r="H106" s="18" t="s">
        <v>317</v>
      </c>
      <c r="I106" s="18" t="s">
        <v>318</v>
      </c>
      <c r="J106" s="11">
        <v>27.0</v>
      </c>
      <c r="K106" s="12">
        <v>45895.0</v>
      </c>
      <c r="L106" s="11">
        <f>ROUND(((K106-B106)/365)*12,0)</f>
        <v>14</v>
      </c>
      <c r="M106" s="11">
        <v>680694.0</v>
      </c>
      <c r="N106" s="11">
        <v>24586.0</v>
      </c>
      <c r="O106" s="13" t="s">
        <v>42</v>
      </c>
      <c r="P106" s="11">
        <v>0.0</v>
      </c>
      <c r="Q106" s="14">
        <v>0.0</v>
      </c>
      <c r="R106" s="11">
        <v>1.0</v>
      </c>
      <c r="S106">
        <f t="shared" si="1"/>
        <v>2024</v>
      </c>
      <c r="T106">
        <f t="shared" si="2"/>
        <v>6</v>
      </c>
      <c r="U106">
        <f t="shared" si="3"/>
        <v>19</v>
      </c>
      <c r="Z106" s="17">
        <v>45862.0</v>
      </c>
      <c r="AG106" s="15"/>
      <c r="AH106" s="16"/>
      <c r="AM106" s="15"/>
      <c r="AN106" s="16"/>
    </row>
    <row r="107">
      <c r="A107" s="9" t="s">
        <v>319</v>
      </c>
      <c r="B107" s="10">
        <v>45460.0</v>
      </c>
      <c r="C107" s="11" t="s">
        <v>235</v>
      </c>
      <c r="D107" s="11" t="s">
        <v>38</v>
      </c>
      <c r="E107" s="11" t="s">
        <v>39</v>
      </c>
      <c r="F107" s="11" t="s">
        <v>40</v>
      </c>
      <c r="G107" s="18" t="s">
        <v>45</v>
      </c>
      <c r="H107" s="18" t="s">
        <v>84</v>
      </c>
      <c r="I107" s="18" t="s">
        <v>320</v>
      </c>
      <c r="J107" s="11">
        <v>26.0</v>
      </c>
      <c r="K107" s="12"/>
      <c r="L107" s="11"/>
      <c r="M107" s="11">
        <v>666201.0</v>
      </c>
      <c r="N107" s="11">
        <v>26410.0</v>
      </c>
      <c r="O107" s="13" t="s">
        <v>42</v>
      </c>
      <c r="P107" s="11">
        <v>0.0</v>
      </c>
      <c r="Q107" s="14">
        <v>0.0</v>
      </c>
      <c r="R107" s="11">
        <v>1.0</v>
      </c>
      <c r="S107">
        <f t="shared" si="1"/>
        <v>2024</v>
      </c>
      <c r="T107">
        <f t="shared" si="2"/>
        <v>6</v>
      </c>
      <c r="U107">
        <f t="shared" si="3"/>
        <v>17</v>
      </c>
      <c r="X107" s="17">
        <v>45730.0</v>
      </c>
      <c r="Z107" s="17">
        <v>45852.0</v>
      </c>
      <c r="AG107" s="15"/>
      <c r="AH107" s="16"/>
      <c r="AM107" s="15"/>
      <c r="AN107" s="16"/>
    </row>
    <row r="108">
      <c r="A108" s="9" t="s">
        <v>321</v>
      </c>
      <c r="B108" s="10">
        <v>45454.0</v>
      </c>
      <c r="C108" s="11" t="s">
        <v>186</v>
      </c>
      <c r="D108" s="11" t="s">
        <v>93</v>
      </c>
      <c r="E108" s="11" t="s">
        <v>39</v>
      </c>
      <c r="F108" s="11" t="s">
        <v>40</v>
      </c>
      <c r="G108" s="18" t="s">
        <v>45</v>
      </c>
      <c r="H108" s="18" t="s">
        <v>262</v>
      </c>
      <c r="I108" s="18" t="s">
        <v>262</v>
      </c>
      <c r="J108" s="11">
        <v>20.0</v>
      </c>
      <c r="K108" s="12"/>
      <c r="L108" s="11"/>
      <c r="M108" s="11">
        <v>805706.0</v>
      </c>
      <c r="N108" s="11" t="s">
        <v>322</v>
      </c>
      <c r="O108" s="13"/>
      <c r="P108" s="11">
        <v>0.0</v>
      </c>
      <c r="Q108" s="14">
        <v>0.0</v>
      </c>
      <c r="R108" s="11">
        <v>1.0</v>
      </c>
      <c r="S108">
        <f t="shared" si="1"/>
        <v>2024</v>
      </c>
      <c r="T108">
        <f t="shared" si="2"/>
        <v>6</v>
      </c>
      <c r="U108">
        <f t="shared" si="3"/>
        <v>11</v>
      </c>
      <c r="Y108" s="17"/>
      <c r="AG108" s="15"/>
      <c r="AH108" s="16"/>
      <c r="AM108" s="15"/>
      <c r="AN108" s="16"/>
    </row>
    <row r="109">
      <c r="A109" s="9" t="s">
        <v>323</v>
      </c>
      <c r="B109" s="10">
        <v>45449.0</v>
      </c>
      <c r="C109" s="11" t="s">
        <v>52</v>
      </c>
      <c r="D109" s="11" t="s">
        <v>38</v>
      </c>
      <c r="E109" s="11" t="s">
        <v>39</v>
      </c>
      <c r="F109" s="11" t="s">
        <v>40</v>
      </c>
      <c r="G109" s="18" t="s">
        <v>41</v>
      </c>
      <c r="H109" s="18"/>
      <c r="I109" s="18"/>
      <c r="J109" s="11">
        <v>27.0</v>
      </c>
      <c r="K109" s="12">
        <v>45880.0</v>
      </c>
      <c r="L109" s="11">
        <f>ROUND(((K109-B109)/365)*12,0)</f>
        <v>14</v>
      </c>
      <c r="M109" s="11">
        <v>664299.0</v>
      </c>
      <c r="N109" s="11">
        <v>17606.0</v>
      </c>
      <c r="O109" s="13" t="s">
        <v>42</v>
      </c>
      <c r="P109" s="11">
        <v>0.0</v>
      </c>
      <c r="Q109" s="14">
        <v>0.0</v>
      </c>
      <c r="R109" s="11">
        <v>1.0</v>
      </c>
      <c r="S109">
        <f t="shared" si="1"/>
        <v>2024</v>
      </c>
      <c r="T109">
        <f t="shared" si="2"/>
        <v>6</v>
      </c>
      <c r="U109">
        <f t="shared" si="3"/>
        <v>6</v>
      </c>
      <c r="Y109" s="17">
        <v>45827.0</v>
      </c>
      <c r="Z109" s="17">
        <v>45850.0</v>
      </c>
      <c r="AG109" s="15"/>
      <c r="AH109" s="16"/>
      <c r="AM109" s="15"/>
      <c r="AN109" s="16"/>
    </row>
    <row r="110">
      <c r="A110" s="13" t="s">
        <v>324</v>
      </c>
      <c r="B110" s="17">
        <v>45448.0</v>
      </c>
      <c r="C110" s="11" t="s">
        <v>138</v>
      </c>
      <c r="D110" s="11" t="s">
        <v>213</v>
      </c>
      <c r="E110" s="11" t="s">
        <v>39</v>
      </c>
      <c r="F110" s="11" t="s">
        <v>40</v>
      </c>
      <c r="G110" s="18" t="s">
        <v>45</v>
      </c>
      <c r="H110" s="18" t="s">
        <v>59</v>
      </c>
      <c r="I110" s="18"/>
      <c r="J110" s="11">
        <v>17.0</v>
      </c>
      <c r="K110" s="12"/>
      <c r="L110" s="11"/>
      <c r="M110" s="11"/>
      <c r="N110" s="11"/>
      <c r="O110" s="13"/>
      <c r="P110" s="11">
        <v>0.0</v>
      </c>
      <c r="Q110" s="14">
        <v>0.0</v>
      </c>
      <c r="R110" s="11">
        <v>1.0</v>
      </c>
      <c r="S110">
        <f t="shared" si="1"/>
        <v>2024</v>
      </c>
      <c r="T110">
        <f t="shared" si="2"/>
        <v>6</v>
      </c>
      <c r="U110">
        <f t="shared" si="3"/>
        <v>5</v>
      </c>
      <c r="AG110" s="15"/>
      <c r="AH110" s="16"/>
      <c r="AM110" s="15"/>
      <c r="AN110" s="16"/>
    </row>
    <row r="111">
      <c r="A111" s="9" t="s">
        <v>325</v>
      </c>
      <c r="B111" s="10">
        <v>45448.0</v>
      </c>
      <c r="C111" s="11" t="s">
        <v>52</v>
      </c>
      <c r="D111" s="11" t="s">
        <v>58</v>
      </c>
      <c r="E111" s="11" t="s">
        <v>39</v>
      </c>
      <c r="F111" s="11" t="s">
        <v>40</v>
      </c>
      <c r="G111" s="18" t="s">
        <v>326</v>
      </c>
      <c r="H111" s="18"/>
      <c r="I111" s="18"/>
      <c r="J111" s="11">
        <v>29.0</v>
      </c>
      <c r="K111" s="12">
        <v>45889.0</v>
      </c>
      <c r="L111" s="11">
        <f>ROUND(((K111-B111)/365)*12,0)</f>
        <v>14</v>
      </c>
      <c r="M111" s="11">
        <v>664353.0</v>
      </c>
      <c r="N111" s="11">
        <v>18413.0</v>
      </c>
      <c r="O111" s="13" t="s">
        <v>42</v>
      </c>
      <c r="P111" s="11">
        <v>0.0</v>
      </c>
      <c r="Q111" s="14">
        <v>0.0</v>
      </c>
      <c r="R111" s="11">
        <v>1.0</v>
      </c>
      <c r="S111">
        <f t="shared" si="1"/>
        <v>2024</v>
      </c>
      <c r="T111">
        <f t="shared" si="2"/>
        <v>6</v>
      </c>
      <c r="U111">
        <f t="shared" si="3"/>
        <v>5</v>
      </c>
      <c r="Z111" s="17">
        <v>45872.0</v>
      </c>
      <c r="AG111" s="15"/>
      <c r="AH111" s="16"/>
      <c r="AM111" s="15"/>
      <c r="AN111" s="16"/>
    </row>
    <row r="112">
      <c r="A112" s="9" t="s">
        <v>327</v>
      </c>
      <c r="B112" s="10">
        <v>45446.0</v>
      </c>
      <c r="C112" s="11" t="s">
        <v>138</v>
      </c>
      <c r="D112" s="11" t="s">
        <v>38</v>
      </c>
      <c r="E112" s="11" t="s">
        <v>39</v>
      </c>
      <c r="F112" s="11" t="s">
        <v>64</v>
      </c>
      <c r="G112" s="11" t="s">
        <v>45</v>
      </c>
      <c r="H112" s="11" t="s">
        <v>119</v>
      </c>
      <c r="I112" s="11" t="s">
        <v>328</v>
      </c>
      <c r="J112" s="11">
        <v>31.0</v>
      </c>
      <c r="K112" s="12"/>
      <c r="L112" s="11"/>
      <c r="M112" s="11">
        <v>607644.0</v>
      </c>
      <c r="N112" s="11">
        <v>16269.0</v>
      </c>
      <c r="O112" s="13" t="s">
        <v>42</v>
      </c>
      <c r="P112" s="11">
        <v>0.0</v>
      </c>
      <c r="Q112" s="14">
        <v>0.0</v>
      </c>
      <c r="R112" s="11">
        <v>1.0</v>
      </c>
      <c r="S112">
        <f t="shared" si="1"/>
        <v>2024</v>
      </c>
      <c r="T112">
        <f t="shared" si="2"/>
        <v>6</v>
      </c>
      <c r="U112">
        <f t="shared" si="3"/>
        <v>3</v>
      </c>
      <c r="Z112" s="17">
        <v>45884.0</v>
      </c>
      <c r="AG112" s="15"/>
      <c r="AH112" s="16"/>
      <c r="AM112" s="15"/>
      <c r="AN112" s="16"/>
    </row>
    <row r="113">
      <c r="A113" s="9" t="s">
        <v>329</v>
      </c>
      <c r="B113" s="10">
        <v>45444.0</v>
      </c>
      <c r="C113" s="11" t="s">
        <v>116</v>
      </c>
      <c r="D113" s="11" t="s">
        <v>88</v>
      </c>
      <c r="E113" s="11" t="s">
        <v>39</v>
      </c>
      <c r="F113" s="11" t="s">
        <v>40</v>
      </c>
      <c r="G113" s="18" t="s">
        <v>45</v>
      </c>
      <c r="H113" s="18" t="s">
        <v>73</v>
      </c>
      <c r="I113" s="18"/>
      <c r="J113" s="11">
        <v>20.0</v>
      </c>
      <c r="K113" s="12">
        <v>45871.0</v>
      </c>
      <c r="L113" s="11">
        <f>ROUND(((K113-B113)/365)*12,0)</f>
        <v>14</v>
      </c>
      <c r="M113" s="11">
        <v>702566.0</v>
      </c>
      <c r="N113" s="11" t="s">
        <v>330</v>
      </c>
      <c r="O113" s="13"/>
      <c r="P113" s="11">
        <v>0.0</v>
      </c>
      <c r="Q113" s="14">
        <v>0.0</v>
      </c>
      <c r="R113" s="11">
        <v>1.0</v>
      </c>
      <c r="S113">
        <f t="shared" si="1"/>
        <v>2024</v>
      </c>
      <c r="T113">
        <f t="shared" si="2"/>
        <v>6</v>
      </c>
      <c r="U113">
        <f t="shared" si="3"/>
        <v>1</v>
      </c>
      <c r="Z113" s="17">
        <v>45860.0</v>
      </c>
      <c r="AG113" s="15"/>
      <c r="AH113" s="16"/>
      <c r="AM113" s="15"/>
      <c r="AN113" s="16"/>
    </row>
    <row r="114">
      <c r="A114" s="9" t="s">
        <v>331</v>
      </c>
      <c r="B114" s="10">
        <v>45444.0</v>
      </c>
      <c r="C114" s="11" t="s">
        <v>72</v>
      </c>
      <c r="D114" s="11" t="s">
        <v>77</v>
      </c>
      <c r="E114" s="11" t="s">
        <v>39</v>
      </c>
      <c r="F114" s="11" t="s">
        <v>40</v>
      </c>
      <c r="G114" s="18" t="s">
        <v>53</v>
      </c>
      <c r="H114" s="18"/>
      <c r="I114" s="18"/>
      <c r="J114" s="11">
        <v>22.0</v>
      </c>
      <c r="K114" s="12"/>
      <c r="L114" s="11"/>
      <c r="M114" s="11">
        <v>682785.0</v>
      </c>
      <c r="N114" s="11" t="s">
        <v>332</v>
      </c>
      <c r="O114" s="13"/>
      <c r="P114" s="11">
        <v>0.0</v>
      </c>
      <c r="Q114" s="14">
        <v>0.0</v>
      </c>
      <c r="R114" s="11">
        <v>1.0</v>
      </c>
      <c r="S114">
        <f t="shared" si="1"/>
        <v>2024</v>
      </c>
      <c r="T114">
        <f t="shared" si="2"/>
        <v>6</v>
      </c>
      <c r="U114">
        <f t="shared" si="3"/>
        <v>1</v>
      </c>
      <c r="AG114" s="15"/>
      <c r="AH114" s="16"/>
      <c r="AM114" s="15"/>
      <c r="AN114" s="16"/>
    </row>
    <row r="115">
      <c r="A115" s="9" t="s">
        <v>333</v>
      </c>
      <c r="B115" s="10">
        <v>45444.0</v>
      </c>
      <c r="C115" s="11" t="s">
        <v>72</v>
      </c>
      <c r="D115" s="11" t="s">
        <v>77</v>
      </c>
      <c r="E115" s="11" t="s">
        <v>39</v>
      </c>
      <c r="F115" s="11" t="s">
        <v>40</v>
      </c>
      <c r="G115" s="18" t="s">
        <v>53</v>
      </c>
      <c r="H115" s="18"/>
      <c r="I115" s="18"/>
      <c r="J115" s="11">
        <v>21.0</v>
      </c>
      <c r="K115" s="12">
        <v>45913.0</v>
      </c>
      <c r="L115" s="11">
        <f>ROUND(((K115-B115)/365)*12,0)</f>
        <v>15</v>
      </c>
      <c r="M115" s="11">
        <v>691384.0</v>
      </c>
      <c r="N115" s="11" t="s">
        <v>334</v>
      </c>
      <c r="O115" s="13" t="s">
        <v>335</v>
      </c>
      <c r="P115" s="11">
        <v>0.0</v>
      </c>
      <c r="Q115" s="14">
        <v>0.0</v>
      </c>
      <c r="R115" s="11">
        <v>1.0</v>
      </c>
      <c r="S115">
        <f t="shared" si="1"/>
        <v>2024</v>
      </c>
      <c r="T115">
        <f t="shared" si="2"/>
        <v>6</v>
      </c>
      <c r="U115">
        <f t="shared" si="3"/>
        <v>1</v>
      </c>
      <c r="Z115" s="17">
        <v>45913.0</v>
      </c>
      <c r="AG115" s="15"/>
      <c r="AH115" s="16"/>
      <c r="AM115" s="15"/>
      <c r="AN115" s="16"/>
    </row>
    <row r="116">
      <c r="A116" s="13" t="s">
        <v>336</v>
      </c>
      <c r="B116" s="17">
        <v>45444.0</v>
      </c>
      <c r="C116" s="11" t="s">
        <v>52</v>
      </c>
      <c r="D116" s="11" t="s">
        <v>93</v>
      </c>
      <c r="E116" s="11" t="s">
        <v>39</v>
      </c>
      <c r="F116" s="11" t="s">
        <v>40</v>
      </c>
      <c r="G116" s="18" t="s">
        <v>45</v>
      </c>
      <c r="H116" s="18" t="s">
        <v>67</v>
      </c>
      <c r="I116" s="18" t="s">
        <v>337</v>
      </c>
      <c r="J116" s="11">
        <v>21.0</v>
      </c>
      <c r="K116" s="12"/>
      <c r="L116" s="11"/>
      <c r="M116" s="11">
        <v>801573.0</v>
      </c>
      <c r="N116" s="11" t="s">
        <v>338</v>
      </c>
      <c r="O116" s="13"/>
      <c r="P116" s="11">
        <v>0.0</v>
      </c>
      <c r="Q116" s="14">
        <v>0.0</v>
      </c>
      <c r="R116" s="11">
        <v>1.0</v>
      </c>
      <c r="S116">
        <f t="shared" si="1"/>
        <v>2024</v>
      </c>
      <c r="T116">
        <f t="shared" si="2"/>
        <v>6</v>
      </c>
      <c r="U116">
        <f t="shared" si="3"/>
        <v>1</v>
      </c>
      <c r="AG116" s="15"/>
      <c r="AH116" s="16"/>
      <c r="AM116" s="15"/>
      <c r="AN116" s="16"/>
    </row>
    <row r="117">
      <c r="A117" s="9" t="s">
        <v>339</v>
      </c>
      <c r="B117" s="10">
        <v>45444.0</v>
      </c>
      <c r="C117" s="11" t="s">
        <v>108</v>
      </c>
      <c r="D117" s="11" t="s">
        <v>58</v>
      </c>
      <c r="E117" s="11" t="s">
        <v>118</v>
      </c>
      <c r="F117" s="11" t="s">
        <v>40</v>
      </c>
      <c r="G117" s="18" t="s">
        <v>53</v>
      </c>
      <c r="H117" s="18"/>
      <c r="I117" s="18"/>
      <c r="J117" s="11">
        <v>23.0</v>
      </c>
      <c r="K117" s="12">
        <v>45744.0</v>
      </c>
      <c r="L117" s="11">
        <f t="shared" ref="L117:L119" si="6">ROUND(((K117-B117)/365)*12,0)</f>
        <v>10</v>
      </c>
      <c r="M117" s="11">
        <v>677592.0</v>
      </c>
      <c r="N117" s="11">
        <v>23695.0</v>
      </c>
      <c r="O117" s="13"/>
      <c r="P117" s="11">
        <v>0.0</v>
      </c>
      <c r="Q117" s="14">
        <v>0.0</v>
      </c>
      <c r="R117" s="11">
        <v>1.0</v>
      </c>
      <c r="S117">
        <f t="shared" si="1"/>
        <v>2024</v>
      </c>
      <c r="T117">
        <f t="shared" si="2"/>
        <v>6</v>
      </c>
      <c r="U117">
        <f t="shared" si="3"/>
        <v>1</v>
      </c>
      <c r="Z117" s="17">
        <v>45744.0</v>
      </c>
      <c r="AG117" s="15"/>
      <c r="AH117" s="16"/>
      <c r="AM117" s="15"/>
      <c r="AN117" s="16"/>
    </row>
    <row r="118">
      <c r="A118" s="9" t="s">
        <v>340</v>
      </c>
      <c r="B118" s="10">
        <v>45443.0</v>
      </c>
      <c r="C118" s="11" t="s">
        <v>52</v>
      </c>
      <c r="D118" s="11" t="s">
        <v>88</v>
      </c>
      <c r="E118" s="11" t="s">
        <v>39</v>
      </c>
      <c r="F118" s="11" t="s">
        <v>40</v>
      </c>
      <c r="G118" s="18" t="s">
        <v>45</v>
      </c>
      <c r="H118" s="18"/>
      <c r="I118" s="18" t="s">
        <v>341</v>
      </c>
      <c r="J118" s="11">
        <v>23.0</v>
      </c>
      <c r="K118" s="12">
        <v>45891.0</v>
      </c>
      <c r="L118" s="11">
        <f t="shared" si="6"/>
        <v>15</v>
      </c>
      <c r="M118" s="11">
        <v>801700.0</v>
      </c>
      <c r="N118" s="11" t="s">
        <v>342</v>
      </c>
      <c r="O118" s="13"/>
      <c r="P118" s="11">
        <v>0.0</v>
      </c>
      <c r="Q118" s="14">
        <v>0.0</v>
      </c>
      <c r="R118" s="11">
        <v>1.0</v>
      </c>
      <c r="S118">
        <f t="shared" si="1"/>
        <v>2024</v>
      </c>
      <c r="T118">
        <f t="shared" si="2"/>
        <v>5</v>
      </c>
      <c r="U118">
        <f t="shared" si="3"/>
        <v>31</v>
      </c>
      <c r="Z118" s="17">
        <v>45884.0</v>
      </c>
      <c r="AG118" s="15"/>
      <c r="AH118" s="16"/>
      <c r="AM118" s="15"/>
      <c r="AN118" s="16"/>
    </row>
    <row r="119">
      <c r="A119" s="9" t="s">
        <v>343</v>
      </c>
      <c r="B119" s="10">
        <v>45438.0</v>
      </c>
      <c r="C119" s="11" t="s">
        <v>49</v>
      </c>
      <c r="D119" s="11" t="s">
        <v>38</v>
      </c>
      <c r="E119" s="11" t="s">
        <v>39</v>
      </c>
      <c r="F119" s="11" t="s">
        <v>64</v>
      </c>
      <c r="G119" s="18" t="s">
        <v>45</v>
      </c>
      <c r="H119" s="18" t="s">
        <v>56</v>
      </c>
      <c r="I119" s="18" t="s">
        <v>344</v>
      </c>
      <c r="J119" s="11">
        <v>36.0</v>
      </c>
      <c r="K119" s="12">
        <v>45857.0</v>
      </c>
      <c r="L119" s="11">
        <f t="shared" si="6"/>
        <v>14</v>
      </c>
      <c r="M119" s="11">
        <v>548384.0</v>
      </c>
      <c r="N119" s="11">
        <v>10061.0</v>
      </c>
      <c r="O119" s="13" t="s">
        <v>42</v>
      </c>
      <c r="P119" s="11">
        <v>0.0</v>
      </c>
      <c r="Q119" s="14">
        <v>0.0</v>
      </c>
      <c r="R119" s="11">
        <v>1.0</v>
      </c>
      <c r="S119">
        <f t="shared" si="1"/>
        <v>2024</v>
      </c>
      <c r="T119">
        <f t="shared" si="2"/>
        <v>5</v>
      </c>
      <c r="U119">
        <f t="shared" si="3"/>
        <v>26</v>
      </c>
      <c r="Z119" s="17">
        <v>45825.0</v>
      </c>
      <c r="AG119" s="15"/>
      <c r="AH119" s="16"/>
      <c r="AM119" s="15"/>
      <c r="AN119" s="16"/>
    </row>
    <row r="120">
      <c r="A120" s="9" t="s">
        <v>345</v>
      </c>
      <c r="B120" s="10">
        <v>45429.0</v>
      </c>
      <c r="C120" s="11" t="s">
        <v>346</v>
      </c>
      <c r="D120" s="11" t="s">
        <v>38</v>
      </c>
      <c r="E120" s="11" t="s">
        <v>39</v>
      </c>
      <c r="F120" s="11" t="s">
        <v>40</v>
      </c>
      <c r="G120" s="18" t="s">
        <v>45</v>
      </c>
      <c r="H120" s="18" t="s">
        <v>163</v>
      </c>
      <c r="I120" s="18" t="s">
        <v>347</v>
      </c>
      <c r="J120" s="11">
        <v>26.0</v>
      </c>
      <c r="K120" s="12"/>
      <c r="L120" s="11"/>
      <c r="M120" s="11">
        <v>670219.0</v>
      </c>
      <c r="N120" s="11">
        <v>27585.0</v>
      </c>
      <c r="O120" s="13"/>
      <c r="P120" s="11">
        <v>0.0</v>
      </c>
      <c r="Q120" s="14">
        <v>0.0</v>
      </c>
      <c r="R120" s="11">
        <v>1.0</v>
      </c>
      <c r="S120">
        <f t="shared" si="1"/>
        <v>2024</v>
      </c>
      <c r="T120">
        <f t="shared" si="2"/>
        <v>5</v>
      </c>
      <c r="U120">
        <f t="shared" si="3"/>
        <v>17</v>
      </c>
      <c r="AG120" s="15"/>
      <c r="AH120" s="16"/>
      <c r="AM120" s="15"/>
      <c r="AN120" s="16"/>
    </row>
    <row r="121">
      <c r="A121" s="9" t="s">
        <v>348</v>
      </c>
      <c r="B121" s="10">
        <v>45427.0</v>
      </c>
      <c r="C121" s="11" t="s">
        <v>126</v>
      </c>
      <c r="D121" s="11" t="s">
        <v>38</v>
      </c>
      <c r="E121" s="11" t="s">
        <v>39</v>
      </c>
      <c r="F121" s="11" t="s">
        <v>40</v>
      </c>
      <c r="G121" s="18" t="s">
        <v>45</v>
      </c>
      <c r="H121" s="18" t="s">
        <v>276</v>
      </c>
      <c r="I121" s="18" t="s">
        <v>349</v>
      </c>
      <c r="J121" s="11">
        <v>24.0</v>
      </c>
      <c r="K121" s="12">
        <v>45826.0</v>
      </c>
      <c r="L121" s="11">
        <f>ROUND(((K121-B121)/365)*12,0)</f>
        <v>13</v>
      </c>
      <c r="M121" s="11">
        <v>686218.0</v>
      </c>
      <c r="N121" s="11">
        <v>29839.0</v>
      </c>
      <c r="O121" s="13" t="s">
        <v>69</v>
      </c>
      <c r="P121" s="11">
        <v>0.0</v>
      </c>
      <c r="Q121" s="14">
        <v>0.0</v>
      </c>
      <c r="R121" s="11">
        <v>1.0</v>
      </c>
      <c r="S121">
        <f t="shared" si="1"/>
        <v>2024</v>
      </c>
      <c r="T121">
        <f t="shared" si="2"/>
        <v>5</v>
      </c>
      <c r="U121">
        <f t="shared" si="3"/>
        <v>15</v>
      </c>
      <c r="Y121" s="17">
        <v>45785.0</v>
      </c>
      <c r="Z121" s="17">
        <v>45803.0</v>
      </c>
      <c r="AG121" s="15"/>
      <c r="AH121" s="16"/>
      <c r="AM121" s="15"/>
      <c r="AN121" s="16"/>
    </row>
    <row r="122">
      <c r="A122" s="9" t="s">
        <v>350</v>
      </c>
      <c r="B122" s="10">
        <v>45424.0</v>
      </c>
      <c r="C122" s="11" t="s">
        <v>274</v>
      </c>
      <c r="D122" s="11" t="s">
        <v>38</v>
      </c>
      <c r="E122" s="11" t="s">
        <v>39</v>
      </c>
      <c r="F122" s="11" t="s">
        <v>64</v>
      </c>
      <c r="G122" s="18" t="s">
        <v>45</v>
      </c>
      <c r="H122" s="18" t="s">
        <v>67</v>
      </c>
      <c r="I122" s="18" t="s">
        <v>351</v>
      </c>
      <c r="J122" s="11">
        <v>26.0</v>
      </c>
      <c r="K122" s="12"/>
      <c r="L122" s="11"/>
      <c r="M122" s="11">
        <v>686610.0</v>
      </c>
      <c r="N122" s="11">
        <v>27681.0</v>
      </c>
      <c r="O122" s="13" t="s">
        <v>69</v>
      </c>
      <c r="P122" s="11">
        <v>0.0</v>
      </c>
      <c r="Q122" s="14">
        <v>0.0</v>
      </c>
      <c r="R122" s="11">
        <v>1.0</v>
      </c>
      <c r="S122">
        <f t="shared" si="1"/>
        <v>2024</v>
      </c>
      <c r="T122">
        <f t="shared" si="2"/>
        <v>5</v>
      </c>
      <c r="U122">
        <f t="shared" si="3"/>
        <v>12</v>
      </c>
      <c r="Z122" s="17">
        <v>45830.0</v>
      </c>
      <c r="AG122" s="15"/>
      <c r="AH122" s="16"/>
      <c r="AM122" s="15"/>
      <c r="AN122" s="16"/>
    </row>
    <row r="123">
      <c r="A123" s="9" t="s">
        <v>352</v>
      </c>
      <c r="B123" s="10">
        <v>45420.0</v>
      </c>
      <c r="C123" s="11" t="s">
        <v>230</v>
      </c>
      <c r="D123" s="11" t="s">
        <v>38</v>
      </c>
      <c r="E123" s="11" t="s">
        <v>39</v>
      </c>
      <c r="F123" s="11" t="s">
        <v>40</v>
      </c>
      <c r="G123" s="18" t="s">
        <v>194</v>
      </c>
      <c r="H123" s="18"/>
      <c r="I123" s="18"/>
      <c r="J123" s="11">
        <v>26.0</v>
      </c>
      <c r="K123" s="12">
        <v>45780.0</v>
      </c>
      <c r="L123" s="11">
        <f t="shared" ref="L123:L124" si="7">ROUND(((K123-B123)/365)*12,0)</f>
        <v>12</v>
      </c>
      <c r="M123" s="11">
        <v>666374.0</v>
      </c>
      <c r="N123" s="11">
        <v>25756.0</v>
      </c>
      <c r="O123" s="13" t="s">
        <v>42</v>
      </c>
      <c r="P123" s="11">
        <v>0.0</v>
      </c>
      <c r="Q123" s="14">
        <v>0.0</v>
      </c>
      <c r="R123" s="11">
        <v>1.0</v>
      </c>
      <c r="S123">
        <f t="shared" si="1"/>
        <v>2024</v>
      </c>
      <c r="T123">
        <f t="shared" si="2"/>
        <v>5</v>
      </c>
      <c r="U123">
        <f t="shared" si="3"/>
        <v>8</v>
      </c>
      <c r="Y123" s="17">
        <v>45728.0</v>
      </c>
      <c r="AG123" s="15"/>
      <c r="AH123" s="16"/>
      <c r="AM123" s="15"/>
      <c r="AN123" s="16"/>
    </row>
    <row r="124">
      <c r="A124" s="9" t="s">
        <v>353</v>
      </c>
      <c r="B124" s="10">
        <v>45419.0</v>
      </c>
      <c r="C124" s="11" t="s">
        <v>55</v>
      </c>
      <c r="D124" s="11" t="s">
        <v>38</v>
      </c>
      <c r="E124" s="11" t="s">
        <v>39</v>
      </c>
      <c r="F124" s="11" t="s">
        <v>64</v>
      </c>
      <c r="G124" s="18" t="s">
        <v>45</v>
      </c>
      <c r="H124" s="18" t="s">
        <v>240</v>
      </c>
      <c r="I124" s="18" t="s">
        <v>354</v>
      </c>
      <c r="J124" s="11">
        <v>37.0</v>
      </c>
      <c r="K124" s="12">
        <v>45812.0</v>
      </c>
      <c r="L124" s="11">
        <f t="shared" si="7"/>
        <v>13</v>
      </c>
      <c r="M124" s="11">
        <v>489119.0</v>
      </c>
      <c r="N124" s="11">
        <v>8779.0</v>
      </c>
      <c r="O124" s="13" t="s">
        <v>355</v>
      </c>
      <c r="P124" s="11">
        <v>0.0</v>
      </c>
      <c r="Q124" s="14">
        <v>0.0</v>
      </c>
      <c r="R124" s="11">
        <v>1.0</v>
      </c>
      <c r="S124">
        <f t="shared" si="1"/>
        <v>2024</v>
      </c>
      <c r="T124">
        <f t="shared" si="2"/>
        <v>5</v>
      </c>
      <c r="U124">
        <f t="shared" si="3"/>
        <v>7</v>
      </c>
      <c r="Y124" s="17">
        <v>45734.0</v>
      </c>
      <c r="Z124" s="17">
        <v>45769.0</v>
      </c>
      <c r="AG124" s="15"/>
      <c r="AH124" s="16"/>
      <c r="AM124" s="15"/>
      <c r="AN124" s="16"/>
    </row>
    <row r="125">
      <c r="A125" s="9" t="s">
        <v>356</v>
      </c>
      <c r="B125" s="10">
        <v>45419.0</v>
      </c>
      <c r="C125" s="11" t="s">
        <v>103</v>
      </c>
      <c r="D125" s="11" t="s">
        <v>38</v>
      </c>
      <c r="E125" s="11" t="s">
        <v>39</v>
      </c>
      <c r="F125" s="11" t="s">
        <v>40</v>
      </c>
      <c r="G125" s="18" t="s">
        <v>326</v>
      </c>
      <c r="H125" s="18"/>
      <c r="I125" s="18"/>
      <c r="J125" s="11">
        <v>27.0</v>
      </c>
      <c r="K125" s="12"/>
      <c r="L125" s="11"/>
      <c r="M125" s="11">
        <v>650960.0</v>
      </c>
      <c r="N125" s="11">
        <v>17480.0</v>
      </c>
      <c r="O125" s="13" t="s">
        <v>42</v>
      </c>
      <c r="P125" s="11">
        <v>0.0</v>
      </c>
      <c r="Q125" s="14">
        <v>0.0</v>
      </c>
      <c r="R125" s="11">
        <v>1.0</v>
      </c>
      <c r="S125">
        <f t="shared" si="1"/>
        <v>2024</v>
      </c>
      <c r="T125">
        <f t="shared" si="2"/>
        <v>5</v>
      </c>
      <c r="U125">
        <f t="shared" si="3"/>
        <v>7</v>
      </c>
      <c r="AG125" s="15"/>
      <c r="AH125" s="16"/>
      <c r="AM125" s="15"/>
      <c r="AN125" s="16"/>
    </row>
    <row r="126">
      <c r="A126" s="13" t="s">
        <v>357</v>
      </c>
      <c r="B126" s="17">
        <v>45413.0</v>
      </c>
      <c r="C126" s="11" t="s">
        <v>358</v>
      </c>
      <c r="D126" s="11" t="s">
        <v>93</v>
      </c>
      <c r="E126" s="11" t="s">
        <v>39</v>
      </c>
      <c r="F126" s="11" t="s">
        <v>40</v>
      </c>
      <c r="G126" s="18" t="s">
        <v>45</v>
      </c>
      <c r="H126" s="18" t="s">
        <v>139</v>
      </c>
      <c r="I126" s="18" t="s">
        <v>359</v>
      </c>
      <c r="J126" s="11">
        <v>20.0</v>
      </c>
      <c r="K126" s="12"/>
      <c r="L126" s="11"/>
      <c r="M126" s="11">
        <v>822461.0</v>
      </c>
      <c r="N126" s="11" t="s">
        <v>360</v>
      </c>
      <c r="O126" s="13"/>
      <c r="P126" s="11">
        <v>0.0</v>
      </c>
      <c r="Q126" s="14">
        <v>0.0</v>
      </c>
      <c r="R126" s="11">
        <v>1.0</v>
      </c>
      <c r="S126">
        <f t="shared" si="1"/>
        <v>2024</v>
      </c>
      <c r="T126">
        <f t="shared" si="2"/>
        <v>5</v>
      </c>
      <c r="U126">
        <f t="shared" si="3"/>
        <v>1</v>
      </c>
      <c r="AG126" s="15"/>
      <c r="AH126" s="16"/>
      <c r="AM126" s="15"/>
      <c r="AN126" s="16"/>
    </row>
    <row r="127">
      <c r="A127" s="9" t="s">
        <v>361</v>
      </c>
      <c r="B127" s="10">
        <v>45413.0</v>
      </c>
      <c r="C127" s="11" t="s">
        <v>362</v>
      </c>
      <c r="D127" s="11" t="s">
        <v>97</v>
      </c>
      <c r="E127" s="11" t="s">
        <v>39</v>
      </c>
      <c r="F127" s="11" t="s">
        <v>40</v>
      </c>
      <c r="G127" s="18" t="s">
        <v>45</v>
      </c>
      <c r="H127" s="18" t="s">
        <v>363</v>
      </c>
      <c r="I127" s="18" t="s">
        <v>276</v>
      </c>
      <c r="J127" s="11">
        <v>21.0</v>
      </c>
      <c r="K127" s="12">
        <v>45850.0</v>
      </c>
      <c r="L127" s="11">
        <f t="shared" ref="L127:L128" si="8">ROUND(((K127-B127)/365)*12,0)</f>
        <v>14</v>
      </c>
      <c r="M127" s="11">
        <v>701685.0</v>
      </c>
      <c r="N127" s="11" t="s">
        <v>364</v>
      </c>
      <c r="O127" s="13" t="s">
        <v>42</v>
      </c>
      <c r="P127" s="11">
        <v>0.0</v>
      </c>
      <c r="Q127" s="14">
        <v>0.0</v>
      </c>
      <c r="R127" s="11">
        <v>1.0</v>
      </c>
      <c r="S127">
        <f t="shared" si="1"/>
        <v>2024</v>
      </c>
      <c r="T127">
        <f t="shared" si="2"/>
        <v>5</v>
      </c>
      <c r="U127">
        <f t="shared" si="3"/>
        <v>1</v>
      </c>
      <c r="Z127" s="17">
        <v>45828.0</v>
      </c>
      <c r="AG127" s="15"/>
      <c r="AH127" s="16"/>
      <c r="AM127" s="15"/>
      <c r="AN127" s="16"/>
    </row>
    <row r="128">
      <c r="A128" s="9" t="s">
        <v>365</v>
      </c>
      <c r="B128" s="10">
        <v>45412.0</v>
      </c>
      <c r="C128" s="11" t="s">
        <v>346</v>
      </c>
      <c r="D128" s="11" t="s">
        <v>38</v>
      </c>
      <c r="E128" s="11" t="s">
        <v>39</v>
      </c>
      <c r="F128" s="11" t="s">
        <v>40</v>
      </c>
      <c r="G128" s="18" t="s">
        <v>45</v>
      </c>
      <c r="H128" s="18" t="s">
        <v>67</v>
      </c>
      <c r="I128" s="18"/>
      <c r="J128" s="11">
        <v>31.0</v>
      </c>
      <c r="K128" s="12">
        <v>45805.0</v>
      </c>
      <c r="L128" s="11">
        <f t="shared" si="8"/>
        <v>13</v>
      </c>
      <c r="M128" s="11">
        <v>596112.0</v>
      </c>
      <c r="N128" s="11">
        <v>13594.0</v>
      </c>
      <c r="O128" s="13"/>
      <c r="P128" s="11">
        <v>0.0</v>
      </c>
      <c r="Q128" s="14">
        <v>0.0</v>
      </c>
      <c r="R128" s="11">
        <v>1.0</v>
      </c>
      <c r="S128">
        <f t="shared" si="1"/>
        <v>2024</v>
      </c>
      <c r="T128">
        <f t="shared" si="2"/>
        <v>4</v>
      </c>
      <c r="U128">
        <f t="shared" si="3"/>
        <v>30</v>
      </c>
      <c r="Z128" s="17">
        <v>45790.0</v>
      </c>
      <c r="AG128" s="15"/>
      <c r="AH128" s="16"/>
      <c r="AM128" s="15"/>
      <c r="AN128" s="16"/>
    </row>
    <row r="129">
      <c r="A129" s="9" t="s">
        <v>366</v>
      </c>
      <c r="B129" s="10">
        <v>45412.0</v>
      </c>
      <c r="C129" s="11" t="s">
        <v>175</v>
      </c>
      <c r="D129" s="11" t="s">
        <v>38</v>
      </c>
      <c r="E129" s="11" t="s">
        <v>39</v>
      </c>
      <c r="F129" s="11" t="s">
        <v>40</v>
      </c>
      <c r="G129" s="18" t="s">
        <v>105</v>
      </c>
      <c r="H129" s="18"/>
      <c r="I129" s="18"/>
      <c r="J129" s="11">
        <v>24.0</v>
      </c>
      <c r="K129" s="12"/>
      <c r="L129" s="11"/>
      <c r="M129" s="11">
        <v>672715.0</v>
      </c>
      <c r="N129" s="11">
        <v>22815.0</v>
      </c>
      <c r="O129" s="13" t="s">
        <v>69</v>
      </c>
      <c r="P129" s="11">
        <v>0.0</v>
      </c>
      <c r="Q129" s="14">
        <v>0.0</v>
      </c>
      <c r="R129" s="11">
        <v>1.0</v>
      </c>
      <c r="S129">
        <f t="shared" si="1"/>
        <v>2024</v>
      </c>
      <c r="T129">
        <f t="shared" si="2"/>
        <v>4</v>
      </c>
      <c r="U129">
        <f t="shared" si="3"/>
        <v>30</v>
      </c>
      <c r="Z129" s="17">
        <v>45781.0</v>
      </c>
      <c r="AG129" s="15"/>
      <c r="AH129" s="16"/>
      <c r="AM129" s="15"/>
      <c r="AN129" s="16"/>
    </row>
    <row r="130">
      <c r="A130" s="9" t="s">
        <v>367</v>
      </c>
      <c r="B130" s="10">
        <v>45411.0</v>
      </c>
      <c r="C130" s="11" t="s">
        <v>235</v>
      </c>
      <c r="D130" s="11" t="s">
        <v>97</v>
      </c>
      <c r="E130" s="11" t="s">
        <v>39</v>
      </c>
      <c r="F130" s="11" t="s">
        <v>64</v>
      </c>
      <c r="G130" s="18" t="s">
        <v>45</v>
      </c>
      <c r="H130" s="18" t="s">
        <v>84</v>
      </c>
      <c r="I130" s="18"/>
      <c r="J130" s="11">
        <v>20.0</v>
      </c>
      <c r="K130" s="12"/>
      <c r="L130" s="11"/>
      <c r="M130" s="11">
        <v>702255.0</v>
      </c>
      <c r="N130" s="11" t="s">
        <v>368</v>
      </c>
      <c r="O130" s="13" t="s">
        <v>42</v>
      </c>
      <c r="P130" s="11">
        <v>0.0</v>
      </c>
      <c r="Q130" s="14">
        <v>0.0</v>
      </c>
      <c r="R130" s="11">
        <v>1.0</v>
      </c>
      <c r="S130">
        <f t="shared" si="1"/>
        <v>2024</v>
      </c>
      <c r="T130">
        <f t="shared" si="2"/>
        <v>4</v>
      </c>
      <c r="U130">
        <f t="shared" si="3"/>
        <v>29</v>
      </c>
      <c r="Z130" s="17">
        <v>45814.0</v>
      </c>
      <c r="AG130" s="15"/>
      <c r="AH130" s="16"/>
      <c r="AM130" s="15"/>
      <c r="AN130" s="16"/>
    </row>
    <row r="131">
      <c r="A131" s="9" t="s">
        <v>369</v>
      </c>
      <c r="B131" s="10">
        <v>45404.0</v>
      </c>
      <c r="C131" s="11" t="s">
        <v>111</v>
      </c>
      <c r="D131" s="11" t="s">
        <v>97</v>
      </c>
      <c r="E131" s="11" t="s">
        <v>39</v>
      </c>
      <c r="F131" s="11" t="s">
        <v>40</v>
      </c>
      <c r="G131" s="18" t="s">
        <v>45</v>
      </c>
      <c r="H131" s="18" t="s">
        <v>163</v>
      </c>
      <c r="I131" s="18" t="s">
        <v>370</v>
      </c>
      <c r="J131" s="11">
        <v>26.0</v>
      </c>
      <c r="K131" s="12">
        <v>45785.0</v>
      </c>
      <c r="L131" s="11">
        <f t="shared" ref="L131:L134" si="9">ROUND(((K131-B131)/365)*12,0)</f>
        <v>13</v>
      </c>
      <c r="M131" s="11">
        <v>687830.0</v>
      </c>
      <c r="N131" s="11">
        <v>26048.0</v>
      </c>
      <c r="O131" s="13"/>
      <c r="P131" s="11">
        <v>0.0</v>
      </c>
      <c r="Q131" s="14">
        <v>0.0</v>
      </c>
      <c r="R131" s="11">
        <v>1.0</v>
      </c>
      <c r="S131">
        <f t="shared" si="1"/>
        <v>2024</v>
      </c>
      <c r="T131">
        <f t="shared" si="2"/>
        <v>4</v>
      </c>
      <c r="U131">
        <f t="shared" si="3"/>
        <v>22</v>
      </c>
      <c r="Z131" s="17">
        <v>45785.0</v>
      </c>
      <c r="AA131" s="17">
        <v>45482.0</v>
      </c>
      <c r="AB131" s="13" t="s">
        <v>371</v>
      </c>
      <c r="AG131" s="15"/>
      <c r="AH131" s="16"/>
      <c r="AM131" s="15"/>
      <c r="AN131" s="16"/>
    </row>
    <row r="132">
      <c r="A132" s="9" t="s">
        <v>372</v>
      </c>
      <c r="B132" s="10">
        <v>45394.0</v>
      </c>
      <c r="C132" s="11" t="s">
        <v>44</v>
      </c>
      <c r="D132" s="11" t="s">
        <v>38</v>
      </c>
      <c r="E132" s="11" t="s">
        <v>39</v>
      </c>
      <c r="F132" s="11" t="s">
        <v>40</v>
      </c>
      <c r="G132" s="18" t="s">
        <v>45</v>
      </c>
      <c r="H132" s="18" t="s">
        <v>67</v>
      </c>
      <c r="I132" s="18" t="s">
        <v>373</v>
      </c>
      <c r="J132" s="11">
        <v>29.0</v>
      </c>
      <c r="K132" s="12">
        <v>45891.0</v>
      </c>
      <c r="L132" s="11">
        <f t="shared" si="9"/>
        <v>16</v>
      </c>
      <c r="M132" s="11">
        <v>669456.0</v>
      </c>
      <c r="N132" s="11">
        <v>19427.0</v>
      </c>
      <c r="O132" s="13" t="s">
        <v>42</v>
      </c>
      <c r="P132" s="11">
        <v>0.0</v>
      </c>
      <c r="Q132" s="14">
        <v>0.0</v>
      </c>
      <c r="R132" s="11">
        <v>1.0</v>
      </c>
      <c r="S132">
        <f t="shared" si="1"/>
        <v>2024</v>
      </c>
      <c r="T132">
        <f t="shared" si="2"/>
        <v>4</v>
      </c>
      <c r="U132">
        <f t="shared" si="3"/>
        <v>12</v>
      </c>
      <c r="Y132" s="17">
        <v>45843.0</v>
      </c>
      <c r="Z132" s="17">
        <v>45798.0</v>
      </c>
      <c r="AG132" s="15"/>
      <c r="AH132" s="16"/>
      <c r="AM132" s="15"/>
      <c r="AN132" s="16"/>
    </row>
    <row r="133">
      <c r="A133" s="9" t="s">
        <v>374</v>
      </c>
      <c r="B133" s="10">
        <v>45392.0</v>
      </c>
      <c r="C133" s="11" t="s">
        <v>72</v>
      </c>
      <c r="D133" s="11" t="s">
        <v>38</v>
      </c>
      <c r="E133" s="11" t="s">
        <v>39</v>
      </c>
      <c r="F133" s="11" t="s">
        <v>64</v>
      </c>
      <c r="G133" s="18" t="s">
        <v>45</v>
      </c>
      <c r="H133" s="18" t="s">
        <v>67</v>
      </c>
      <c r="I133" s="18" t="s">
        <v>375</v>
      </c>
      <c r="J133" s="11">
        <v>26.0</v>
      </c>
      <c r="K133" s="12">
        <v>45836.0</v>
      </c>
      <c r="L133" s="11">
        <f t="shared" si="9"/>
        <v>15</v>
      </c>
      <c r="M133" s="11">
        <v>669684.0</v>
      </c>
      <c r="N133" s="11">
        <v>26214.0</v>
      </c>
      <c r="O133" s="13" t="s">
        <v>42</v>
      </c>
      <c r="P133" s="11">
        <v>0.0</v>
      </c>
      <c r="Q133" s="14">
        <v>0.0</v>
      </c>
      <c r="R133" s="11">
        <v>1.0</v>
      </c>
      <c r="S133">
        <f t="shared" si="1"/>
        <v>2024</v>
      </c>
      <c r="T133">
        <f t="shared" si="2"/>
        <v>4</v>
      </c>
      <c r="U133">
        <f t="shared" si="3"/>
        <v>10</v>
      </c>
      <c r="X133" s="17">
        <v>45708.0</v>
      </c>
      <c r="Z133" s="17">
        <v>45805.0</v>
      </c>
      <c r="AG133" s="15"/>
      <c r="AH133" s="16"/>
      <c r="AM133" s="15"/>
      <c r="AN133" s="16"/>
    </row>
    <row r="134">
      <c r="A134" s="9" t="s">
        <v>376</v>
      </c>
      <c r="B134" s="10">
        <v>45390.0</v>
      </c>
      <c r="C134" s="11" t="s">
        <v>37</v>
      </c>
      <c r="D134" s="11" t="s">
        <v>38</v>
      </c>
      <c r="E134" s="11" t="s">
        <v>39</v>
      </c>
      <c r="F134" s="11" t="s">
        <v>40</v>
      </c>
      <c r="G134" s="18" t="s">
        <v>41</v>
      </c>
      <c r="H134" s="18"/>
      <c r="I134" s="18"/>
      <c r="J134" s="11">
        <v>21.0</v>
      </c>
      <c r="K134" s="12">
        <v>45817.0</v>
      </c>
      <c r="L134" s="11">
        <f t="shared" si="9"/>
        <v>14</v>
      </c>
      <c r="M134" s="11">
        <v>691587.0</v>
      </c>
      <c r="N134" s="11">
        <v>27768.0</v>
      </c>
      <c r="O134" s="13" t="s">
        <v>42</v>
      </c>
      <c r="P134" s="11">
        <v>0.0</v>
      </c>
      <c r="Q134" s="14">
        <v>0.0</v>
      </c>
      <c r="R134" s="11">
        <v>1.0</v>
      </c>
      <c r="S134">
        <f t="shared" si="1"/>
        <v>2024</v>
      </c>
      <c r="T134">
        <f t="shared" si="2"/>
        <v>4</v>
      </c>
      <c r="U134">
        <f t="shared" si="3"/>
        <v>8</v>
      </c>
      <c r="V134" s="17">
        <v>45552.0</v>
      </c>
      <c r="AG134" s="15"/>
      <c r="AH134" s="16"/>
      <c r="AM134" s="15"/>
      <c r="AN134" s="16"/>
    </row>
    <row r="135">
      <c r="A135" s="9" t="s">
        <v>377</v>
      </c>
      <c r="B135" s="10">
        <v>45385.0</v>
      </c>
      <c r="C135" s="11" t="s">
        <v>274</v>
      </c>
      <c r="D135" s="11" t="s">
        <v>38</v>
      </c>
      <c r="E135" s="11" t="s">
        <v>39</v>
      </c>
      <c r="F135" s="11" t="s">
        <v>40</v>
      </c>
      <c r="G135" s="18" t="s">
        <v>45</v>
      </c>
      <c r="H135" s="18" t="s">
        <v>231</v>
      </c>
      <c r="I135" s="18" t="s">
        <v>231</v>
      </c>
      <c r="J135" s="11">
        <v>31.0</v>
      </c>
      <c r="K135" s="12"/>
      <c r="L135" s="11"/>
      <c r="M135" s="11">
        <v>641627.0</v>
      </c>
      <c r="N135" s="11">
        <v>15046.0</v>
      </c>
      <c r="O135" s="13" t="s">
        <v>42</v>
      </c>
      <c r="P135" s="11">
        <v>0.0</v>
      </c>
      <c r="Q135" s="14">
        <v>0.0</v>
      </c>
      <c r="R135" s="11">
        <v>1.0</v>
      </c>
      <c r="S135">
        <f t="shared" si="1"/>
        <v>2024</v>
      </c>
      <c r="T135">
        <f t="shared" si="2"/>
        <v>4</v>
      </c>
      <c r="U135">
        <f t="shared" si="3"/>
        <v>3</v>
      </c>
      <c r="Z135" s="17">
        <v>45780.0</v>
      </c>
      <c r="AG135" s="15"/>
      <c r="AH135" s="16"/>
      <c r="AM135" s="15"/>
      <c r="AN135" s="16"/>
    </row>
    <row r="136">
      <c r="A136" s="9" t="s">
        <v>378</v>
      </c>
      <c r="B136" s="10">
        <v>45384.0</v>
      </c>
      <c r="C136" s="11" t="s">
        <v>44</v>
      </c>
      <c r="D136" s="11" t="s">
        <v>93</v>
      </c>
      <c r="E136" s="11" t="s">
        <v>39</v>
      </c>
      <c r="F136" s="11" t="s">
        <v>40</v>
      </c>
      <c r="G136" s="18" t="s">
        <v>45</v>
      </c>
      <c r="H136" s="18" t="s">
        <v>67</v>
      </c>
      <c r="I136" s="18" t="s">
        <v>379</v>
      </c>
      <c r="J136" s="11">
        <v>23.0</v>
      </c>
      <c r="K136" s="12"/>
      <c r="L136" s="11"/>
      <c r="M136" s="11">
        <v>683235.0</v>
      </c>
      <c r="N136" s="11" t="s">
        <v>380</v>
      </c>
      <c r="O136" s="13" t="s">
        <v>69</v>
      </c>
      <c r="P136" s="11">
        <v>0.0</v>
      </c>
      <c r="Q136" s="14">
        <v>0.0</v>
      </c>
      <c r="R136" s="11">
        <v>1.0</v>
      </c>
      <c r="S136">
        <f t="shared" si="1"/>
        <v>2024</v>
      </c>
      <c r="T136">
        <f t="shared" si="2"/>
        <v>4</v>
      </c>
      <c r="U136">
        <f t="shared" si="3"/>
        <v>2</v>
      </c>
      <c r="AG136" s="15"/>
      <c r="AH136" s="16"/>
      <c r="AM136" s="15"/>
      <c r="AN136" s="16"/>
    </row>
    <row r="137">
      <c r="A137" s="9" t="s">
        <v>381</v>
      </c>
      <c r="B137" s="10">
        <v>45383.0</v>
      </c>
      <c r="C137" s="11" t="s">
        <v>72</v>
      </c>
      <c r="D137" s="11" t="s">
        <v>88</v>
      </c>
      <c r="E137" s="11" t="s">
        <v>39</v>
      </c>
      <c r="F137" s="11" t="s">
        <v>40</v>
      </c>
      <c r="G137" s="18" t="s">
        <v>45</v>
      </c>
      <c r="H137" s="18" t="s">
        <v>67</v>
      </c>
      <c r="I137" s="18" t="s">
        <v>382</v>
      </c>
      <c r="J137" s="11">
        <v>27.0</v>
      </c>
      <c r="K137" s="12">
        <v>45813.0</v>
      </c>
      <c r="L137" s="11">
        <f t="shared" ref="L137:L138" si="10">ROUND(((K137-B137)/365)*12,0)</f>
        <v>14</v>
      </c>
      <c r="M137" s="11">
        <v>679977.0</v>
      </c>
      <c r="N137" s="11" t="s">
        <v>383</v>
      </c>
      <c r="O137" s="13"/>
      <c r="P137" s="11">
        <v>0.0</v>
      </c>
      <c r="Q137" s="14">
        <v>0.0</v>
      </c>
      <c r="R137" s="11">
        <v>1.0</v>
      </c>
      <c r="S137">
        <f t="shared" si="1"/>
        <v>2024</v>
      </c>
      <c r="T137">
        <f t="shared" si="2"/>
        <v>4</v>
      </c>
      <c r="U137">
        <f t="shared" si="3"/>
        <v>1</v>
      </c>
      <c r="Z137" s="17">
        <v>45797.0</v>
      </c>
      <c r="AG137" s="15"/>
      <c r="AH137" s="16"/>
      <c r="AM137" s="15"/>
      <c r="AN137" s="16"/>
    </row>
    <row r="138">
      <c r="A138" s="9" t="s">
        <v>384</v>
      </c>
      <c r="B138" s="10">
        <v>45383.0</v>
      </c>
      <c r="C138" s="11" t="s">
        <v>44</v>
      </c>
      <c r="D138" s="11" t="s">
        <v>213</v>
      </c>
      <c r="E138" s="11" t="s">
        <v>39</v>
      </c>
      <c r="F138" s="11" t="s">
        <v>40</v>
      </c>
      <c r="G138" s="18" t="s">
        <v>45</v>
      </c>
      <c r="H138" s="18" t="s">
        <v>56</v>
      </c>
      <c r="I138" s="18"/>
      <c r="J138" s="11">
        <v>19.0</v>
      </c>
      <c r="K138" s="12">
        <v>45860.0</v>
      </c>
      <c r="L138" s="11">
        <f t="shared" si="10"/>
        <v>16</v>
      </c>
      <c r="M138" s="11">
        <v>815679.0</v>
      </c>
      <c r="N138" s="11" t="s">
        <v>385</v>
      </c>
      <c r="O138" s="13"/>
      <c r="P138" s="11">
        <v>0.0</v>
      </c>
      <c r="Q138" s="14">
        <v>0.0</v>
      </c>
      <c r="R138" s="11">
        <v>1.0</v>
      </c>
      <c r="S138">
        <f t="shared" si="1"/>
        <v>2024</v>
      </c>
      <c r="T138">
        <f t="shared" si="2"/>
        <v>4</v>
      </c>
      <c r="U138">
        <f t="shared" si="3"/>
        <v>1</v>
      </c>
      <c r="Z138" s="17">
        <v>45860.0</v>
      </c>
      <c r="AG138" s="15"/>
      <c r="AH138" s="16"/>
      <c r="AM138" s="15"/>
      <c r="AN138" s="16"/>
    </row>
    <row r="139">
      <c r="A139" s="9" t="s">
        <v>386</v>
      </c>
      <c r="B139" s="10">
        <v>45383.0</v>
      </c>
      <c r="C139" s="11" t="s">
        <v>49</v>
      </c>
      <c r="D139" s="11" t="s">
        <v>88</v>
      </c>
      <c r="E139" s="11" t="s">
        <v>39</v>
      </c>
      <c r="F139" s="11" t="s">
        <v>40</v>
      </c>
      <c r="G139" s="18" t="s">
        <v>194</v>
      </c>
      <c r="H139" s="18"/>
      <c r="I139" s="18"/>
      <c r="J139" s="11">
        <v>21.0</v>
      </c>
      <c r="K139" s="12"/>
      <c r="L139" s="11"/>
      <c r="M139" s="11">
        <v>683349.0</v>
      </c>
      <c r="N139" s="11" t="s">
        <v>387</v>
      </c>
      <c r="O139" s="13"/>
      <c r="P139" s="11">
        <v>0.0</v>
      </c>
      <c r="Q139" s="14">
        <v>0.0</v>
      </c>
      <c r="R139" s="11">
        <v>1.0</v>
      </c>
      <c r="S139">
        <f t="shared" si="1"/>
        <v>2024</v>
      </c>
      <c r="T139">
        <f t="shared" si="2"/>
        <v>4</v>
      </c>
      <c r="U139">
        <f t="shared" si="3"/>
        <v>1</v>
      </c>
      <c r="AG139" s="15"/>
      <c r="AH139" s="16"/>
      <c r="AM139" s="15"/>
      <c r="AN139" s="16"/>
    </row>
    <row r="140">
      <c r="A140" s="9" t="s">
        <v>388</v>
      </c>
      <c r="B140" s="10">
        <v>45383.0</v>
      </c>
      <c r="C140" s="11" t="s">
        <v>274</v>
      </c>
      <c r="D140" s="11" t="s">
        <v>213</v>
      </c>
      <c r="E140" s="11" t="s">
        <v>39</v>
      </c>
      <c r="F140" s="11" t="s">
        <v>40</v>
      </c>
      <c r="G140" s="18" t="s">
        <v>45</v>
      </c>
      <c r="H140" s="18" t="s">
        <v>67</v>
      </c>
      <c r="I140" s="18"/>
      <c r="J140" s="11">
        <v>18.0</v>
      </c>
      <c r="K140" s="12">
        <v>45807.0</v>
      </c>
      <c r="L140" s="11">
        <f>ROUND(((K140-B140)/365)*12,0)</f>
        <v>14</v>
      </c>
      <c r="M140" s="11">
        <v>800612.0</v>
      </c>
      <c r="N140" s="11" t="s">
        <v>389</v>
      </c>
      <c r="O140" s="13"/>
      <c r="P140" s="11">
        <v>0.0</v>
      </c>
      <c r="Q140" s="14">
        <v>0.0</v>
      </c>
      <c r="R140" s="11">
        <v>1.0</v>
      </c>
      <c r="S140">
        <f t="shared" si="1"/>
        <v>2024</v>
      </c>
      <c r="T140">
        <f t="shared" si="2"/>
        <v>4</v>
      </c>
      <c r="U140">
        <f t="shared" si="3"/>
        <v>1</v>
      </c>
      <c r="Z140" s="17">
        <v>45807.0</v>
      </c>
      <c r="AG140" s="15"/>
      <c r="AH140" s="16"/>
      <c r="AM140" s="15"/>
      <c r="AN140" s="16"/>
    </row>
    <row r="141">
      <c r="A141" s="13" t="s">
        <v>390</v>
      </c>
      <c r="B141" s="10">
        <v>45383.0</v>
      </c>
      <c r="C141" s="11" t="s">
        <v>175</v>
      </c>
      <c r="D141" s="11" t="s">
        <v>97</v>
      </c>
      <c r="E141" s="11" t="s">
        <v>39</v>
      </c>
      <c r="F141" s="11" t="s">
        <v>40</v>
      </c>
      <c r="G141" s="11" t="s">
        <v>45</v>
      </c>
      <c r="H141" s="11" t="s">
        <v>84</v>
      </c>
      <c r="I141" s="11" t="s">
        <v>391</v>
      </c>
      <c r="J141" s="11">
        <v>21.0</v>
      </c>
      <c r="K141" s="12"/>
      <c r="L141" s="11"/>
      <c r="M141" s="11">
        <v>691000.0</v>
      </c>
      <c r="N141" s="11" t="s">
        <v>392</v>
      </c>
      <c r="O141" s="13"/>
      <c r="P141" s="11">
        <v>0.0</v>
      </c>
      <c r="Q141" s="14">
        <v>0.0</v>
      </c>
      <c r="R141" s="11">
        <v>1.0</v>
      </c>
      <c r="S141">
        <f t="shared" si="1"/>
        <v>2024</v>
      </c>
      <c r="T141">
        <f t="shared" si="2"/>
        <v>4</v>
      </c>
      <c r="U141">
        <f t="shared" si="3"/>
        <v>1</v>
      </c>
      <c r="Z141" s="17"/>
      <c r="AG141" s="15"/>
      <c r="AH141" s="16"/>
      <c r="AM141" s="15"/>
      <c r="AN141" s="16"/>
    </row>
    <row r="142">
      <c r="A142" s="13" t="s">
        <v>393</v>
      </c>
      <c r="B142" s="10">
        <v>45383.0</v>
      </c>
      <c r="C142" s="11" t="s">
        <v>62</v>
      </c>
      <c r="D142" s="11" t="s">
        <v>58</v>
      </c>
      <c r="E142" s="11" t="s">
        <v>39</v>
      </c>
      <c r="F142" s="11" t="s">
        <v>40</v>
      </c>
      <c r="G142" s="11" t="s">
        <v>45</v>
      </c>
      <c r="H142" s="11" t="s">
        <v>240</v>
      </c>
      <c r="I142" s="11"/>
      <c r="J142" s="11">
        <v>25.0</v>
      </c>
      <c r="K142" s="12"/>
      <c r="L142" s="11"/>
      <c r="M142" s="11">
        <v>669416.0</v>
      </c>
      <c r="N142" s="11" t="s">
        <v>394</v>
      </c>
      <c r="O142" s="13"/>
      <c r="P142" s="11">
        <v>0.0</v>
      </c>
      <c r="Q142" s="14">
        <v>0.0</v>
      </c>
      <c r="R142" s="11">
        <v>1.0</v>
      </c>
      <c r="S142">
        <f t="shared" si="1"/>
        <v>2024</v>
      </c>
      <c r="T142">
        <f t="shared" si="2"/>
        <v>4</v>
      </c>
      <c r="U142">
        <f t="shared" si="3"/>
        <v>1</v>
      </c>
      <c r="Z142" s="17"/>
      <c r="AG142" s="15"/>
      <c r="AH142" s="16"/>
      <c r="AM142" s="15"/>
      <c r="AN142" s="16"/>
    </row>
    <row r="143">
      <c r="A143" s="9" t="s">
        <v>395</v>
      </c>
      <c r="B143" s="10">
        <v>45379.0</v>
      </c>
      <c r="C143" s="11" t="s">
        <v>55</v>
      </c>
      <c r="D143" s="11" t="s">
        <v>88</v>
      </c>
      <c r="E143" s="11" t="s">
        <v>39</v>
      </c>
      <c r="F143" s="11" t="s">
        <v>40</v>
      </c>
      <c r="G143" s="18" t="s">
        <v>45</v>
      </c>
      <c r="H143" s="18" t="s">
        <v>67</v>
      </c>
      <c r="I143" s="18" t="s">
        <v>396</v>
      </c>
      <c r="J143" s="11">
        <v>25.0</v>
      </c>
      <c r="K143" s="12">
        <v>45794.0</v>
      </c>
      <c r="L143" s="11">
        <f>ROUND(((K143-B143)/365)*12,0)</f>
        <v>14</v>
      </c>
      <c r="M143" s="11">
        <v>808632.0</v>
      </c>
      <c r="N143" s="11" t="s">
        <v>397</v>
      </c>
      <c r="O143" s="13"/>
      <c r="P143" s="11">
        <v>0.0</v>
      </c>
      <c r="Q143" s="14">
        <v>0.0</v>
      </c>
      <c r="R143" s="11">
        <v>1.0</v>
      </c>
      <c r="S143">
        <f t="shared" si="1"/>
        <v>2024</v>
      </c>
      <c r="T143">
        <f t="shared" si="2"/>
        <v>3</v>
      </c>
      <c r="U143">
        <f t="shared" si="3"/>
        <v>28</v>
      </c>
      <c r="Z143" s="17">
        <v>45780.0</v>
      </c>
      <c r="AG143" s="15"/>
      <c r="AH143" s="16"/>
      <c r="AM143" s="15"/>
      <c r="AN143" s="16"/>
    </row>
    <row r="144">
      <c r="A144" s="9" t="s">
        <v>398</v>
      </c>
      <c r="B144" s="10">
        <v>45378.0</v>
      </c>
      <c r="C144" s="11" t="s">
        <v>44</v>
      </c>
      <c r="D144" s="11" t="s">
        <v>38</v>
      </c>
      <c r="E144" s="11" t="s">
        <v>39</v>
      </c>
      <c r="F144" s="11" t="s">
        <v>40</v>
      </c>
      <c r="G144" s="18" t="s">
        <v>45</v>
      </c>
      <c r="H144" s="18" t="s">
        <v>56</v>
      </c>
      <c r="I144" s="18" t="s">
        <v>399</v>
      </c>
      <c r="J144" s="11">
        <v>28.0</v>
      </c>
      <c r="K144" s="12"/>
      <c r="L144" s="11"/>
      <c r="M144" s="11">
        <v>663986.0</v>
      </c>
      <c r="N144" s="11">
        <v>19932.0</v>
      </c>
      <c r="O144" s="13" t="s">
        <v>42</v>
      </c>
      <c r="P144" s="11">
        <v>0.0</v>
      </c>
      <c r="Q144" s="14">
        <v>0.0</v>
      </c>
      <c r="R144" s="11">
        <v>1.0</v>
      </c>
      <c r="S144">
        <f t="shared" si="1"/>
        <v>2024</v>
      </c>
      <c r="T144">
        <f t="shared" si="2"/>
        <v>3</v>
      </c>
      <c r="U144">
        <f t="shared" si="3"/>
        <v>27</v>
      </c>
      <c r="Z144" s="17">
        <v>45818.0</v>
      </c>
      <c r="AG144" s="15"/>
      <c r="AH144" s="16"/>
      <c r="AM144" s="15"/>
      <c r="AN144" s="16"/>
    </row>
    <row r="145">
      <c r="A145" s="9" t="s">
        <v>400</v>
      </c>
      <c r="B145" s="10">
        <v>45371.0</v>
      </c>
      <c r="C145" s="11" t="s">
        <v>44</v>
      </c>
      <c r="D145" s="11" t="s">
        <v>77</v>
      </c>
      <c r="E145" s="11" t="s">
        <v>39</v>
      </c>
      <c r="F145" s="11" t="s">
        <v>40</v>
      </c>
      <c r="G145" s="18" t="s">
        <v>41</v>
      </c>
      <c r="H145" s="18"/>
      <c r="I145" s="18"/>
      <c r="J145" s="11">
        <v>25.0</v>
      </c>
      <c r="K145" s="12"/>
      <c r="L145" s="11"/>
      <c r="M145" s="11">
        <v>678258.0</v>
      </c>
      <c r="N145" s="11" t="s">
        <v>401</v>
      </c>
      <c r="O145" s="13"/>
      <c r="P145" s="11">
        <v>0.0</v>
      </c>
      <c r="Q145" s="14">
        <v>0.0</v>
      </c>
      <c r="R145" s="11">
        <v>1.0</v>
      </c>
      <c r="S145">
        <f t="shared" si="1"/>
        <v>2024</v>
      </c>
      <c r="T145">
        <f t="shared" si="2"/>
        <v>3</v>
      </c>
      <c r="U145">
        <f t="shared" si="3"/>
        <v>20</v>
      </c>
      <c r="AG145" s="15"/>
      <c r="AH145" s="16"/>
      <c r="AM145" s="15"/>
      <c r="AN145" s="16"/>
    </row>
    <row r="146">
      <c r="A146" s="9" t="s">
        <v>402</v>
      </c>
      <c r="B146" s="10">
        <v>45370.0</v>
      </c>
      <c r="C146" s="11" t="s">
        <v>358</v>
      </c>
      <c r="D146" s="11" t="s">
        <v>77</v>
      </c>
      <c r="E146" s="11" t="s">
        <v>39</v>
      </c>
      <c r="F146" s="11" t="s">
        <v>64</v>
      </c>
      <c r="G146" s="18" t="s">
        <v>45</v>
      </c>
      <c r="H146" s="18" t="s">
        <v>56</v>
      </c>
      <c r="I146" s="18" t="s">
        <v>344</v>
      </c>
      <c r="J146" s="11">
        <v>25.0</v>
      </c>
      <c r="K146" s="12"/>
      <c r="L146" s="11"/>
      <c r="M146" s="11">
        <v>669370.0</v>
      </c>
      <c r="N146" s="11" t="s">
        <v>403</v>
      </c>
      <c r="O146" s="13" t="s">
        <v>69</v>
      </c>
      <c r="P146" s="11">
        <v>0.0</v>
      </c>
      <c r="Q146" s="14">
        <v>0.0</v>
      </c>
      <c r="R146" s="11">
        <v>1.0</v>
      </c>
      <c r="S146">
        <f t="shared" si="1"/>
        <v>2024</v>
      </c>
      <c r="T146">
        <f t="shared" si="2"/>
        <v>3</v>
      </c>
      <c r="U146">
        <f t="shared" si="3"/>
        <v>19</v>
      </c>
      <c r="AG146" s="15"/>
      <c r="AH146" s="16"/>
      <c r="AM146" s="15"/>
      <c r="AN146" s="16"/>
    </row>
    <row r="147">
      <c r="A147" s="9" t="s">
        <v>404</v>
      </c>
      <c r="B147" s="10">
        <v>45366.0</v>
      </c>
      <c r="C147" s="11" t="s">
        <v>111</v>
      </c>
      <c r="D147" s="11" t="s">
        <v>77</v>
      </c>
      <c r="E147" s="11" t="s">
        <v>39</v>
      </c>
      <c r="F147" s="11" t="s">
        <v>40</v>
      </c>
      <c r="G147" s="18" t="s">
        <v>45</v>
      </c>
      <c r="H147" s="18" t="s">
        <v>59</v>
      </c>
      <c r="I147" s="18" t="s">
        <v>405</v>
      </c>
      <c r="J147" s="11">
        <v>24.0</v>
      </c>
      <c r="K147" s="12">
        <v>45836.0</v>
      </c>
      <c r="L147" s="11">
        <f>ROUND(((K147-B147)/365)*12,0)</f>
        <v>15</v>
      </c>
      <c r="M147" s="11">
        <v>694331.0</v>
      </c>
      <c r="N147" s="11" t="s">
        <v>406</v>
      </c>
      <c r="O147" s="13"/>
      <c r="P147" s="11">
        <v>0.0</v>
      </c>
      <c r="Q147" s="14">
        <v>0.0</v>
      </c>
      <c r="R147" s="11">
        <v>1.0</v>
      </c>
      <c r="S147">
        <f t="shared" si="1"/>
        <v>2024</v>
      </c>
      <c r="T147">
        <f t="shared" si="2"/>
        <v>3</v>
      </c>
      <c r="U147">
        <f t="shared" si="3"/>
        <v>15</v>
      </c>
      <c r="Z147" s="17">
        <v>45805.0</v>
      </c>
      <c r="AG147" s="15"/>
      <c r="AH147" s="16"/>
      <c r="AM147" s="15"/>
      <c r="AN147" s="16"/>
    </row>
    <row r="148">
      <c r="A148" s="9" t="s">
        <v>407</v>
      </c>
      <c r="B148" s="10">
        <v>45366.0</v>
      </c>
      <c r="C148" s="11" t="s">
        <v>274</v>
      </c>
      <c r="D148" s="11" t="s">
        <v>38</v>
      </c>
      <c r="E148" s="11" t="s">
        <v>39</v>
      </c>
      <c r="F148" s="11" t="s">
        <v>40</v>
      </c>
      <c r="G148" s="18" t="s">
        <v>41</v>
      </c>
      <c r="H148" s="18"/>
      <c r="I148" s="18"/>
      <c r="J148" s="11">
        <v>26.0</v>
      </c>
      <c r="K148" s="12"/>
      <c r="L148" s="11"/>
      <c r="M148" s="11">
        <v>665734.0</v>
      </c>
      <c r="N148" s="11">
        <v>21163.0</v>
      </c>
      <c r="O148" s="13" t="s">
        <v>42</v>
      </c>
      <c r="P148" s="11">
        <v>0.0</v>
      </c>
      <c r="Q148" s="14">
        <v>0.0</v>
      </c>
      <c r="R148" s="11">
        <v>1.0</v>
      </c>
      <c r="S148">
        <f t="shared" si="1"/>
        <v>2024</v>
      </c>
      <c r="T148">
        <f t="shared" si="2"/>
        <v>3</v>
      </c>
      <c r="U148">
        <f t="shared" si="3"/>
        <v>15</v>
      </c>
      <c r="Z148" s="17">
        <v>45794.0</v>
      </c>
      <c r="AG148" s="15"/>
      <c r="AH148" s="16"/>
      <c r="AM148" s="15"/>
      <c r="AN148" s="16"/>
    </row>
    <row r="149">
      <c r="A149" s="9" t="s">
        <v>408</v>
      </c>
      <c r="B149" s="10">
        <v>45359.0</v>
      </c>
      <c r="C149" s="11" t="s">
        <v>83</v>
      </c>
      <c r="D149" s="11" t="s">
        <v>93</v>
      </c>
      <c r="E149" s="11" t="s">
        <v>39</v>
      </c>
      <c r="F149" s="11" t="s">
        <v>40</v>
      </c>
      <c r="G149" s="18" t="s">
        <v>45</v>
      </c>
      <c r="H149" s="18" t="s">
        <v>46</v>
      </c>
      <c r="I149" s="18" t="s">
        <v>409</v>
      </c>
      <c r="J149" s="11">
        <v>20.0</v>
      </c>
      <c r="K149" s="12"/>
      <c r="L149" s="11"/>
      <c r="M149" s="11">
        <v>807555.0</v>
      </c>
      <c r="N149" s="11" t="s">
        <v>410</v>
      </c>
      <c r="O149" s="13"/>
      <c r="P149" s="11">
        <v>0.0</v>
      </c>
      <c r="Q149" s="14">
        <v>0.0</v>
      </c>
      <c r="R149" s="11">
        <v>1.0</v>
      </c>
      <c r="S149">
        <f t="shared" si="1"/>
        <v>2024</v>
      </c>
      <c r="T149">
        <f t="shared" si="2"/>
        <v>3</v>
      </c>
      <c r="U149">
        <f t="shared" si="3"/>
        <v>8</v>
      </c>
      <c r="Z149" s="17"/>
      <c r="AG149" s="15"/>
      <c r="AH149" s="16"/>
      <c r="AM149" s="15"/>
      <c r="AN149" s="16"/>
    </row>
    <row r="150">
      <c r="A150" s="9" t="s">
        <v>411</v>
      </c>
      <c r="B150" s="10">
        <v>45357.0</v>
      </c>
      <c r="C150" s="11" t="s">
        <v>138</v>
      </c>
      <c r="D150" s="11" t="s">
        <v>88</v>
      </c>
      <c r="E150" s="11" t="s">
        <v>39</v>
      </c>
      <c r="F150" s="11" t="s">
        <v>40</v>
      </c>
      <c r="G150" s="18" t="s">
        <v>45</v>
      </c>
      <c r="H150" s="18" t="s">
        <v>412</v>
      </c>
      <c r="I150" s="18" t="s">
        <v>412</v>
      </c>
      <c r="J150" s="11">
        <v>23.0</v>
      </c>
      <c r="K150" s="12">
        <v>45841.0</v>
      </c>
      <c r="L150" s="11">
        <f t="shared" ref="L150:L151" si="11">ROUND(((K150-B150)/365)*12,0)</f>
        <v>16</v>
      </c>
      <c r="M150" s="11">
        <v>688701.0</v>
      </c>
      <c r="N150" s="11" t="s">
        <v>413</v>
      </c>
      <c r="O150" s="13" t="s">
        <v>42</v>
      </c>
      <c r="P150" s="11">
        <v>0.0</v>
      </c>
      <c r="Q150" s="14">
        <v>0.0</v>
      </c>
      <c r="R150" s="11">
        <v>1.0</v>
      </c>
      <c r="S150">
        <f t="shared" si="1"/>
        <v>2024</v>
      </c>
      <c r="T150">
        <f t="shared" si="2"/>
        <v>3</v>
      </c>
      <c r="U150">
        <f t="shared" si="3"/>
        <v>6</v>
      </c>
      <c r="Z150" s="17">
        <v>45811.0</v>
      </c>
      <c r="AG150" s="15"/>
      <c r="AH150" s="16"/>
      <c r="AM150" s="15"/>
      <c r="AN150" s="16"/>
    </row>
    <row r="151">
      <c r="A151" s="9" t="s">
        <v>414</v>
      </c>
      <c r="B151" s="10">
        <v>45357.0</v>
      </c>
      <c r="C151" s="11" t="s">
        <v>186</v>
      </c>
      <c r="D151" s="11" t="s">
        <v>77</v>
      </c>
      <c r="E151" s="11" t="s">
        <v>39</v>
      </c>
      <c r="F151" s="11" t="s">
        <v>40</v>
      </c>
      <c r="G151" s="18" t="s">
        <v>326</v>
      </c>
      <c r="H151" s="18"/>
      <c r="I151" s="18"/>
      <c r="J151" s="11">
        <v>25.0</v>
      </c>
      <c r="K151" s="12">
        <v>45772.0</v>
      </c>
      <c r="L151" s="11">
        <f t="shared" si="11"/>
        <v>14</v>
      </c>
      <c r="M151" s="11">
        <v>672629.0</v>
      </c>
      <c r="N151" s="11" t="s">
        <v>415</v>
      </c>
      <c r="O151" s="13" t="s">
        <v>42</v>
      </c>
      <c r="P151" s="11">
        <v>0.0</v>
      </c>
      <c r="Q151" s="14">
        <v>0.0</v>
      </c>
      <c r="R151" s="11">
        <v>1.0</v>
      </c>
      <c r="S151">
        <f t="shared" si="1"/>
        <v>2024</v>
      </c>
      <c r="T151">
        <f t="shared" si="2"/>
        <v>3</v>
      </c>
      <c r="U151">
        <f t="shared" si="3"/>
        <v>6</v>
      </c>
      <c r="Z151" s="17">
        <v>45772.0</v>
      </c>
      <c r="AG151" s="15"/>
      <c r="AH151" s="16"/>
      <c r="AM151" s="15"/>
      <c r="AN151" s="16"/>
    </row>
    <row r="152">
      <c r="A152" s="13" t="s">
        <v>416</v>
      </c>
      <c r="B152" s="17">
        <v>45356.0</v>
      </c>
      <c r="C152" s="11" t="s">
        <v>358</v>
      </c>
      <c r="D152" s="11" t="s">
        <v>93</v>
      </c>
      <c r="E152" s="11" t="s">
        <v>39</v>
      </c>
      <c r="F152" s="11" t="s">
        <v>40</v>
      </c>
      <c r="G152" s="18" t="s">
        <v>45</v>
      </c>
      <c r="H152" s="18" t="s">
        <v>67</v>
      </c>
      <c r="I152" s="18" t="s">
        <v>417</v>
      </c>
      <c r="J152" s="11">
        <v>20.0</v>
      </c>
      <c r="K152" s="12"/>
      <c r="L152" s="11"/>
      <c r="M152" s="11"/>
      <c r="N152" s="11" t="s">
        <v>418</v>
      </c>
      <c r="O152" s="13"/>
      <c r="P152" s="11">
        <v>0.0</v>
      </c>
      <c r="Q152" s="14">
        <v>0.0</v>
      </c>
      <c r="R152" s="11">
        <v>1.0</v>
      </c>
      <c r="S152">
        <f t="shared" si="1"/>
        <v>2024</v>
      </c>
      <c r="T152">
        <f t="shared" si="2"/>
        <v>3</v>
      </c>
      <c r="U152">
        <f t="shared" si="3"/>
        <v>5</v>
      </c>
      <c r="AG152" s="15"/>
      <c r="AH152" s="16"/>
      <c r="AM152" s="15"/>
      <c r="AN152" s="16"/>
    </row>
    <row r="153">
      <c r="A153" s="9" t="s">
        <v>419</v>
      </c>
      <c r="B153" s="10">
        <v>45352.0</v>
      </c>
      <c r="C153" s="11" t="s">
        <v>143</v>
      </c>
      <c r="D153" s="11" t="s">
        <v>58</v>
      </c>
      <c r="E153" s="11" t="s">
        <v>39</v>
      </c>
      <c r="F153" s="11" t="s">
        <v>40</v>
      </c>
      <c r="G153" s="18" t="s">
        <v>53</v>
      </c>
      <c r="H153" s="18"/>
      <c r="I153" s="18"/>
      <c r="J153" s="11">
        <v>26.0</v>
      </c>
      <c r="K153" s="12"/>
      <c r="L153" s="11"/>
      <c r="M153" s="11">
        <v>679346.0</v>
      </c>
      <c r="N153" s="11">
        <v>24363.0</v>
      </c>
      <c r="O153" s="13"/>
      <c r="P153" s="11">
        <v>0.0</v>
      </c>
      <c r="Q153" s="14">
        <v>0.0</v>
      </c>
      <c r="R153" s="11">
        <v>1.0</v>
      </c>
      <c r="S153">
        <f t="shared" si="1"/>
        <v>2024</v>
      </c>
      <c r="T153">
        <f t="shared" si="2"/>
        <v>3</v>
      </c>
      <c r="U153">
        <f t="shared" si="3"/>
        <v>1</v>
      </c>
      <c r="AG153" s="15"/>
      <c r="AH153" s="16"/>
      <c r="AM153" s="15"/>
      <c r="AN153" s="16"/>
    </row>
    <row r="154">
      <c r="A154" s="9" t="s">
        <v>420</v>
      </c>
      <c r="B154" s="10">
        <v>45352.0</v>
      </c>
      <c r="C154" s="11" t="s">
        <v>143</v>
      </c>
      <c r="D154" s="11" t="s">
        <v>38</v>
      </c>
      <c r="E154" s="11" t="s">
        <v>39</v>
      </c>
      <c r="F154" s="11" t="s">
        <v>40</v>
      </c>
      <c r="G154" s="18" t="s">
        <v>45</v>
      </c>
      <c r="H154" s="18" t="s">
        <v>67</v>
      </c>
      <c r="I154" s="18" t="s">
        <v>421</v>
      </c>
      <c r="J154" s="11">
        <v>30.0</v>
      </c>
      <c r="K154" s="12"/>
      <c r="L154" s="11"/>
      <c r="M154" s="11">
        <v>669947.0</v>
      </c>
      <c r="N154" s="11">
        <v>19205.0</v>
      </c>
      <c r="O154" s="13"/>
      <c r="P154" s="11">
        <v>0.0</v>
      </c>
      <c r="Q154" s="14">
        <v>0.0</v>
      </c>
      <c r="R154" s="11">
        <v>1.0</v>
      </c>
      <c r="S154">
        <f t="shared" si="1"/>
        <v>2024</v>
      </c>
      <c r="T154">
        <f t="shared" si="2"/>
        <v>3</v>
      </c>
      <c r="U154">
        <f t="shared" si="3"/>
        <v>1</v>
      </c>
      <c r="Z154" s="17">
        <v>45783.0</v>
      </c>
      <c r="AG154" s="15"/>
      <c r="AH154" s="16"/>
      <c r="AM154" s="15"/>
      <c r="AN154" s="16"/>
    </row>
    <row r="155">
      <c r="A155" s="9" t="s">
        <v>422</v>
      </c>
      <c r="B155" s="10">
        <v>45352.0</v>
      </c>
      <c r="C155" s="11" t="s">
        <v>358</v>
      </c>
      <c r="D155" s="11" t="s">
        <v>58</v>
      </c>
      <c r="E155" s="11" t="s">
        <v>39</v>
      </c>
      <c r="F155" s="11" t="s">
        <v>40</v>
      </c>
      <c r="G155" s="18" t="s">
        <v>45</v>
      </c>
      <c r="H155" s="18" t="s">
        <v>301</v>
      </c>
      <c r="I155" s="18" t="s">
        <v>179</v>
      </c>
      <c r="J155" s="11">
        <v>24.0</v>
      </c>
      <c r="K155" s="12"/>
      <c r="L155" s="11"/>
      <c r="M155" s="11">
        <v>685125.0</v>
      </c>
      <c r="N155" s="11" t="s">
        <v>423</v>
      </c>
      <c r="O155" s="13"/>
      <c r="P155" s="11">
        <v>0.0</v>
      </c>
      <c r="Q155" s="14">
        <v>0.0</v>
      </c>
      <c r="R155" s="11">
        <v>1.0</v>
      </c>
      <c r="S155">
        <f t="shared" si="1"/>
        <v>2024</v>
      </c>
      <c r="T155">
        <f t="shared" si="2"/>
        <v>3</v>
      </c>
      <c r="U155">
        <f t="shared" si="3"/>
        <v>1</v>
      </c>
      <c r="Z155" s="17">
        <v>45777.0</v>
      </c>
      <c r="AG155" s="15"/>
      <c r="AH155" s="16"/>
      <c r="AM155" s="15"/>
      <c r="AN155" s="16"/>
    </row>
    <row r="156">
      <c r="A156" s="9" t="s">
        <v>424</v>
      </c>
      <c r="B156" s="10">
        <v>45352.0</v>
      </c>
      <c r="C156" s="11" t="s">
        <v>362</v>
      </c>
      <c r="D156" s="11" t="s">
        <v>38</v>
      </c>
      <c r="E156" s="11" t="s">
        <v>39</v>
      </c>
      <c r="F156" s="11" t="s">
        <v>40</v>
      </c>
      <c r="G156" s="18" t="s">
        <v>41</v>
      </c>
      <c r="H156" s="18"/>
      <c r="I156" s="18"/>
      <c r="J156" s="11">
        <v>28.0</v>
      </c>
      <c r="K156" s="12">
        <v>45871.0</v>
      </c>
      <c r="L156" s="11">
        <f t="shared" ref="L156:L160" si="12">ROUND(((K156-B156)/365)*12,0)</f>
        <v>17</v>
      </c>
      <c r="M156" s="11">
        <v>664294.0</v>
      </c>
      <c r="N156" s="11">
        <v>21101.0</v>
      </c>
      <c r="O156" s="13"/>
      <c r="P156" s="11">
        <v>0.0</v>
      </c>
      <c r="Q156" s="14">
        <v>0.0</v>
      </c>
      <c r="R156" s="11">
        <v>1.0</v>
      </c>
      <c r="S156">
        <f t="shared" si="1"/>
        <v>2024</v>
      </c>
      <c r="T156">
        <f t="shared" si="2"/>
        <v>3</v>
      </c>
      <c r="U156">
        <f t="shared" si="3"/>
        <v>1</v>
      </c>
      <c r="Z156" s="17">
        <v>45776.0</v>
      </c>
      <c r="AG156" s="15"/>
      <c r="AH156" s="16"/>
      <c r="AM156" s="15"/>
      <c r="AN156" s="16"/>
    </row>
    <row r="157">
      <c r="A157" s="13" t="s">
        <v>425</v>
      </c>
      <c r="B157" s="17">
        <v>45352.0</v>
      </c>
      <c r="C157" s="11" t="s">
        <v>362</v>
      </c>
      <c r="D157" s="11" t="s">
        <v>93</v>
      </c>
      <c r="E157" s="11" t="s">
        <v>39</v>
      </c>
      <c r="F157" s="11" t="s">
        <v>40</v>
      </c>
      <c r="G157" s="18" t="s">
        <v>45</v>
      </c>
      <c r="H157" s="18" t="s">
        <v>84</v>
      </c>
      <c r="I157" s="18" t="s">
        <v>426</v>
      </c>
      <c r="J157" s="11">
        <v>21.0</v>
      </c>
      <c r="K157" s="12">
        <v>45786.0</v>
      </c>
      <c r="L157" s="11">
        <f t="shared" si="12"/>
        <v>14</v>
      </c>
      <c r="M157" s="11">
        <v>701400.0</v>
      </c>
      <c r="N157" s="11" t="s">
        <v>427</v>
      </c>
      <c r="O157" s="13"/>
      <c r="P157" s="11">
        <v>0.0</v>
      </c>
      <c r="Q157" s="14">
        <v>0.0</v>
      </c>
      <c r="R157" s="11">
        <v>1.0</v>
      </c>
      <c r="S157">
        <f t="shared" si="1"/>
        <v>2024</v>
      </c>
      <c r="T157">
        <f t="shared" si="2"/>
        <v>3</v>
      </c>
      <c r="U157">
        <f t="shared" si="3"/>
        <v>1</v>
      </c>
      <c r="Z157" s="17">
        <v>45786.0</v>
      </c>
      <c r="AG157" s="15"/>
      <c r="AH157" s="16"/>
      <c r="AM157" s="15"/>
      <c r="AN157" s="16"/>
    </row>
    <row r="158">
      <c r="A158" s="9" t="s">
        <v>428</v>
      </c>
      <c r="B158" s="10">
        <v>45352.0</v>
      </c>
      <c r="C158" s="11" t="s">
        <v>230</v>
      </c>
      <c r="D158" s="11" t="s">
        <v>38</v>
      </c>
      <c r="E158" s="11" t="s">
        <v>39</v>
      </c>
      <c r="F158" s="11" t="s">
        <v>40</v>
      </c>
      <c r="G158" s="18" t="s">
        <v>45</v>
      </c>
      <c r="H158" s="18" t="s">
        <v>127</v>
      </c>
      <c r="I158" s="18" t="s">
        <v>84</v>
      </c>
      <c r="J158" s="11">
        <v>27.0</v>
      </c>
      <c r="K158" s="12">
        <v>45805.0</v>
      </c>
      <c r="L158" s="11">
        <f t="shared" si="12"/>
        <v>15</v>
      </c>
      <c r="M158" s="11">
        <v>663804.0</v>
      </c>
      <c r="N158" s="11">
        <v>21549.0</v>
      </c>
      <c r="O158" s="13" t="s">
        <v>42</v>
      </c>
      <c r="P158" s="11">
        <v>0.0</v>
      </c>
      <c r="Q158" s="14">
        <v>0.0</v>
      </c>
      <c r="R158" s="11">
        <v>1.0</v>
      </c>
      <c r="S158">
        <f t="shared" si="1"/>
        <v>2024</v>
      </c>
      <c r="T158">
        <f t="shared" si="2"/>
        <v>3</v>
      </c>
      <c r="U158">
        <f t="shared" si="3"/>
        <v>1</v>
      </c>
      <c r="Z158" s="17">
        <v>45780.0</v>
      </c>
      <c r="AG158" s="15"/>
      <c r="AH158" s="16"/>
      <c r="AM158" s="15"/>
      <c r="AN158" s="16"/>
    </row>
    <row r="159">
      <c r="A159" s="13" t="s">
        <v>429</v>
      </c>
      <c r="B159" s="17">
        <v>45352.0</v>
      </c>
      <c r="C159" s="11" t="s">
        <v>83</v>
      </c>
      <c r="D159" s="11" t="s">
        <v>93</v>
      </c>
      <c r="E159" s="11" t="s">
        <v>39</v>
      </c>
      <c r="F159" s="11" t="s">
        <v>40</v>
      </c>
      <c r="G159" s="18" t="s">
        <v>45</v>
      </c>
      <c r="H159" s="18" t="s">
        <v>412</v>
      </c>
      <c r="I159" s="18" t="s">
        <v>140</v>
      </c>
      <c r="J159" s="11">
        <v>20.0</v>
      </c>
      <c r="K159" s="12">
        <v>45848.0</v>
      </c>
      <c r="L159" s="11">
        <f t="shared" si="12"/>
        <v>16</v>
      </c>
      <c r="M159" s="11">
        <v>702254.0</v>
      </c>
      <c r="N159" s="11" t="s">
        <v>430</v>
      </c>
      <c r="O159" s="13"/>
      <c r="P159" s="11">
        <v>0.0</v>
      </c>
      <c r="Q159" s="14">
        <v>0.0</v>
      </c>
      <c r="R159" s="11">
        <v>1.0</v>
      </c>
      <c r="S159">
        <f t="shared" si="1"/>
        <v>2024</v>
      </c>
      <c r="T159">
        <f t="shared" si="2"/>
        <v>3</v>
      </c>
      <c r="U159">
        <f t="shared" si="3"/>
        <v>1</v>
      </c>
      <c r="Z159" s="17">
        <v>45848.0</v>
      </c>
      <c r="AG159" s="15"/>
      <c r="AH159" s="16"/>
      <c r="AM159" s="15"/>
      <c r="AN159" s="16"/>
    </row>
    <row r="160">
      <c r="A160" s="9" t="s">
        <v>431</v>
      </c>
      <c r="B160" s="10">
        <v>45352.0</v>
      </c>
      <c r="C160" s="11" t="s">
        <v>76</v>
      </c>
      <c r="D160" s="11" t="s">
        <v>38</v>
      </c>
      <c r="E160" s="11" t="s">
        <v>39</v>
      </c>
      <c r="F160" s="11" t="s">
        <v>40</v>
      </c>
      <c r="G160" s="18" t="s">
        <v>45</v>
      </c>
      <c r="H160" s="18" t="s">
        <v>56</v>
      </c>
      <c r="I160" s="18"/>
      <c r="J160" s="11">
        <v>26.0</v>
      </c>
      <c r="K160" s="12">
        <v>45844.0</v>
      </c>
      <c r="L160" s="11">
        <f t="shared" si="12"/>
        <v>16</v>
      </c>
      <c r="M160" s="11">
        <v>666168.0</v>
      </c>
      <c r="N160" s="11">
        <v>21850.0</v>
      </c>
      <c r="O160" s="13"/>
      <c r="P160" s="11">
        <v>0.0</v>
      </c>
      <c r="Q160" s="14">
        <v>0.0</v>
      </c>
      <c r="R160" s="11">
        <v>1.0</v>
      </c>
      <c r="S160">
        <f t="shared" si="1"/>
        <v>2024</v>
      </c>
      <c r="T160">
        <f t="shared" si="2"/>
        <v>3</v>
      </c>
      <c r="U160">
        <f t="shared" si="3"/>
        <v>1</v>
      </c>
      <c r="Z160" s="17">
        <v>45822.0</v>
      </c>
      <c r="AG160" s="15"/>
      <c r="AH160" s="16"/>
      <c r="AM160" s="15"/>
      <c r="AN160" s="16"/>
    </row>
    <row r="161">
      <c r="A161" s="9" t="s">
        <v>432</v>
      </c>
      <c r="B161" s="10">
        <v>45342.0</v>
      </c>
      <c r="C161" s="11" t="s">
        <v>103</v>
      </c>
      <c r="D161" s="11" t="s">
        <v>93</v>
      </c>
      <c r="E161" s="11" t="s">
        <v>39</v>
      </c>
      <c r="F161" s="11" t="s">
        <v>40</v>
      </c>
      <c r="G161" s="11" t="s">
        <v>45</v>
      </c>
      <c r="H161" s="11" t="s">
        <v>243</v>
      </c>
      <c r="I161" s="11" t="s">
        <v>243</v>
      </c>
      <c r="J161" s="11">
        <v>20.0</v>
      </c>
      <c r="K161" s="12"/>
      <c r="L161" s="11"/>
      <c r="M161" s="11">
        <v>804981.0</v>
      </c>
      <c r="N161" s="11" t="s">
        <v>433</v>
      </c>
      <c r="O161" s="13"/>
      <c r="P161" s="11">
        <v>0.0</v>
      </c>
      <c r="Q161" s="14">
        <v>0.0</v>
      </c>
      <c r="R161" s="11">
        <v>1.0</v>
      </c>
      <c r="S161">
        <f t="shared" si="1"/>
        <v>2024</v>
      </c>
      <c r="T161">
        <f t="shared" si="2"/>
        <v>2</v>
      </c>
      <c r="U161">
        <f t="shared" si="3"/>
        <v>20</v>
      </c>
      <c r="Z161" s="17"/>
      <c r="AG161" s="15"/>
      <c r="AH161" s="16"/>
      <c r="AM161" s="15"/>
      <c r="AN161" s="16"/>
    </row>
    <row r="162">
      <c r="A162" s="9" t="s">
        <v>434</v>
      </c>
      <c r="B162" s="10">
        <v>45323.0</v>
      </c>
      <c r="C162" s="11" t="s">
        <v>116</v>
      </c>
      <c r="D162" s="11" t="s">
        <v>88</v>
      </c>
      <c r="E162" s="11" t="s">
        <v>279</v>
      </c>
      <c r="F162" s="11" t="s">
        <v>40</v>
      </c>
      <c r="G162" s="11" t="s">
        <v>194</v>
      </c>
      <c r="H162" s="11"/>
      <c r="I162" s="11"/>
      <c r="J162" s="11">
        <v>24.0</v>
      </c>
      <c r="K162" s="12">
        <v>45503.0</v>
      </c>
      <c r="L162" s="11">
        <f t="shared" ref="L162:L163" si="13">ROUND(((K162-B162)/365)*12,0)</f>
        <v>6</v>
      </c>
      <c r="M162" s="11">
        <v>678173.0</v>
      </c>
      <c r="N162" s="11" t="s">
        <v>435</v>
      </c>
      <c r="O162" s="13"/>
      <c r="P162" s="11">
        <v>0.0</v>
      </c>
      <c r="Q162" s="14">
        <v>0.0</v>
      </c>
      <c r="R162" s="11">
        <v>1.0</v>
      </c>
      <c r="S162">
        <f t="shared" si="1"/>
        <v>2024</v>
      </c>
      <c r="T162">
        <f t="shared" si="2"/>
        <v>2</v>
      </c>
      <c r="U162">
        <f t="shared" si="3"/>
        <v>1</v>
      </c>
      <c r="Z162" s="17">
        <v>45503.0</v>
      </c>
      <c r="AG162" s="15"/>
      <c r="AH162" s="16"/>
      <c r="AM162" s="15"/>
      <c r="AN162" s="16"/>
    </row>
    <row r="163">
      <c r="A163" s="13" t="s">
        <v>436</v>
      </c>
      <c r="B163" s="17">
        <v>45323.0</v>
      </c>
      <c r="C163" s="11" t="s">
        <v>72</v>
      </c>
      <c r="D163" s="11" t="s">
        <v>93</v>
      </c>
      <c r="E163" s="11" t="s">
        <v>39</v>
      </c>
      <c r="F163" s="11" t="s">
        <v>40</v>
      </c>
      <c r="G163" s="11" t="s">
        <v>45</v>
      </c>
      <c r="H163" s="11" t="s">
        <v>109</v>
      </c>
      <c r="I163" s="11" t="s">
        <v>437</v>
      </c>
      <c r="J163" s="11">
        <v>20.0</v>
      </c>
      <c r="K163" s="12">
        <v>45843.0</v>
      </c>
      <c r="L163" s="11">
        <f t="shared" si="13"/>
        <v>17</v>
      </c>
      <c r="M163" s="11">
        <v>827635.0</v>
      </c>
      <c r="N163" s="11" t="s">
        <v>438</v>
      </c>
      <c r="O163" s="13"/>
      <c r="P163" s="11">
        <v>0.0</v>
      </c>
      <c r="Q163" s="14">
        <v>0.0</v>
      </c>
      <c r="R163" s="11">
        <v>1.0</v>
      </c>
      <c r="S163">
        <f t="shared" si="1"/>
        <v>2024</v>
      </c>
      <c r="T163">
        <f t="shared" si="2"/>
        <v>2</v>
      </c>
      <c r="U163">
        <f t="shared" si="3"/>
        <v>1</v>
      </c>
      <c r="Z163" s="17">
        <v>45843.0</v>
      </c>
      <c r="AG163" s="15"/>
      <c r="AH163" s="16"/>
      <c r="AM163" s="15"/>
      <c r="AN163" s="16"/>
    </row>
    <row r="164">
      <c r="A164" s="13" t="s">
        <v>439</v>
      </c>
      <c r="B164" s="17">
        <v>45323.0</v>
      </c>
      <c r="C164" s="11" t="s">
        <v>111</v>
      </c>
      <c r="D164" s="11" t="s">
        <v>93</v>
      </c>
      <c r="E164" s="11" t="s">
        <v>39</v>
      </c>
      <c r="F164" s="11" t="s">
        <v>64</v>
      </c>
      <c r="G164" s="11" t="s">
        <v>45</v>
      </c>
      <c r="H164" s="11" t="s">
        <v>89</v>
      </c>
      <c r="I164" s="11" t="s">
        <v>440</v>
      </c>
      <c r="J164" s="11">
        <v>20.0</v>
      </c>
      <c r="K164" s="12"/>
      <c r="L164" s="11"/>
      <c r="M164" s="11">
        <v>834393.0</v>
      </c>
      <c r="N164" s="11" t="s">
        <v>441</v>
      </c>
      <c r="O164" s="13"/>
      <c r="P164" s="11">
        <v>0.0</v>
      </c>
      <c r="Q164" s="14">
        <v>0.0</v>
      </c>
      <c r="R164" s="11">
        <v>1.0</v>
      </c>
      <c r="S164">
        <f t="shared" si="1"/>
        <v>2024</v>
      </c>
      <c r="T164">
        <f t="shared" si="2"/>
        <v>2</v>
      </c>
      <c r="U164">
        <f t="shared" si="3"/>
        <v>1</v>
      </c>
      <c r="AG164" s="15"/>
      <c r="AH164" s="16"/>
      <c r="AM164" s="15"/>
      <c r="AN164" s="16"/>
    </row>
    <row r="165">
      <c r="A165" s="13" t="s">
        <v>442</v>
      </c>
      <c r="B165" s="17">
        <v>45323.0</v>
      </c>
      <c r="C165" s="11" t="s">
        <v>126</v>
      </c>
      <c r="D165" s="11" t="s">
        <v>93</v>
      </c>
      <c r="E165" s="11" t="s">
        <v>39</v>
      </c>
      <c r="F165" s="11" t="s">
        <v>40</v>
      </c>
      <c r="G165" s="11" t="s">
        <v>45</v>
      </c>
      <c r="H165" s="11" t="s">
        <v>163</v>
      </c>
      <c r="I165" s="11" t="s">
        <v>74</v>
      </c>
      <c r="J165" s="11">
        <v>20.0</v>
      </c>
      <c r="K165" s="12"/>
      <c r="L165" s="11"/>
      <c r="M165" s="11"/>
      <c r="N165" s="11" t="s">
        <v>443</v>
      </c>
      <c r="O165" s="13"/>
      <c r="P165" s="11">
        <v>0.0</v>
      </c>
      <c r="Q165" s="14">
        <v>0.0</v>
      </c>
      <c r="R165" s="11">
        <v>1.0</v>
      </c>
      <c r="S165">
        <f t="shared" si="1"/>
        <v>2024</v>
      </c>
      <c r="T165">
        <f t="shared" si="2"/>
        <v>2</v>
      </c>
      <c r="U165">
        <f t="shared" si="3"/>
        <v>1</v>
      </c>
      <c r="AG165" s="15"/>
      <c r="AH165" s="16"/>
      <c r="AM165" s="15"/>
      <c r="AN165" s="16"/>
    </row>
    <row r="166">
      <c r="A166" s="13" t="s">
        <v>444</v>
      </c>
      <c r="B166" s="17">
        <v>45323.0</v>
      </c>
      <c r="C166" s="11" t="s">
        <v>108</v>
      </c>
      <c r="D166" s="11" t="s">
        <v>93</v>
      </c>
      <c r="E166" s="11" t="s">
        <v>39</v>
      </c>
      <c r="F166" s="11" t="s">
        <v>64</v>
      </c>
      <c r="G166" s="11" t="s">
        <v>45</v>
      </c>
      <c r="H166" s="11" t="s">
        <v>412</v>
      </c>
      <c r="I166" s="11" t="s">
        <v>445</v>
      </c>
      <c r="J166" s="11">
        <v>21.0</v>
      </c>
      <c r="K166" s="12">
        <v>45782.0</v>
      </c>
      <c r="L166" s="11">
        <f>ROUND(((K166-B166)/365)*12,0)</f>
        <v>15</v>
      </c>
      <c r="M166" s="11">
        <v>814392.0</v>
      </c>
      <c r="N166" s="11" t="s">
        <v>446</v>
      </c>
      <c r="O166" s="13"/>
      <c r="P166" s="11">
        <v>0.0</v>
      </c>
      <c r="Q166" s="14">
        <v>0.0</v>
      </c>
      <c r="R166" s="11">
        <v>1.0</v>
      </c>
      <c r="S166">
        <f t="shared" si="1"/>
        <v>2024</v>
      </c>
      <c r="T166">
        <f t="shared" si="2"/>
        <v>2</v>
      </c>
      <c r="U166">
        <f t="shared" si="3"/>
        <v>1</v>
      </c>
      <c r="Z166" s="17">
        <v>45782.0</v>
      </c>
      <c r="AG166" s="15"/>
      <c r="AH166" s="16"/>
      <c r="AM166" s="15"/>
      <c r="AN166" s="16"/>
    </row>
    <row r="167">
      <c r="A167" s="13" t="s">
        <v>447</v>
      </c>
      <c r="B167" s="17">
        <v>45292.0</v>
      </c>
      <c r="C167" s="11" t="s">
        <v>101</v>
      </c>
      <c r="D167" s="11" t="s">
        <v>93</v>
      </c>
      <c r="E167" s="11" t="s">
        <v>39</v>
      </c>
      <c r="F167" s="11" t="s">
        <v>40</v>
      </c>
      <c r="G167" s="11" t="s">
        <v>45</v>
      </c>
      <c r="H167" s="11" t="s">
        <v>67</v>
      </c>
      <c r="I167" s="11" t="s">
        <v>448</v>
      </c>
      <c r="J167" s="11">
        <v>21.0</v>
      </c>
      <c r="K167" s="12">
        <v>45840.0</v>
      </c>
      <c r="L167" s="11"/>
      <c r="M167" s="11">
        <v>695486.0</v>
      </c>
      <c r="N167" s="11" t="s">
        <v>449</v>
      </c>
      <c r="O167" s="13"/>
      <c r="P167" s="11">
        <v>0.0</v>
      </c>
      <c r="Q167" s="14">
        <v>0.0</v>
      </c>
      <c r="R167" s="11">
        <v>1.0</v>
      </c>
      <c r="S167">
        <f t="shared" si="1"/>
        <v>2024</v>
      </c>
      <c r="T167">
        <f t="shared" si="2"/>
        <v>1</v>
      </c>
      <c r="U167">
        <f t="shared" si="3"/>
        <v>1</v>
      </c>
      <c r="Z167" s="17">
        <v>45840.0</v>
      </c>
      <c r="AG167" s="15"/>
      <c r="AH167" s="16"/>
      <c r="AM167" s="15"/>
      <c r="AN167" s="16"/>
    </row>
    <row r="168">
      <c r="A168" s="13" t="s">
        <v>450</v>
      </c>
      <c r="B168" s="17">
        <v>45292.0</v>
      </c>
      <c r="C168" s="11" t="s">
        <v>72</v>
      </c>
      <c r="D168" s="11" t="s">
        <v>93</v>
      </c>
      <c r="E168" s="11" t="s">
        <v>39</v>
      </c>
      <c r="F168" s="11" t="s">
        <v>40</v>
      </c>
      <c r="G168" s="11" t="s">
        <v>45</v>
      </c>
      <c r="H168" s="11" t="s">
        <v>451</v>
      </c>
      <c r="I168" s="11" t="s">
        <v>452</v>
      </c>
      <c r="J168" s="11">
        <v>20.0</v>
      </c>
      <c r="K168" s="12">
        <v>45797.0</v>
      </c>
      <c r="L168" s="11"/>
      <c r="M168" s="11">
        <v>813745.0</v>
      </c>
      <c r="N168" s="11" t="s">
        <v>453</v>
      </c>
      <c r="O168" s="13"/>
      <c r="P168" s="11">
        <v>0.0</v>
      </c>
      <c r="Q168" s="14">
        <v>0.0</v>
      </c>
      <c r="R168" s="11">
        <v>1.0</v>
      </c>
      <c r="S168">
        <f t="shared" si="1"/>
        <v>2024</v>
      </c>
      <c r="T168">
        <f t="shared" si="2"/>
        <v>1</v>
      </c>
      <c r="U168">
        <f t="shared" si="3"/>
        <v>1</v>
      </c>
      <c r="Z168" s="17">
        <v>45797.0</v>
      </c>
      <c r="AG168" s="15"/>
      <c r="AH168" s="16"/>
      <c r="AM168" s="15"/>
      <c r="AN168" s="16"/>
    </row>
    <row r="169">
      <c r="A169" s="13" t="s">
        <v>454</v>
      </c>
      <c r="B169" s="17">
        <v>45292.0</v>
      </c>
      <c r="C169" s="11" t="s">
        <v>167</v>
      </c>
      <c r="D169" s="11" t="s">
        <v>93</v>
      </c>
      <c r="E169" s="11" t="s">
        <v>39</v>
      </c>
      <c r="F169" s="11" t="s">
        <v>40</v>
      </c>
      <c r="G169" s="11" t="s">
        <v>45</v>
      </c>
      <c r="H169" s="11" t="s">
        <v>127</v>
      </c>
      <c r="I169" s="11" t="s">
        <v>455</v>
      </c>
      <c r="J169" s="11">
        <v>23.0</v>
      </c>
      <c r="K169" s="12"/>
      <c r="L169" s="11"/>
      <c r="M169" s="11">
        <v>810830.0</v>
      </c>
      <c r="N169" s="11" t="s">
        <v>456</v>
      </c>
      <c r="O169" s="13"/>
      <c r="P169" s="11">
        <v>0.0</v>
      </c>
      <c r="Q169" s="14">
        <v>0.0</v>
      </c>
      <c r="R169" s="11">
        <v>1.0</v>
      </c>
      <c r="S169">
        <f t="shared" si="1"/>
        <v>2024</v>
      </c>
      <c r="T169">
        <f t="shared" si="2"/>
        <v>1</v>
      </c>
      <c r="U169">
        <f t="shared" si="3"/>
        <v>1</v>
      </c>
      <c r="AG169" s="15"/>
      <c r="AH169" s="16"/>
      <c r="AM169" s="15"/>
      <c r="AN169" s="16"/>
    </row>
    <row r="170">
      <c r="A170" s="9" t="s">
        <v>457</v>
      </c>
      <c r="B170" s="10">
        <v>45292.0</v>
      </c>
      <c r="C170" s="11" t="s">
        <v>44</v>
      </c>
      <c r="D170" s="11" t="s">
        <v>38</v>
      </c>
      <c r="E170" s="11" t="s">
        <v>104</v>
      </c>
      <c r="F170" s="11" t="s">
        <v>40</v>
      </c>
      <c r="G170" s="11" t="s">
        <v>45</v>
      </c>
      <c r="H170" s="11" t="s">
        <v>56</v>
      </c>
      <c r="I170" s="11" t="s">
        <v>458</v>
      </c>
      <c r="J170" s="11">
        <v>28.0</v>
      </c>
      <c r="K170" s="12">
        <v>45809.0</v>
      </c>
      <c r="L170" s="11"/>
      <c r="M170" s="11">
        <v>681807.0</v>
      </c>
      <c r="N170" s="11">
        <v>24934.0</v>
      </c>
      <c r="O170" s="13"/>
      <c r="P170" s="11">
        <v>0.0</v>
      </c>
      <c r="Q170" s="14">
        <v>0.0</v>
      </c>
      <c r="R170" s="11">
        <v>1.0</v>
      </c>
      <c r="S170">
        <f t="shared" si="1"/>
        <v>2024</v>
      </c>
      <c r="T170">
        <f t="shared" si="2"/>
        <v>1</v>
      </c>
      <c r="U170">
        <f t="shared" si="3"/>
        <v>1</v>
      </c>
      <c r="Z170" s="17">
        <v>45790.0</v>
      </c>
      <c r="AG170" s="15"/>
      <c r="AH170" s="16"/>
      <c r="AM170" s="15"/>
      <c r="AN170" s="16"/>
    </row>
    <row r="171">
      <c r="A171" s="9" t="s">
        <v>459</v>
      </c>
      <c r="B171" s="10">
        <v>45292.0</v>
      </c>
      <c r="C171" s="11" t="s">
        <v>111</v>
      </c>
      <c r="D171" s="11" t="s">
        <v>221</v>
      </c>
      <c r="E171" s="11" t="s">
        <v>39</v>
      </c>
      <c r="F171" s="11" t="s">
        <v>40</v>
      </c>
      <c r="G171" s="11" t="s">
        <v>460</v>
      </c>
      <c r="H171" s="11"/>
      <c r="I171" s="11"/>
      <c r="J171" s="11">
        <v>18.0</v>
      </c>
      <c r="K171" s="12"/>
      <c r="L171" s="11"/>
      <c r="M171" s="11">
        <v>816303.0</v>
      </c>
      <c r="N171" s="11" t="s">
        <v>461</v>
      </c>
      <c r="O171" s="13"/>
      <c r="P171" s="11">
        <v>0.0</v>
      </c>
      <c r="Q171" s="14">
        <v>0.0</v>
      </c>
      <c r="R171" s="11">
        <v>1.0</v>
      </c>
      <c r="S171">
        <f t="shared" si="1"/>
        <v>2024</v>
      </c>
      <c r="T171">
        <f t="shared" si="2"/>
        <v>1</v>
      </c>
      <c r="U171">
        <f t="shared" si="3"/>
        <v>1</v>
      </c>
      <c r="AG171" s="15"/>
      <c r="AH171" s="16"/>
      <c r="AM171" s="15"/>
      <c r="AN171" s="16"/>
    </row>
    <row r="172">
      <c r="A172" s="13" t="s">
        <v>462</v>
      </c>
      <c r="B172" s="17">
        <v>45292.0</v>
      </c>
      <c r="C172" s="11" t="s">
        <v>358</v>
      </c>
      <c r="D172" s="11" t="s">
        <v>88</v>
      </c>
      <c r="E172" s="11" t="s">
        <v>39</v>
      </c>
      <c r="F172" s="11" t="s">
        <v>64</v>
      </c>
      <c r="G172" s="11" t="s">
        <v>45</v>
      </c>
      <c r="H172" s="11" t="s">
        <v>163</v>
      </c>
      <c r="I172" s="11"/>
      <c r="J172" s="11">
        <v>26.0</v>
      </c>
      <c r="K172" s="12">
        <v>45802.0</v>
      </c>
      <c r="L172" s="11"/>
      <c r="M172" s="11">
        <v>668707.0</v>
      </c>
      <c r="N172" s="11" t="s">
        <v>463</v>
      </c>
      <c r="O172" s="13"/>
      <c r="P172" s="11">
        <v>0.0</v>
      </c>
      <c r="Q172" s="14">
        <v>0.0</v>
      </c>
      <c r="R172" s="11">
        <v>1.0</v>
      </c>
      <c r="S172">
        <f t="shared" si="1"/>
        <v>2024</v>
      </c>
      <c r="T172">
        <f t="shared" si="2"/>
        <v>1</v>
      </c>
      <c r="U172">
        <f t="shared" si="3"/>
        <v>1</v>
      </c>
      <c r="Z172" s="17">
        <v>45780.0</v>
      </c>
      <c r="AG172" s="15"/>
      <c r="AH172" s="16"/>
      <c r="AM172" s="15"/>
      <c r="AN172" s="16"/>
    </row>
    <row r="173">
      <c r="A173" s="13" t="s">
        <v>464</v>
      </c>
      <c r="B173" s="17">
        <v>45292.0</v>
      </c>
      <c r="C173" s="11" t="s">
        <v>126</v>
      </c>
      <c r="D173" s="11" t="s">
        <v>93</v>
      </c>
      <c r="E173" s="11" t="s">
        <v>39</v>
      </c>
      <c r="F173" s="11" t="s">
        <v>40</v>
      </c>
      <c r="G173" s="11" t="s">
        <v>45</v>
      </c>
      <c r="H173" s="11" t="s">
        <v>67</v>
      </c>
      <c r="I173" s="11" t="s">
        <v>451</v>
      </c>
      <c r="J173" s="11">
        <v>22.0</v>
      </c>
      <c r="K173" s="12">
        <v>45786.0</v>
      </c>
      <c r="L173" s="11"/>
      <c r="M173" s="11">
        <v>694847.0</v>
      </c>
      <c r="N173" s="11" t="s">
        <v>465</v>
      </c>
      <c r="O173" s="13"/>
      <c r="P173" s="11">
        <v>0.0</v>
      </c>
      <c r="Q173" s="14">
        <v>0.0</v>
      </c>
      <c r="R173" s="11">
        <v>1.0</v>
      </c>
      <c r="S173">
        <f t="shared" si="1"/>
        <v>2024</v>
      </c>
      <c r="T173">
        <f t="shared" si="2"/>
        <v>1</v>
      </c>
      <c r="U173">
        <f t="shared" si="3"/>
        <v>1</v>
      </c>
      <c r="Z173" s="17">
        <v>45786.0</v>
      </c>
      <c r="AG173" s="15"/>
      <c r="AH173" s="16"/>
      <c r="AM173" s="15"/>
      <c r="AN173" s="16"/>
    </row>
    <row r="174">
      <c r="A174" s="13" t="s">
        <v>466</v>
      </c>
      <c r="B174" s="17">
        <v>45292.0</v>
      </c>
      <c r="C174" s="11" t="s">
        <v>274</v>
      </c>
      <c r="D174" s="11" t="s">
        <v>93</v>
      </c>
      <c r="E174" s="11" t="s">
        <v>39</v>
      </c>
      <c r="F174" s="11" t="s">
        <v>64</v>
      </c>
      <c r="G174" s="11" t="s">
        <v>45</v>
      </c>
      <c r="H174" s="11" t="s">
        <v>317</v>
      </c>
      <c r="I174" s="11" t="s">
        <v>467</v>
      </c>
      <c r="J174" s="11">
        <v>20.0</v>
      </c>
      <c r="K174" s="12"/>
      <c r="L174" s="11"/>
      <c r="M174" s="11">
        <v>808911.0</v>
      </c>
      <c r="N174" s="11" t="s">
        <v>468</v>
      </c>
      <c r="O174" s="13"/>
      <c r="P174" s="11">
        <v>0.0</v>
      </c>
      <c r="Q174" s="14">
        <v>0.0</v>
      </c>
      <c r="R174" s="11">
        <v>1.0</v>
      </c>
      <c r="S174">
        <f t="shared" si="1"/>
        <v>2024</v>
      </c>
      <c r="T174">
        <f t="shared" si="2"/>
        <v>1</v>
      </c>
      <c r="U174">
        <f t="shared" si="3"/>
        <v>1</v>
      </c>
      <c r="AG174" s="15"/>
      <c r="AH174" s="16"/>
      <c r="AM174" s="15"/>
      <c r="AN174" s="16"/>
    </row>
    <row r="175">
      <c r="A175" s="9" t="s">
        <v>469</v>
      </c>
      <c r="B175" s="10">
        <v>45292.0</v>
      </c>
      <c r="C175" s="11" t="s">
        <v>175</v>
      </c>
      <c r="D175" s="11" t="s">
        <v>213</v>
      </c>
      <c r="E175" s="11" t="s">
        <v>279</v>
      </c>
      <c r="F175" s="11" t="s">
        <v>40</v>
      </c>
      <c r="G175" s="11" t="s">
        <v>45</v>
      </c>
      <c r="H175" s="11" t="s">
        <v>133</v>
      </c>
      <c r="I175" s="11"/>
      <c r="J175" s="11">
        <v>18.0</v>
      </c>
      <c r="K175" s="12">
        <v>45780.0</v>
      </c>
      <c r="L175" s="11"/>
      <c r="M175" s="11">
        <v>806495.0</v>
      </c>
      <c r="N175" s="11" t="s">
        <v>470</v>
      </c>
      <c r="O175" s="13"/>
      <c r="P175" s="11">
        <v>0.0</v>
      </c>
      <c r="Q175" s="14">
        <v>0.0</v>
      </c>
      <c r="R175" s="11">
        <v>1.0</v>
      </c>
      <c r="S175">
        <f t="shared" si="1"/>
        <v>2024</v>
      </c>
      <c r="T175">
        <f t="shared" si="2"/>
        <v>1</v>
      </c>
      <c r="U175">
        <f t="shared" si="3"/>
        <v>1</v>
      </c>
      <c r="Z175" s="17">
        <v>45780.0</v>
      </c>
      <c r="AG175" s="15"/>
      <c r="AH175" s="16"/>
      <c r="AM175" s="15"/>
      <c r="AN175" s="16"/>
    </row>
    <row r="176">
      <c r="A176" s="9" t="s">
        <v>471</v>
      </c>
      <c r="B176" s="10">
        <v>45292.0</v>
      </c>
      <c r="C176" s="11" t="s">
        <v>230</v>
      </c>
      <c r="D176" s="11" t="s">
        <v>97</v>
      </c>
      <c r="E176" s="11" t="s">
        <v>39</v>
      </c>
      <c r="F176" s="11" t="s">
        <v>40</v>
      </c>
      <c r="G176" s="11" t="s">
        <v>45</v>
      </c>
      <c r="H176" s="11" t="s">
        <v>67</v>
      </c>
      <c r="I176" s="11"/>
      <c r="J176" s="11">
        <v>20.0</v>
      </c>
      <c r="K176" s="12"/>
      <c r="L176" s="11"/>
      <c r="M176" s="11">
        <v>702640.0</v>
      </c>
      <c r="N176" s="11" t="s">
        <v>472</v>
      </c>
      <c r="O176" s="13"/>
      <c r="P176" s="11">
        <v>0.0</v>
      </c>
      <c r="Q176" s="14">
        <v>0.0</v>
      </c>
      <c r="R176" s="11">
        <v>1.0</v>
      </c>
      <c r="S176">
        <f t="shared" si="1"/>
        <v>2024</v>
      </c>
      <c r="T176">
        <f t="shared" si="2"/>
        <v>1</v>
      </c>
      <c r="U176">
        <f t="shared" si="3"/>
        <v>1</v>
      </c>
      <c r="AG176" s="15"/>
      <c r="AH176" s="16"/>
      <c r="AM176" s="15"/>
      <c r="AN176" s="16"/>
    </row>
    <row r="177">
      <c r="A177" s="9" t="s">
        <v>473</v>
      </c>
      <c r="B177" s="10">
        <v>45292.0</v>
      </c>
      <c r="C177" s="11" t="s">
        <v>230</v>
      </c>
      <c r="D177" s="11" t="s">
        <v>213</v>
      </c>
      <c r="E177" s="11" t="s">
        <v>39</v>
      </c>
      <c r="F177" s="11" t="s">
        <v>40</v>
      </c>
      <c r="G177" s="11" t="s">
        <v>45</v>
      </c>
      <c r="H177" s="11" t="s">
        <v>56</v>
      </c>
      <c r="I177" s="11"/>
      <c r="J177" s="11">
        <v>21.0</v>
      </c>
      <c r="K177" s="12"/>
      <c r="L177" s="11"/>
      <c r="M177" s="11">
        <v>702551.0</v>
      </c>
      <c r="N177" s="11" t="s">
        <v>474</v>
      </c>
      <c r="O177" s="13"/>
      <c r="P177" s="11">
        <v>0.0</v>
      </c>
      <c r="Q177" s="14">
        <v>0.0</v>
      </c>
      <c r="R177" s="11">
        <v>1.0</v>
      </c>
      <c r="S177">
        <f t="shared" si="1"/>
        <v>2024</v>
      </c>
      <c r="T177">
        <f t="shared" si="2"/>
        <v>1</v>
      </c>
      <c r="U177">
        <f t="shared" si="3"/>
        <v>1</v>
      </c>
      <c r="AG177" s="15"/>
      <c r="AH177" s="16"/>
      <c r="AM177" s="15"/>
      <c r="AN177" s="16"/>
    </row>
    <row r="178">
      <c r="A178" s="13" t="s">
        <v>475</v>
      </c>
      <c r="B178" s="17">
        <v>45292.0</v>
      </c>
      <c r="C178" s="11" t="s">
        <v>186</v>
      </c>
      <c r="D178" s="11" t="s">
        <v>93</v>
      </c>
      <c r="E178" s="11" t="s">
        <v>39</v>
      </c>
      <c r="F178" s="11" t="s">
        <v>64</v>
      </c>
      <c r="G178" s="18" t="s">
        <v>45</v>
      </c>
      <c r="H178" s="18" t="s">
        <v>127</v>
      </c>
      <c r="I178" s="18" t="s">
        <v>476</v>
      </c>
      <c r="J178" s="11">
        <v>21.0</v>
      </c>
      <c r="K178" s="12">
        <v>45807.0</v>
      </c>
      <c r="L178" s="11"/>
      <c r="M178" s="11">
        <v>701718.0</v>
      </c>
      <c r="N178" s="11" t="s">
        <v>477</v>
      </c>
      <c r="O178" s="13"/>
      <c r="P178" s="11">
        <v>0.0</v>
      </c>
      <c r="Q178" s="14">
        <v>0.0</v>
      </c>
      <c r="R178" s="11">
        <v>1.0</v>
      </c>
      <c r="S178">
        <f t="shared" si="1"/>
        <v>2024</v>
      </c>
      <c r="T178">
        <f t="shared" si="2"/>
        <v>1</v>
      </c>
      <c r="U178">
        <f t="shared" si="3"/>
        <v>1</v>
      </c>
      <c r="Z178" s="17">
        <v>45807.0</v>
      </c>
      <c r="AG178" s="15"/>
      <c r="AH178" s="16"/>
      <c r="AM178" s="15"/>
      <c r="AN178" s="16"/>
    </row>
    <row r="179">
      <c r="A179" s="13" t="s">
        <v>478</v>
      </c>
      <c r="B179" s="17">
        <v>45292.0</v>
      </c>
      <c r="C179" s="11" t="s">
        <v>235</v>
      </c>
      <c r="D179" s="11" t="s">
        <v>93</v>
      </c>
      <c r="E179" s="11" t="s">
        <v>118</v>
      </c>
      <c r="F179" s="11" t="s">
        <v>40</v>
      </c>
      <c r="G179" s="18" t="s">
        <v>45</v>
      </c>
      <c r="H179" s="18" t="s">
        <v>109</v>
      </c>
      <c r="I179" s="18" t="s">
        <v>479</v>
      </c>
      <c r="J179" s="11">
        <v>21.0</v>
      </c>
      <c r="K179" s="12">
        <v>45867.0</v>
      </c>
      <c r="L179" s="11"/>
      <c r="M179" s="11">
        <v>814457.0</v>
      </c>
      <c r="N179" s="11" t="s">
        <v>480</v>
      </c>
      <c r="O179" s="13"/>
      <c r="P179" s="11">
        <v>0.0</v>
      </c>
      <c r="Q179" s="14">
        <v>0.0</v>
      </c>
      <c r="R179" s="11">
        <v>1.0</v>
      </c>
      <c r="S179">
        <f t="shared" si="1"/>
        <v>2024</v>
      </c>
      <c r="T179">
        <f t="shared" si="2"/>
        <v>1</v>
      </c>
      <c r="U179">
        <f t="shared" si="3"/>
        <v>1</v>
      </c>
      <c r="Z179" s="17">
        <v>45867.0</v>
      </c>
      <c r="AG179" s="15"/>
      <c r="AH179" s="16"/>
      <c r="AM179" s="15"/>
      <c r="AN179" s="16"/>
    </row>
    <row r="180">
      <c r="A180" s="9" t="s">
        <v>481</v>
      </c>
      <c r="B180" s="10">
        <v>45272.0</v>
      </c>
      <c r="C180" s="11" t="s">
        <v>362</v>
      </c>
      <c r="D180" s="11" t="s">
        <v>38</v>
      </c>
      <c r="E180" s="11" t="s">
        <v>104</v>
      </c>
      <c r="F180" s="11" t="s">
        <v>40</v>
      </c>
      <c r="G180" s="18" t="s">
        <v>41</v>
      </c>
      <c r="H180" s="18"/>
      <c r="I180" s="18"/>
      <c r="J180" s="11">
        <v>23.0</v>
      </c>
      <c r="K180" s="12">
        <v>45743.0</v>
      </c>
      <c r="L180" s="11">
        <f t="shared" ref="L180:L182" si="14">ROUND(((K180-B180)/365)*12,0)</f>
        <v>15</v>
      </c>
      <c r="M180" s="11">
        <v>682848.0</v>
      </c>
      <c r="N180" s="11">
        <v>25332.0</v>
      </c>
      <c r="O180" s="13"/>
      <c r="P180" s="11">
        <v>0.0</v>
      </c>
      <c r="Q180" s="14">
        <v>0.0</v>
      </c>
      <c r="R180" s="11">
        <v>1.0</v>
      </c>
      <c r="S180">
        <f t="shared" si="1"/>
        <v>2023</v>
      </c>
      <c r="T180">
        <f t="shared" si="2"/>
        <v>12</v>
      </c>
      <c r="U180">
        <f t="shared" si="3"/>
        <v>12</v>
      </c>
      <c r="Z180" s="17">
        <v>45545.0</v>
      </c>
      <c r="AG180" s="15"/>
      <c r="AH180" s="16"/>
      <c r="AM180" s="15"/>
      <c r="AN180" s="16"/>
    </row>
    <row r="181">
      <c r="A181" s="9" t="s">
        <v>482</v>
      </c>
      <c r="B181" s="10">
        <v>45261.0</v>
      </c>
      <c r="C181" s="11" t="s">
        <v>362</v>
      </c>
      <c r="D181" s="11" t="s">
        <v>38</v>
      </c>
      <c r="E181" s="11" t="s">
        <v>39</v>
      </c>
      <c r="F181" s="11" t="s">
        <v>40</v>
      </c>
      <c r="G181" s="18" t="s">
        <v>483</v>
      </c>
      <c r="H181" s="18"/>
      <c r="I181" s="18"/>
      <c r="J181" s="11">
        <v>25.0</v>
      </c>
      <c r="K181" s="12">
        <v>45873.0</v>
      </c>
      <c r="L181" s="11">
        <f t="shared" si="14"/>
        <v>20</v>
      </c>
      <c r="M181" s="11">
        <v>670912.0</v>
      </c>
      <c r="N181" s="11">
        <v>22487.0</v>
      </c>
      <c r="O181" s="13"/>
      <c r="P181" s="11">
        <v>0.0</v>
      </c>
      <c r="Q181" s="14">
        <v>0.0</v>
      </c>
      <c r="R181" s="11">
        <v>1.0</v>
      </c>
      <c r="S181">
        <f t="shared" si="1"/>
        <v>2023</v>
      </c>
      <c r="T181">
        <f t="shared" si="2"/>
        <v>12</v>
      </c>
      <c r="U181">
        <f t="shared" si="3"/>
        <v>1</v>
      </c>
      <c r="Z181" s="17">
        <v>45838.0</v>
      </c>
      <c r="AG181" s="15"/>
      <c r="AH181" s="16"/>
      <c r="AM181" s="15"/>
      <c r="AN181" s="16"/>
    </row>
    <row r="182">
      <c r="A182" s="9" t="s">
        <v>484</v>
      </c>
      <c r="B182" s="10">
        <v>45261.0</v>
      </c>
      <c r="C182" s="11" t="s">
        <v>62</v>
      </c>
      <c r="D182" s="11" t="s">
        <v>97</v>
      </c>
      <c r="E182" s="11" t="s">
        <v>39</v>
      </c>
      <c r="F182" s="11" t="s">
        <v>40</v>
      </c>
      <c r="G182" s="18" t="s">
        <v>53</v>
      </c>
      <c r="H182" s="18"/>
      <c r="I182" s="18"/>
      <c r="J182" s="11">
        <v>19.0</v>
      </c>
      <c r="K182" s="12">
        <v>45753.0</v>
      </c>
      <c r="L182" s="11">
        <f t="shared" si="14"/>
        <v>16</v>
      </c>
      <c r="M182" s="11">
        <v>698965.0</v>
      </c>
      <c r="N182" s="11" t="s">
        <v>485</v>
      </c>
      <c r="O182" s="13"/>
      <c r="P182" s="11">
        <v>0.0</v>
      </c>
      <c r="Q182" s="14">
        <v>0.0</v>
      </c>
      <c r="R182" s="11">
        <v>1.0</v>
      </c>
      <c r="S182">
        <f t="shared" si="1"/>
        <v>2023</v>
      </c>
      <c r="T182">
        <f t="shared" si="2"/>
        <v>12</v>
      </c>
      <c r="U182">
        <f t="shared" si="3"/>
        <v>1</v>
      </c>
      <c r="Z182" s="17">
        <v>45753.0</v>
      </c>
      <c r="AG182" s="15"/>
      <c r="AH182" s="16"/>
      <c r="AM182" s="15"/>
      <c r="AN182" s="16"/>
    </row>
    <row r="183">
      <c r="A183" s="13" t="s">
        <v>486</v>
      </c>
      <c r="B183" s="17">
        <v>45261.0</v>
      </c>
      <c r="C183" s="11" t="s">
        <v>235</v>
      </c>
      <c r="D183" s="11" t="s">
        <v>93</v>
      </c>
      <c r="E183" s="11" t="s">
        <v>39</v>
      </c>
      <c r="F183" s="11" t="s">
        <v>64</v>
      </c>
      <c r="G183" s="18" t="s">
        <v>45</v>
      </c>
      <c r="H183" s="18" t="s">
        <v>67</v>
      </c>
      <c r="I183" s="18" t="s">
        <v>487</v>
      </c>
      <c r="J183" s="11">
        <v>20.0</v>
      </c>
      <c r="K183" s="12"/>
      <c r="L183" s="11"/>
      <c r="M183" s="11">
        <v>828420.0</v>
      </c>
      <c r="N183" s="11" t="s">
        <v>488</v>
      </c>
      <c r="O183" s="13"/>
      <c r="P183" s="11">
        <v>0.0</v>
      </c>
      <c r="Q183" s="14">
        <v>0.0</v>
      </c>
      <c r="R183" s="11">
        <v>1.0</v>
      </c>
      <c r="S183">
        <f t="shared" si="1"/>
        <v>2023</v>
      </c>
      <c r="T183">
        <f t="shared" si="2"/>
        <v>12</v>
      </c>
      <c r="U183">
        <f t="shared" si="3"/>
        <v>1</v>
      </c>
      <c r="AG183" s="15"/>
      <c r="AH183" s="16"/>
      <c r="AM183" s="15"/>
      <c r="AN183" s="16"/>
    </row>
    <row r="184">
      <c r="A184" s="9" t="s">
        <v>489</v>
      </c>
      <c r="B184" s="10">
        <v>45231.0</v>
      </c>
      <c r="C184" s="11" t="s">
        <v>103</v>
      </c>
      <c r="D184" s="11" t="s">
        <v>58</v>
      </c>
      <c r="E184" s="11" t="s">
        <v>39</v>
      </c>
      <c r="F184" s="11" t="s">
        <v>64</v>
      </c>
      <c r="G184" s="18" t="s">
        <v>225</v>
      </c>
      <c r="H184" s="18"/>
      <c r="I184" s="18"/>
      <c r="J184" s="11">
        <v>26.0</v>
      </c>
      <c r="K184" s="12">
        <v>45833.0</v>
      </c>
      <c r="L184" s="11">
        <f>ROUND(((K184-B184)/365)*12,0)</f>
        <v>20</v>
      </c>
      <c r="M184" s="11">
        <v>663558.0</v>
      </c>
      <c r="N184" s="11">
        <v>20422.0</v>
      </c>
      <c r="O184" s="13"/>
      <c r="P184" s="11">
        <v>0.0</v>
      </c>
      <c r="Q184" s="14">
        <v>0.0</v>
      </c>
      <c r="R184" s="11">
        <v>1.0</v>
      </c>
      <c r="S184">
        <f t="shared" si="1"/>
        <v>2023</v>
      </c>
      <c r="T184">
        <f t="shared" si="2"/>
        <v>11</v>
      </c>
      <c r="U184">
        <f t="shared" si="3"/>
        <v>1</v>
      </c>
      <c r="Z184" s="17">
        <v>45811.0</v>
      </c>
      <c r="AG184" s="15"/>
      <c r="AH184" s="16"/>
      <c r="AM184" s="15"/>
      <c r="AN184" s="16"/>
    </row>
    <row r="185">
      <c r="A185" s="9" t="s">
        <v>490</v>
      </c>
      <c r="B185" s="10">
        <v>45217.0</v>
      </c>
      <c r="C185" s="11" t="s">
        <v>72</v>
      </c>
      <c r="D185" s="11" t="s">
        <v>77</v>
      </c>
      <c r="E185" s="11" t="s">
        <v>39</v>
      </c>
      <c r="F185" s="11" t="s">
        <v>40</v>
      </c>
      <c r="G185" s="18" t="s">
        <v>45</v>
      </c>
      <c r="H185" s="18" t="s">
        <v>56</v>
      </c>
      <c r="I185" s="18" t="s">
        <v>159</v>
      </c>
      <c r="J185" s="11">
        <v>26.0</v>
      </c>
      <c r="K185" s="12"/>
      <c r="L185" s="11"/>
      <c r="M185" s="11">
        <v>699479.0</v>
      </c>
      <c r="N185" s="11" t="s">
        <v>491</v>
      </c>
      <c r="O185" s="13"/>
      <c r="P185" s="11">
        <v>0.0</v>
      </c>
      <c r="Q185" s="14">
        <v>0.0</v>
      </c>
      <c r="R185" s="11">
        <v>1.0</v>
      </c>
      <c r="S185">
        <f t="shared" si="1"/>
        <v>2023</v>
      </c>
      <c r="T185">
        <f t="shared" si="2"/>
        <v>10</v>
      </c>
      <c r="U185">
        <f t="shared" si="3"/>
        <v>18</v>
      </c>
      <c r="AG185" s="15"/>
      <c r="AH185" s="16"/>
      <c r="AM185" s="15"/>
      <c r="AN185" s="16"/>
    </row>
    <row r="186">
      <c r="A186" s="9" t="s">
        <v>492</v>
      </c>
      <c r="B186" s="10">
        <v>45209.0</v>
      </c>
      <c r="C186" s="11" t="s">
        <v>108</v>
      </c>
      <c r="D186" s="11" t="s">
        <v>77</v>
      </c>
      <c r="E186" s="11" t="s">
        <v>279</v>
      </c>
      <c r="F186" s="11" t="s">
        <v>40</v>
      </c>
      <c r="G186" s="18" t="s">
        <v>45</v>
      </c>
      <c r="H186" s="18" t="s">
        <v>67</v>
      </c>
      <c r="I186" s="18" t="s">
        <v>112</v>
      </c>
      <c r="J186" s="11">
        <v>24.0</v>
      </c>
      <c r="K186" s="12">
        <v>45456.0</v>
      </c>
      <c r="L186" s="11">
        <f t="shared" ref="L186:L192" si="15">ROUND(((K186-B186)/365)*12,0)</f>
        <v>8</v>
      </c>
      <c r="M186" s="11">
        <v>676205.0</v>
      </c>
      <c r="N186" s="11" t="s">
        <v>493</v>
      </c>
      <c r="O186" s="13" t="s">
        <v>494</v>
      </c>
      <c r="P186" s="11">
        <v>0.0</v>
      </c>
      <c r="Q186" s="14">
        <v>0.0</v>
      </c>
      <c r="R186" s="11">
        <v>1.0</v>
      </c>
      <c r="S186">
        <f t="shared" si="1"/>
        <v>2023</v>
      </c>
      <c r="T186">
        <f t="shared" si="2"/>
        <v>10</v>
      </c>
      <c r="U186">
        <f t="shared" si="3"/>
        <v>10</v>
      </c>
      <c r="Z186" s="17">
        <v>45419.0</v>
      </c>
      <c r="AA186" s="17"/>
      <c r="AB186" s="13"/>
      <c r="AG186" s="15"/>
      <c r="AH186" s="16"/>
      <c r="AM186" s="15"/>
      <c r="AN186" s="16"/>
    </row>
    <row r="187">
      <c r="A187" s="9" t="s">
        <v>495</v>
      </c>
      <c r="B187" s="10">
        <v>45208.0</v>
      </c>
      <c r="C187" s="11" t="s">
        <v>138</v>
      </c>
      <c r="D187" s="11" t="s">
        <v>38</v>
      </c>
      <c r="E187" s="11" t="s">
        <v>39</v>
      </c>
      <c r="F187" s="11" t="s">
        <v>40</v>
      </c>
      <c r="G187" s="18" t="s">
        <v>41</v>
      </c>
      <c r="H187" s="18"/>
      <c r="I187" s="18"/>
      <c r="J187" s="11">
        <v>28.0</v>
      </c>
      <c r="K187" s="12">
        <v>45745.0</v>
      </c>
      <c r="L187" s="11">
        <f t="shared" si="15"/>
        <v>18</v>
      </c>
      <c r="M187" s="11">
        <v>642585.0</v>
      </c>
      <c r="N187" s="11">
        <v>20666.0</v>
      </c>
      <c r="O187" s="13" t="s">
        <v>42</v>
      </c>
      <c r="P187" s="11">
        <v>0.0</v>
      </c>
      <c r="Q187" s="14">
        <v>0.0</v>
      </c>
      <c r="R187" s="11">
        <v>1.0</v>
      </c>
      <c r="S187">
        <f t="shared" si="1"/>
        <v>2023</v>
      </c>
      <c r="T187">
        <f t="shared" si="2"/>
        <v>10</v>
      </c>
      <c r="U187">
        <f t="shared" si="3"/>
        <v>9</v>
      </c>
      <c r="W187" s="17">
        <v>45518.0</v>
      </c>
      <c r="X187" s="17">
        <v>45518.0</v>
      </c>
      <c r="Z187" s="17">
        <v>45745.0</v>
      </c>
      <c r="AA187" s="17">
        <v>45331.0</v>
      </c>
      <c r="AB187" s="13" t="s">
        <v>496</v>
      </c>
      <c r="AG187" s="15"/>
      <c r="AH187" s="16"/>
      <c r="AM187" s="15"/>
      <c r="AN187" s="16"/>
    </row>
    <row r="188">
      <c r="A188" s="9" t="s">
        <v>497</v>
      </c>
      <c r="B188" s="10">
        <v>45205.0</v>
      </c>
      <c r="C188" s="11" t="s">
        <v>37</v>
      </c>
      <c r="D188" s="11" t="s">
        <v>38</v>
      </c>
      <c r="E188" s="11" t="s">
        <v>39</v>
      </c>
      <c r="F188" s="11" t="s">
        <v>40</v>
      </c>
      <c r="G188" s="18" t="s">
        <v>41</v>
      </c>
      <c r="H188" s="18"/>
      <c r="I188" s="18"/>
      <c r="J188" s="11">
        <v>27.0</v>
      </c>
      <c r="K188" s="12">
        <v>45743.0</v>
      </c>
      <c r="L188" s="11">
        <f t="shared" si="15"/>
        <v>18</v>
      </c>
      <c r="M188" s="11">
        <v>645261.0</v>
      </c>
      <c r="N188" s="11">
        <v>18684.0</v>
      </c>
      <c r="O188" s="13" t="s">
        <v>42</v>
      </c>
      <c r="P188" s="11">
        <v>0.0</v>
      </c>
      <c r="Q188" s="14">
        <v>0.0</v>
      </c>
      <c r="R188" s="11">
        <v>1.0</v>
      </c>
      <c r="S188">
        <f t="shared" si="1"/>
        <v>2023</v>
      </c>
      <c r="T188">
        <f t="shared" si="2"/>
        <v>10</v>
      </c>
      <c r="U188">
        <f t="shared" si="3"/>
        <v>6</v>
      </c>
      <c r="V188" s="17">
        <v>45360.0</v>
      </c>
      <c r="X188" s="17">
        <v>45497.0</v>
      </c>
      <c r="Y188" s="17">
        <v>45552.0</v>
      </c>
      <c r="Z188" s="17">
        <v>45743.0</v>
      </c>
      <c r="AG188" s="15"/>
      <c r="AH188" s="16"/>
      <c r="AM188" s="15"/>
      <c r="AN188" s="16"/>
    </row>
    <row r="189">
      <c r="A189" s="9" t="s">
        <v>498</v>
      </c>
      <c r="B189" s="10">
        <v>45205.0</v>
      </c>
      <c r="C189" s="11" t="s">
        <v>362</v>
      </c>
      <c r="D189" s="11" t="s">
        <v>38</v>
      </c>
      <c r="E189" s="11" t="s">
        <v>39</v>
      </c>
      <c r="F189" s="11" t="s">
        <v>64</v>
      </c>
      <c r="G189" s="18" t="s">
        <v>41</v>
      </c>
      <c r="H189" s="18"/>
      <c r="I189" s="18"/>
      <c r="J189" s="11">
        <v>29.0</v>
      </c>
      <c r="K189" s="12">
        <v>45749.0</v>
      </c>
      <c r="L189" s="11">
        <f t="shared" si="15"/>
        <v>18</v>
      </c>
      <c r="M189" s="11">
        <v>622780.0</v>
      </c>
      <c r="N189" s="11">
        <v>17759.0</v>
      </c>
      <c r="O189" s="13"/>
      <c r="P189" s="11">
        <v>0.0</v>
      </c>
      <c r="Q189" s="14">
        <v>0.0</v>
      </c>
      <c r="R189" s="11">
        <v>1.0</v>
      </c>
      <c r="S189">
        <f t="shared" si="1"/>
        <v>2023</v>
      </c>
      <c r="T189">
        <f t="shared" si="2"/>
        <v>10</v>
      </c>
      <c r="U189">
        <f t="shared" si="3"/>
        <v>6</v>
      </c>
      <c r="Z189" s="17">
        <v>45749.0</v>
      </c>
      <c r="AG189" s="15"/>
      <c r="AH189" s="16"/>
      <c r="AM189" s="15"/>
      <c r="AN189" s="16"/>
    </row>
    <row r="190">
      <c r="A190" s="9" t="s">
        <v>499</v>
      </c>
      <c r="B190" s="10">
        <v>45189.0</v>
      </c>
      <c r="C190" s="11" t="s">
        <v>111</v>
      </c>
      <c r="D190" s="11" t="s">
        <v>38</v>
      </c>
      <c r="E190" s="11" t="s">
        <v>118</v>
      </c>
      <c r="F190" s="11" t="s">
        <v>500</v>
      </c>
      <c r="G190" s="18" t="s">
        <v>45</v>
      </c>
      <c r="H190" s="18" t="s">
        <v>84</v>
      </c>
      <c r="I190" s="18"/>
      <c r="J190" s="11">
        <v>22.0</v>
      </c>
      <c r="K190" s="12">
        <v>45379.0</v>
      </c>
      <c r="L190" s="11">
        <f t="shared" si="15"/>
        <v>6</v>
      </c>
      <c r="M190" s="11">
        <v>682985.0</v>
      </c>
      <c r="N190" s="11">
        <v>25976.0</v>
      </c>
      <c r="O190" s="13" t="s">
        <v>42</v>
      </c>
      <c r="P190" s="11">
        <v>0.0</v>
      </c>
      <c r="Q190" s="14">
        <v>0.0</v>
      </c>
      <c r="R190" s="11">
        <v>1.0</v>
      </c>
      <c r="S190">
        <f t="shared" si="1"/>
        <v>2023</v>
      </c>
      <c r="T190">
        <f t="shared" si="2"/>
        <v>9</v>
      </c>
      <c r="U190">
        <f t="shared" si="3"/>
        <v>20</v>
      </c>
      <c r="Z190" s="17">
        <v>45379.0</v>
      </c>
      <c r="AG190" s="15"/>
      <c r="AH190" s="16"/>
      <c r="AM190" s="15"/>
      <c r="AN190" s="16"/>
    </row>
    <row r="191">
      <c r="A191" s="9" t="s">
        <v>501</v>
      </c>
      <c r="B191" s="10">
        <v>45189.0</v>
      </c>
      <c r="C191" s="11" t="s">
        <v>108</v>
      </c>
      <c r="D191" s="11" t="s">
        <v>38</v>
      </c>
      <c r="E191" s="11" t="s">
        <v>118</v>
      </c>
      <c r="F191" s="11" t="s">
        <v>40</v>
      </c>
      <c r="G191" s="18" t="s">
        <v>41</v>
      </c>
      <c r="H191" s="18"/>
      <c r="I191" s="18"/>
      <c r="J191" s="11">
        <v>20.0</v>
      </c>
      <c r="K191" s="12">
        <v>45522.0</v>
      </c>
      <c r="L191" s="11">
        <f t="shared" si="15"/>
        <v>11</v>
      </c>
      <c r="M191" s="11">
        <v>691176.0</v>
      </c>
      <c r="N191" s="11">
        <v>28080.0</v>
      </c>
      <c r="O191" s="13" t="s">
        <v>42</v>
      </c>
      <c r="P191" s="11">
        <v>0.0</v>
      </c>
      <c r="Q191" s="14">
        <v>0.0</v>
      </c>
      <c r="R191" s="11">
        <v>1.0</v>
      </c>
      <c r="S191">
        <f t="shared" si="1"/>
        <v>2023</v>
      </c>
      <c r="T191">
        <f t="shared" si="2"/>
        <v>9</v>
      </c>
      <c r="U191">
        <f t="shared" si="3"/>
        <v>20</v>
      </c>
      <c r="Z191" s="17">
        <v>45426.0</v>
      </c>
      <c r="AG191" s="15"/>
      <c r="AH191" s="16"/>
      <c r="AM191" s="15"/>
      <c r="AN191" s="16"/>
    </row>
    <row r="192">
      <c r="A192" s="9" t="s">
        <v>502</v>
      </c>
      <c r="B192" s="10">
        <v>45188.0</v>
      </c>
      <c r="C192" s="11" t="s">
        <v>346</v>
      </c>
      <c r="D192" s="11" t="s">
        <v>38</v>
      </c>
      <c r="E192" s="11" t="s">
        <v>39</v>
      </c>
      <c r="F192" s="11" t="s">
        <v>40</v>
      </c>
      <c r="G192" s="18" t="s">
        <v>503</v>
      </c>
      <c r="H192" s="18"/>
      <c r="I192" s="18"/>
      <c r="J192" s="11">
        <v>28.0</v>
      </c>
      <c r="K192" s="12">
        <v>45371.0</v>
      </c>
      <c r="L192" s="11">
        <f t="shared" si="15"/>
        <v>6</v>
      </c>
      <c r="M192" s="11">
        <v>660271.0</v>
      </c>
      <c r="N192" s="11">
        <v>19755.0</v>
      </c>
      <c r="O192" s="13" t="s">
        <v>69</v>
      </c>
      <c r="P192" s="11">
        <v>0.0</v>
      </c>
      <c r="Q192" s="14">
        <v>0.0</v>
      </c>
      <c r="R192" s="11">
        <v>1.0</v>
      </c>
      <c r="S192">
        <f t="shared" si="1"/>
        <v>2023</v>
      </c>
      <c r="T192">
        <f t="shared" si="2"/>
        <v>9</v>
      </c>
      <c r="U192">
        <f t="shared" si="3"/>
        <v>19</v>
      </c>
      <c r="Z192" s="17">
        <v>45371.0</v>
      </c>
      <c r="AG192" s="15"/>
      <c r="AH192" s="16"/>
      <c r="AM192" s="15"/>
      <c r="AN192" s="16"/>
    </row>
    <row r="193">
      <c r="A193" s="9" t="s">
        <v>504</v>
      </c>
      <c r="B193" s="10">
        <v>45182.0</v>
      </c>
      <c r="C193" s="11" t="s">
        <v>62</v>
      </c>
      <c r="D193" s="11" t="s">
        <v>58</v>
      </c>
      <c r="E193" s="11" t="s">
        <v>39</v>
      </c>
      <c r="F193" s="11" t="s">
        <v>40</v>
      </c>
      <c r="G193" s="18" t="s">
        <v>45</v>
      </c>
      <c r="H193" s="18" t="s">
        <v>163</v>
      </c>
      <c r="I193" s="18" t="s">
        <v>505</v>
      </c>
      <c r="J193" s="11">
        <v>25.0</v>
      </c>
      <c r="K193" s="12"/>
      <c r="L193" s="11"/>
      <c r="M193" s="11">
        <v>686972.0</v>
      </c>
      <c r="N193" s="11">
        <v>25665.0</v>
      </c>
      <c r="O193" s="13" t="s">
        <v>42</v>
      </c>
      <c r="P193" s="11">
        <v>0.0</v>
      </c>
      <c r="Q193" s="14">
        <v>0.0</v>
      </c>
      <c r="R193" s="11">
        <v>1.0</v>
      </c>
      <c r="S193">
        <f t="shared" si="1"/>
        <v>2023</v>
      </c>
      <c r="T193">
        <f t="shared" si="2"/>
        <v>9</v>
      </c>
      <c r="U193">
        <f t="shared" si="3"/>
        <v>13</v>
      </c>
      <c r="Z193" s="17">
        <v>45855.0</v>
      </c>
      <c r="AG193" s="15"/>
      <c r="AH193" s="16"/>
      <c r="AM193" s="15"/>
      <c r="AN193" s="16"/>
    </row>
    <row r="194">
      <c r="A194" s="9" t="s">
        <v>506</v>
      </c>
      <c r="B194" s="10">
        <v>45170.0</v>
      </c>
      <c r="C194" s="11" t="s">
        <v>101</v>
      </c>
      <c r="D194" s="11" t="s">
        <v>38</v>
      </c>
      <c r="E194" s="11" t="s">
        <v>39</v>
      </c>
      <c r="F194" s="11" t="s">
        <v>40</v>
      </c>
      <c r="G194" s="18" t="s">
        <v>45</v>
      </c>
      <c r="H194" s="18" t="s">
        <v>412</v>
      </c>
      <c r="I194" s="18" t="s">
        <v>98</v>
      </c>
      <c r="J194" s="11">
        <v>25.0</v>
      </c>
      <c r="K194" s="12">
        <v>45767.0</v>
      </c>
      <c r="L194" s="11">
        <f>ROUND(((K194-B194)/365)*12,0)</f>
        <v>20</v>
      </c>
      <c r="M194" s="11">
        <v>686753.0</v>
      </c>
      <c r="N194" s="11">
        <v>26260.0</v>
      </c>
      <c r="O194" s="13"/>
      <c r="P194" s="11">
        <v>0.0</v>
      </c>
      <c r="Q194" s="14">
        <v>0.0</v>
      </c>
      <c r="R194" s="11">
        <v>1.0</v>
      </c>
      <c r="S194">
        <f t="shared" si="1"/>
        <v>2023</v>
      </c>
      <c r="T194">
        <f t="shared" si="2"/>
        <v>9</v>
      </c>
      <c r="U194">
        <f t="shared" si="3"/>
        <v>1</v>
      </c>
      <c r="Z194" s="17">
        <v>45744.0</v>
      </c>
      <c r="AG194" s="15"/>
      <c r="AH194" s="16"/>
      <c r="AM194" s="15"/>
      <c r="AN194" s="16"/>
    </row>
    <row r="195">
      <c r="A195" s="9" t="s">
        <v>507</v>
      </c>
      <c r="B195" s="10">
        <v>45170.0</v>
      </c>
      <c r="C195" s="11" t="s">
        <v>138</v>
      </c>
      <c r="D195" s="11" t="s">
        <v>58</v>
      </c>
      <c r="E195" s="11" t="s">
        <v>39</v>
      </c>
      <c r="F195" s="11" t="s">
        <v>40</v>
      </c>
      <c r="G195" s="18" t="s">
        <v>45</v>
      </c>
      <c r="H195" s="18" t="s">
        <v>67</v>
      </c>
      <c r="I195" s="18" t="s">
        <v>508</v>
      </c>
      <c r="J195" s="11">
        <v>25.0</v>
      </c>
      <c r="K195" s="12"/>
      <c r="L195" s="11"/>
      <c r="M195" s="11">
        <v>690374.0</v>
      </c>
      <c r="N195" s="11" t="s">
        <v>509</v>
      </c>
      <c r="O195" s="13" t="s">
        <v>69</v>
      </c>
      <c r="P195" s="11">
        <v>0.0</v>
      </c>
      <c r="Q195" s="14">
        <v>0.0</v>
      </c>
      <c r="R195" s="11">
        <v>1.0</v>
      </c>
      <c r="S195">
        <f t="shared" si="1"/>
        <v>2023</v>
      </c>
      <c r="T195">
        <f t="shared" si="2"/>
        <v>9</v>
      </c>
      <c r="U195">
        <f t="shared" si="3"/>
        <v>1</v>
      </c>
      <c r="AG195" s="15"/>
      <c r="AH195" s="16"/>
      <c r="AM195" s="15"/>
      <c r="AN195" s="16"/>
    </row>
    <row r="196">
      <c r="A196" s="9" t="s">
        <v>510</v>
      </c>
      <c r="B196" s="10">
        <v>45170.0</v>
      </c>
      <c r="C196" s="11" t="s">
        <v>126</v>
      </c>
      <c r="D196" s="11" t="s">
        <v>38</v>
      </c>
      <c r="E196" s="11" t="s">
        <v>39</v>
      </c>
      <c r="F196" s="11" t="s">
        <v>40</v>
      </c>
      <c r="G196" s="18" t="s">
        <v>45</v>
      </c>
      <c r="H196" s="18" t="s">
        <v>67</v>
      </c>
      <c r="I196" s="18" t="s">
        <v>351</v>
      </c>
      <c r="J196" s="11">
        <v>29.0</v>
      </c>
      <c r="K196" s="12">
        <v>45777.0</v>
      </c>
      <c r="L196" s="11">
        <f t="shared" ref="L196:L198" si="16">ROUND(((K196-B196)/365)*12,0)</f>
        <v>20</v>
      </c>
      <c r="M196" s="11">
        <v>664062.0</v>
      </c>
      <c r="N196" s="11">
        <v>19388.0</v>
      </c>
      <c r="O196" s="13" t="s">
        <v>69</v>
      </c>
      <c r="P196" s="11">
        <v>0.0</v>
      </c>
      <c r="Q196" s="14">
        <v>0.0</v>
      </c>
      <c r="R196" s="11">
        <v>1.0</v>
      </c>
      <c r="S196">
        <f t="shared" si="1"/>
        <v>2023</v>
      </c>
      <c r="T196">
        <f t="shared" si="2"/>
        <v>9</v>
      </c>
      <c r="U196">
        <f t="shared" si="3"/>
        <v>1</v>
      </c>
      <c r="Z196" s="17">
        <v>45545.0</v>
      </c>
      <c r="AG196" s="15"/>
      <c r="AH196" s="16"/>
      <c r="AM196" s="15"/>
      <c r="AN196" s="16"/>
    </row>
    <row r="197">
      <c r="A197" s="9" t="s">
        <v>511</v>
      </c>
      <c r="B197" s="10">
        <v>45170.0</v>
      </c>
      <c r="C197" s="11" t="s">
        <v>150</v>
      </c>
      <c r="D197" s="11" t="s">
        <v>97</v>
      </c>
      <c r="E197" s="11" t="s">
        <v>39</v>
      </c>
      <c r="F197" s="11" t="s">
        <v>40</v>
      </c>
      <c r="G197" s="18" t="s">
        <v>45</v>
      </c>
      <c r="H197" s="18" t="s">
        <v>163</v>
      </c>
      <c r="I197" s="18" t="s">
        <v>512</v>
      </c>
      <c r="J197" s="11">
        <v>22.0</v>
      </c>
      <c r="K197" s="12">
        <v>45752.0</v>
      </c>
      <c r="L197" s="11">
        <f t="shared" si="16"/>
        <v>19</v>
      </c>
      <c r="M197" s="11">
        <v>686934.0</v>
      </c>
      <c r="N197" s="11" t="s">
        <v>513</v>
      </c>
      <c r="O197" s="13"/>
      <c r="P197" s="11">
        <v>0.0</v>
      </c>
      <c r="Q197" s="14">
        <v>0.0</v>
      </c>
      <c r="R197" s="11">
        <v>1.0</v>
      </c>
      <c r="S197">
        <f t="shared" si="1"/>
        <v>2023</v>
      </c>
      <c r="T197">
        <f t="shared" si="2"/>
        <v>9</v>
      </c>
      <c r="U197">
        <f t="shared" si="3"/>
        <v>1</v>
      </c>
      <c r="Z197" s="17">
        <v>45752.0</v>
      </c>
      <c r="AG197" s="15"/>
      <c r="AH197" s="16"/>
      <c r="AM197" s="15"/>
      <c r="AN197" s="16"/>
    </row>
    <row r="198">
      <c r="A198" s="9" t="s">
        <v>514</v>
      </c>
      <c r="B198" s="10">
        <v>45170.0</v>
      </c>
      <c r="C198" s="11" t="s">
        <v>76</v>
      </c>
      <c r="D198" s="11" t="s">
        <v>88</v>
      </c>
      <c r="E198" s="11" t="s">
        <v>39</v>
      </c>
      <c r="F198" s="11" t="s">
        <v>64</v>
      </c>
      <c r="G198" s="18" t="s">
        <v>45</v>
      </c>
      <c r="H198" s="18" t="s">
        <v>112</v>
      </c>
      <c r="I198" s="18" t="s">
        <v>112</v>
      </c>
      <c r="J198" s="11">
        <v>22.0</v>
      </c>
      <c r="K198" s="12">
        <v>45788.0</v>
      </c>
      <c r="L198" s="11">
        <f t="shared" si="16"/>
        <v>20</v>
      </c>
      <c r="M198" s="11">
        <v>687562.0</v>
      </c>
      <c r="N198" s="11" t="s">
        <v>515</v>
      </c>
      <c r="O198" s="13" t="s">
        <v>42</v>
      </c>
      <c r="P198" s="11">
        <v>0.0</v>
      </c>
      <c r="Q198" s="14">
        <v>0.0</v>
      </c>
      <c r="R198" s="11">
        <v>1.0</v>
      </c>
      <c r="S198">
        <f t="shared" si="1"/>
        <v>2023</v>
      </c>
      <c r="T198">
        <f t="shared" si="2"/>
        <v>9</v>
      </c>
      <c r="U198">
        <f t="shared" si="3"/>
        <v>1</v>
      </c>
      <c r="Z198" s="17">
        <v>45778.0</v>
      </c>
      <c r="AG198" s="15"/>
      <c r="AH198" s="16"/>
      <c r="AM198" s="15"/>
      <c r="AN198" s="16"/>
    </row>
    <row r="199">
      <c r="A199" s="9" t="s">
        <v>516</v>
      </c>
      <c r="B199" s="10">
        <v>45159.0</v>
      </c>
      <c r="C199" s="11" t="s">
        <v>156</v>
      </c>
      <c r="D199" s="11" t="s">
        <v>38</v>
      </c>
      <c r="E199" s="11" t="s">
        <v>39</v>
      </c>
      <c r="F199" s="11" t="s">
        <v>64</v>
      </c>
      <c r="G199" s="18" t="s">
        <v>45</v>
      </c>
      <c r="H199" s="18" t="s">
        <v>84</v>
      </c>
      <c r="I199" s="18" t="s">
        <v>517</v>
      </c>
      <c r="J199" s="11">
        <v>26.0</v>
      </c>
      <c r="K199" s="11"/>
      <c r="L199" s="11"/>
      <c r="M199" s="11">
        <v>663556.0</v>
      </c>
      <c r="N199" s="11">
        <v>21483.0</v>
      </c>
      <c r="O199" s="13" t="s">
        <v>42</v>
      </c>
      <c r="P199" s="11">
        <v>0.0</v>
      </c>
      <c r="Q199" s="14">
        <v>0.0</v>
      </c>
      <c r="R199" s="11">
        <v>1.0</v>
      </c>
      <c r="S199">
        <f t="shared" si="1"/>
        <v>2023</v>
      </c>
      <c r="T199">
        <f t="shared" si="2"/>
        <v>8</v>
      </c>
      <c r="U199">
        <f t="shared" si="3"/>
        <v>21</v>
      </c>
      <c r="Y199" s="17">
        <v>45561.0</v>
      </c>
      <c r="Z199" s="17">
        <v>45846.0</v>
      </c>
      <c r="AA199" s="17">
        <v>45739.0</v>
      </c>
      <c r="AB199" s="13" t="s">
        <v>518</v>
      </c>
      <c r="AG199" s="15"/>
      <c r="AH199" s="16"/>
      <c r="AM199" s="15"/>
      <c r="AN199" s="16"/>
    </row>
    <row r="200">
      <c r="A200" s="9" t="s">
        <v>519</v>
      </c>
      <c r="B200" s="10">
        <v>45147.0</v>
      </c>
      <c r="C200" s="11" t="s">
        <v>44</v>
      </c>
      <c r="D200" s="11" t="s">
        <v>93</v>
      </c>
      <c r="E200" s="11" t="s">
        <v>39</v>
      </c>
      <c r="F200" s="11" t="s">
        <v>40</v>
      </c>
      <c r="G200" s="18" t="s">
        <v>45</v>
      </c>
      <c r="H200" s="18" t="s">
        <v>46</v>
      </c>
      <c r="I200" s="18" t="s">
        <v>520</v>
      </c>
      <c r="J200" s="11">
        <v>22.0</v>
      </c>
      <c r="K200" s="12"/>
      <c r="L200" s="11"/>
      <c r="M200" s="18">
        <v>687327.0</v>
      </c>
      <c r="N200" s="18"/>
      <c r="O200" s="13"/>
      <c r="P200" s="11">
        <v>0.0</v>
      </c>
      <c r="Q200" s="14">
        <v>0.0</v>
      </c>
      <c r="R200" s="11">
        <v>1.0</v>
      </c>
      <c r="S200">
        <f t="shared" si="1"/>
        <v>2023</v>
      </c>
      <c r="T200">
        <f t="shared" si="2"/>
        <v>8</v>
      </c>
      <c r="U200">
        <f t="shared" si="3"/>
        <v>9</v>
      </c>
      <c r="AG200" s="15"/>
      <c r="AH200" s="16"/>
      <c r="AM200" s="15"/>
      <c r="AN200" s="16"/>
    </row>
    <row r="201">
      <c r="A201" s="9" t="s">
        <v>521</v>
      </c>
      <c r="B201" s="10">
        <v>45140.0</v>
      </c>
      <c r="C201" s="11" t="s">
        <v>143</v>
      </c>
      <c r="D201" s="11" t="s">
        <v>38</v>
      </c>
      <c r="E201" s="11" t="s">
        <v>39</v>
      </c>
      <c r="F201" s="11" t="s">
        <v>40</v>
      </c>
      <c r="G201" s="18" t="s">
        <v>460</v>
      </c>
      <c r="H201" s="18"/>
      <c r="I201" s="18"/>
      <c r="J201" s="11">
        <v>34.0</v>
      </c>
      <c r="K201" s="12">
        <v>45767.0</v>
      </c>
      <c r="L201" s="11">
        <f>ROUND(((K201-B201)/365)*12,0)</f>
        <v>21</v>
      </c>
      <c r="M201" s="18">
        <v>521230.0</v>
      </c>
      <c r="N201" s="18">
        <v>3548.0</v>
      </c>
      <c r="O201" s="13" t="s">
        <v>42</v>
      </c>
      <c r="P201" s="11">
        <v>0.0</v>
      </c>
      <c r="Q201" s="14">
        <v>0.0</v>
      </c>
      <c r="R201" s="11">
        <v>1.0</v>
      </c>
      <c r="S201">
        <f t="shared" si="1"/>
        <v>2023</v>
      </c>
      <c r="T201">
        <f t="shared" si="2"/>
        <v>8</v>
      </c>
      <c r="U201">
        <f t="shared" si="3"/>
        <v>2</v>
      </c>
      <c r="Y201" s="17">
        <v>45510.0</v>
      </c>
      <c r="Z201" s="17">
        <v>45522.0</v>
      </c>
      <c r="AA201" s="17">
        <v>45741.0</v>
      </c>
      <c r="AB201" s="13" t="s">
        <v>522</v>
      </c>
      <c r="AG201" s="15"/>
      <c r="AH201" s="16"/>
      <c r="AM201" s="15"/>
      <c r="AN201" s="16"/>
    </row>
    <row r="202">
      <c r="A202" s="9" t="s">
        <v>523</v>
      </c>
      <c r="B202" s="10">
        <v>45139.0</v>
      </c>
      <c r="C202" s="11" t="s">
        <v>44</v>
      </c>
      <c r="D202" s="11" t="s">
        <v>221</v>
      </c>
      <c r="E202" s="11" t="s">
        <v>39</v>
      </c>
      <c r="F202" s="11" t="s">
        <v>40</v>
      </c>
      <c r="G202" s="18" t="s">
        <v>41</v>
      </c>
      <c r="H202" s="18"/>
      <c r="I202" s="18"/>
      <c r="J202" s="11">
        <v>22.0</v>
      </c>
      <c r="K202" s="12"/>
      <c r="L202" s="11"/>
      <c r="M202" s="18">
        <v>683025.0</v>
      </c>
      <c r="N202" s="18" t="s">
        <v>524</v>
      </c>
      <c r="O202" s="13"/>
      <c r="P202" s="11">
        <v>0.0</v>
      </c>
      <c r="Q202" s="14">
        <v>0.0</v>
      </c>
      <c r="R202" s="11">
        <v>1.0</v>
      </c>
      <c r="S202">
        <f t="shared" si="1"/>
        <v>2023</v>
      </c>
      <c r="T202">
        <f t="shared" si="2"/>
        <v>8</v>
      </c>
      <c r="U202">
        <f t="shared" si="3"/>
        <v>1</v>
      </c>
      <c r="AG202" s="15"/>
      <c r="AH202" s="16"/>
      <c r="AM202" s="15"/>
      <c r="AN202" s="16"/>
    </row>
    <row r="203">
      <c r="A203" s="9" t="s">
        <v>525</v>
      </c>
      <c r="B203" s="10">
        <v>45139.0</v>
      </c>
      <c r="C203" s="11" t="s">
        <v>111</v>
      </c>
      <c r="D203" s="11" t="s">
        <v>77</v>
      </c>
      <c r="E203" s="11" t="s">
        <v>39</v>
      </c>
      <c r="F203" s="11" t="s">
        <v>40</v>
      </c>
      <c r="G203" s="18" t="s">
        <v>41</v>
      </c>
      <c r="H203" s="18"/>
      <c r="I203" s="18"/>
      <c r="J203" s="11">
        <v>26.0</v>
      </c>
      <c r="K203" s="12"/>
      <c r="L203" s="11"/>
      <c r="M203" s="18">
        <v>669804.0</v>
      </c>
      <c r="N203" s="18">
        <v>22323.0</v>
      </c>
      <c r="O203" s="13"/>
      <c r="P203" s="11">
        <v>0.0</v>
      </c>
      <c r="Q203" s="14">
        <v>0.0</v>
      </c>
      <c r="R203" s="11">
        <v>1.0</v>
      </c>
      <c r="S203">
        <f t="shared" si="1"/>
        <v>2023</v>
      </c>
      <c r="T203">
        <f t="shared" si="2"/>
        <v>8</v>
      </c>
      <c r="U203">
        <f t="shared" si="3"/>
        <v>1</v>
      </c>
      <c r="AG203" s="15"/>
      <c r="AH203" s="16"/>
      <c r="AM203" s="15"/>
      <c r="AN203" s="16"/>
    </row>
    <row r="204">
      <c r="A204" s="13" t="s">
        <v>526</v>
      </c>
      <c r="B204" s="10">
        <v>45139.0</v>
      </c>
      <c r="C204" s="11" t="s">
        <v>346</v>
      </c>
      <c r="D204" s="11" t="s">
        <v>77</v>
      </c>
      <c r="E204" s="11" t="s">
        <v>39</v>
      </c>
      <c r="F204" s="11" t="s">
        <v>40</v>
      </c>
      <c r="G204" s="11" t="s">
        <v>45</v>
      </c>
      <c r="H204" s="11" t="s">
        <v>163</v>
      </c>
      <c r="I204" s="11"/>
      <c r="J204" s="11">
        <v>22.0</v>
      </c>
      <c r="K204" s="12">
        <v>45765.0</v>
      </c>
      <c r="L204" s="11">
        <f t="shared" ref="L204:L208" si="17">ROUND(((K204-B204)/365)*12,0)</f>
        <v>21</v>
      </c>
      <c r="M204" s="11">
        <v>689441.0</v>
      </c>
      <c r="N204" s="11" t="s">
        <v>527</v>
      </c>
      <c r="O204" s="13"/>
      <c r="P204" s="11">
        <v>0.0</v>
      </c>
      <c r="Q204" s="14">
        <v>0.0</v>
      </c>
      <c r="R204" s="11">
        <v>1.0</v>
      </c>
      <c r="S204">
        <f t="shared" si="1"/>
        <v>2023</v>
      </c>
      <c r="T204">
        <f t="shared" si="2"/>
        <v>8</v>
      </c>
      <c r="U204">
        <f t="shared" si="3"/>
        <v>1</v>
      </c>
      <c r="Z204" s="17">
        <v>45765.0</v>
      </c>
      <c r="AG204" s="15"/>
      <c r="AH204" s="16"/>
      <c r="AM204" s="15"/>
      <c r="AN204" s="16"/>
    </row>
    <row r="205">
      <c r="A205" s="9" t="s">
        <v>528</v>
      </c>
      <c r="B205" s="10">
        <v>45139.0</v>
      </c>
      <c r="C205" s="11" t="s">
        <v>49</v>
      </c>
      <c r="D205" s="11" t="s">
        <v>88</v>
      </c>
      <c r="E205" s="11" t="s">
        <v>39</v>
      </c>
      <c r="F205" s="11" t="s">
        <v>40</v>
      </c>
      <c r="G205" s="18" t="s">
        <v>45</v>
      </c>
      <c r="H205" s="18" t="s">
        <v>112</v>
      </c>
      <c r="I205" s="18"/>
      <c r="J205" s="11">
        <v>23.0</v>
      </c>
      <c r="K205" s="12">
        <v>45753.0</v>
      </c>
      <c r="L205" s="11">
        <f t="shared" si="17"/>
        <v>20</v>
      </c>
      <c r="M205" s="18">
        <v>689476.0</v>
      </c>
      <c r="N205" s="18" t="s">
        <v>529</v>
      </c>
      <c r="O205" s="13"/>
      <c r="P205" s="11">
        <v>0.0</v>
      </c>
      <c r="Q205" s="14">
        <v>0.0</v>
      </c>
      <c r="R205" s="11">
        <v>1.0</v>
      </c>
      <c r="S205">
        <f t="shared" si="1"/>
        <v>2023</v>
      </c>
      <c r="T205">
        <f t="shared" si="2"/>
        <v>8</v>
      </c>
      <c r="U205">
        <f t="shared" si="3"/>
        <v>1</v>
      </c>
      <c r="Z205" s="17">
        <v>45753.0</v>
      </c>
      <c r="AG205" s="15"/>
      <c r="AH205" s="16"/>
      <c r="AM205" s="15"/>
      <c r="AN205" s="16"/>
    </row>
    <row r="206">
      <c r="A206" s="9" t="s">
        <v>530</v>
      </c>
      <c r="B206" s="10">
        <v>45139.0</v>
      </c>
      <c r="C206" s="11" t="s">
        <v>49</v>
      </c>
      <c r="D206" s="11" t="s">
        <v>213</v>
      </c>
      <c r="E206" s="11" t="s">
        <v>39</v>
      </c>
      <c r="F206" s="11" t="s">
        <v>40</v>
      </c>
      <c r="G206" s="18" t="s">
        <v>483</v>
      </c>
      <c r="H206" s="18"/>
      <c r="I206" s="18"/>
      <c r="J206" s="11">
        <v>18.0</v>
      </c>
      <c r="K206" s="12">
        <v>45783.0</v>
      </c>
      <c r="L206" s="11">
        <f t="shared" si="17"/>
        <v>21</v>
      </c>
      <c r="M206" s="18">
        <v>813179.0</v>
      </c>
      <c r="N206" s="18" t="s">
        <v>531</v>
      </c>
      <c r="O206" s="13"/>
      <c r="P206" s="11">
        <v>0.0</v>
      </c>
      <c r="Q206" s="14">
        <v>0.0</v>
      </c>
      <c r="R206" s="11">
        <v>1.0</v>
      </c>
      <c r="S206">
        <f t="shared" si="1"/>
        <v>2023</v>
      </c>
      <c r="T206">
        <f t="shared" si="2"/>
        <v>8</v>
      </c>
      <c r="U206">
        <f t="shared" si="3"/>
        <v>1</v>
      </c>
      <c r="Z206" s="17">
        <v>45783.0</v>
      </c>
      <c r="AG206" s="15"/>
      <c r="AH206" s="16"/>
      <c r="AM206" s="15"/>
      <c r="AN206" s="16"/>
    </row>
    <row r="207">
      <c r="A207" s="9" t="s">
        <v>532</v>
      </c>
      <c r="B207" s="10">
        <v>45139.0</v>
      </c>
      <c r="C207" s="11" t="s">
        <v>108</v>
      </c>
      <c r="D207" s="11" t="s">
        <v>88</v>
      </c>
      <c r="E207" s="11" t="s">
        <v>39</v>
      </c>
      <c r="F207" s="11" t="s">
        <v>40</v>
      </c>
      <c r="G207" s="18" t="s">
        <v>194</v>
      </c>
      <c r="H207" s="18"/>
      <c r="I207" s="18"/>
      <c r="J207" s="11">
        <v>24.0</v>
      </c>
      <c r="K207" s="12">
        <v>45497.0</v>
      </c>
      <c r="L207" s="11">
        <f t="shared" si="17"/>
        <v>12</v>
      </c>
      <c r="M207" s="18">
        <v>666301.0</v>
      </c>
      <c r="N207" s="18" t="s">
        <v>533</v>
      </c>
      <c r="O207" s="13"/>
      <c r="P207" s="11">
        <v>0.0</v>
      </c>
      <c r="Q207" s="14">
        <v>0.0</v>
      </c>
      <c r="R207" s="11">
        <v>1.0</v>
      </c>
      <c r="S207">
        <f t="shared" si="1"/>
        <v>2023</v>
      </c>
      <c r="T207">
        <f t="shared" si="2"/>
        <v>8</v>
      </c>
      <c r="U207">
        <f t="shared" si="3"/>
        <v>1</v>
      </c>
      <c r="Z207" s="17">
        <v>45485.0</v>
      </c>
      <c r="AG207" s="15"/>
      <c r="AH207" s="16"/>
      <c r="AM207" s="15"/>
      <c r="AN207" s="16"/>
    </row>
    <row r="208">
      <c r="A208" s="9" t="s">
        <v>534</v>
      </c>
      <c r="B208" s="10">
        <v>45139.0</v>
      </c>
      <c r="C208" s="11" t="s">
        <v>175</v>
      </c>
      <c r="D208" s="11" t="s">
        <v>88</v>
      </c>
      <c r="E208" s="11" t="s">
        <v>39</v>
      </c>
      <c r="F208" s="11" t="s">
        <v>40</v>
      </c>
      <c r="G208" s="18" t="s">
        <v>194</v>
      </c>
      <c r="H208" s="18"/>
      <c r="I208" s="18"/>
      <c r="J208" s="11">
        <v>23.0</v>
      </c>
      <c r="K208" s="12">
        <v>45752.0</v>
      </c>
      <c r="L208" s="11">
        <f t="shared" si="17"/>
        <v>20</v>
      </c>
      <c r="M208" s="18">
        <v>678184.0</v>
      </c>
      <c r="N208" s="18" t="s">
        <v>535</v>
      </c>
      <c r="O208" s="13"/>
      <c r="P208" s="11">
        <v>0.0</v>
      </c>
      <c r="Q208" s="14">
        <v>0.0</v>
      </c>
      <c r="R208" s="11">
        <v>1.0</v>
      </c>
      <c r="S208">
        <f t="shared" si="1"/>
        <v>2023</v>
      </c>
      <c r="T208">
        <f t="shared" si="2"/>
        <v>8</v>
      </c>
      <c r="U208">
        <f t="shared" si="3"/>
        <v>1</v>
      </c>
      <c r="Z208" s="17">
        <v>45752.0</v>
      </c>
      <c r="AG208" s="15"/>
      <c r="AH208" s="16"/>
      <c r="AM208" s="15"/>
      <c r="AN208" s="16"/>
    </row>
    <row r="209">
      <c r="A209" s="9" t="s">
        <v>536</v>
      </c>
      <c r="B209" s="17">
        <v>45139.0</v>
      </c>
      <c r="C209" s="11" t="s">
        <v>175</v>
      </c>
      <c r="D209" s="11" t="s">
        <v>38</v>
      </c>
      <c r="E209" s="11" t="s">
        <v>39</v>
      </c>
      <c r="F209" s="11" t="s">
        <v>40</v>
      </c>
      <c r="G209" s="18" t="s">
        <v>45</v>
      </c>
      <c r="H209" s="18" t="s">
        <v>59</v>
      </c>
      <c r="I209" s="18" t="s">
        <v>537</v>
      </c>
      <c r="J209" s="11">
        <v>26.0</v>
      </c>
      <c r="K209" s="12"/>
      <c r="L209" s="11"/>
      <c r="M209" s="18">
        <v>663753.0</v>
      </c>
      <c r="N209" s="18">
        <v>21541.0</v>
      </c>
      <c r="O209" s="13"/>
      <c r="P209" s="11">
        <v>0.0</v>
      </c>
      <c r="Q209" s="14">
        <v>0.0</v>
      </c>
      <c r="R209" s="11">
        <v>1.0</v>
      </c>
      <c r="S209">
        <f t="shared" si="1"/>
        <v>2023</v>
      </c>
      <c r="T209">
        <f t="shared" si="2"/>
        <v>8</v>
      </c>
      <c r="U209">
        <f t="shared" si="3"/>
        <v>1</v>
      </c>
      <c r="Z209" s="17">
        <v>45750.0</v>
      </c>
      <c r="AG209" s="15"/>
      <c r="AH209" s="16"/>
      <c r="AM209" s="15"/>
      <c r="AN209" s="16"/>
    </row>
    <row r="210">
      <c r="A210" s="9" t="s">
        <v>538</v>
      </c>
      <c r="B210" s="10">
        <v>45139.0</v>
      </c>
      <c r="C210" s="11" t="s">
        <v>83</v>
      </c>
      <c r="D210" s="11" t="s">
        <v>97</v>
      </c>
      <c r="E210" s="11" t="s">
        <v>39</v>
      </c>
      <c r="F210" s="11" t="s">
        <v>40</v>
      </c>
      <c r="G210" s="18" t="s">
        <v>45</v>
      </c>
      <c r="H210" s="18" t="s">
        <v>67</v>
      </c>
      <c r="I210" s="18" t="s">
        <v>539</v>
      </c>
      <c r="J210" s="11">
        <v>23.0</v>
      </c>
      <c r="K210" s="12">
        <v>45753.0</v>
      </c>
      <c r="L210" s="11">
        <f t="shared" ref="L210:L215" si="18">ROUND(((K210-B210)/365)*12,0)</f>
        <v>20</v>
      </c>
      <c r="M210" s="18">
        <v>681884.0</v>
      </c>
      <c r="N210" s="18" t="s">
        <v>540</v>
      </c>
      <c r="O210" s="13"/>
      <c r="P210" s="11">
        <v>0.0</v>
      </c>
      <c r="Q210" s="14">
        <v>0.0</v>
      </c>
      <c r="R210" s="11">
        <v>1.0</v>
      </c>
      <c r="S210">
        <f t="shared" si="1"/>
        <v>2023</v>
      </c>
      <c r="T210">
        <f t="shared" si="2"/>
        <v>8</v>
      </c>
      <c r="U210">
        <f t="shared" si="3"/>
        <v>1</v>
      </c>
      <c r="Z210" s="17">
        <v>45753.0</v>
      </c>
      <c r="AG210" s="15"/>
      <c r="AH210" s="16"/>
      <c r="AM210" s="15"/>
      <c r="AN210" s="16"/>
    </row>
    <row r="211">
      <c r="A211" s="9" t="s">
        <v>541</v>
      </c>
      <c r="B211" s="10">
        <v>45133.0</v>
      </c>
      <c r="C211" s="11" t="s">
        <v>192</v>
      </c>
      <c r="D211" s="11" t="s">
        <v>97</v>
      </c>
      <c r="E211" s="11" t="s">
        <v>39</v>
      </c>
      <c r="F211" s="11" t="s">
        <v>40</v>
      </c>
      <c r="G211" s="18" t="s">
        <v>45</v>
      </c>
      <c r="H211" s="18" t="s">
        <v>182</v>
      </c>
      <c r="I211" s="18"/>
      <c r="J211" s="11">
        <v>19.0</v>
      </c>
      <c r="K211" s="12">
        <v>45751.0</v>
      </c>
      <c r="L211" s="11">
        <f t="shared" si="18"/>
        <v>20</v>
      </c>
      <c r="M211" s="18">
        <v>702484.0</v>
      </c>
      <c r="N211" s="18" t="s">
        <v>542</v>
      </c>
      <c r="O211" s="13" t="s">
        <v>42</v>
      </c>
      <c r="P211" s="11">
        <v>0.0</v>
      </c>
      <c r="Q211" s="14">
        <v>0.0</v>
      </c>
      <c r="R211" s="11">
        <v>1.0</v>
      </c>
      <c r="S211">
        <f t="shared" si="1"/>
        <v>2023</v>
      </c>
      <c r="T211">
        <f t="shared" si="2"/>
        <v>7</v>
      </c>
      <c r="U211">
        <f t="shared" si="3"/>
        <v>26</v>
      </c>
      <c r="X211" s="17">
        <v>45476.0</v>
      </c>
      <c r="Z211" s="17">
        <v>45751.0</v>
      </c>
      <c r="AG211" s="15"/>
      <c r="AH211" s="16"/>
      <c r="AM211" s="15"/>
      <c r="AN211" s="16"/>
    </row>
    <row r="212">
      <c r="A212" s="9" t="s">
        <v>543</v>
      </c>
      <c r="B212" s="10">
        <v>45133.0</v>
      </c>
      <c r="C212" s="11" t="s">
        <v>192</v>
      </c>
      <c r="D212" s="11" t="s">
        <v>97</v>
      </c>
      <c r="E212" s="11" t="s">
        <v>39</v>
      </c>
      <c r="F212" s="11" t="s">
        <v>40</v>
      </c>
      <c r="G212" s="18" t="s">
        <v>41</v>
      </c>
      <c r="H212" s="18"/>
      <c r="I212" s="18"/>
      <c r="J212" s="11">
        <v>19.0</v>
      </c>
      <c r="K212" s="12">
        <v>45751.0</v>
      </c>
      <c r="L212" s="11">
        <f t="shared" si="18"/>
        <v>20</v>
      </c>
      <c r="M212" s="18">
        <v>700174.0</v>
      </c>
      <c r="N212" s="18" t="s">
        <v>544</v>
      </c>
      <c r="O212" s="13" t="s">
        <v>42</v>
      </c>
      <c r="P212" s="11">
        <v>0.0</v>
      </c>
      <c r="Q212" s="14">
        <v>0.0</v>
      </c>
      <c r="R212" s="11">
        <v>1.0</v>
      </c>
      <c r="S212">
        <f t="shared" si="1"/>
        <v>2023</v>
      </c>
      <c r="T212">
        <f t="shared" si="2"/>
        <v>7</v>
      </c>
      <c r="U212">
        <f t="shared" si="3"/>
        <v>26</v>
      </c>
      <c r="X212" s="17">
        <v>45476.0</v>
      </c>
      <c r="Z212" s="17">
        <v>45751.0</v>
      </c>
      <c r="AG212" s="15"/>
      <c r="AH212" s="16"/>
      <c r="AM212" s="15"/>
      <c r="AN212" s="16"/>
    </row>
    <row r="213">
      <c r="A213" s="9" t="s">
        <v>545</v>
      </c>
      <c r="B213" s="10">
        <v>45133.0</v>
      </c>
      <c r="C213" s="11" t="s">
        <v>192</v>
      </c>
      <c r="D213" s="11" t="s">
        <v>77</v>
      </c>
      <c r="E213" s="11" t="s">
        <v>39</v>
      </c>
      <c r="F213" s="11" t="s">
        <v>40</v>
      </c>
      <c r="G213" s="18" t="s">
        <v>45</v>
      </c>
      <c r="H213" s="18" t="s">
        <v>546</v>
      </c>
      <c r="I213" s="18" t="s">
        <v>183</v>
      </c>
      <c r="J213" s="11">
        <v>21.0</v>
      </c>
      <c r="K213" s="12">
        <v>45751.0</v>
      </c>
      <c r="L213" s="11">
        <f t="shared" si="18"/>
        <v>20</v>
      </c>
      <c r="M213" s="18">
        <v>687312.0</v>
      </c>
      <c r="N213" s="18" t="s">
        <v>547</v>
      </c>
      <c r="O213" s="13" t="s">
        <v>42</v>
      </c>
      <c r="P213" s="11">
        <v>0.0</v>
      </c>
      <c r="Q213" s="14">
        <v>0.0</v>
      </c>
      <c r="R213" s="11">
        <v>1.0</v>
      </c>
      <c r="S213">
        <f t="shared" si="1"/>
        <v>2023</v>
      </c>
      <c r="T213">
        <f t="shared" si="2"/>
        <v>7</v>
      </c>
      <c r="U213">
        <f t="shared" si="3"/>
        <v>26</v>
      </c>
      <c r="X213" s="17">
        <v>45476.0</v>
      </c>
      <c r="Z213" s="17">
        <v>45751.0</v>
      </c>
      <c r="AG213" s="15"/>
      <c r="AH213" s="16"/>
      <c r="AM213" s="15"/>
      <c r="AN213" s="16"/>
    </row>
    <row r="214">
      <c r="A214" s="9" t="s">
        <v>548</v>
      </c>
      <c r="B214" s="10">
        <v>45133.0</v>
      </c>
      <c r="C214" s="11" t="s">
        <v>192</v>
      </c>
      <c r="D214" s="11" t="s">
        <v>38</v>
      </c>
      <c r="E214" s="11" t="s">
        <v>39</v>
      </c>
      <c r="F214" s="11" t="s">
        <v>40</v>
      </c>
      <c r="G214" s="18" t="s">
        <v>53</v>
      </c>
      <c r="H214" s="18"/>
      <c r="I214" s="18"/>
      <c r="J214" s="11">
        <v>28.0</v>
      </c>
      <c r="K214" s="12">
        <v>45551.0</v>
      </c>
      <c r="L214" s="11">
        <f t="shared" si="18"/>
        <v>14</v>
      </c>
      <c r="M214" s="18">
        <v>622608.0</v>
      </c>
      <c r="N214" s="18">
        <v>15488.0</v>
      </c>
      <c r="O214" s="13" t="s">
        <v>42</v>
      </c>
      <c r="P214" s="11">
        <v>0.0</v>
      </c>
      <c r="Q214" s="14">
        <v>0.0</v>
      </c>
      <c r="R214" s="11">
        <v>1.0</v>
      </c>
      <c r="S214">
        <f t="shared" si="1"/>
        <v>2023</v>
      </c>
      <c r="T214">
        <f t="shared" si="2"/>
        <v>7</v>
      </c>
      <c r="U214">
        <f t="shared" si="3"/>
        <v>26</v>
      </c>
      <c r="Z214" s="17">
        <v>45522.0</v>
      </c>
      <c r="AG214" s="15"/>
      <c r="AH214" s="16"/>
      <c r="AM214" s="15"/>
      <c r="AN214" s="16"/>
    </row>
    <row r="215">
      <c r="A215" s="9" t="s">
        <v>549</v>
      </c>
      <c r="B215" s="10">
        <v>45132.0</v>
      </c>
      <c r="C215" s="11" t="s">
        <v>150</v>
      </c>
      <c r="D215" s="11" t="s">
        <v>77</v>
      </c>
      <c r="E215" s="11" t="s">
        <v>39</v>
      </c>
      <c r="F215" s="11" t="s">
        <v>40</v>
      </c>
      <c r="G215" s="11" t="s">
        <v>45</v>
      </c>
      <c r="H215" s="11" t="s">
        <v>84</v>
      </c>
      <c r="I215" s="11"/>
      <c r="J215" s="11">
        <v>20.0</v>
      </c>
      <c r="K215" s="12">
        <v>45785.0</v>
      </c>
      <c r="L215" s="11">
        <f t="shared" si="18"/>
        <v>21</v>
      </c>
      <c r="M215" s="11">
        <v>691725.0</v>
      </c>
      <c r="N215" s="11" t="s">
        <v>550</v>
      </c>
      <c r="O215" s="13" t="s">
        <v>69</v>
      </c>
      <c r="P215" s="11">
        <v>0.0</v>
      </c>
      <c r="Q215" s="14">
        <v>0.0</v>
      </c>
      <c r="R215" s="11">
        <v>1.0</v>
      </c>
      <c r="S215">
        <f t="shared" si="1"/>
        <v>2023</v>
      </c>
      <c r="T215">
        <f t="shared" si="2"/>
        <v>7</v>
      </c>
      <c r="U215">
        <f t="shared" si="3"/>
        <v>25</v>
      </c>
      <c r="X215" s="17">
        <v>45496.0</v>
      </c>
      <c r="Z215" s="17">
        <v>45758.0</v>
      </c>
      <c r="AG215" s="15"/>
      <c r="AH215" s="16"/>
      <c r="AM215" s="15"/>
      <c r="AN215" s="16"/>
    </row>
    <row r="216">
      <c r="A216" s="9" t="s">
        <v>551</v>
      </c>
      <c r="B216" s="10">
        <v>45126.0</v>
      </c>
      <c r="C216" s="11" t="s">
        <v>103</v>
      </c>
      <c r="D216" s="11" t="s">
        <v>38</v>
      </c>
      <c r="E216" s="11" t="s">
        <v>39</v>
      </c>
      <c r="F216" s="11" t="s">
        <v>40</v>
      </c>
      <c r="G216" s="11" t="s">
        <v>225</v>
      </c>
      <c r="H216" s="11"/>
      <c r="I216" s="11"/>
      <c r="J216" s="11">
        <v>30.0</v>
      </c>
      <c r="K216" s="12"/>
      <c r="L216" s="11"/>
      <c r="M216" s="11">
        <v>592254.0</v>
      </c>
      <c r="N216" s="11">
        <v>15463.0</v>
      </c>
      <c r="O216" s="13" t="s">
        <v>106</v>
      </c>
      <c r="P216" s="11">
        <v>0.0</v>
      </c>
      <c r="Q216" s="14">
        <v>0.0</v>
      </c>
      <c r="R216" s="11">
        <v>1.0</v>
      </c>
      <c r="S216">
        <f t="shared" si="1"/>
        <v>2023</v>
      </c>
      <c r="T216">
        <f t="shared" si="2"/>
        <v>7</v>
      </c>
      <c r="U216">
        <f t="shared" si="3"/>
        <v>19</v>
      </c>
      <c r="Z216" s="17">
        <v>45780.0</v>
      </c>
      <c r="AG216" s="15"/>
      <c r="AH216" s="16"/>
      <c r="AM216" s="15"/>
      <c r="AN216" s="16"/>
    </row>
    <row r="217">
      <c r="A217" s="9" t="s">
        <v>552</v>
      </c>
      <c r="B217" s="10">
        <v>45125.0</v>
      </c>
      <c r="C217" s="11" t="s">
        <v>126</v>
      </c>
      <c r="D217" s="11" t="s">
        <v>38</v>
      </c>
      <c r="E217" s="11" t="s">
        <v>39</v>
      </c>
      <c r="F217" s="11" t="s">
        <v>40</v>
      </c>
      <c r="G217" s="11" t="s">
        <v>45</v>
      </c>
      <c r="H217" s="11" t="s">
        <v>56</v>
      </c>
      <c r="I217" s="11"/>
      <c r="J217" s="11">
        <v>25.0</v>
      </c>
      <c r="K217" s="12">
        <v>45748.0</v>
      </c>
      <c r="L217" s="11">
        <f t="shared" ref="L217:L218" si="19">ROUND(((K217-B217)/365)*12,0)</f>
        <v>20</v>
      </c>
      <c r="M217" s="11">
        <v>669160.0</v>
      </c>
      <c r="N217" s="11">
        <v>19716.0</v>
      </c>
      <c r="O217" s="13" t="s">
        <v>69</v>
      </c>
      <c r="P217" s="11">
        <v>0.0</v>
      </c>
      <c r="Q217" s="14">
        <v>0.0</v>
      </c>
      <c r="R217" s="11">
        <v>1.0</v>
      </c>
      <c r="S217">
        <f t="shared" si="1"/>
        <v>2023</v>
      </c>
      <c r="T217">
        <f t="shared" si="2"/>
        <v>7</v>
      </c>
      <c r="U217">
        <f t="shared" si="3"/>
        <v>18</v>
      </c>
      <c r="Z217" s="17">
        <v>45748.0</v>
      </c>
      <c r="AA217" s="17">
        <v>45474.0</v>
      </c>
      <c r="AB217" s="13" t="s">
        <v>553</v>
      </c>
      <c r="AG217" s="15"/>
      <c r="AH217" s="16"/>
      <c r="AM217" s="15"/>
      <c r="AN217" s="16"/>
    </row>
    <row r="218">
      <c r="A218" s="9" t="s">
        <v>554</v>
      </c>
      <c r="B218" s="10">
        <v>45114.0</v>
      </c>
      <c r="C218" s="11" t="s">
        <v>162</v>
      </c>
      <c r="D218" s="11" t="s">
        <v>38</v>
      </c>
      <c r="E218" s="11" t="s">
        <v>39</v>
      </c>
      <c r="F218" s="11" t="s">
        <v>40</v>
      </c>
      <c r="G218" s="18" t="s">
        <v>105</v>
      </c>
      <c r="H218" s="18"/>
      <c r="I218" s="18"/>
      <c r="J218" s="11">
        <v>27.0</v>
      </c>
      <c r="K218" s="12">
        <v>45902.0</v>
      </c>
      <c r="L218" s="11">
        <f t="shared" si="19"/>
        <v>26</v>
      </c>
      <c r="M218" s="18">
        <v>665665.0</v>
      </c>
      <c r="N218" s="18">
        <v>19754.0</v>
      </c>
      <c r="O218" s="13"/>
      <c r="P218" s="11">
        <v>0.0</v>
      </c>
      <c r="Q218" s="14">
        <v>0.0</v>
      </c>
      <c r="R218" s="11">
        <v>1.0</v>
      </c>
      <c r="S218">
        <f t="shared" si="1"/>
        <v>2023</v>
      </c>
      <c r="T218">
        <f t="shared" si="2"/>
        <v>7</v>
      </c>
      <c r="U218">
        <f t="shared" si="3"/>
        <v>7</v>
      </c>
      <c r="Z218" s="17">
        <v>45489.0</v>
      </c>
      <c r="AG218" s="15"/>
      <c r="AH218" s="16"/>
      <c r="AM218" s="15"/>
      <c r="AN218" s="16"/>
    </row>
    <row r="219">
      <c r="A219" s="9" t="s">
        <v>555</v>
      </c>
      <c r="B219" s="10">
        <v>45113.0</v>
      </c>
      <c r="C219" s="11" t="s">
        <v>44</v>
      </c>
      <c r="D219" s="11" t="s">
        <v>221</v>
      </c>
      <c r="E219" s="11" t="s">
        <v>39</v>
      </c>
      <c r="F219" s="11" t="s">
        <v>40</v>
      </c>
      <c r="G219" s="18" t="s">
        <v>45</v>
      </c>
      <c r="H219" s="18" t="s">
        <v>67</v>
      </c>
      <c r="I219" s="18" t="s">
        <v>190</v>
      </c>
      <c r="J219" s="11">
        <v>24.0</v>
      </c>
      <c r="K219" s="12"/>
      <c r="L219" s="11"/>
      <c r="M219" s="18">
        <v>679903.0</v>
      </c>
      <c r="N219" s="18" t="s">
        <v>556</v>
      </c>
      <c r="O219" s="13"/>
      <c r="P219" s="11">
        <v>0.0</v>
      </c>
      <c r="Q219" s="14">
        <v>0.0</v>
      </c>
      <c r="R219" s="11">
        <v>1.0</v>
      </c>
      <c r="S219">
        <f t="shared" si="1"/>
        <v>2023</v>
      </c>
      <c r="T219">
        <f t="shared" si="2"/>
        <v>7</v>
      </c>
      <c r="U219">
        <f t="shared" si="3"/>
        <v>6</v>
      </c>
      <c r="AG219" s="15"/>
      <c r="AH219" s="16"/>
      <c r="AM219" s="15"/>
      <c r="AN219" s="16"/>
    </row>
    <row r="220">
      <c r="A220" s="9" t="s">
        <v>557</v>
      </c>
      <c r="B220" s="10">
        <v>45112.0</v>
      </c>
      <c r="C220" s="11" t="s">
        <v>72</v>
      </c>
      <c r="D220" s="11" t="s">
        <v>58</v>
      </c>
      <c r="E220" s="11" t="s">
        <v>39</v>
      </c>
      <c r="F220" s="11" t="s">
        <v>40</v>
      </c>
      <c r="G220" s="18" t="s">
        <v>45</v>
      </c>
      <c r="H220" s="18" t="s">
        <v>182</v>
      </c>
      <c r="I220" s="18" t="s">
        <v>183</v>
      </c>
      <c r="J220" s="11">
        <v>28.0</v>
      </c>
      <c r="K220" s="12">
        <v>45748.0</v>
      </c>
      <c r="L220" s="11">
        <f t="shared" ref="L220:L223" si="20">ROUND(((K220-B220)/365)*12,0)</f>
        <v>21</v>
      </c>
      <c r="M220" s="18">
        <v>670090.0</v>
      </c>
      <c r="N220" s="18">
        <v>20010.0</v>
      </c>
      <c r="O220" s="13"/>
      <c r="P220" s="11">
        <v>0.0</v>
      </c>
      <c r="Q220" s="14">
        <v>0.0</v>
      </c>
      <c r="R220" s="11">
        <v>1.0</v>
      </c>
      <c r="S220">
        <f t="shared" si="1"/>
        <v>2023</v>
      </c>
      <c r="T220">
        <f t="shared" si="2"/>
        <v>7</v>
      </c>
      <c r="U220">
        <f t="shared" si="3"/>
        <v>5</v>
      </c>
      <c r="Z220" s="17">
        <v>45748.0</v>
      </c>
      <c r="AG220" s="15"/>
      <c r="AH220" s="16"/>
      <c r="AM220" s="15"/>
      <c r="AN220" s="16"/>
    </row>
    <row r="221">
      <c r="A221" s="9" t="s">
        <v>558</v>
      </c>
      <c r="B221" s="10">
        <v>45108.0</v>
      </c>
      <c r="C221" s="11" t="s">
        <v>162</v>
      </c>
      <c r="D221" s="11" t="s">
        <v>97</v>
      </c>
      <c r="E221" s="11" t="s">
        <v>39</v>
      </c>
      <c r="F221" s="11" t="s">
        <v>40</v>
      </c>
      <c r="G221" s="18" t="s">
        <v>45</v>
      </c>
      <c r="H221" s="18" t="s">
        <v>240</v>
      </c>
      <c r="I221" s="18" t="s">
        <v>559</v>
      </c>
      <c r="J221" s="11">
        <v>20.0</v>
      </c>
      <c r="K221" s="12">
        <v>45528.0</v>
      </c>
      <c r="L221" s="11">
        <f t="shared" si="20"/>
        <v>14</v>
      </c>
      <c r="M221" s="18">
        <v>695761.0</v>
      </c>
      <c r="N221" s="18" t="s">
        <v>560</v>
      </c>
      <c r="O221" s="13" t="s">
        <v>561</v>
      </c>
      <c r="P221" s="11">
        <v>0.0</v>
      </c>
      <c r="Q221" s="14">
        <v>0.0</v>
      </c>
      <c r="R221" s="11">
        <v>1.0</v>
      </c>
      <c r="S221">
        <f t="shared" si="1"/>
        <v>2023</v>
      </c>
      <c r="T221">
        <f t="shared" si="2"/>
        <v>7</v>
      </c>
      <c r="U221">
        <f t="shared" si="3"/>
        <v>1</v>
      </c>
      <c r="Z221" s="17">
        <v>45528.0</v>
      </c>
      <c r="AG221" s="15"/>
      <c r="AH221" s="16"/>
      <c r="AM221" s="15"/>
      <c r="AN221" s="16"/>
    </row>
    <row r="222">
      <c r="A222" s="9" t="s">
        <v>562</v>
      </c>
      <c r="B222" s="10">
        <v>45108.0</v>
      </c>
      <c r="C222" s="11" t="s">
        <v>230</v>
      </c>
      <c r="D222" s="11" t="s">
        <v>38</v>
      </c>
      <c r="E222" s="11" t="s">
        <v>39</v>
      </c>
      <c r="F222" s="11" t="s">
        <v>40</v>
      </c>
      <c r="G222" s="18" t="s">
        <v>45</v>
      </c>
      <c r="H222" s="18" t="s">
        <v>262</v>
      </c>
      <c r="I222" s="18" t="s">
        <v>563</v>
      </c>
      <c r="J222" s="11">
        <v>29.0</v>
      </c>
      <c r="K222" s="12">
        <v>45743.0</v>
      </c>
      <c r="L222" s="11">
        <f t="shared" si="20"/>
        <v>21</v>
      </c>
      <c r="M222" s="18">
        <v>682171.0</v>
      </c>
      <c r="N222" s="18">
        <v>25174.0</v>
      </c>
      <c r="O222" s="13"/>
      <c r="P222" s="11">
        <v>0.0</v>
      </c>
      <c r="Q222" s="14">
        <v>0.0</v>
      </c>
      <c r="R222" s="11">
        <v>1.0</v>
      </c>
      <c r="S222">
        <f t="shared" si="1"/>
        <v>2023</v>
      </c>
      <c r="T222">
        <f t="shared" si="2"/>
        <v>7</v>
      </c>
      <c r="U222">
        <f t="shared" si="3"/>
        <v>1</v>
      </c>
      <c r="Z222" s="17">
        <v>45519.0</v>
      </c>
      <c r="AG222" s="15"/>
      <c r="AH222" s="16"/>
      <c r="AM222" s="15"/>
      <c r="AN222" s="16"/>
    </row>
    <row r="223">
      <c r="A223" s="9" t="s">
        <v>564</v>
      </c>
      <c r="B223" s="10">
        <v>45105.0</v>
      </c>
      <c r="C223" s="11" t="s">
        <v>111</v>
      </c>
      <c r="D223" s="11" t="s">
        <v>38</v>
      </c>
      <c r="E223" s="11" t="s">
        <v>39</v>
      </c>
      <c r="F223" s="11" t="s">
        <v>64</v>
      </c>
      <c r="G223" s="18" t="s">
        <v>45</v>
      </c>
      <c r="H223" s="18" t="s">
        <v>182</v>
      </c>
      <c r="I223" s="18" t="s">
        <v>179</v>
      </c>
      <c r="J223" s="11">
        <v>32.0</v>
      </c>
      <c r="K223" s="12">
        <v>45517.0</v>
      </c>
      <c r="L223" s="11">
        <f t="shared" si="20"/>
        <v>14</v>
      </c>
      <c r="M223" s="18">
        <v>571510.0</v>
      </c>
      <c r="N223" s="18">
        <v>15440.0</v>
      </c>
      <c r="O223" s="13" t="s">
        <v>42</v>
      </c>
      <c r="P223" s="11">
        <v>0.0</v>
      </c>
      <c r="Q223" s="14">
        <v>0.0</v>
      </c>
      <c r="R223" s="11">
        <v>1.0</v>
      </c>
      <c r="S223">
        <f t="shared" si="1"/>
        <v>2023</v>
      </c>
      <c r="T223">
        <f t="shared" si="2"/>
        <v>6</v>
      </c>
      <c r="U223">
        <f t="shared" si="3"/>
        <v>28</v>
      </c>
      <c r="Z223" s="17">
        <v>45489.0</v>
      </c>
      <c r="AG223" s="15"/>
      <c r="AH223" s="16"/>
      <c r="AM223" s="15"/>
      <c r="AN223" s="16"/>
    </row>
    <row r="224">
      <c r="A224" s="13" t="s">
        <v>565</v>
      </c>
      <c r="B224" s="17">
        <v>45104.0</v>
      </c>
      <c r="C224" s="11" t="s">
        <v>162</v>
      </c>
      <c r="D224" s="11" t="s">
        <v>93</v>
      </c>
      <c r="E224" s="11" t="s">
        <v>39</v>
      </c>
      <c r="F224" s="11" t="s">
        <v>64</v>
      </c>
      <c r="G224" s="18" t="s">
        <v>45</v>
      </c>
      <c r="H224" s="18" t="s">
        <v>139</v>
      </c>
      <c r="I224" s="18" t="s">
        <v>566</v>
      </c>
      <c r="J224" s="11">
        <v>19.0</v>
      </c>
      <c r="K224" s="12"/>
      <c r="L224" s="11"/>
      <c r="M224" s="18">
        <v>702578.0</v>
      </c>
      <c r="N224" s="18" t="s">
        <v>567</v>
      </c>
      <c r="O224" s="13"/>
      <c r="P224" s="11">
        <v>0.0</v>
      </c>
      <c r="Q224" s="14">
        <v>0.0</v>
      </c>
      <c r="R224" s="11">
        <v>1.0</v>
      </c>
      <c r="S224">
        <f t="shared" si="1"/>
        <v>2023</v>
      </c>
      <c r="T224">
        <f t="shared" si="2"/>
        <v>6</v>
      </c>
      <c r="U224">
        <f t="shared" si="3"/>
        <v>27</v>
      </c>
      <c r="Z224" s="17"/>
      <c r="AG224" s="15"/>
      <c r="AH224" s="16"/>
      <c r="AM224" s="15"/>
      <c r="AN224" s="16"/>
    </row>
    <row r="225">
      <c r="A225" s="9" t="s">
        <v>568</v>
      </c>
      <c r="B225" s="10">
        <v>45091.0</v>
      </c>
      <c r="C225" s="11" t="s">
        <v>44</v>
      </c>
      <c r="D225" s="11" t="s">
        <v>58</v>
      </c>
      <c r="E225" s="11" t="s">
        <v>39</v>
      </c>
      <c r="F225" s="11" t="s">
        <v>64</v>
      </c>
      <c r="G225" s="18" t="s">
        <v>45</v>
      </c>
      <c r="H225" s="18" t="s">
        <v>59</v>
      </c>
      <c r="I225" s="18" t="s">
        <v>569</v>
      </c>
      <c r="J225" s="11">
        <v>25.0</v>
      </c>
      <c r="K225" s="12">
        <v>45487.0</v>
      </c>
      <c r="L225" s="11">
        <f t="shared" ref="L225:L227" si="21">ROUND(((K225-B225)/365)*12,0)</f>
        <v>13</v>
      </c>
      <c r="M225" s="18">
        <v>667280.0</v>
      </c>
      <c r="N225" s="18" t="s">
        <v>570</v>
      </c>
      <c r="O225" s="13"/>
      <c r="P225" s="11">
        <v>0.0</v>
      </c>
      <c r="Q225" s="14">
        <v>0.0</v>
      </c>
      <c r="R225" s="11">
        <v>1.0</v>
      </c>
      <c r="S225">
        <f t="shared" si="1"/>
        <v>2023</v>
      </c>
      <c r="T225">
        <f t="shared" si="2"/>
        <v>6</v>
      </c>
      <c r="U225">
        <f t="shared" si="3"/>
        <v>14</v>
      </c>
      <c r="Z225" s="17">
        <v>45471.0</v>
      </c>
      <c r="AG225" s="15"/>
      <c r="AH225" s="16"/>
      <c r="AM225" s="15"/>
      <c r="AN225" s="16"/>
    </row>
    <row r="226">
      <c r="A226" s="9" t="s">
        <v>571</v>
      </c>
      <c r="B226" s="10">
        <v>45090.0</v>
      </c>
      <c r="C226" s="11" t="s">
        <v>37</v>
      </c>
      <c r="D226" s="11" t="s">
        <v>77</v>
      </c>
      <c r="E226" s="11" t="s">
        <v>39</v>
      </c>
      <c r="F226" s="11" t="s">
        <v>64</v>
      </c>
      <c r="G226" s="11" t="s">
        <v>45</v>
      </c>
      <c r="H226" s="11" t="s">
        <v>112</v>
      </c>
      <c r="I226" s="11"/>
      <c r="J226" s="11">
        <v>21.0</v>
      </c>
      <c r="K226" s="12">
        <v>45753.0</v>
      </c>
      <c r="L226" s="11">
        <f t="shared" si="21"/>
        <v>22</v>
      </c>
      <c r="M226" s="11">
        <v>690978.0</v>
      </c>
      <c r="N226" s="11" t="s">
        <v>572</v>
      </c>
      <c r="O226" s="13"/>
      <c r="P226" s="11">
        <v>0.0</v>
      </c>
      <c r="Q226" s="14">
        <v>0.0</v>
      </c>
      <c r="R226" s="11">
        <v>1.0</v>
      </c>
      <c r="S226">
        <f t="shared" si="1"/>
        <v>2023</v>
      </c>
      <c r="T226">
        <f t="shared" si="2"/>
        <v>6</v>
      </c>
      <c r="U226">
        <f t="shared" si="3"/>
        <v>13</v>
      </c>
      <c r="W226" s="17"/>
      <c r="X226" s="17"/>
      <c r="Y226" s="17"/>
      <c r="Z226" s="17">
        <v>45753.0</v>
      </c>
      <c r="AG226" s="15"/>
      <c r="AH226" s="16"/>
      <c r="AM226" s="15"/>
      <c r="AN226" s="16"/>
    </row>
    <row r="227">
      <c r="A227" s="9" t="s">
        <v>573</v>
      </c>
      <c r="B227" s="10">
        <v>45089.0</v>
      </c>
      <c r="C227" s="11" t="s">
        <v>186</v>
      </c>
      <c r="D227" s="11" t="s">
        <v>38</v>
      </c>
      <c r="E227" s="11" t="s">
        <v>39</v>
      </c>
      <c r="F227" s="11" t="s">
        <v>40</v>
      </c>
      <c r="G227" s="28" t="s">
        <v>45</v>
      </c>
      <c r="H227" s="21" t="s">
        <v>84</v>
      </c>
      <c r="I227" s="21" t="s">
        <v>574</v>
      </c>
      <c r="J227" s="11">
        <v>35.0</v>
      </c>
      <c r="K227" s="12">
        <v>45548.0</v>
      </c>
      <c r="L227" s="11">
        <f t="shared" si="21"/>
        <v>15</v>
      </c>
      <c r="M227" s="21">
        <v>594798.0</v>
      </c>
      <c r="N227" s="21">
        <v>10954.0</v>
      </c>
      <c r="O227" s="13" t="s">
        <v>42</v>
      </c>
      <c r="P227" s="11">
        <v>0.0</v>
      </c>
      <c r="Q227" s="14">
        <v>0.0</v>
      </c>
      <c r="R227" s="11">
        <v>1.0</v>
      </c>
      <c r="S227">
        <f t="shared" si="1"/>
        <v>2023</v>
      </c>
      <c r="T227">
        <f t="shared" si="2"/>
        <v>6</v>
      </c>
      <c r="U227">
        <f t="shared" si="3"/>
        <v>12</v>
      </c>
      <c r="W227" s="17">
        <v>45460.0</v>
      </c>
      <c r="X227" s="17">
        <v>45460.0</v>
      </c>
      <c r="Y227" s="17">
        <v>45512.0</v>
      </c>
      <c r="Z227" s="17">
        <v>45526.0</v>
      </c>
      <c r="AG227" s="15"/>
      <c r="AH227" s="16"/>
      <c r="AM227" s="15"/>
      <c r="AN227" s="16"/>
    </row>
    <row r="228">
      <c r="A228" s="9" t="s">
        <v>575</v>
      </c>
      <c r="B228" s="10">
        <v>45082.0</v>
      </c>
      <c r="C228" s="11" t="s">
        <v>111</v>
      </c>
      <c r="D228" s="11" t="s">
        <v>58</v>
      </c>
      <c r="E228" s="11" t="s">
        <v>39</v>
      </c>
      <c r="F228" s="11" t="s">
        <v>40</v>
      </c>
      <c r="G228" s="11" t="s">
        <v>53</v>
      </c>
      <c r="H228" s="11"/>
      <c r="I228" s="11"/>
      <c r="J228" s="11">
        <v>25.0</v>
      </c>
      <c r="K228" s="12"/>
      <c r="L228" s="11"/>
      <c r="M228" s="11">
        <v>681643.0</v>
      </c>
      <c r="N228" s="11" t="s">
        <v>576</v>
      </c>
      <c r="O228" s="13"/>
      <c r="P228" s="11">
        <v>0.0</v>
      </c>
      <c r="Q228" s="14">
        <v>0.0</v>
      </c>
      <c r="R228" s="11">
        <v>1.0</v>
      </c>
      <c r="S228">
        <f t="shared" si="1"/>
        <v>2023</v>
      </c>
      <c r="T228">
        <f t="shared" si="2"/>
        <v>6</v>
      </c>
      <c r="U228">
        <f t="shared" si="3"/>
        <v>5</v>
      </c>
      <c r="Z228" s="17">
        <v>45461.0</v>
      </c>
      <c r="AG228" s="15"/>
      <c r="AH228" s="16"/>
      <c r="AM228" s="15"/>
      <c r="AN228" s="16"/>
    </row>
    <row r="229">
      <c r="A229" s="9" t="s">
        <v>577</v>
      </c>
      <c r="B229" s="10">
        <v>45078.0</v>
      </c>
      <c r="C229" s="11" t="s">
        <v>101</v>
      </c>
      <c r="D229" s="11" t="s">
        <v>213</v>
      </c>
      <c r="E229" s="11" t="s">
        <v>39</v>
      </c>
      <c r="F229" s="11" t="s">
        <v>40</v>
      </c>
      <c r="G229" s="11" t="s">
        <v>578</v>
      </c>
      <c r="H229" s="11"/>
      <c r="I229" s="11"/>
      <c r="J229" s="11">
        <v>19.0</v>
      </c>
      <c r="K229" s="12"/>
      <c r="L229" s="11"/>
      <c r="M229" s="11">
        <v>807828.0</v>
      </c>
      <c r="N229" s="11"/>
      <c r="O229" s="13"/>
      <c r="P229" s="11">
        <v>0.0</v>
      </c>
      <c r="Q229" s="14">
        <v>0.0</v>
      </c>
      <c r="R229" s="11">
        <v>1.0</v>
      </c>
      <c r="S229">
        <f t="shared" si="1"/>
        <v>2023</v>
      </c>
      <c r="T229">
        <f t="shared" si="2"/>
        <v>6</v>
      </c>
      <c r="U229">
        <f t="shared" si="3"/>
        <v>1</v>
      </c>
      <c r="AG229" s="15"/>
      <c r="AH229" s="16"/>
      <c r="AM229" s="15"/>
      <c r="AN229" s="16"/>
    </row>
    <row r="230">
      <c r="A230" s="13" t="s">
        <v>579</v>
      </c>
      <c r="B230" s="17">
        <v>45078.0</v>
      </c>
      <c r="C230" s="11" t="s">
        <v>116</v>
      </c>
      <c r="D230" s="11" t="s">
        <v>93</v>
      </c>
      <c r="E230" s="11" t="s">
        <v>39</v>
      </c>
      <c r="F230" s="11" t="s">
        <v>40</v>
      </c>
      <c r="G230" s="11" t="s">
        <v>45</v>
      </c>
      <c r="H230" s="11" t="s">
        <v>262</v>
      </c>
      <c r="I230" s="11" t="s">
        <v>580</v>
      </c>
      <c r="J230" s="11">
        <v>20.0</v>
      </c>
      <c r="K230" s="12">
        <v>45755.0</v>
      </c>
      <c r="L230" s="11">
        <f t="shared" ref="L230:L232" si="22">ROUND(((K230-B230)/365)*12,0)</f>
        <v>22</v>
      </c>
      <c r="M230" s="11">
        <v>820827.0</v>
      </c>
      <c r="N230" s="11" t="s">
        <v>581</v>
      </c>
      <c r="O230" s="13"/>
      <c r="P230" s="11">
        <v>0.0</v>
      </c>
      <c r="Q230" s="14">
        <v>0.0</v>
      </c>
      <c r="R230" s="11">
        <v>1.0</v>
      </c>
      <c r="S230">
        <f t="shared" si="1"/>
        <v>2023</v>
      </c>
      <c r="T230">
        <f t="shared" si="2"/>
        <v>6</v>
      </c>
      <c r="U230">
        <f t="shared" si="3"/>
        <v>1</v>
      </c>
      <c r="Z230" s="17">
        <v>45755.0</v>
      </c>
      <c r="AG230" s="15"/>
      <c r="AH230" s="16"/>
      <c r="AM230" s="15"/>
      <c r="AN230" s="16"/>
    </row>
    <row r="231">
      <c r="A231" s="9" t="s">
        <v>582</v>
      </c>
      <c r="B231" s="10">
        <v>45078.0</v>
      </c>
      <c r="C231" s="11" t="s">
        <v>72</v>
      </c>
      <c r="D231" s="11" t="s">
        <v>88</v>
      </c>
      <c r="E231" s="11" t="s">
        <v>39</v>
      </c>
      <c r="F231" s="11" t="s">
        <v>40</v>
      </c>
      <c r="G231" s="11" t="s">
        <v>45</v>
      </c>
      <c r="H231" s="11" t="s">
        <v>67</v>
      </c>
      <c r="I231" s="11" t="s">
        <v>583</v>
      </c>
      <c r="J231" s="11">
        <v>24.0</v>
      </c>
      <c r="K231" s="12">
        <v>45527.0</v>
      </c>
      <c r="L231" s="11">
        <f t="shared" si="22"/>
        <v>15</v>
      </c>
      <c r="M231" s="11">
        <v>700413.0</v>
      </c>
      <c r="N231" s="11" t="s">
        <v>584</v>
      </c>
      <c r="O231" s="13"/>
      <c r="P231" s="11">
        <v>0.0</v>
      </c>
      <c r="Q231" s="14">
        <v>0.0</v>
      </c>
      <c r="R231" s="11">
        <v>1.0</v>
      </c>
      <c r="S231">
        <f t="shared" si="1"/>
        <v>2023</v>
      </c>
      <c r="T231">
        <f t="shared" si="2"/>
        <v>6</v>
      </c>
      <c r="U231">
        <f t="shared" si="3"/>
        <v>1</v>
      </c>
      <c r="Z231" s="17">
        <v>45527.0</v>
      </c>
      <c r="AG231" s="15"/>
      <c r="AH231" s="16"/>
      <c r="AM231" s="15"/>
      <c r="AN231" s="16"/>
    </row>
    <row r="232">
      <c r="A232" s="9" t="s">
        <v>585</v>
      </c>
      <c r="B232" s="10">
        <v>45078.0</v>
      </c>
      <c r="C232" s="11" t="s">
        <v>44</v>
      </c>
      <c r="D232" s="11" t="s">
        <v>93</v>
      </c>
      <c r="E232" s="11" t="s">
        <v>39</v>
      </c>
      <c r="F232" s="11" t="s">
        <v>40</v>
      </c>
      <c r="G232" s="11" t="s">
        <v>45</v>
      </c>
      <c r="H232" s="11" t="s">
        <v>84</v>
      </c>
      <c r="I232" s="11" t="s">
        <v>159</v>
      </c>
      <c r="J232" s="11">
        <v>22.0</v>
      </c>
      <c r="K232" s="12">
        <v>45464.0</v>
      </c>
      <c r="L232" s="11">
        <f t="shared" si="22"/>
        <v>13</v>
      </c>
      <c r="M232" s="11">
        <v>690626.0</v>
      </c>
      <c r="N232" s="11" t="s">
        <v>586</v>
      </c>
      <c r="O232" s="13"/>
      <c r="P232" s="11">
        <v>0.0</v>
      </c>
      <c r="Q232" s="14">
        <v>0.0</v>
      </c>
      <c r="R232" s="11">
        <v>1.0</v>
      </c>
      <c r="S232">
        <f t="shared" si="1"/>
        <v>2023</v>
      </c>
      <c r="T232">
        <f t="shared" si="2"/>
        <v>6</v>
      </c>
      <c r="U232">
        <f t="shared" si="3"/>
        <v>1</v>
      </c>
      <c r="Z232" s="17">
        <v>45464.0</v>
      </c>
      <c r="AG232" s="15"/>
      <c r="AH232" s="16"/>
      <c r="AM232" s="15"/>
      <c r="AN232" s="16"/>
    </row>
    <row r="233">
      <c r="A233" s="9" t="s">
        <v>587</v>
      </c>
      <c r="B233" s="10">
        <v>45078.0</v>
      </c>
      <c r="C233" s="11" t="s">
        <v>111</v>
      </c>
      <c r="D233" s="11" t="s">
        <v>97</v>
      </c>
      <c r="E233" s="11" t="s">
        <v>39</v>
      </c>
      <c r="F233" s="11" t="s">
        <v>40</v>
      </c>
      <c r="G233" s="11" t="s">
        <v>45</v>
      </c>
      <c r="H233" s="11" t="s">
        <v>74</v>
      </c>
      <c r="I233" s="11" t="s">
        <v>588</v>
      </c>
      <c r="J233" s="11">
        <v>33.0</v>
      </c>
      <c r="K233" s="12"/>
      <c r="L233" s="11"/>
      <c r="M233" s="11">
        <v>572096.0</v>
      </c>
      <c r="N233" s="11">
        <v>10745.0</v>
      </c>
      <c r="O233" s="13"/>
      <c r="P233" s="11">
        <v>0.0</v>
      </c>
      <c r="Q233" s="14">
        <v>0.0</v>
      </c>
      <c r="R233" s="11">
        <v>1.0</v>
      </c>
      <c r="S233">
        <f t="shared" si="1"/>
        <v>2023</v>
      </c>
      <c r="T233">
        <f t="shared" si="2"/>
        <v>6</v>
      </c>
      <c r="U233">
        <f t="shared" si="3"/>
        <v>1</v>
      </c>
      <c r="AG233" s="15"/>
      <c r="AH233" s="16"/>
      <c r="AM233" s="15"/>
      <c r="AN233" s="16"/>
    </row>
    <row r="234">
      <c r="A234" s="13" t="s">
        <v>589</v>
      </c>
      <c r="B234" s="17">
        <v>45078.0</v>
      </c>
      <c r="C234" s="11" t="s">
        <v>126</v>
      </c>
      <c r="D234" s="11" t="s">
        <v>93</v>
      </c>
      <c r="E234" s="11" t="s">
        <v>39</v>
      </c>
      <c r="F234" s="11" t="s">
        <v>40</v>
      </c>
      <c r="G234" s="11" t="s">
        <v>45</v>
      </c>
      <c r="H234" s="11" t="s">
        <v>129</v>
      </c>
      <c r="I234" s="11" t="s">
        <v>98</v>
      </c>
      <c r="J234" s="11">
        <v>20.0</v>
      </c>
      <c r="K234" s="12">
        <v>45755.0</v>
      </c>
      <c r="L234" s="11">
        <f t="shared" ref="L234:L235" si="23">ROUND(((K234-B234)/365)*12,0)</f>
        <v>22</v>
      </c>
      <c r="M234" s="11">
        <v>811286.0</v>
      </c>
      <c r="N234" s="11" t="s">
        <v>590</v>
      </c>
      <c r="O234" s="13"/>
      <c r="P234" s="11">
        <v>0.0</v>
      </c>
      <c r="Q234" s="14">
        <v>0.0</v>
      </c>
      <c r="R234" s="11">
        <v>1.0</v>
      </c>
      <c r="S234">
        <f t="shared" si="1"/>
        <v>2023</v>
      </c>
      <c r="T234">
        <f t="shared" si="2"/>
        <v>6</v>
      </c>
      <c r="U234">
        <f t="shared" si="3"/>
        <v>1</v>
      </c>
      <c r="Z234" s="17">
        <v>45755.0</v>
      </c>
      <c r="AG234" s="15"/>
      <c r="AH234" s="16"/>
      <c r="AM234" s="15"/>
      <c r="AN234" s="16"/>
    </row>
    <row r="235">
      <c r="A235" s="9" t="s">
        <v>591</v>
      </c>
      <c r="B235" s="10">
        <v>45070.0</v>
      </c>
      <c r="C235" s="11" t="s">
        <v>116</v>
      </c>
      <c r="D235" s="11" t="s">
        <v>97</v>
      </c>
      <c r="E235" s="11" t="s">
        <v>39</v>
      </c>
      <c r="F235" s="11" t="s">
        <v>40</v>
      </c>
      <c r="G235" s="11" t="s">
        <v>45</v>
      </c>
      <c r="H235" s="11" t="s">
        <v>182</v>
      </c>
      <c r="I235" s="11"/>
      <c r="J235" s="11">
        <v>20.0</v>
      </c>
      <c r="K235" s="12">
        <v>45485.0</v>
      </c>
      <c r="L235" s="11">
        <f t="shared" si="23"/>
        <v>14</v>
      </c>
      <c r="M235" s="11">
        <v>702275.0</v>
      </c>
      <c r="N235" s="11" t="s">
        <v>592</v>
      </c>
      <c r="O235" s="13"/>
      <c r="P235" s="11">
        <v>0.0</v>
      </c>
      <c r="Q235" s="14">
        <v>0.0</v>
      </c>
      <c r="R235" s="11">
        <v>1.0</v>
      </c>
      <c r="S235">
        <f t="shared" si="1"/>
        <v>2023</v>
      </c>
      <c r="T235">
        <f t="shared" si="2"/>
        <v>5</v>
      </c>
      <c r="U235">
        <f t="shared" si="3"/>
        <v>24</v>
      </c>
      <c r="Z235" s="17">
        <v>45460.0</v>
      </c>
      <c r="AG235" s="15"/>
      <c r="AH235" s="16"/>
      <c r="AM235" s="15"/>
      <c r="AN235" s="16"/>
    </row>
    <row r="236">
      <c r="A236" s="9" t="s">
        <v>593</v>
      </c>
      <c r="B236" s="10">
        <v>45069.0</v>
      </c>
      <c r="C236" s="11" t="s">
        <v>162</v>
      </c>
      <c r="D236" s="11" t="s">
        <v>38</v>
      </c>
      <c r="E236" s="11" t="s">
        <v>39</v>
      </c>
      <c r="F236" s="11" t="s">
        <v>40</v>
      </c>
      <c r="G236" s="11" t="s">
        <v>45</v>
      </c>
      <c r="H236" s="11" t="s">
        <v>46</v>
      </c>
      <c r="I236" s="11" t="s">
        <v>594</v>
      </c>
      <c r="J236" s="11">
        <v>29.0</v>
      </c>
      <c r="K236" s="12"/>
      <c r="L236" s="11"/>
      <c r="M236" s="11">
        <v>656818.0</v>
      </c>
      <c r="N236" s="11">
        <v>18376.0</v>
      </c>
      <c r="O236" s="13"/>
      <c r="P236" s="11">
        <v>0.0</v>
      </c>
      <c r="Q236" s="14">
        <v>0.0</v>
      </c>
      <c r="R236" s="11">
        <v>1.0</v>
      </c>
      <c r="S236">
        <f t="shared" si="1"/>
        <v>2023</v>
      </c>
      <c r="T236">
        <f t="shared" si="2"/>
        <v>5</v>
      </c>
      <c r="U236">
        <f t="shared" si="3"/>
        <v>23</v>
      </c>
      <c r="Z236" s="17">
        <v>45426.0</v>
      </c>
      <c r="AG236" s="15"/>
      <c r="AH236" s="16"/>
      <c r="AM236" s="15"/>
      <c r="AN236" s="16"/>
    </row>
    <row r="237">
      <c r="A237" s="9" t="s">
        <v>595</v>
      </c>
      <c r="B237" s="10">
        <v>45068.0</v>
      </c>
      <c r="C237" s="11" t="s">
        <v>103</v>
      </c>
      <c r="D237" s="11" t="s">
        <v>38</v>
      </c>
      <c r="E237" s="11" t="s">
        <v>39</v>
      </c>
      <c r="F237" s="11" t="s">
        <v>40</v>
      </c>
      <c r="G237" s="11" t="s">
        <v>45</v>
      </c>
      <c r="H237" s="11" t="s">
        <v>67</v>
      </c>
      <c r="I237" s="11"/>
      <c r="J237" s="11">
        <v>28.0</v>
      </c>
      <c r="K237" s="12">
        <v>45510.0</v>
      </c>
      <c r="L237" s="11">
        <f t="shared" ref="L237:L257" si="24">ROUND(((K237-B237)/365)*12,0)</f>
        <v>15</v>
      </c>
      <c r="M237" s="11">
        <v>641816.0</v>
      </c>
      <c r="N237" s="11">
        <v>16358.0</v>
      </c>
      <c r="O237" s="13" t="s">
        <v>42</v>
      </c>
      <c r="P237" s="11">
        <v>0.0</v>
      </c>
      <c r="Q237" s="14">
        <v>0.0</v>
      </c>
      <c r="R237" s="11">
        <v>1.0</v>
      </c>
      <c r="S237">
        <f t="shared" si="1"/>
        <v>2023</v>
      </c>
      <c r="T237">
        <f t="shared" si="2"/>
        <v>5</v>
      </c>
      <c r="U237">
        <f t="shared" si="3"/>
        <v>22</v>
      </c>
      <c r="Y237" s="17">
        <v>45448.0</v>
      </c>
      <c r="Z237" s="17">
        <v>45475.0</v>
      </c>
      <c r="AG237" s="15"/>
      <c r="AH237" s="16"/>
      <c r="AM237" s="15"/>
      <c r="AN237" s="16"/>
    </row>
    <row r="238">
      <c r="A238" s="9" t="s">
        <v>596</v>
      </c>
      <c r="B238" s="10">
        <v>45068.0</v>
      </c>
      <c r="C238" s="11" t="s">
        <v>186</v>
      </c>
      <c r="D238" s="11" t="s">
        <v>88</v>
      </c>
      <c r="E238" s="11" t="s">
        <v>39</v>
      </c>
      <c r="F238" s="11" t="s">
        <v>40</v>
      </c>
      <c r="G238" s="11" t="s">
        <v>45</v>
      </c>
      <c r="H238" s="11" t="s">
        <v>163</v>
      </c>
      <c r="I238" s="11" t="s">
        <v>140</v>
      </c>
      <c r="J238" s="11">
        <v>23.0</v>
      </c>
      <c r="K238" s="12">
        <v>45499.0</v>
      </c>
      <c r="L238" s="11">
        <f t="shared" si="24"/>
        <v>14</v>
      </c>
      <c r="M238" s="11">
        <v>677958.0</v>
      </c>
      <c r="N238" s="11">
        <v>31843.0</v>
      </c>
      <c r="O238" s="13" t="s">
        <v>42</v>
      </c>
      <c r="P238" s="11">
        <v>0.0</v>
      </c>
      <c r="Q238" s="14">
        <v>0.0</v>
      </c>
      <c r="R238" s="11">
        <v>1.0</v>
      </c>
      <c r="S238">
        <f t="shared" si="1"/>
        <v>2023</v>
      </c>
      <c r="T238">
        <f t="shared" si="2"/>
        <v>5</v>
      </c>
      <c r="U238">
        <f t="shared" si="3"/>
        <v>22</v>
      </c>
      <c r="Z238" s="17">
        <v>45478.0</v>
      </c>
      <c r="AG238" s="15"/>
      <c r="AH238" s="16"/>
      <c r="AM238" s="15"/>
      <c r="AN238" s="16"/>
    </row>
    <row r="239">
      <c r="A239" s="9" t="s">
        <v>51</v>
      </c>
      <c r="B239" s="10">
        <v>45065.0</v>
      </c>
      <c r="C239" s="11" t="s">
        <v>52</v>
      </c>
      <c r="D239" s="11" t="s">
        <v>38</v>
      </c>
      <c r="E239" s="11" t="s">
        <v>39</v>
      </c>
      <c r="F239" s="11" t="s">
        <v>40</v>
      </c>
      <c r="G239" s="11" t="s">
        <v>53</v>
      </c>
      <c r="H239" s="11"/>
      <c r="I239" s="11"/>
      <c r="J239" s="11">
        <v>26.0</v>
      </c>
      <c r="K239" s="12">
        <v>45901.0</v>
      </c>
      <c r="L239" s="11">
        <f t="shared" si="24"/>
        <v>27</v>
      </c>
      <c r="M239" s="11">
        <v>677651.0</v>
      </c>
      <c r="N239" s="11">
        <v>23735.0</v>
      </c>
      <c r="O239" s="13"/>
      <c r="P239" s="11">
        <v>0.0</v>
      </c>
      <c r="Q239" s="14">
        <v>0.0</v>
      </c>
      <c r="R239" s="11">
        <v>1.0</v>
      </c>
      <c r="S239">
        <f t="shared" si="1"/>
        <v>2023</v>
      </c>
      <c r="T239">
        <f t="shared" si="2"/>
        <v>5</v>
      </c>
      <c r="U239">
        <f t="shared" si="3"/>
        <v>19</v>
      </c>
      <c r="Y239" s="17">
        <v>45443.0</v>
      </c>
      <c r="Z239" s="17">
        <v>45471.0</v>
      </c>
      <c r="AG239" s="15"/>
      <c r="AH239" s="16"/>
      <c r="AM239" s="15"/>
      <c r="AN239" s="16"/>
    </row>
    <row r="240">
      <c r="A240" s="9" t="s">
        <v>597</v>
      </c>
      <c r="B240" s="10">
        <v>45063.0</v>
      </c>
      <c r="C240" s="11" t="s">
        <v>143</v>
      </c>
      <c r="D240" s="11" t="s">
        <v>58</v>
      </c>
      <c r="E240" s="11" t="s">
        <v>39</v>
      </c>
      <c r="F240" s="11" t="s">
        <v>40</v>
      </c>
      <c r="G240" s="11" t="s">
        <v>45</v>
      </c>
      <c r="H240" s="11" t="s">
        <v>56</v>
      </c>
      <c r="I240" s="11" t="s">
        <v>208</v>
      </c>
      <c r="J240" s="11">
        <v>26.0</v>
      </c>
      <c r="K240" s="12">
        <v>45485.0</v>
      </c>
      <c r="L240" s="11">
        <f t="shared" si="24"/>
        <v>14</v>
      </c>
      <c r="M240" s="11">
        <v>663436.0</v>
      </c>
      <c r="N240" s="11">
        <v>21448.0</v>
      </c>
      <c r="O240" s="13"/>
      <c r="P240" s="11">
        <v>0.0</v>
      </c>
      <c r="Q240" s="14">
        <v>0.0</v>
      </c>
      <c r="R240" s="11">
        <v>1.0</v>
      </c>
      <c r="S240">
        <f t="shared" si="1"/>
        <v>2023</v>
      </c>
      <c r="T240">
        <f t="shared" si="2"/>
        <v>5</v>
      </c>
      <c r="U240">
        <f t="shared" si="3"/>
        <v>17</v>
      </c>
      <c r="Z240" s="17">
        <v>45457.0</v>
      </c>
      <c r="AG240" s="15"/>
      <c r="AH240" s="16"/>
      <c r="AM240" s="15"/>
      <c r="AN240" s="16"/>
    </row>
    <row r="241">
      <c r="A241" s="9" t="s">
        <v>598</v>
      </c>
      <c r="B241" s="10">
        <v>45063.0</v>
      </c>
      <c r="C241" s="11" t="s">
        <v>44</v>
      </c>
      <c r="D241" s="11" t="s">
        <v>213</v>
      </c>
      <c r="E241" s="11" t="s">
        <v>39</v>
      </c>
      <c r="F241" s="11" t="s">
        <v>64</v>
      </c>
      <c r="G241" s="11" t="s">
        <v>194</v>
      </c>
      <c r="H241" s="11"/>
      <c r="I241" s="11"/>
      <c r="J241" s="11">
        <v>18.0</v>
      </c>
      <c r="K241" s="12">
        <v>45753.0</v>
      </c>
      <c r="L241" s="11">
        <f t="shared" si="24"/>
        <v>23</v>
      </c>
      <c r="M241" s="11">
        <v>802410.0</v>
      </c>
      <c r="N241" s="11" t="s">
        <v>599</v>
      </c>
      <c r="O241" s="13"/>
      <c r="P241" s="11">
        <v>0.0</v>
      </c>
      <c r="Q241" s="14">
        <v>0.0</v>
      </c>
      <c r="R241" s="11">
        <v>1.0</v>
      </c>
      <c r="S241">
        <f t="shared" si="1"/>
        <v>2023</v>
      </c>
      <c r="T241">
        <f t="shared" si="2"/>
        <v>5</v>
      </c>
      <c r="U241">
        <f t="shared" si="3"/>
        <v>17</v>
      </c>
      <c r="Z241" s="17">
        <v>45753.0</v>
      </c>
      <c r="AG241" s="15"/>
      <c r="AH241" s="16"/>
      <c r="AM241" s="15"/>
      <c r="AN241" s="16"/>
    </row>
    <row r="242">
      <c r="A242" s="9" t="s">
        <v>600</v>
      </c>
      <c r="B242" s="10">
        <v>45063.0</v>
      </c>
      <c r="C242" s="11" t="s">
        <v>346</v>
      </c>
      <c r="D242" s="11" t="s">
        <v>38</v>
      </c>
      <c r="E242" s="11" t="s">
        <v>39</v>
      </c>
      <c r="F242" s="11" t="s">
        <v>64</v>
      </c>
      <c r="G242" s="11" t="s">
        <v>53</v>
      </c>
      <c r="H242" s="11"/>
      <c r="I242" s="11"/>
      <c r="J242" s="11">
        <v>27.0</v>
      </c>
      <c r="K242" s="12">
        <v>45497.0</v>
      </c>
      <c r="L242" s="11">
        <f t="shared" si="24"/>
        <v>14</v>
      </c>
      <c r="M242" s="11">
        <v>650671.0</v>
      </c>
      <c r="N242" s="11">
        <v>19200.0</v>
      </c>
      <c r="O242" s="13" t="s">
        <v>42</v>
      </c>
      <c r="P242" s="11">
        <v>0.0</v>
      </c>
      <c r="Q242" s="14">
        <v>0.0</v>
      </c>
      <c r="R242" s="11">
        <v>1.0</v>
      </c>
      <c r="S242">
        <f t="shared" si="1"/>
        <v>2023</v>
      </c>
      <c r="T242">
        <f t="shared" si="2"/>
        <v>5</v>
      </c>
      <c r="U242">
        <f t="shared" si="3"/>
        <v>17</v>
      </c>
      <c r="Z242" s="17">
        <v>45469.0</v>
      </c>
      <c r="AG242" s="15"/>
      <c r="AH242" s="16"/>
      <c r="AM242" s="15"/>
      <c r="AN242" s="16"/>
    </row>
    <row r="243">
      <c r="A243" s="9" t="s">
        <v>601</v>
      </c>
      <c r="B243" s="10">
        <v>45063.0</v>
      </c>
      <c r="C243" s="11" t="s">
        <v>346</v>
      </c>
      <c r="D243" s="11" t="s">
        <v>38</v>
      </c>
      <c r="E243" s="11" t="s">
        <v>39</v>
      </c>
      <c r="F243" s="11" t="s">
        <v>40</v>
      </c>
      <c r="G243" s="11" t="s">
        <v>45</v>
      </c>
      <c r="H243" s="11" t="s">
        <v>127</v>
      </c>
      <c r="I243" s="11" t="s">
        <v>127</v>
      </c>
      <c r="J243" s="11">
        <v>27.0</v>
      </c>
      <c r="K243" s="12">
        <v>45532.0</v>
      </c>
      <c r="L243" s="11">
        <f t="shared" si="24"/>
        <v>15</v>
      </c>
      <c r="M243" s="11">
        <v>681810.0</v>
      </c>
      <c r="N243" s="11">
        <v>24937.0</v>
      </c>
      <c r="O243" s="13" t="s">
        <v>42</v>
      </c>
      <c r="P243" s="11">
        <v>0.0</v>
      </c>
      <c r="Q243" s="14">
        <v>0.0</v>
      </c>
      <c r="R243" s="11">
        <v>1.0</v>
      </c>
      <c r="S243">
        <f t="shared" si="1"/>
        <v>2023</v>
      </c>
      <c r="T243">
        <f t="shared" si="2"/>
        <v>5</v>
      </c>
      <c r="U243">
        <f t="shared" si="3"/>
        <v>17</v>
      </c>
      <c r="Z243" s="17">
        <v>45448.0</v>
      </c>
      <c r="AG243" s="15"/>
      <c r="AH243" s="16"/>
      <c r="AM243" s="15"/>
      <c r="AN243" s="16"/>
    </row>
    <row r="244">
      <c r="A244" s="9" t="s">
        <v>602</v>
      </c>
      <c r="B244" s="10">
        <v>45058.0</v>
      </c>
      <c r="C244" s="11" t="s">
        <v>192</v>
      </c>
      <c r="D244" s="11" t="s">
        <v>38</v>
      </c>
      <c r="E244" s="11" t="s">
        <v>39</v>
      </c>
      <c r="F244" s="11" t="s">
        <v>40</v>
      </c>
      <c r="G244" s="11" t="s">
        <v>53</v>
      </c>
      <c r="H244" s="11"/>
      <c r="I244" s="11"/>
      <c r="J244" s="11">
        <v>28.0</v>
      </c>
      <c r="K244" s="12">
        <v>45487.0</v>
      </c>
      <c r="L244" s="11">
        <f t="shared" si="24"/>
        <v>14</v>
      </c>
      <c r="M244" s="11">
        <v>608566.0</v>
      </c>
      <c r="N244" s="11">
        <v>15038.0</v>
      </c>
      <c r="O244" s="13" t="s">
        <v>603</v>
      </c>
      <c r="P244" s="11">
        <v>0.0</v>
      </c>
      <c r="Q244" s="14">
        <v>0.0</v>
      </c>
      <c r="R244" s="11">
        <v>1.0</v>
      </c>
      <c r="S244">
        <f t="shared" si="1"/>
        <v>2023</v>
      </c>
      <c r="T244">
        <f t="shared" si="2"/>
        <v>5</v>
      </c>
      <c r="U244">
        <f t="shared" si="3"/>
        <v>12</v>
      </c>
      <c r="Z244" s="17">
        <v>45422.0</v>
      </c>
      <c r="AG244" s="15"/>
      <c r="AH244" s="16"/>
      <c r="AM244" s="15"/>
      <c r="AN244" s="16"/>
    </row>
    <row r="245">
      <c r="A245" s="9" t="s">
        <v>604</v>
      </c>
      <c r="B245" s="10">
        <v>45049.0</v>
      </c>
      <c r="C245" s="11" t="s">
        <v>108</v>
      </c>
      <c r="D245" s="11" t="s">
        <v>38</v>
      </c>
      <c r="E245" s="11" t="s">
        <v>39</v>
      </c>
      <c r="F245" s="11" t="s">
        <v>40</v>
      </c>
      <c r="G245" s="11" t="s">
        <v>45</v>
      </c>
      <c r="H245" s="11" t="s">
        <v>109</v>
      </c>
      <c r="I245" s="11" t="s">
        <v>605</v>
      </c>
      <c r="J245" s="11">
        <v>31.0</v>
      </c>
      <c r="K245" s="12">
        <v>45745.0</v>
      </c>
      <c r="L245" s="11">
        <f t="shared" si="24"/>
        <v>23</v>
      </c>
      <c r="M245" s="11">
        <v>642152.0</v>
      </c>
      <c r="N245" s="11">
        <v>15043.0</v>
      </c>
      <c r="O245" s="13" t="s">
        <v>69</v>
      </c>
      <c r="P245" s="11">
        <v>0.0</v>
      </c>
      <c r="Q245" s="14">
        <v>0.0</v>
      </c>
      <c r="R245" s="11">
        <v>1.0</v>
      </c>
      <c r="S245">
        <f t="shared" si="1"/>
        <v>2023</v>
      </c>
      <c r="T245">
        <f t="shared" si="2"/>
        <v>5</v>
      </c>
      <c r="U245">
        <f t="shared" si="3"/>
        <v>3</v>
      </c>
      <c r="Z245" s="17">
        <v>45518.0</v>
      </c>
      <c r="AG245" s="15"/>
      <c r="AH245" s="16"/>
      <c r="AM245" s="15"/>
      <c r="AN245" s="16"/>
    </row>
    <row r="246">
      <c r="A246" s="9" t="s">
        <v>606</v>
      </c>
      <c r="B246" s="10">
        <v>45049.0</v>
      </c>
      <c r="C246" s="11" t="s">
        <v>230</v>
      </c>
      <c r="D246" s="11" t="s">
        <v>38</v>
      </c>
      <c r="E246" s="11" t="s">
        <v>39</v>
      </c>
      <c r="F246" s="11" t="s">
        <v>64</v>
      </c>
      <c r="G246" s="11" t="s">
        <v>45</v>
      </c>
      <c r="H246" s="11" t="s">
        <v>262</v>
      </c>
      <c r="I246" s="11"/>
      <c r="J246" s="11">
        <v>31.0</v>
      </c>
      <c r="K246" s="12">
        <v>45497.0</v>
      </c>
      <c r="L246" s="11">
        <f t="shared" si="24"/>
        <v>15</v>
      </c>
      <c r="M246" s="11">
        <v>592662.0</v>
      </c>
      <c r="N246" s="11">
        <v>11486.0</v>
      </c>
      <c r="O246" s="13" t="s">
        <v>42</v>
      </c>
      <c r="P246" s="11">
        <v>0.0</v>
      </c>
      <c r="Q246" s="14">
        <v>0.0</v>
      </c>
      <c r="R246" s="11">
        <v>1.0</v>
      </c>
      <c r="S246">
        <f t="shared" si="1"/>
        <v>2023</v>
      </c>
      <c r="T246">
        <f t="shared" si="2"/>
        <v>5</v>
      </c>
      <c r="U246">
        <f t="shared" si="3"/>
        <v>3</v>
      </c>
      <c r="Z246" s="17">
        <v>45447.0</v>
      </c>
      <c r="AG246" s="15"/>
      <c r="AH246" s="16"/>
      <c r="AM246" s="15"/>
      <c r="AN246" s="16"/>
    </row>
    <row r="247">
      <c r="A247" s="13" t="s">
        <v>607</v>
      </c>
      <c r="B247" s="17">
        <v>45047.0</v>
      </c>
      <c r="C247" s="11" t="s">
        <v>101</v>
      </c>
      <c r="D247" s="11" t="s">
        <v>93</v>
      </c>
      <c r="E247" s="11" t="s">
        <v>39</v>
      </c>
      <c r="F247" s="11" t="s">
        <v>64</v>
      </c>
      <c r="G247" s="11" t="s">
        <v>45</v>
      </c>
      <c r="H247" s="11" t="s">
        <v>262</v>
      </c>
      <c r="I247" s="11" t="s">
        <v>243</v>
      </c>
      <c r="J247" s="11">
        <v>21.0</v>
      </c>
      <c r="K247" s="12">
        <v>45472.0</v>
      </c>
      <c r="L247" s="11">
        <f t="shared" si="24"/>
        <v>14</v>
      </c>
      <c r="M247" s="11">
        <v>694491.0</v>
      </c>
      <c r="N247" s="11" t="s">
        <v>608</v>
      </c>
      <c r="O247" s="13"/>
      <c r="P247" s="11">
        <v>0.0</v>
      </c>
      <c r="Q247" s="14">
        <v>0.0</v>
      </c>
      <c r="R247" s="11">
        <v>1.0</v>
      </c>
      <c r="S247">
        <f t="shared" si="1"/>
        <v>2023</v>
      </c>
      <c r="T247">
        <f t="shared" si="2"/>
        <v>5</v>
      </c>
      <c r="U247">
        <f t="shared" si="3"/>
        <v>1</v>
      </c>
      <c r="Z247" s="17">
        <v>45472.0</v>
      </c>
      <c r="AG247" s="15"/>
      <c r="AH247" s="16"/>
      <c r="AM247" s="15"/>
      <c r="AN247" s="16"/>
    </row>
    <row r="248">
      <c r="A248" s="9" t="s">
        <v>609</v>
      </c>
      <c r="B248" s="10">
        <v>45047.0</v>
      </c>
      <c r="C248" s="11" t="s">
        <v>49</v>
      </c>
      <c r="D248" s="11" t="s">
        <v>88</v>
      </c>
      <c r="E248" s="11" t="s">
        <v>39</v>
      </c>
      <c r="F248" s="11" t="s">
        <v>40</v>
      </c>
      <c r="G248" s="11" t="s">
        <v>53</v>
      </c>
      <c r="H248" s="11"/>
      <c r="I248" s="11"/>
      <c r="J248" s="11">
        <v>21.0</v>
      </c>
      <c r="K248" s="12">
        <v>45792.0</v>
      </c>
      <c r="L248" s="11">
        <f t="shared" si="24"/>
        <v>24</v>
      </c>
      <c r="M248" s="11">
        <v>703148.0</v>
      </c>
      <c r="N248" s="11" t="s">
        <v>610</v>
      </c>
      <c r="O248" s="13"/>
      <c r="P248" s="11">
        <v>0.0</v>
      </c>
      <c r="Q248" s="14">
        <v>0.0</v>
      </c>
      <c r="R248" s="11">
        <v>1.0</v>
      </c>
      <c r="S248">
        <f t="shared" si="1"/>
        <v>2023</v>
      </c>
      <c r="T248">
        <f t="shared" si="2"/>
        <v>5</v>
      </c>
      <c r="U248">
        <f t="shared" si="3"/>
        <v>1</v>
      </c>
      <c r="Z248" s="17">
        <v>45756.0</v>
      </c>
      <c r="AG248" s="15"/>
      <c r="AH248" s="16"/>
      <c r="AM248" s="15"/>
      <c r="AN248" s="16"/>
    </row>
    <row r="249">
      <c r="A249" s="9" t="s">
        <v>611</v>
      </c>
      <c r="B249" s="10">
        <v>45047.0</v>
      </c>
      <c r="C249" s="11" t="s">
        <v>230</v>
      </c>
      <c r="D249" s="11" t="s">
        <v>38</v>
      </c>
      <c r="E249" s="11" t="s">
        <v>39</v>
      </c>
      <c r="F249" s="11" t="s">
        <v>40</v>
      </c>
      <c r="G249" s="11" t="s">
        <v>45</v>
      </c>
      <c r="H249" s="11" t="s">
        <v>231</v>
      </c>
      <c r="I249" s="11"/>
      <c r="J249" s="11">
        <v>25.0</v>
      </c>
      <c r="K249" s="12">
        <v>45798.0</v>
      </c>
      <c r="L249" s="11">
        <f t="shared" si="24"/>
        <v>25</v>
      </c>
      <c r="M249" s="11">
        <v>668834.0</v>
      </c>
      <c r="N249" s="11">
        <v>22176.0</v>
      </c>
      <c r="O249" s="13" t="s">
        <v>42</v>
      </c>
      <c r="P249" s="11">
        <v>0.0</v>
      </c>
      <c r="Q249" s="14">
        <v>0.0</v>
      </c>
      <c r="R249" s="11">
        <v>1.0</v>
      </c>
      <c r="S249">
        <f t="shared" si="1"/>
        <v>2023</v>
      </c>
      <c r="T249">
        <f t="shared" si="2"/>
        <v>5</v>
      </c>
      <c r="U249">
        <f t="shared" si="3"/>
        <v>1</v>
      </c>
      <c r="Z249" s="17">
        <v>45465.0</v>
      </c>
      <c r="AG249" s="15"/>
      <c r="AH249" s="16"/>
      <c r="AM249" s="15"/>
      <c r="AN249" s="16"/>
    </row>
    <row r="250">
      <c r="A250" s="9" t="s">
        <v>612</v>
      </c>
      <c r="B250" s="10">
        <v>45047.0</v>
      </c>
      <c r="C250" s="11" t="s">
        <v>156</v>
      </c>
      <c r="D250" s="11" t="s">
        <v>38</v>
      </c>
      <c r="E250" s="11" t="s">
        <v>39</v>
      </c>
      <c r="F250" s="11" t="s">
        <v>64</v>
      </c>
      <c r="G250" s="11" t="s">
        <v>45</v>
      </c>
      <c r="H250" s="11" t="s">
        <v>127</v>
      </c>
      <c r="I250" s="11" t="s">
        <v>613</v>
      </c>
      <c r="J250" s="11">
        <v>30.0</v>
      </c>
      <c r="K250" s="12">
        <v>45503.0</v>
      </c>
      <c r="L250" s="11">
        <f t="shared" si="24"/>
        <v>15</v>
      </c>
      <c r="M250" s="11">
        <v>605488.0</v>
      </c>
      <c r="N250" s="11">
        <v>17677.0</v>
      </c>
      <c r="O250" s="13" t="s">
        <v>42</v>
      </c>
      <c r="P250" s="11">
        <v>0.0</v>
      </c>
      <c r="Q250" s="14">
        <v>0.0</v>
      </c>
      <c r="R250" s="11">
        <v>1.0</v>
      </c>
      <c r="S250">
        <f t="shared" si="1"/>
        <v>2023</v>
      </c>
      <c r="T250">
        <f t="shared" si="2"/>
        <v>5</v>
      </c>
      <c r="U250">
        <f t="shared" si="3"/>
        <v>1</v>
      </c>
      <c r="Z250" s="17">
        <v>45432.0</v>
      </c>
      <c r="AA250" s="17">
        <v>45437.0</v>
      </c>
      <c r="AB250" s="13" t="s">
        <v>614</v>
      </c>
      <c r="AG250" s="15"/>
      <c r="AH250" s="16"/>
      <c r="AM250" s="15"/>
      <c r="AN250" s="16"/>
    </row>
    <row r="251">
      <c r="A251" s="9" t="s">
        <v>615</v>
      </c>
      <c r="B251" s="10">
        <v>45044.0</v>
      </c>
      <c r="C251" s="11" t="s">
        <v>358</v>
      </c>
      <c r="D251" s="11" t="s">
        <v>38</v>
      </c>
      <c r="E251" s="11" t="s">
        <v>39</v>
      </c>
      <c r="F251" s="11" t="s">
        <v>64</v>
      </c>
      <c r="G251" s="11" t="s">
        <v>45</v>
      </c>
      <c r="H251" s="11" t="s">
        <v>67</v>
      </c>
      <c r="I251" s="11" t="s">
        <v>616</v>
      </c>
      <c r="J251" s="11">
        <v>25.0</v>
      </c>
      <c r="K251" s="12">
        <v>45480.0</v>
      </c>
      <c r="L251" s="11">
        <f t="shared" si="24"/>
        <v>14</v>
      </c>
      <c r="M251" s="11">
        <v>663460.0</v>
      </c>
      <c r="N251" s="11">
        <v>21455.0</v>
      </c>
      <c r="O251" s="13" t="s">
        <v>69</v>
      </c>
      <c r="P251" s="11">
        <v>0.0</v>
      </c>
      <c r="Q251" s="14">
        <v>0.0</v>
      </c>
      <c r="R251" s="11">
        <v>1.0</v>
      </c>
      <c r="S251">
        <f t="shared" si="1"/>
        <v>2023</v>
      </c>
      <c r="T251">
        <f t="shared" si="2"/>
        <v>4</v>
      </c>
      <c r="U251">
        <f t="shared" si="3"/>
        <v>28</v>
      </c>
      <c r="Z251" s="17">
        <v>45419.0</v>
      </c>
      <c r="AG251" s="15"/>
      <c r="AH251" s="16"/>
      <c r="AM251" s="15"/>
      <c r="AN251" s="16"/>
    </row>
    <row r="252">
      <c r="A252" s="9" t="s">
        <v>617</v>
      </c>
      <c r="B252" s="10">
        <v>45042.0</v>
      </c>
      <c r="C252" s="11" t="s">
        <v>362</v>
      </c>
      <c r="D252" s="11" t="s">
        <v>58</v>
      </c>
      <c r="E252" s="11" t="s">
        <v>39</v>
      </c>
      <c r="F252" s="11" t="s">
        <v>40</v>
      </c>
      <c r="G252" s="11" t="s">
        <v>45</v>
      </c>
      <c r="H252" s="11" t="s">
        <v>276</v>
      </c>
      <c r="I252" s="11"/>
      <c r="J252" s="11">
        <v>23.0</v>
      </c>
      <c r="K252" s="12">
        <v>45498.0</v>
      </c>
      <c r="L252" s="11">
        <f t="shared" si="24"/>
        <v>15</v>
      </c>
      <c r="M252" s="11">
        <v>681347.0</v>
      </c>
      <c r="N252" s="11">
        <v>24728.0</v>
      </c>
      <c r="O252" s="13"/>
      <c r="P252" s="11">
        <v>0.0</v>
      </c>
      <c r="Q252" s="14">
        <v>0.0</v>
      </c>
      <c r="R252" s="11">
        <v>1.0</v>
      </c>
      <c r="S252">
        <f t="shared" si="1"/>
        <v>2023</v>
      </c>
      <c r="T252">
        <f t="shared" si="2"/>
        <v>4</v>
      </c>
      <c r="U252">
        <f t="shared" si="3"/>
        <v>26</v>
      </c>
      <c r="Z252" s="17">
        <v>45460.0</v>
      </c>
      <c r="AG252" s="15"/>
      <c r="AH252" s="16"/>
      <c r="AM252" s="15"/>
      <c r="AN252" s="16"/>
    </row>
    <row r="253">
      <c r="A253" s="13" t="s">
        <v>618</v>
      </c>
      <c r="B253" s="17">
        <v>45042.0</v>
      </c>
      <c r="C253" s="11" t="s">
        <v>156</v>
      </c>
      <c r="D253" s="11" t="s">
        <v>93</v>
      </c>
      <c r="E253" s="11" t="s">
        <v>39</v>
      </c>
      <c r="F253" s="11" t="s">
        <v>40</v>
      </c>
      <c r="G253" s="11" t="s">
        <v>45</v>
      </c>
      <c r="H253" s="11" t="s">
        <v>240</v>
      </c>
      <c r="I253" s="11" t="s">
        <v>619</v>
      </c>
      <c r="J253" s="11">
        <v>21.0</v>
      </c>
      <c r="K253" s="12">
        <v>45465.0</v>
      </c>
      <c r="L253" s="11">
        <f t="shared" si="24"/>
        <v>14</v>
      </c>
      <c r="M253" s="11">
        <v>801435.0</v>
      </c>
      <c r="N253" s="11" t="s">
        <v>620</v>
      </c>
      <c r="O253" s="13"/>
      <c r="P253" s="11">
        <v>0.0</v>
      </c>
      <c r="Q253" s="14">
        <v>0.0</v>
      </c>
      <c r="R253" s="11">
        <v>1.0</v>
      </c>
      <c r="S253">
        <f t="shared" si="1"/>
        <v>2023</v>
      </c>
      <c r="T253">
        <f t="shared" si="2"/>
        <v>4</v>
      </c>
      <c r="U253">
        <f t="shared" si="3"/>
        <v>26</v>
      </c>
      <c r="Z253" s="17">
        <v>45465.0</v>
      </c>
      <c r="AG253" s="15"/>
      <c r="AH253" s="16"/>
      <c r="AM253" s="15"/>
      <c r="AN253" s="16"/>
    </row>
    <row r="254">
      <c r="A254" s="13" t="s">
        <v>621</v>
      </c>
      <c r="B254" s="17">
        <v>45029.0</v>
      </c>
      <c r="C254" s="11" t="s">
        <v>126</v>
      </c>
      <c r="D254" s="11" t="s">
        <v>93</v>
      </c>
      <c r="E254" s="11" t="s">
        <v>39</v>
      </c>
      <c r="F254" s="11" t="s">
        <v>64</v>
      </c>
      <c r="G254" s="11" t="s">
        <v>45</v>
      </c>
      <c r="H254" s="11" t="s">
        <v>163</v>
      </c>
      <c r="I254" s="11" t="s">
        <v>391</v>
      </c>
      <c r="J254" s="11">
        <v>21.0</v>
      </c>
      <c r="K254" s="12">
        <v>45436.0</v>
      </c>
      <c r="L254" s="11">
        <f t="shared" si="24"/>
        <v>13</v>
      </c>
      <c r="M254" s="11">
        <v>694573.0</v>
      </c>
      <c r="N254" s="11" t="s">
        <v>622</v>
      </c>
      <c r="O254" s="13"/>
      <c r="P254" s="11">
        <v>0.0</v>
      </c>
      <c r="Q254" s="14">
        <v>0.0</v>
      </c>
      <c r="R254" s="11">
        <v>1.0</v>
      </c>
      <c r="S254">
        <f t="shared" si="1"/>
        <v>2023</v>
      </c>
      <c r="T254">
        <f t="shared" si="2"/>
        <v>4</v>
      </c>
      <c r="U254">
        <f t="shared" si="3"/>
        <v>13</v>
      </c>
      <c r="Z254" s="17">
        <v>45436.0</v>
      </c>
      <c r="AG254" s="15"/>
      <c r="AH254" s="16"/>
      <c r="AM254" s="15"/>
      <c r="AN254" s="16"/>
    </row>
    <row r="255">
      <c r="A255" s="9" t="s">
        <v>623</v>
      </c>
      <c r="B255" s="10">
        <v>45028.0</v>
      </c>
      <c r="C255" s="11" t="s">
        <v>116</v>
      </c>
      <c r="D255" s="11" t="s">
        <v>58</v>
      </c>
      <c r="E255" s="11" t="s">
        <v>39</v>
      </c>
      <c r="F255" s="11" t="s">
        <v>40</v>
      </c>
      <c r="G255" s="11" t="s">
        <v>45</v>
      </c>
      <c r="H255" s="11" t="s">
        <v>59</v>
      </c>
      <c r="I255" s="11"/>
      <c r="J255" s="11">
        <v>25.0</v>
      </c>
      <c r="K255" s="12">
        <v>45493.0</v>
      </c>
      <c r="L255" s="11">
        <f t="shared" si="24"/>
        <v>15</v>
      </c>
      <c r="M255" s="11">
        <v>666120.0</v>
      </c>
      <c r="N255" s="11">
        <v>19951.0</v>
      </c>
      <c r="O255" s="13" t="s">
        <v>42</v>
      </c>
      <c r="P255" s="11">
        <v>0.0</v>
      </c>
      <c r="Q255" s="14">
        <v>0.0</v>
      </c>
      <c r="R255" s="11">
        <v>1.0</v>
      </c>
      <c r="S255">
        <f t="shared" si="1"/>
        <v>2023</v>
      </c>
      <c r="T255">
        <f t="shared" si="2"/>
        <v>4</v>
      </c>
      <c r="U255">
        <f t="shared" si="3"/>
        <v>12</v>
      </c>
      <c r="Y255" s="17">
        <v>45453.0</v>
      </c>
      <c r="Z255" s="17">
        <v>45461.0</v>
      </c>
      <c r="AG255" s="15"/>
      <c r="AH255" s="16"/>
      <c r="AM255" s="15"/>
      <c r="AN255" s="16"/>
    </row>
    <row r="256">
      <c r="A256" s="9" t="s">
        <v>624</v>
      </c>
      <c r="B256" s="10">
        <v>45028.0</v>
      </c>
      <c r="C256" s="11" t="s">
        <v>362</v>
      </c>
      <c r="D256" s="11" t="s">
        <v>38</v>
      </c>
      <c r="E256" s="11" t="s">
        <v>39</v>
      </c>
      <c r="F256" s="11" t="s">
        <v>40</v>
      </c>
      <c r="G256" s="11" t="s">
        <v>45</v>
      </c>
      <c r="H256" s="11" t="s">
        <v>236</v>
      </c>
      <c r="I256" s="11" t="s">
        <v>625</v>
      </c>
      <c r="J256" s="11">
        <v>29.0</v>
      </c>
      <c r="K256" s="12">
        <v>45829.0</v>
      </c>
      <c r="L256" s="11">
        <f t="shared" si="24"/>
        <v>26</v>
      </c>
      <c r="M256" s="11">
        <v>664141.0</v>
      </c>
      <c r="N256" s="11">
        <v>17578.0</v>
      </c>
      <c r="O256" s="13" t="s">
        <v>42</v>
      </c>
      <c r="P256" s="11">
        <v>0.0</v>
      </c>
      <c r="Q256" s="14">
        <v>0.0</v>
      </c>
      <c r="R256" s="11">
        <v>1.0</v>
      </c>
      <c r="S256">
        <f t="shared" si="1"/>
        <v>2023</v>
      </c>
      <c r="T256">
        <f t="shared" si="2"/>
        <v>4</v>
      </c>
      <c r="U256">
        <f t="shared" si="3"/>
        <v>12</v>
      </c>
      <c r="Z256" s="17">
        <v>45462.0</v>
      </c>
      <c r="AG256" s="15"/>
      <c r="AH256" s="16"/>
      <c r="AM256" s="15"/>
      <c r="AN256" s="16"/>
    </row>
    <row r="257">
      <c r="A257" s="9" t="s">
        <v>626</v>
      </c>
      <c r="B257" s="10">
        <v>45021.0</v>
      </c>
      <c r="C257" s="11" t="s">
        <v>44</v>
      </c>
      <c r="D257" s="11" t="s">
        <v>58</v>
      </c>
      <c r="E257" s="11" t="s">
        <v>39</v>
      </c>
      <c r="F257" s="11" t="s">
        <v>40</v>
      </c>
      <c r="G257" s="11" t="s">
        <v>45</v>
      </c>
      <c r="H257" s="11" t="s">
        <v>56</v>
      </c>
      <c r="I257" s="11" t="s">
        <v>136</v>
      </c>
      <c r="J257" s="11">
        <v>25.0</v>
      </c>
      <c r="K257" s="12">
        <v>45417.0</v>
      </c>
      <c r="L257" s="11">
        <f t="shared" si="24"/>
        <v>13</v>
      </c>
      <c r="M257" s="11">
        <v>679777.0</v>
      </c>
      <c r="N257" s="11" t="s">
        <v>627</v>
      </c>
      <c r="O257" s="13"/>
      <c r="P257" s="11">
        <v>0.0</v>
      </c>
      <c r="Q257" s="14">
        <v>0.0</v>
      </c>
      <c r="R257" s="11">
        <v>1.0</v>
      </c>
      <c r="S257">
        <f t="shared" si="1"/>
        <v>2023</v>
      </c>
      <c r="T257">
        <f t="shared" si="2"/>
        <v>4</v>
      </c>
      <c r="U257">
        <f t="shared" si="3"/>
        <v>5</v>
      </c>
      <c r="AG257" s="15"/>
      <c r="AH257" s="16"/>
      <c r="AM257" s="15"/>
      <c r="AN257" s="16"/>
    </row>
    <row r="258">
      <c r="A258" s="13" t="s">
        <v>628</v>
      </c>
      <c r="B258" s="10">
        <v>45017.0</v>
      </c>
      <c r="C258" s="11" t="s">
        <v>167</v>
      </c>
      <c r="D258" s="11" t="s">
        <v>58</v>
      </c>
      <c r="E258" s="11" t="s">
        <v>39</v>
      </c>
      <c r="F258" s="11" t="s">
        <v>40</v>
      </c>
      <c r="G258" s="11" t="s">
        <v>45</v>
      </c>
      <c r="H258" s="11" t="s">
        <v>56</v>
      </c>
      <c r="I258" s="11" t="s">
        <v>379</v>
      </c>
      <c r="J258" s="11">
        <v>26.0</v>
      </c>
      <c r="K258" s="12"/>
      <c r="L258" s="11"/>
      <c r="M258" s="11">
        <v>663510.0</v>
      </c>
      <c r="N258" s="11" t="s">
        <v>629</v>
      </c>
      <c r="O258" s="13"/>
      <c r="P258" s="11">
        <v>0.0</v>
      </c>
      <c r="Q258" s="14">
        <v>0.0</v>
      </c>
      <c r="R258" s="11">
        <v>1.0</v>
      </c>
      <c r="S258">
        <f t="shared" si="1"/>
        <v>2023</v>
      </c>
      <c r="T258">
        <f t="shared" si="2"/>
        <v>4</v>
      </c>
      <c r="U258">
        <f t="shared" si="3"/>
        <v>1</v>
      </c>
      <c r="Z258" s="17">
        <v>45471.0</v>
      </c>
      <c r="AG258" s="15"/>
      <c r="AH258" s="16"/>
      <c r="AM258" s="15"/>
      <c r="AN258" s="16"/>
    </row>
    <row r="259">
      <c r="A259" s="13" t="s">
        <v>630</v>
      </c>
      <c r="B259" s="10">
        <v>45017.0</v>
      </c>
      <c r="C259" s="11" t="s">
        <v>143</v>
      </c>
      <c r="D259" s="11" t="s">
        <v>58</v>
      </c>
      <c r="E259" s="11" t="s">
        <v>39</v>
      </c>
      <c r="F259" s="11" t="s">
        <v>40</v>
      </c>
      <c r="G259" s="11" t="s">
        <v>45</v>
      </c>
      <c r="H259" s="11" t="s">
        <v>243</v>
      </c>
      <c r="I259" s="11" t="s">
        <v>243</v>
      </c>
      <c r="J259" s="11">
        <v>28.0</v>
      </c>
      <c r="K259" s="12">
        <v>45471.0</v>
      </c>
      <c r="L259" s="11">
        <f t="shared" ref="L259:L260" si="25">ROUND(((K259-B259)/365)*12,0)</f>
        <v>15</v>
      </c>
      <c r="M259" s="11">
        <v>641582.0</v>
      </c>
      <c r="N259" s="11">
        <v>19647.0</v>
      </c>
      <c r="O259" s="13"/>
      <c r="P259" s="11">
        <v>0.0</v>
      </c>
      <c r="Q259" s="14">
        <v>0.0</v>
      </c>
      <c r="R259" s="11">
        <v>1.0</v>
      </c>
      <c r="S259">
        <f t="shared" si="1"/>
        <v>2023</v>
      </c>
      <c r="T259">
        <f t="shared" si="2"/>
        <v>4</v>
      </c>
      <c r="U259">
        <f t="shared" si="3"/>
        <v>1</v>
      </c>
      <c r="Z259" s="17">
        <v>45460.0</v>
      </c>
      <c r="AG259" s="15"/>
      <c r="AH259" s="16"/>
      <c r="AM259" s="15"/>
      <c r="AN259" s="16"/>
    </row>
    <row r="260">
      <c r="A260" s="13" t="s">
        <v>631</v>
      </c>
      <c r="B260" s="17">
        <v>45017.0</v>
      </c>
      <c r="C260" s="11" t="s">
        <v>192</v>
      </c>
      <c r="D260" s="11" t="s">
        <v>97</v>
      </c>
      <c r="E260" s="11" t="s">
        <v>39</v>
      </c>
      <c r="F260" s="11" t="s">
        <v>40</v>
      </c>
      <c r="G260" s="11" t="s">
        <v>45</v>
      </c>
      <c r="H260" s="11" t="s">
        <v>73</v>
      </c>
      <c r="I260" s="11" t="s">
        <v>412</v>
      </c>
      <c r="J260" s="11">
        <v>22.0</v>
      </c>
      <c r="K260" s="12">
        <v>45451.0</v>
      </c>
      <c r="L260" s="11">
        <f t="shared" si="25"/>
        <v>14</v>
      </c>
      <c r="M260" s="11">
        <v>685326.0</v>
      </c>
      <c r="N260" s="11">
        <v>30004.0</v>
      </c>
      <c r="O260" s="13"/>
      <c r="P260" s="11">
        <v>0.0</v>
      </c>
      <c r="Q260" s="14">
        <v>0.0</v>
      </c>
      <c r="R260" s="11">
        <v>1.0</v>
      </c>
      <c r="S260">
        <f t="shared" si="1"/>
        <v>2023</v>
      </c>
      <c r="T260">
        <f t="shared" si="2"/>
        <v>4</v>
      </c>
      <c r="U260">
        <f t="shared" si="3"/>
        <v>1</v>
      </c>
      <c r="Z260" s="17">
        <v>45426.0</v>
      </c>
      <c r="AG260" s="15"/>
      <c r="AH260" s="16"/>
      <c r="AM260" s="15"/>
      <c r="AN260" s="16"/>
    </row>
    <row r="261">
      <c r="A261" s="13" t="s">
        <v>632</v>
      </c>
      <c r="B261" s="17">
        <v>45017.0</v>
      </c>
      <c r="C261" s="11" t="s">
        <v>358</v>
      </c>
      <c r="D261" s="11" t="s">
        <v>93</v>
      </c>
      <c r="E261" s="11" t="s">
        <v>39</v>
      </c>
      <c r="F261" s="11" t="s">
        <v>40</v>
      </c>
      <c r="G261" s="11" t="s">
        <v>45</v>
      </c>
      <c r="H261" s="11" t="s">
        <v>163</v>
      </c>
      <c r="I261" s="11" t="s">
        <v>163</v>
      </c>
      <c r="J261" s="11">
        <v>19.0</v>
      </c>
      <c r="K261" s="12"/>
      <c r="L261" s="11"/>
      <c r="M261" s="11">
        <v>702614.0</v>
      </c>
      <c r="N261" s="11" t="s">
        <v>633</v>
      </c>
      <c r="O261" s="13"/>
      <c r="P261" s="11">
        <v>0.0</v>
      </c>
      <c r="Q261" s="14">
        <v>0.0</v>
      </c>
      <c r="R261" s="11">
        <v>1.0</v>
      </c>
      <c r="S261">
        <f t="shared" si="1"/>
        <v>2023</v>
      </c>
      <c r="T261">
        <f t="shared" si="2"/>
        <v>4</v>
      </c>
      <c r="U261">
        <f t="shared" si="3"/>
        <v>1</v>
      </c>
      <c r="Z261" s="17"/>
      <c r="AG261" s="15"/>
      <c r="AH261" s="16"/>
      <c r="AM261" s="15"/>
      <c r="AN261" s="16"/>
    </row>
    <row r="262">
      <c r="A262" s="13" t="s">
        <v>634</v>
      </c>
      <c r="B262" s="17">
        <v>45017.0</v>
      </c>
      <c r="C262" s="11" t="s">
        <v>346</v>
      </c>
      <c r="D262" s="11" t="s">
        <v>93</v>
      </c>
      <c r="E262" s="11" t="s">
        <v>39</v>
      </c>
      <c r="F262" s="11" t="s">
        <v>40</v>
      </c>
      <c r="G262" s="11" t="s">
        <v>45</v>
      </c>
      <c r="H262" s="11" t="s">
        <v>56</v>
      </c>
      <c r="I262" s="11" t="s">
        <v>619</v>
      </c>
      <c r="J262" s="11">
        <v>19.0</v>
      </c>
      <c r="K262" s="12"/>
      <c r="L262" s="11"/>
      <c r="M262" s="11">
        <v>702274.0</v>
      </c>
      <c r="N262" s="11" t="s">
        <v>635</v>
      </c>
      <c r="O262" s="13"/>
      <c r="P262" s="11">
        <v>0.0</v>
      </c>
      <c r="Q262" s="14">
        <v>0.0</v>
      </c>
      <c r="R262" s="11">
        <v>1.0</v>
      </c>
      <c r="S262">
        <f t="shared" si="1"/>
        <v>2023</v>
      </c>
      <c r="T262">
        <f t="shared" si="2"/>
        <v>4</v>
      </c>
      <c r="U262">
        <f t="shared" si="3"/>
        <v>1</v>
      </c>
      <c r="Z262" s="17"/>
      <c r="AG262" s="15"/>
      <c r="AH262" s="16"/>
      <c r="AM262" s="15"/>
      <c r="AN262" s="16"/>
    </row>
    <row r="263">
      <c r="A263" s="13" t="s">
        <v>636</v>
      </c>
      <c r="B263" s="17">
        <v>45017.0</v>
      </c>
      <c r="C263" s="11" t="s">
        <v>108</v>
      </c>
      <c r="D263" s="11" t="s">
        <v>93</v>
      </c>
      <c r="E263" s="11" t="s">
        <v>39</v>
      </c>
      <c r="F263" s="11" t="s">
        <v>64</v>
      </c>
      <c r="G263" s="11" t="s">
        <v>45</v>
      </c>
      <c r="H263" s="11" t="s">
        <v>243</v>
      </c>
      <c r="I263" s="11" t="s">
        <v>637</v>
      </c>
      <c r="J263" s="11">
        <v>20.0</v>
      </c>
      <c r="K263" s="12"/>
      <c r="L263" s="11"/>
      <c r="M263" s="11">
        <v>695560.0</v>
      </c>
      <c r="N263" s="11" t="s">
        <v>638</v>
      </c>
      <c r="O263" s="13"/>
      <c r="P263" s="11">
        <v>0.0</v>
      </c>
      <c r="Q263" s="14">
        <v>0.0</v>
      </c>
      <c r="R263" s="11">
        <v>1.0</v>
      </c>
      <c r="S263">
        <f t="shared" si="1"/>
        <v>2023</v>
      </c>
      <c r="T263">
        <f t="shared" si="2"/>
        <v>4</v>
      </c>
      <c r="U263">
        <f t="shared" si="3"/>
        <v>1</v>
      </c>
      <c r="Z263" s="17"/>
      <c r="AG263" s="15"/>
      <c r="AH263" s="16"/>
      <c r="AM263" s="15"/>
      <c r="AN263" s="16"/>
    </row>
    <row r="264">
      <c r="A264" s="13" t="s">
        <v>639</v>
      </c>
      <c r="B264" s="17">
        <v>45017.0</v>
      </c>
      <c r="C264" s="11" t="s">
        <v>62</v>
      </c>
      <c r="D264" s="11" t="s">
        <v>88</v>
      </c>
      <c r="E264" s="11" t="s">
        <v>118</v>
      </c>
      <c r="F264" s="11" t="s">
        <v>40</v>
      </c>
      <c r="G264" s="11" t="s">
        <v>45</v>
      </c>
      <c r="H264" s="11" t="s">
        <v>67</v>
      </c>
      <c r="I264" s="11" t="s">
        <v>640</v>
      </c>
      <c r="J264" s="11">
        <v>25.0</v>
      </c>
      <c r="K264" s="12">
        <v>45387.0</v>
      </c>
      <c r="L264" s="11">
        <f t="shared" ref="L264:L281" si="26">ROUND(((K264-B264)/365)*12,0)</f>
        <v>12</v>
      </c>
      <c r="M264" s="11">
        <v>666183.0</v>
      </c>
      <c r="N264" s="11" t="s">
        <v>641</v>
      </c>
      <c r="O264" s="13"/>
      <c r="P264" s="11">
        <v>0.0</v>
      </c>
      <c r="Q264" s="14">
        <v>0.0</v>
      </c>
      <c r="R264" s="11">
        <v>1.0</v>
      </c>
      <c r="S264">
        <f t="shared" si="1"/>
        <v>2023</v>
      </c>
      <c r="T264">
        <f t="shared" si="2"/>
        <v>4</v>
      </c>
      <c r="U264">
        <f t="shared" si="3"/>
        <v>1</v>
      </c>
      <c r="Z264" s="17">
        <v>45387.0</v>
      </c>
      <c r="AG264" s="15"/>
      <c r="AH264" s="16"/>
      <c r="AM264" s="15"/>
      <c r="AN264" s="16"/>
    </row>
    <row r="265">
      <c r="A265" s="13" t="s">
        <v>642</v>
      </c>
      <c r="B265" s="17">
        <v>45017.0</v>
      </c>
      <c r="C265" s="11" t="s">
        <v>83</v>
      </c>
      <c r="D265" s="11" t="s">
        <v>93</v>
      </c>
      <c r="E265" s="11" t="s">
        <v>39</v>
      </c>
      <c r="F265" s="11" t="s">
        <v>40</v>
      </c>
      <c r="G265" s="11" t="s">
        <v>45</v>
      </c>
      <c r="H265" s="11" t="s">
        <v>46</v>
      </c>
      <c r="I265" s="11" t="s">
        <v>47</v>
      </c>
      <c r="J265" s="11">
        <v>21.0</v>
      </c>
      <c r="K265" s="12">
        <v>45751.0</v>
      </c>
      <c r="L265" s="11">
        <f t="shared" si="26"/>
        <v>24</v>
      </c>
      <c r="M265" s="11">
        <v>802371.0</v>
      </c>
      <c r="N265" s="11" t="s">
        <v>643</v>
      </c>
      <c r="O265" s="13"/>
      <c r="P265" s="11">
        <v>0.0</v>
      </c>
      <c r="Q265" s="14">
        <v>0.0</v>
      </c>
      <c r="R265" s="11">
        <v>1.0</v>
      </c>
      <c r="S265">
        <f t="shared" si="1"/>
        <v>2023</v>
      </c>
      <c r="T265">
        <f t="shared" si="2"/>
        <v>4</v>
      </c>
      <c r="U265">
        <f t="shared" si="3"/>
        <v>1</v>
      </c>
      <c r="Z265" s="17">
        <v>45751.0</v>
      </c>
      <c r="AG265" s="15"/>
      <c r="AH265" s="16"/>
      <c r="AM265" s="15"/>
      <c r="AN265" s="16"/>
    </row>
    <row r="266">
      <c r="A266" s="13" t="s">
        <v>644</v>
      </c>
      <c r="B266" s="17">
        <v>45017.0</v>
      </c>
      <c r="C266" s="11" t="s">
        <v>83</v>
      </c>
      <c r="D266" s="11" t="s">
        <v>93</v>
      </c>
      <c r="E266" s="11" t="s">
        <v>39</v>
      </c>
      <c r="F266" s="11" t="s">
        <v>40</v>
      </c>
      <c r="G266" s="11" t="s">
        <v>45</v>
      </c>
      <c r="H266" s="11" t="s">
        <v>139</v>
      </c>
      <c r="I266" s="11" t="s">
        <v>645</v>
      </c>
      <c r="J266" s="11">
        <v>20.0</v>
      </c>
      <c r="K266" s="12">
        <v>45752.0</v>
      </c>
      <c r="L266" s="11">
        <f t="shared" si="26"/>
        <v>24</v>
      </c>
      <c r="M266" s="11">
        <v>701469.0</v>
      </c>
      <c r="N266" s="11" t="s">
        <v>646</v>
      </c>
      <c r="O266" s="13"/>
      <c r="P266" s="11">
        <v>0.0</v>
      </c>
      <c r="Q266" s="14">
        <v>0.0</v>
      </c>
      <c r="R266" s="11">
        <v>1.0</v>
      </c>
      <c r="S266">
        <f t="shared" si="1"/>
        <v>2023</v>
      </c>
      <c r="T266">
        <f t="shared" si="2"/>
        <v>4</v>
      </c>
      <c r="U266">
        <f t="shared" si="3"/>
        <v>1</v>
      </c>
      <c r="Z266" s="17">
        <v>45752.0</v>
      </c>
      <c r="AG266" s="15"/>
      <c r="AH266" s="16"/>
      <c r="AM266" s="15"/>
      <c r="AN266" s="16"/>
    </row>
    <row r="267">
      <c r="A267" s="13" t="s">
        <v>647</v>
      </c>
      <c r="B267" s="10">
        <v>45017.0</v>
      </c>
      <c r="C267" s="11" t="s">
        <v>186</v>
      </c>
      <c r="D267" s="11" t="s">
        <v>77</v>
      </c>
      <c r="E267" s="11" t="s">
        <v>39</v>
      </c>
      <c r="F267" s="11" t="s">
        <v>40</v>
      </c>
      <c r="G267" s="11" t="s">
        <v>45</v>
      </c>
      <c r="H267" s="11" t="s">
        <v>231</v>
      </c>
      <c r="I267" s="11" t="s">
        <v>231</v>
      </c>
      <c r="J267" s="11">
        <v>25.0</v>
      </c>
      <c r="K267" s="12">
        <v>45890.0</v>
      </c>
      <c r="L267" s="11">
        <f t="shared" si="26"/>
        <v>29</v>
      </c>
      <c r="M267" s="11">
        <v>679693.0</v>
      </c>
      <c r="N267" s="11" t="s">
        <v>648</v>
      </c>
      <c r="O267" s="13"/>
      <c r="P267" s="11">
        <v>0.0</v>
      </c>
      <c r="Q267" s="14">
        <v>0.0</v>
      </c>
      <c r="R267" s="11">
        <v>1.0</v>
      </c>
      <c r="S267">
        <f t="shared" si="1"/>
        <v>2023</v>
      </c>
      <c r="T267">
        <f t="shared" si="2"/>
        <v>4</v>
      </c>
      <c r="U267">
        <f t="shared" si="3"/>
        <v>1</v>
      </c>
      <c r="Z267" s="17">
        <v>45797.0</v>
      </c>
      <c r="AG267" s="15"/>
      <c r="AH267" s="16"/>
      <c r="AM267" s="15"/>
      <c r="AN267" s="16"/>
    </row>
    <row r="268">
      <c r="A268" s="13" t="s">
        <v>649</v>
      </c>
      <c r="B268" s="10">
        <v>45017.0</v>
      </c>
      <c r="C268" s="11" t="s">
        <v>76</v>
      </c>
      <c r="D268" s="11" t="s">
        <v>58</v>
      </c>
      <c r="E268" s="11" t="s">
        <v>39</v>
      </c>
      <c r="F268" s="11" t="s">
        <v>40</v>
      </c>
      <c r="G268" s="11" t="s">
        <v>45</v>
      </c>
      <c r="H268" s="11" t="s">
        <v>127</v>
      </c>
      <c r="I268" s="11" t="s">
        <v>47</v>
      </c>
      <c r="J268" s="11">
        <v>23.0</v>
      </c>
      <c r="K268" s="12">
        <v>45517.0</v>
      </c>
      <c r="L268" s="11">
        <f t="shared" si="26"/>
        <v>16</v>
      </c>
      <c r="M268" s="11">
        <v>694350.0</v>
      </c>
      <c r="N268" s="11">
        <v>27783.0</v>
      </c>
      <c r="O268" s="13"/>
      <c r="P268" s="11">
        <v>0.0</v>
      </c>
      <c r="Q268" s="14">
        <v>0.0</v>
      </c>
      <c r="R268" s="11">
        <v>1.0</v>
      </c>
      <c r="S268">
        <f t="shared" si="1"/>
        <v>2023</v>
      </c>
      <c r="T268">
        <f t="shared" si="2"/>
        <v>4</v>
      </c>
      <c r="U268">
        <f t="shared" si="3"/>
        <v>1</v>
      </c>
      <c r="Z268" s="17">
        <v>45434.0</v>
      </c>
      <c r="AG268" s="15"/>
      <c r="AH268" s="16"/>
      <c r="AM268" s="15"/>
      <c r="AN268" s="16"/>
    </row>
    <row r="269">
      <c r="A269" s="13" t="s">
        <v>260</v>
      </c>
      <c r="B269" s="10">
        <v>45014.0</v>
      </c>
      <c r="C269" s="11" t="s">
        <v>49</v>
      </c>
      <c r="D269" s="11" t="s">
        <v>58</v>
      </c>
      <c r="E269" s="11" t="s">
        <v>39</v>
      </c>
      <c r="F269" s="11" t="s">
        <v>40</v>
      </c>
      <c r="G269" s="11" t="s">
        <v>45</v>
      </c>
      <c r="H269" s="11" t="s">
        <v>119</v>
      </c>
      <c r="I269" s="11" t="s">
        <v>74</v>
      </c>
      <c r="J269" s="11">
        <v>27.0</v>
      </c>
      <c r="K269" s="12">
        <v>45476.0</v>
      </c>
      <c r="L269" s="11">
        <f t="shared" si="26"/>
        <v>15</v>
      </c>
      <c r="M269" s="11">
        <v>656755.0</v>
      </c>
      <c r="N269" s="11">
        <v>21319.0</v>
      </c>
      <c r="O269" s="13"/>
      <c r="P269" s="11">
        <v>0.0</v>
      </c>
      <c r="Q269" s="14">
        <v>0.0</v>
      </c>
      <c r="R269" s="11">
        <v>1.0</v>
      </c>
      <c r="S269">
        <f t="shared" si="1"/>
        <v>2023</v>
      </c>
      <c r="T269">
        <f t="shared" si="2"/>
        <v>3</v>
      </c>
      <c r="U269">
        <f t="shared" si="3"/>
        <v>29</v>
      </c>
      <c r="Z269" s="17">
        <v>45454.0</v>
      </c>
      <c r="AG269" s="15"/>
      <c r="AH269" s="16"/>
      <c r="AM269" s="15"/>
      <c r="AN269" s="16"/>
    </row>
    <row r="270">
      <c r="A270" s="13" t="s">
        <v>650</v>
      </c>
      <c r="B270" s="10">
        <v>45007.0</v>
      </c>
      <c r="C270" s="11" t="s">
        <v>76</v>
      </c>
      <c r="D270" s="11" t="s">
        <v>38</v>
      </c>
      <c r="E270" s="11" t="s">
        <v>39</v>
      </c>
      <c r="F270" s="11" t="s">
        <v>40</v>
      </c>
      <c r="G270" s="11" t="s">
        <v>45</v>
      </c>
      <c r="H270" s="11" t="s">
        <v>112</v>
      </c>
      <c r="I270" s="11" t="s">
        <v>112</v>
      </c>
      <c r="J270" s="11">
        <v>24.0</v>
      </c>
      <c r="K270" s="12">
        <v>45875.0</v>
      </c>
      <c r="L270" s="11">
        <f t="shared" si="26"/>
        <v>29</v>
      </c>
      <c r="M270" s="11">
        <v>676917.0</v>
      </c>
      <c r="N270" s="11">
        <v>27473.0</v>
      </c>
      <c r="O270" s="13" t="s">
        <v>42</v>
      </c>
      <c r="P270" s="11">
        <v>0.0</v>
      </c>
      <c r="Q270" s="14">
        <v>0.0</v>
      </c>
      <c r="R270" s="11">
        <v>1.0</v>
      </c>
      <c r="S270">
        <f t="shared" si="1"/>
        <v>2023</v>
      </c>
      <c r="T270">
        <f t="shared" si="2"/>
        <v>3</v>
      </c>
      <c r="U270">
        <f t="shared" si="3"/>
        <v>22</v>
      </c>
      <c r="V270" s="17">
        <v>45188.0</v>
      </c>
      <c r="Z270" s="17">
        <v>45432.0</v>
      </c>
      <c r="AG270" s="15"/>
      <c r="AH270" s="16"/>
      <c r="AM270" s="15"/>
      <c r="AN270" s="16"/>
    </row>
    <row r="271">
      <c r="A271" s="13" t="s">
        <v>651</v>
      </c>
      <c r="B271" s="10">
        <v>44999.0</v>
      </c>
      <c r="C271" s="11" t="s">
        <v>192</v>
      </c>
      <c r="D271" s="11" t="s">
        <v>38</v>
      </c>
      <c r="E271" s="11" t="s">
        <v>39</v>
      </c>
      <c r="F271" s="11" t="s">
        <v>64</v>
      </c>
      <c r="G271" s="11" t="s">
        <v>45</v>
      </c>
      <c r="H271" s="11" t="s">
        <v>652</v>
      </c>
      <c r="I271" s="11" t="s">
        <v>258</v>
      </c>
      <c r="J271" s="11">
        <v>27.0</v>
      </c>
      <c r="K271" s="12">
        <v>45520.0</v>
      </c>
      <c r="L271" s="11">
        <f t="shared" si="26"/>
        <v>17</v>
      </c>
      <c r="M271" s="11">
        <v>656458.0</v>
      </c>
      <c r="N271" s="11">
        <v>21290.0</v>
      </c>
      <c r="O271" s="13"/>
      <c r="P271" s="11">
        <v>0.0</v>
      </c>
      <c r="Q271" s="14">
        <v>0.0</v>
      </c>
      <c r="R271" s="11">
        <v>1.0</v>
      </c>
      <c r="S271">
        <f t="shared" si="1"/>
        <v>2023</v>
      </c>
      <c r="T271">
        <f t="shared" si="2"/>
        <v>3</v>
      </c>
      <c r="U271">
        <f t="shared" si="3"/>
        <v>14</v>
      </c>
      <c r="Z271" s="17">
        <v>45405.0</v>
      </c>
      <c r="AG271" s="15"/>
      <c r="AH271" s="16"/>
      <c r="AM271" s="15"/>
      <c r="AN271" s="16"/>
    </row>
    <row r="272">
      <c r="A272" s="13" t="s">
        <v>653</v>
      </c>
      <c r="B272" s="10">
        <v>44995.0</v>
      </c>
      <c r="C272" s="11" t="s">
        <v>116</v>
      </c>
      <c r="D272" s="11" t="s">
        <v>97</v>
      </c>
      <c r="E272" s="11" t="s">
        <v>39</v>
      </c>
      <c r="F272" s="11" t="s">
        <v>40</v>
      </c>
      <c r="G272" s="11" t="s">
        <v>45</v>
      </c>
      <c r="H272" s="11" t="s">
        <v>243</v>
      </c>
      <c r="I272" s="11" t="s">
        <v>654</v>
      </c>
      <c r="J272" s="11">
        <v>22.0</v>
      </c>
      <c r="K272" s="12">
        <v>45452.0</v>
      </c>
      <c r="L272" s="11">
        <f t="shared" si="26"/>
        <v>15</v>
      </c>
      <c r="M272" s="11">
        <v>686628.0</v>
      </c>
      <c r="N272" s="11" t="s">
        <v>655</v>
      </c>
      <c r="O272" s="13" t="s">
        <v>42</v>
      </c>
      <c r="P272" s="11">
        <v>0.0</v>
      </c>
      <c r="Q272" s="14">
        <v>0.0</v>
      </c>
      <c r="R272" s="11">
        <v>1.0</v>
      </c>
      <c r="S272">
        <f t="shared" si="1"/>
        <v>2023</v>
      </c>
      <c r="T272">
        <f t="shared" si="2"/>
        <v>3</v>
      </c>
      <c r="U272">
        <f t="shared" si="3"/>
        <v>10</v>
      </c>
      <c r="Z272" s="17">
        <v>45440.0</v>
      </c>
      <c r="AG272" s="15"/>
      <c r="AH272" s="16"/>
      <c r="AM272" s="15"/>
      <c r="AN272" s="16"/>
    </row>
    <row r="273">
      <c r="A273" s="13" t="s">
        <v>656</v>
      </c>
      <c r="B273" s="10">
        <v>44993.0</v>
      </c>
      <c r="C273" s="11" t="s">
        <v>111</v>
      </c>
      <c r="D273" s="11" t="s">
        <v>58</v>
      </c>
      <c r="E273" s="11" t="s">
        <v>39</v>
      </c>
      <c r="F273" s="11" t="s">
        <v>40</v>
      </c>
      <c r="G273" s="11" t="s">
        <v>45</v>
      </c>
      <c r="H273" s="11" t="s">
        <v>73</v>
      </c>
      <c r="I273" s="11" t="s">
        <v>73</v>
      </c>
      <c r="J273" s="11">
        <v>28.0</v>
      </c>
      <c r="K273" s="12">
        <v>45429.0</v>
      </c>
      <c r="L273" s="11">
        <f t="shared" si="26"/>
        <v>14</v>
      </c>
      <c r="M273" s="11">
        <v>642060.0</v>
      </c>
      <c r="N273" s="11">
        <v>19357.0</v>
      </c>
      <c r="O273" s="13" t="s">
        <v>42</v>
      </c>
      <c r="P273" s="11">
        <v>0.0</v>
      </c>
      <c r="Q273" s="14">
        <v>0.0</v>
      </c>
      <c r="R273" s="11">
        <v>1.0</v>
      </c>
      <c r="S273">
        <f t="shared" si="1"/>
        <v>2023</v>
      </c>
      <c r="T273">
        <f t="shared" si="2"/>
        <v>3</v>
      </c>
      <c r="U273">
        <f t="shared" si="3"/>
        <v>8</v>
      </c>
      <c r="Z273" s="17">
        <v>45429.0</v>
      </c>
      <c r="AG273" s="15"/>
      <c r="AH273" s="16"/>
      <c r="AM273" s="15"/>
      <c r="AN273" s="16"/>
    </row>
    <row r="274">
      <c r="A274" s="13" t="s">
        <v>657</v>
      </c>
      <c r="B274" s="10">
        <v>44986.0</v>
      </c>
      <c r="C274" s="11" t="s">
        <v>167</v>
      </c>
      <c r="D274" s="11" t="s">
        <v>213</v>
      </c>
      <c r="E274" s="11" t="s">
        <v>39</v>
      </c>
      <c r="F274" s="11" t="s">
        <v>40</v>
      </c>
      <c r="G274" s="11" t="s">
        <v>45</v>
      </c>
      <c r="H274" s="11" t="s">
        <v>139</v>
      </c>
      <c r="I274" s="11"/>
      <c r="J274" s="11">
        <v>18.0</v>
      </c>
      <c r="K274" s="12">
        <v>45416.0</v>
      </c>
      <c r="L274" s="11">
        <f t="shared" si="26"/>
        <v>14</v>
      </c>
      <c r="M274" s="11">
        <v>702271.0</v>
      </c>
      <c r="N274" s="11" t="s">
        <v>658</v>
      </c>
      <c r="O274" s="13"/>
      <c r="P274" s="11">
        <v>0.0</v>
      </c>
      <c r="Q274" s="14">
        <v>0.0</v>
      </c>
      <c r="R274" s="11">
        <v>1.0</v>
      </c>
      <c r="S274">
        <f t="shared" si="1"/>
        <v>2023</v>
      </c>
      <c r="T274">
        <f t="shared" si="2"/>
        <v>3</v>
      </c>
      <c r="U274">
        <f t="shared" si="3"/>
        <v>1</v>
      </c>
      <c r="Z274" s="17">
        <v>45416.0</v>
      </c>
      <c r="AG274" s="15"/>
      <c r="AH274" s="16"/>
      <c r="AM274" s="15"/>
      <c r="AN274" s="16"/>
    </row>
    <row r="275">
      <c r="A275" s="13" t="s">
        <v>659</v>
      </c>
      <c r="B275" s="10">
        <v>44986.0</v>
      </c>
      <c r="C275" s="11" t="s">
        <v>111</v>
      </c>
      <c r="D275" s="11" t="s">
        <v>77</v>
      </c>
      <c r="E275" s="11" t="s">
        <v>660</v>
      </c>
      <c r="F275" s="11" t="s">
        <v>40</v>
      </c>
      <c r="G275" s="11" t="s">
        <v>45</v>
      </c>
      <c r="H275" s="11" t="s">
        <v>163</v>
      </c>
      <c r="I275" s="11" t="s">
        <v>391</v>
      </c>
      <c r="J275" s="11">
        <v>28.0</v>
      </c>
      <c r="K275" s="12">
        <v>45406.0</v>
      </c>
      <c r="L275" s="11">
        <f t="shared" si="26"/>
        <v>14</v>
      </c>
      <c r="M275" s="11">
        <v>676811.0</v>
      </c>
      <c r="N275" s="11" t="s">
        <v>661</v>
      </c>
      <c r="O275" s="13" t="s">
        <v>662</v>
      </c>
      <c r="P275" s="11">
        <v>0.0</v>
      </c>
      <c r="Q275" s="14">
        <v>0.0</v>
      </c>
      <c r="R275" s="11">
        <v>1.0</v>
      </c>
      <c r="S275">
        <f t="shared" si="1"/>
        <v>2023</v>
      </c>
      <c r="T275">
        <f t="shared" si="2"/>
        <v>3</v>
      </c>
      <c r="U275">
        <f t="shared" si="3"/>
        <v>1</v>
      </c>
      <c r="Z275" s="17">
        <v>45406.0</v>
      </c>
      <c r="AG275" s="15"/>
      <c r="AH275" s="16"/>
      <c r="AM275" s="15"/>
      <c r="AN275" s="16"/>
    </row>
    <row r="276">
      <c r="A276" s="13" t="s">
        <v>663</v>
      </c>
      <c r="B276" s="17">
        <v>44986.0</v>
      </c>
      <c r="C276" s="11" t="s">
        <v>55</v>
      </c>
      <c r="D276" s="11" t="s">
        <v>93</v>
      </c>
      <c r="E276" s="11" t="s">
        <v>39</v>
      </c>
      <c r="F276" s="11" t="s">
        <v>40</v>
      </c>
      <c r="G276" s="11" t="s">
        <v>45</v>
      </c>
      <c r="H276" s="11" t="s">
        <v>84</v>
      </c>
      <c r="I276" s="11" t="s">
        <v>218</v>
      </c>
      <c r="J276" s="11">
        <v>20.0</v>
      </c>
      <c r="K276" s="12">
        <v>45470.0</v>
      </c>
      <c r="L276" s="11">
        <f t="shared" si="26"/>
        <v>16</v>
      </c>
      <c r="M276" s="11">
        <v>814710.0</v>
      </c>
      <c r="N276" s="11" t="s">
        <v>664</v>
      </c>
      <c r="O276" s="13"/>
      <c r="P276" s="11">
        <v>0.0</v>
      </c>
      <c r="Q276" s="14">
        <v>0.0</v>
      </c>
      <c r="R276" s="11">
        <v>1.0</v>
      </c>
      <c r="S276">
        <f t="shared" si="1"/>
        <v>2023</v>
      </c>
      <c r="T276">
        <f t="shared" si="2"/>
        <v>3</v>
      </c>
      <c r="U276">
        <f t="shared" si="3"/>
        <v>1</v>
      </c>
      <c r="Z276" s="17">
        <v>45470.0</v>
      </c>
      <c r="AG276" s="15"/>
      <c r="AH276" s="16"/>
      <c r="AM276" s="15"/>
      <c r="AN276" s="16"/>
    </row>
    <row r="277">
      <c r="A277" s="13" t="s">
        <v>665</v>
      </c>
      <c r="B277" s="10">
        <v>44986.0</v>
      </c>
      <c r="C277" s="11" t="s">
        <v>76</v>
      </c>
      <c r="D277" s="11" t="s">
        <v>88</v>
      </c>
      <c r="E277" s="11" t="s">
        <v>39</v>
      </c>
      <c r="F277" s="11" t="s">
        <v>40</v>
      </c>
      <c r="G277" s="11" t="s">
        <v>45</v>
      </c>
      <c r="H277" s="11" t="s">
        <v>163</v>
      </c>
      <c r="I277" s="11" t="s">
        <v>666</v>
      </c>
      <c r="J277" s="11">
        <v>25.0</v>
      </c>
      <c r="K277" s="12">
        <v>45472.0</v>
      </c>
      <c r="L277" s="11">
        <f t="shared" si="26"/>
        <v>16</v>
      </c>
      <c r="M277" s="11">
        <v>670234.0</v>
      </c>
      <c r="N277" s="11" t="s">
        <v>667</v>
      </c>
      <c r="O277" s="13"/>
      <c r="P277" s="11">
        <v>0.0</v>
      </c>
      <c r="Q277" s="14">
        <v>0.0</v>
      </c>
      <c r="R277" s="11">
        <v>1.0</v>
      </c>
      <c r="S277">
        <f t="shared" si="1"/>
        <v>2023</v>
      </c>
      <c r="T277">
        <f t="shared" si="2"/>
        <v>3</v>
      </c>
      <c r="U277">
        <f t="shared" si="3"/>
        <v>1</v>
      </c>
      <c r="Z277" s="17">
        <v>45432.0</v>
      </c>
      <c r="AG277" s="15"/>
      <c r="AH277" s="16"/>
      <c r="AM277" s="15"/>
      <c r="AN277" s="16"/>
    </row>
    <row r="278">
      <c r="A278" s="19" t="s">
        <v>668</v>
      </c>
      <c r="B278" s="29">
        <v>44979.0</v>
      </c>
      <c r="C278" s="11" t="s">
        <v>167</v>
      </c>
      <c r="D278" s="11" t="s">
        <v>93</v>
      </c>
      <c r="E278" s="11" t="s">
        <v>39</v>
      </c>
      <c r="F278" s="11" t="s">
        <v>40</v>
      </c>
      <c r="G278" s="11" t="s">
        <v>45</v>
      </c>
      <c r="H278" s="11" t="s">
        <v>112</v>
      </c>
      <c r="I278" s="11" t="s">
        <v>669</v>
      </c>
      <c r="J278" s="11">
        <v>21.0</v>
      </c>
      <c r="K278" s="12">
        <v>45422.0</v>
      </c>
      <c r="L278" s="11">
        <f t="shared" si="26"/>
        <v>15</v>
      </c>
      <c r="M278" s="11">
        <v>694393.0</v>
      </c>
      <c r="N278" s="11" t="s">
        <v>670</v>
      </c>
      <c r="O278" s="13"/>
      <c r="P278" s="11">
        <v>0.0</v>
      </c>
      <c r="Q278" s="14">
        <v>0.0</v>
      </c>
      <c r="R278" s="11">
        <v>1.0</v>
      </c>
      <c r="S278">
        <f t="shared" si="1"/>
        <v>2023</v>
      </c>
      <c r="T278">
        <f t="shared" si="2"/>
        <v>2</v>
      </c>
      <c r="U278">
        <f t="shared" si="3"/>
        <v>22</v>
      </c>
      <c r="Z278" s="17">
        <v>45422.0</v>
      </c>
      <c r="AG278" s="15"/>
      <c r="AH278" s="16"/>
      <c r="AM278" s="15"/>
      <c r="AN278" s="16"/>
    </row>
    <row r="279">
      <c r="A279" s="13" t="s">
        <v>671</v>
      </c>
      <c r="B279" s="17">
        <v>44972.0</v>
      </c>
      <c r="C279" s="11" t="s">
        <v>186</v>
      </c>
      <c r="D279" s="11" t="s">
        <v>77</v>
      </c>
      <c r="E279" s="11" t="s">
        <v>39</v>
      </c>
      <c r="F279" s="11" t="s">
        <v>64</v>
      </c>
      <c r="G279" s="11" t="s">
        <v>45</v>
      </c>
      <c r="H279" s="11" t="s">
        <v>317</v>
      </c>
      <c r="I279" s="11" t="s">
        <v>317</v>
      </c>
      <c r="J279" s="11">
        <v>26.0</v>
      </c>
      <c r="K279" s="12">
        <v>45547.0</v>
      </c>
      <c r="L279" s="11">
        <f t="shared" si="26"/>
        <v>19</v>
      </c>
      <c r="M279" s="11">
        <v>686830.0</v>
      </c>
      <c r="N279" s="11" t="s">
        <v>672</v>
      </c>
      <c r="O279" s="13" t="s">
        <v>42</v>
      </c>
      <c r="P279" s="11">
        <v>0.0</v>
      </c>
      <c r="Q279" s="14">
        <v>0.0</v>
      </c>
      <c r="R279" s="11">
        <v>1.0</v>
      </c>
      <c r="S279">
        <f t="shared" si="1"/>
        <v>2023</v>
      </c>
      <c r="T279">
        <f t="shared" si="2"/>
        <v>2</v>
      </c>
      <c r="U279">
        <f t="shared" si="3"/>
        <v>15</v>
      </c>
      <c r="Z279" s="17">
        <v>45536.0</v>
      </c>
      <c r="AG279" s="15"/>
      <c r="AH279" s="16"/>
      <c r="AM279" s="15"/>
      <c r="AN279" s="16"/>
    </row>
    <row r="280">
      <c r="A280" s="13" t="s">
        <v>673</v>
      </c>
      <c r="B280" s="17">
        <v>44958.0</v>
      </c>
      <c r="C280" s="11" t="s">
        <v>143</v>
      </c>
      <c r="D280" s="11" t="s">
        <v>93</v>
      </c>
      <c r="E280" s="11" t="s">
        <v>39</v>
      </c>
      <c r="F280" s="11" t="s">
        <v>40</v>
      </c>
      <c r="G280" s="11" t="s">
        <v>45</v>
      </c>
      <c r="H280" s="11" t="s">
        <v>243</v>
      </c>
      <c r="I280" s="11" t="s">
        <v>619</v>
      </c>
      <c r="J280" s="11">
        <v>21.0</v>
      </c>
      <c r="K280" s="12">
        <v>45422.0</v>
      </c>
      <c r="L280" s="11">
        <f t="shared" si="26"/>
        <v>15</v>
      </c>
      <c r="M280" s="11">
        <v>691799.0</v>
      </c>
      <c r="N280" s="11">
        <v>33927.0</v>
      </c>
      <c r="O280" s="13"/>
      <c r="P280" s="11">
        <v>0.0</v>
      </c>
      <c r="Q280" s="14">
        <v>0.0</v>
      </c>
      <c r="R280" s="11">
        <v>1.0</v>
      </c>
      <c r="S280">
        <f t="shared" si="1"/>
        <v>2023</v>
      </c>
      <c r="T280">
        <f t="shared" si="2"/>
        <v>2</v>
      </c>
      <c r="U280">
        <f t="shared" si="3"/>
        <v>1</v>
      </c>
      <c r="Z280" s="17">
        <v>45422.0</v>
      </c>
      <c r="AG280" s="15"/>
      <c r="AH280" s="16"/>
      <c r="AM280" s="15"/>
      <c r="AN280" s="16"/>
    </row>
    <row r="281">
      <c r="A281" s="13" t="s">
        <v>674</v>
      </c>
      <c r="B281" s="10">
        <v>44958.0</v>
      </c>
      <c r="C281" s="11" t="s">
        <v>49</v>
      </c>
      <c r="D281" s="11" t="s">
        <v>77</v>
      </c>
      <c r="E281" s="11" t="s">
        <v>39</v>
      </c>
      <c r="F281" s="11" t="s">
        <v>40</v>
      </c>
      <c r="G281" s="11" t="s">
        <v>45</v>
      </c>
      <c r="H281" s="11" t="s">
        <v>129</v>
      </c>
      <c r="I281" s="11" t="s">
        <v>675</v>
      </c>
      <c r="J281" s="11">
        <v>26.0</v>
      </c>
      <c r="K281" s="12">
        <v>45475.0</v>
      </c>
      <c r="L281" s="11">
        <f t="shared" si="26"/>
        <v>17</v>
      </c>
      <c r="M281" s="11">
        <v>691196.0</v>
      </c>
      <c r="N281" s="11" t="s">
        <v>676</v>
      </c>
      <c r="O281" s="13"/>
      <c r="P281" s="11">
        <v>0.0</v>
      </c>
      <c r="Q281" s="14">
        <v>0.0</v>
      </c>
      <c r="R281" s="11">
        <v>1.0</v>
      </c>
      <c r="S281">
        <f t="shared" si="1"/>
        <v>2023</v>
      </c>
      <c r="T281">
        <f t="shared" si="2"/>
        <v>2</v>
      </c>
      <c r="U281">
        <f t="shared" si="3"/>
        <v>1</v>
      </c>
      <c r="Z281" s="17">
        <v>45389.0</v>
      </c>
      <c r="AG281" s="15"/>
      <c r="AH281" s="16"/>
      <c r="AM281" s="15"/>
      <c r="AN281" s="16"/>
    </row>
    <row r="282">
      <c r="A282" s="13" t="s">
        <v>677</v>
      </c>
      <c r="B282" s="10">
        <v>44927.0</v>
      </c>
      <c r="C282" s="11" t="s">
        <v>101</v>
      </c>
      <c r="D282" s="11" t="s">
        <v>58</v>
      </c>
      <c r="E282" s="11" t="s">
        <v>39</v>
      </c>
      <c r="F282" s="11" t="s">
        <v>40</v>
      </c>
      <c r="G282" s="11" t="s">
        <v>45</v>
      </c>
      <c r="H282" s="11" t="s">
        <v>56</v>
      </c>
      <c r="I282" s="11" t="s">
        <v>344</v>
      </c>
      <c r="J282" s="11">
        <v>28.0</v>
      </c>
      <c r="K282" s="12">
        <v>45763.0</v>
      </c>
      <c r="L282" s="11"/>
      <c r="M282" s="11">
        <v>641682.0</v>
      </c>
      <c r="N282" s="11">
        <v>19535.0</v>
      </c>
      <c r="O282" s="13"/>
      <c r="P282" s="11">
        <v>0.0</v>
      </c>
      <c r="Q282" s="14">
        <v>0.0</v>
      </c>
      <c r="R282" s="11">
        <v>1.0</v>
      </c>
      <c r="S282">
        <f t="shared" si="1"/>
        <v>2023</v>
      </c>
      <c r="T282">
        <f t="shared" si="2"/>
        <v>1</v>
      </c>
      <c r="U282">
        <f t="shared" si="3"/>
        <v>1</v>
      </c>
      <c r="Z282" s="17">
        <v>45751.0</v>
      </c>
      <c r="AG282" s="15"/>
      <c r="AH282" s="16"/>
      <c r="AM282" s="15"/>
      <c r="AN282" s="16"/>
    </row>
    <row r="283">
      <c r="A283" s="13" t="s">
        <v>678</v>
      </c>
      <c r="B283" s="10">
        <v>44927.0</v>
      </c>
      <c r="C283" s="11" t="s">
        <v>72</v>
      </c>
      <c r="D283" s="11" t="s">
        <v>77</v>
      </c>
      <c r="E283" s="11" t="s">
        <v>39</v>
      </c>
      <c r="F283" s="11" t="s">
        <v>40</v>
      </c>
      <c r="G283" s="11" t="s">
        <v>45</v>
      </c>
      <c r="H283" s="11" t="s">
        <v>84</v>
      </c>
      <c r="I283" s="11" t="s">
        <v>679</v>
      </c>
      <c r="J283" s="11">
        <v>25.0</v>
      </c>
      <c r="K283" s="12">
        <v>45464.0</v>
      </c>
      <c r="L283" s="11"/>
      <c r="M283" s="11">
        <v>687926.0</v>
      </c>
      <c r="N283" s="11" t="s">
        <v>680</v>
      </c>
      <c r="O283" s="13"/>
      <c r="P283" s="11">
        <v>0.0</v>
      </c>
      <c r="Q283" s="14">
        <v>0.0</v>
      </c>
      <c r="R283" s="11">
        <v>1.0</v>
      </c>
      <c r="S283">
        <f t="shared" si="1"/>
        <v>2023</v>
      </c>
      <c r="T283">
        <f t="shared" si="2"/>
        <v>1</v>
      </c>
      <c r="U283">
        <f t="shared" si="3"/>
        <v>1</v>
      </c>
      <c r="Z283" s="17">
        <v>45433.0</v>
      </c>
      <c r="AG283" s="15"/>
      <c r="AH283" s="16"/>
      <c r="AM283" s="15"/>
      <c r="AN283" s="16"/>
    </row>
    <row r="284">
      <c r="A284" s="13" t="s">
        <v>681</v>
      </c>
      <c r="B284" s="17">
        <v>44927.0</v>
      </c>
      <c r="C284" s="11" t="s">
        <v>167</v>
      </c>
      <c r="D284" s="11" t="s">
        <v>93</v>
      </c>
      <c r="E284" s="11" t="s">
        <v>39</v>
      </c>
      <c r="F284" s="11" t="s">
        <v>40</v>
      </c>
      <c r="G284" s="11" t="s">
        <v>45</v>
      </c>
      <c r="H284" s="11" t="s">
        <v>67</v>
      </c>
      <c r="I284" s="11" t="s">
        <v>682</v>
      </c>
      <c r="J284" s="11">
        <v>20.0</v>
      </c>
      <c r="K284" s="12">
        <v>45759.0</v>
      </c>
      <c r="L284" s="11"/>
      <c r="M284" s="11">
        <v>801594.0</v>
      </c>
      <c r="N284" s="11" t="s">
        <v>683</v>
      </c>
      <c r="O284" s="13"/>
      <c r="P284" s="11">
        <v>0.0</v>
      </c>
      <c r="Q284" s="14">
        <v>0.0</v>
      </c>
      <c r="R284" s="11">
        <v>1.0</v>
      </c>
      <c r="S284">
        <f t="shared" si="1"/>
        <v>2023</v>
      </c>
      <c r="T284">
        <f t="shared" si="2"/>
        <v>1</v>
      </c>
      <c r="U284">
        <f t="shared" si="3"/>
        <v>1</v>
      </c>
      <c r="Z284" s="17">
        <v>45759.0</v>
      </c>
      <c r="AG284" s="15"/>
      <c r="AH284" s="16"/>
      <c r="AM284" s="15"/>
      <c r="AN284" s="16"/>
    </row>
    <row r="285">
      <c r="A285" s="13" t="s">
        <v>684</v>
      </c>
      <c r="B285" s="17">
        <v>44927.0</v>
      </c>
      <c r="C285" s="11" t="s">
        <v>167</v>
      </c>
      <c r="D285" s="11" t="s">
        <v>93</v>
      </c>
      <c r="E285" s="11" t="s">
        <v>39</v>
      </c>
      <c r="F285" s="11" t="s">
        <v>40</v>
      </c>
      <c r="G285" s="11" t="s">
        <v>45</v>
      </c>
      <c r="H285" s="11" t="s">
        <v>127</v>
      </c>
      <c r="I285" s="11" t="s">
        <v>173</v>
      </c>
      <c r="J285" s="11">
        <v>20.0</v>
      </c>
      <c r="K285" s="12"/>
      <c r="L285" s="11"/>
      <c r="M285" s="11">
        <v>702260.0</v>
      </c>
      <c r="N285" s="11" t="s">
        <v>685</v>
      </c>
      <c r="O285" s="13"/>
      <c r="P285" s="11">
        <v>0.0</v>
      </c>
      <c r="Q285" s="14">
        <v>0.0</v>
      </c>
      <c r="R285" s="11">
        <v>1.0</v>
      </c>
      <c r="S285">
        <f t="shared" si="1"/>
        <v>2023</v>
      </c>
      <c r="T285">
        <f t="shared" si="2"/>
        <v>1</v>
      </c>
      <c r="U285">
        <f t="shared" si="3"/>
        <v>1</v>
      </c>
      <c r="Z285" s="17"/>
      <c r="AG285" s="15"/>
      <c r="AH285" s="16"/>
      <c r="AM285" s="15"/>
      <c r="AN285" s="16"/>
    </row>
    <row r="286">
      <c r="A286" s="13" t="s">
        <v>686</v>
      </c>
      <c r="B286" s="10">
        <v>44927.0</v>
      </c>
      <c r="C286" s="11" t="s">
        <v>162</v>
      </c>
      <c r="D286" s="11" t="s">
        <v>97</v>
      </c>
      <c r="E286" s="11" t="s">
        <v>39</v>
      </c>
      <c r="F286" s="11" t="s">
        <v>40</v>
      </c>
      <c r="G286" s="11" t="s">
        <v>53</v>
      </c>
      <c r="H286" s="11"/>
      <c r="I286" s="11"/>
      <c r="J286" s="11">
        <v>22.0</v>
      </c>
      <c r="K286" s="12">
        <v>45392.0</v>
      </c>
      <c r="L286" s="11"/>
      <c r="M286" s="11">
        <v>683742.0</v>
      </c>
      <c r="N286" s="11" t="s">
        <v>687</v>
      </c>
      <c r="O286" s="13"/>
      <c r="P286" s="11">
        <v>0.0</v>
      </c>
      <c r="Q286" s="14">
        <v>0.0</v>
      </c>
      <c r="R286" s="11">
        <v>1.0</v>
      </c>
      <c r="S286">
        <f t="shared" si="1"/>
        <v>2023</v>
      </c>
      <c r="T286">
        <f t="shared" si="2"/>
        <v>1</v>
      </c>
      <c r="U286">
        <f t="shared" si="3"/>
        <v>1</v>
      </c>
      <c r="Z286" s="17">
        <v>45392.0</v>
      </c>
      <c r="AG286" s="15"/>
      <c r="AH286" s="16"/>
      <c r="AM286" s="15"/>
      <c r="AN286" s="16"/>
    </row>
    <row r="287">
      <c r="A287" s="13" t="s">
        <v>688</v>
      </c>
      <c r="B287" s="10">
        <v>44927.0</v>
      </c>
      <c r="C287" s="11" t="s">
        <v>111</v>
      </c>
      <c r="D287" s="11" t="s">
        <v>88</v>
      </c>
      <c r="E287" s="11" t="s">
        <v>39</v>
      </c>
      <c r="F287" s="11" t="s">
        <v>40</v>
      </c>
      <c r="G287" s="11" t="s">
        <v>45</v>
      </c>
      <c r="H287" s="11" t="s">
        <v>56</v>
      </c>
      <c r="I287" s="11" t="s">
        <v>689</v>
      </c>
      <c r="J287" s="11">
        <v>23.0</v>
      </c>
      <c r="K287" s="12"/>
      <c r="L287" s="11"/>
      <c r="M287" s="11">
        <v>700412.0</v>
      </c>
      <c r="N287" s="11" t="s">
        <v>690</v>
      </c>
      <c r="O287" s="13"/>
      <c r="P287" s="11">
        <v>0.0</v>
      </c>
      <c r="Q287" s="14">
        <v>0.0</v>
      </c>
      <c r="R287" s="11">
        <v>1.0</v>
      </c>
      <c r="S287">
        <f t="shared" si="1"/>
        <v>2023</v>
      </c>
      <c r="T287">
        <f t="shared" si="2"/>
        <v>1</v>
      </c>
      <c r="U287">
        <f t="shared" si="3"/>
        <v>1</v>
      </c>
      <c r="Z287" s="17">
        <v>45818.0</v>
      </c>
      <c r="AG287" s="15"/>
      <c r="AH287" s="16"/>
      <c r="AM287" s="15"/>
      <c r="AN287" s="16"/>
    </row>
    <row r="288">
      <c r="A288" s="13" t="s">
        <v>691</v>
      </c>
      <c r="B288" s="10">
        <v>44927.0</v>
      </c>
      <c r="C288" s="11" t="s">
        <v>111</v>
      </c>
      <c r="D288" s="11" t="s">
        <v>58</v>
      </c>
      <c r="E288" s="11" t="s">
        <v>39</v>
      </c>
      <c r="F288" s="11" t="s">
        <v>40</v>
      </c>
      <c r="G288" s="11" t="s">
        <v>53</v>
      </c>
      <c r="H288" s="11"/>
      <c r="I288" s="11"/>
      <c r="J288" s="11">
        <v>24.0</v>
      </c>
      <c r="K288" s="12">
        <v>45745.0</v>
      </c>
      <c r="L288" s="11"/>
      <c r="M288" s="11">
        <v>665645.0</v>
      </c>
      <c r="N288" s="11">
        <v>21656.0</v>
      </c>
      <c r="O288" s="13"/>
      <c r="P288" s="11">
        <v>0.0</v>
      </c>
      <c r="Q288" s="14">
        <v>0.0</v>
      </c>
      <c r="R288" s="11">
        <v>1.0</v>
      </c>
      <c r="S288">
        <f t="shared" si="1"/>
        <v>2023</v>
      </c>
      <c r="T288">
        <f t="shared" si="2"/>
        <v>1</v>
      </c>
      <c r="U288">
        <f t="shared" si="3"/>
        <v>1</v>
      </c>
      <c r="Z288" s="17">
        <v>45745.0</v>
      </c>
      <c r="AG288" s="15"/>
      <c r="AH288" s="16"/>
      <c r="AM288" s="15"/>
      <c r="AN288" s="16"/>
    </row>
    <row r="289">
      <c r="A289" s="13" t="s">
        <v>692</v>
      </c>
      <c r="B289" s="10">
        <v>44927.0</v>
      </c>
      <c r="C289" s="11" t="s">
        <v>111</v>
      </c>
      <c r="D289" s="11" t="s">
        <v>58</v>
      </c>
      <c r="E289" s="11" t="s">
        <v>39</v>
      </c>
      <c r="F289" s="11" t="s">
        <v>64</v>
      </c>
      <c r="G289" s="11" t="s">
        <v>41</v>
      </c>
      <c r="H289" s="11"/>
      <c r="I289" s="11"/>
      <c r="J289" s="11">
        <v>30.0</v>
      </c>
      <c r="K289" s="12"/>
      <c r="L289" s="11"/>
      <c r="M289" s="11">
        <v>600887.0</v>
      </c>
      <c r="N289" s="11">
        <v>18792.0</v>
      </c>
      <c r="O289" s="13"/>
      <c r="P289" s="11">
        <v>0.0</v>
      </c>
      <c r="Q289" s="14">
        <v>0.0</v>
      </c>
      <c r="R289" s="11">
        <v>1.0</v>
      </c>
      <c r="S289">
        <f t="shared" si="1"/>
        <v>2023</v>
      </c>
      <c r="T289">
        <f t="shared" si="2"/>
        <v>1</v>
      </c>
      <c r="U289">
        <f t="shared" si="3"/>
        <v>1</v>
      </c>
      <c r="AG289" s="15"/>
      <c r="AH289" s="16"/>
      <c r="AM289" s="15"/>
      <c r="AN289" s="16"/>
    </row>
    <row r="290">
      <c r="A290" s="13" t="s">
        <v>693</v>
      </c>
      <c r="B290" s="17">
        <v>44927.0</v>
      </c>
      <c r="C290" s="11" t="s">
        <v>111</v>
      </c>
      <c r="D290" s="11" t="s">
        <v>93</v>
      </c>
      <c r="E290" s="11" t="s">
        <v>39</v>
      </c>
      <c r="F290" s="11" t="s">
        <v>40</v>
      </c>
      <c r="G290" s="11" t="s">
        <v>45</v>
      </c>
      <c r="H290" s="11" t="s">
        <v>127</v>
      </c>
      <c r="I290" s="11" t="s">
        <v>127</v>
      </c>
      <c r="J290" s="11">
        <v>19.0</v>
      </c>
      <c r="K290" s="12">
        <v>45755.0</v>
      </c>
      <c r="L290" s="11"/>
      <c r="M290" s="11">
        <v>701680.0</v>
      </c>
      <c r="N290" s="11" t="s">
        <v>694</v>
      </c>
      <c r="O290" s="13"/>
      <c r="P290" s="11">
        <v>0.0</v>
      </c>
      <c r="Q290" s="14">
        <v>0.0</v>
      </c>
      <c r="R290" s="11">
        <v>1.0</v>
      </c>
      <c r="S290">
        <f t="shared" si="1"/>
        <v>2023</v>
      </c>
      <c r="T290">
        <f t="shared" si="2"/>
        <v>1</v>
      </c>
      <c r="U290">
        <f t="shared" si="3"/>
        <v>1</v>
      </c>
      <c r="Z290" s="17">
        <v>45755.0</v>
      </c>
      <c r="AG290" s="15"/>
      <c r="AH290" s="16"/>
      <c r="AM290" s="15"/>
      <c r="AN290" s="16"/>
    </row>
    <row r="291">
      <c r="A291" s="13" t="s">
        <v>695</v>
      </c>
      <c r="B291" s="10">
        <v>44927.0</v>
      </c>
      <c r="C291" s="11" t="s">
        <v>358</v>
      </c>
      <c r="D291" s="11" t="s">
        <v>58</v>
      </c>
      <c r="E291" s="11" t="s">
        <v>39</v>
      </c>
      <c r="F291" s="11" t="s">
        <v>40</v>
      </c>
      <c r="G291" s="11" t="s">
        <v>45</v>
      </c>
      <c r="H291" s="11" t="s">
        <v>74</v>
      </c>
      <c r="I291" s="11"/>
      <c r="J291" s="11">
        <v>25.0</v>
      </c>
      <c r="K291" s="12">
        <v>45748.0</v>
      </c>
      <c r="L291" s="11"/>
      <c r="M291" s="11">
        <v>670246.0</v>
      </c>
      <c r="N291" s="11" t="s">
        <v>696</v>
      </c>
      <c r="O291" s="13"/>
      <c r="P291" s="11">
        <v>0.0</v>
      </c>
      <c r="Q291" s="14">
        <v>0.0</v>
      </c>
      <c r="R291" s="11">
        <v>1.0</v>
      </c>
      <c r="S291">
        <f t="shared" si="1"/>
        <v>2023</v>
      </c>
      <c r="T291">
        <f t="shared" si="2"/>
        <v>1</v>
      </c>
      <c r="U291">
        <f t="shared" si="3"/>
        <v>1</v>
      </c>
      <c r="Z291" s="17">
        <v>45748.0</v>
      </c>
      <c r="AG291" s="15"/>
      <c r="AH291" s="16"/>
      <c r="AM291" s="15"/>
      <c r="AN291" s="16"/>
    </row>
    <row r="292">
      <c r="A292" s="13" t="s">
        <v>697</v>
      </c>
      <c r="B292" s="10">
        <v>44927.0</v>
      </c>
      <c r="C292" s="11" t="s">
        <v>37</v>
      </c>
      <c r="D292" s="11" t="s">
        <v>97</v>
      </c>
      <c r="E292" s="11" t="s">
        <v>39</v>
      </c>
      <c r="F292" s="11" t="s">
        <v>64</v>
      </c>
      <c r="G292" s="11" t="s">
        <v>483</v>
      </c>
      <c r="H292" s="11"/>
      <c r="I292" s="11"/>
      <c r="J292" s="11">
        <v>21.0</v>
      </c>
      <c r="K292" s="12"/>
      <c r="L292" s="11"/>
      <c r="M292" s="11">
        <v>686488.0</v>
      </c>
      <c r="N292" s="11" t="s">
        <v>698</v>
      </c>
      <c r="O292" s="13"/>
      <c r="P292" s="11">
        <v>0.0</v>
      </c>
      <c r="Q292" s="14">
        <v>0.0</v>
      </c>
      <c r="R292" s="11">
        <v>1.0</v>
      </c>
      <c r="S292">
        <f t="shared" si="1"/>
        <v>2023</v>
      </c>
      <c r="T292">
        <f t="shared" si="2"/>
        <v>1</v>
      </c>
      <c r="U292">
        <f t="shared" si="3"/>
        <v>1</v>
      </c>
      <c r="AG292" s="15"/>
      <c r="AH292" s="16"/>
      <c r="AM292" s="15"/>
      <c r="AN292" s="16"/>
    </row>
    <row r="293">
      <c r="A293" s="13" t="s">
        <v>699</v>
      </c>
      <c r="B293" s="10">
        <v>44927.0</v>
      </c>
      <c r="C293" s="11" t="s">
        <v>37</v>
      </c>
      <c r="D293" s="11" t="s">
        <v>97</v>
      </c>
      <c r="E293" s="11" t="s">
        <v>39</v>
      </c>
      <c r="F293" s="11" t="s">
        <v>64</v>
      </c>
      <c r="G293" s="11" t="s">
        <v>41</v>
      </c>
      <c r="H293" s="11"/>
      <c r="I293" s="11"/>
      <c r="J293" s="11">
        <v>19.0</v>
      </c>
      <c r="K293" s="12">
        <v>45813.0</v>
      </c>
      <c r="L293" s="11"/>
      <c r="M293" s="11">
        <v>702419.0</v>
      </c>
      <c r="N293" s="11" t="s">
        <v>700</v>
      </c>
      <c r="O293" s="13"/>
      <c r="P293" s="11">
        <v>0.0</v>
      </c>
      <c r="Q293" s="14">
        <v>0.0</v>
      </c>
      <c r="R293" s="11">
        <v>1.0</v>
      </c>
      <c r="S293">
        <f t="shared" si="1"/>
        <v>2023</v>
      </c>
      <c r="T293">
        <f t="shared" si="2"/>
        <v>1</v>
      </c>
      <c r="U293">
        <f t="shared" si="3"/>
        <v>1</v>
      </c>
      <c r="Z293" s="17">
        <v>45785.0</v>
      </c>
      <c r="AG293" s="15"/>
      <c r="AH293" s="16"/>
      <c r="AM293" s="15"/>
      <c r="AN293" s="16"/>
    </row>
    <row r="294">
      <c r="A294" s="13" t="s">
        <v>701</v>
      </c>
      <c r="B294" s="17">
        <v>44927.0</v>
      </c>
      <c r="C294" s="11" t="s">
        <v>55</v>
      </c>
      <c r="D294" s="11" t="s">
        <v>213</v>
      </c>
      <c r="E294" s="11" t="s">
        <v>39</v>
      </c>
      <c r="F294" s="11" t="s">
        <v>64</v>
      </c>
      <c r="G294" s="11" t="s">
        <v>45</v>
      </c>
      <c r="H294" s="11" t="s">
        <v>317</v>
      </c>
      <c r="I294" s="11"/>
      <c r="J294" s="11">
        <v>18.0</v>
      </c>
      <c r="K294" s="12">
        <v>45449.0</v>
      </c>
      <c r="L294" s="11"/>
      <c r="M294" s="11">
        <v>807724.0</v>
      </c>
      <c r="N294" s="11" t="s">
        <v>702</v>
      </c>
      <c r="O294" s="13"/>
      <c r="P294" s="11">
        <v>0.0</v>
      </c>
      <c r="Q294" s="14">
        <v>0.0</v>
      </c>
      <c r="R294" s="11">
        <v>1.0</v>
      </c>
      <c r="S294">
        <f t="shared" si="1"/>
        <v>2023</v>
      </c>
      <c r="T294">
        <f t="shared" si="2"/>
        <v>1</v>
      </c>
      <c r="U294">
        <f t="shared" si="3"/>
        <v>1</v>
      </c>
      <c r="Z294" s="17">
        <v>45449.0</v>
      </c>
      <c r="AG294" s="15"/>
      <c r="AH294" s="16"/>
      <c r="AM294" s="15"/>
      <c r="AN294" s="16"/>
    </row>
    <row r="295">
      <c r="A295" s="13" t="s">
        <v>703</v>
      </c>
      <c r="B295" s="17">
        <v>44927.0</v>
      </c>
      <c r="C295" s="11" t="s">
        <v>103</v>
      </c>
      <c r="D295" s="11" t="s">
        <v>93</v>
      </c>
      <c r="E295" s="11" t="s">
        <v>39</v>
      </c>
      <c r="F295" s="11" t="s">
        <v>40</v>
      </c>
      <c r="G295" s="11" t="s">
        <v>45</v>
      </c>
      <c r="H295" s="11" t="s">
        <v>84</v>
      </c>
      <c r="I295" s="11" t="s">
        <v>704</v>
      </c>
      <c r="J295" s="11">
        <v>20.0</v>
      </c>
      <c r="K295" s="12">
        <v>45753.0</v>
      </c>
      <c r="L295" s="11"/>
      <c r="M295" s="11">
        <v>828374.0</v>
      </c>
      <c r="N295" s="11" t="s">
        <v>705</v>
      </c>
      <c r="O295" s="13"/>
      <c r="P295" s="11">
        <v>0.0</v>
      </c>
      <c r="Q295" s="14">
        <v>0.0</v>
      </c>
      <c r="R295" s="11">
        <v>1.0</v>
      </c>
      <c r="S295">
        <f t="shared" si="1"/>
        <v>2023</v>
      </c>
      <c r="T295">
        <f t="shared" si="2"/>
        <v>1</v>
      </c>
      <c r="U295">
        <f t="shared" si="3"/>
        <v>1</v>
      </c>
      <c r="Z295" s="17">
        <v>45753.0</v>
      </c>
      <c r="AG295" s="15"/>
      <c r="AH295" s="16"/>
      <c r="AM295" s="15"/>
      <c r="AN295" s="16"/>
    </row>
    <row r="296">
      <c r="A296" s="13" t="s">
        <v>706</v>
      </c>
      <c r="B296" s="10">
        <v>44927.0</v>
      </c>
      <c r="C296" s="11" t="s">
        <v>49</v>
      </c>
      <c r="D296" s="11" t="s">
        <v>97</v>
      </c>
      <c r="E296" s="11" t="s">
        <v>39</v>
      </c>
      <c r="F296" s="11" t="s">
        <v>40</v>
      </c>
      <c r="G296" s="11" t="s">
        <v>41</v>
      </c>
      <c r="H296" s="11"/>
      <c r="I296" s="11"/>
      <c r="J296" s="11">
        <v>19.0</v>
      </c>
      <c r="K296" s="12">
        <v>45436.0</v>
      </c>
      <c r="L296" s="11"/>
      <c r="M296" s="11">
        <v>642315.0</v>
      </c>
      <c r="N296" s="11" t="s">
        <v>707</v>
      </c>
      <c r="O296" s="13"/>
      <c r="P296" s="11">
        <v>0.0</v>
      </c>
      <c r="Q296" s="14">
        <v>0.0</v>
      </c>
      <c r="R296" s="11">
        <v>1.0</v>
      </c>
      <c r="S296">
        <f t="shared" si="1"/>
        <v>2023</v>
      </c>
      <c r="T296">
        <f t="shared" si="2"/>
        <v>1</v>
      </c>
      <c r="U296">
        <f t="shared" si="3"/>
        <v>1</v>
      </c>
      <c r="Z296" s="17">
        <v>45416.0</v>
      </c>
      <c r="AG296" s="15"/>
      <c r="AH296" s="16"/>
      <c r="AM296" s="15"/>
      <c r="AN296" s="16"/>
    </row>
    <row r="297">
      <c r="A297" s="13" t="s">
        <v>708</v>
      </c>
      <c r="B297" s="10">
        <v>44927.0</v>
      </c>
      <c r="C297" s="11" t="s">
        <v>49</v>
      </c>
      <c r="D297" s="11" t="s">
        <v>709</v>
      </c>
      <c r="E297" s="11" t="s">
        <v>39</v>
      </c>
      <c r="F297" s="11" t="s">
        <v>40</v>
      </c>
      <c r="G297" s="11" t="s">
        <v>45</v>
      </c>
      <c r="H297" s="11" t="s">
        <v>84</v>
      </c>
      <c r="I297" s="11"/>
      <c r="J297" s="11">
        <v>22.0</v>
      </c>
      <c r="K297" s="12">
        <v>45753.0</v>
      </c>
      <c r="L297" s="11">
        <f>ROUND(((K297-B297)/365)*12,0)</f>
        <v>27</v>
      </c>
      <c r="M297" s="11">
        <v>682929.0</v>
      </c>
      <c r="N297" s="11" t="s">
        <v>710</v>
      </c>
      <c r="O297" s="13" t="s">
        <v>42</v>
      </c>
      <c r="P297" s="11">
        <v>0.0</v>
      </c>
      <c r="Q297" s="14">
        <v>0.0</v>
      </c>
      <c r="R297" s="11">
        <v>1.0</v>
      </c>
      <c r="S297">
        <f t="shared" si="1"/>
        <v>2023</v>
      </c>
      <c r="T297">
        <f t="shared" si="2"/>
        <v>1</v>
      </c>
      <c r="U297">
        <f t="shared" si="3"/>
        <v>1</v>
      </c>
      <c r="Z297" s="17">
        <v>45753.0</v>
      </c>
      <c r="AG297" s="15"/>
      <c r="AH297" s="16"/>
      <c r="AM297" s="15"/>
      <c r="AN297" s="16"/>
    </row>
    <row r="298">
      <c r="A298" s="13" t="s">
        <v>711</v>
      </c>
      <c r="B298" s="10">
        <v>44927.0</v>
      </c>
      <c r="C298" s="11" t="s">
        <v>49</v>
      </c>
      <c r="D298" s="11" t="s">
        <v>77</v>
      </c>
      <c r="E298" s="11" t="s">
        <v>39</v>
      </c>
      <c r="F298" s="11" t="s">
        <v>40</v>
      </c>
      <c r="G298" s="11" t="s">
        <v>45</v>
      </c>
      <c r="H298" s="11" t="s">
        <v>317</v>
      </c>
      <c r="I298" s="11" t="s">
        <v>318</v>
      </c>
      <c r="J298" s="11">
        <v>28.0</v>
      </c>
      <c r="K298" s="12"/>
      <c r="L298" s="11"/>
      <c r="M298" s="11">
        <v>676344.0</v>
      </c>
      <c r="N298" s="11" t="s">
        <v>712</v>
      </c>
      <c r="O298" s="13"/>
      <c r="P298" s="11">
        <v>0.0</v>
      </c>
      <c r="Q298" s="14">
        <v>0.0</v>
      </c>
      <c r="R298" s="11">
        <v>1.0</v>
      </c>
      <c r="S298">
        <f t="shared" si="1"/>
        <v>2023</v>
      </c>
      <c r="T298">
        <f t="shared" si="2"/>
        <v>1</v>
      </c>
      <c r="U298">
        <f t="shared" si="3"/>
        <v>1</v>
      </c>
      <c r="AG298" s="15"/>
      <c r="AH298" s="16"/>
      <c r="AM298" s="15"/>
      <c r="AN298" s="16"/>
    </row>
    <row r="299" ht="14.25" customHeight="1">
      <c r="A299" s="13" t="s">
        <v>713</v>
      </c>
      <c r="B299" s="10">
        <v>44927.0</v>
      </c>
      <c r="C299" s="11" t="s">
        <v>49</v>
      </c>
      <c r="D299" s="11" t="s">
        <v>97</v>
      </c>
      <c r="E299" s="11" t="s">
        <v>39</v>
      </c>
      <c r="F299" s="11" t="s">
        <v>40</v>
      </c>
      <c r="G299" s="11" t="s">
        <v>45</v>
      </c>
      <c r="H299" s="11" t="s">
        <v>262</v>
      </c>
      <c r="I299" s="11" t="s">
        <v>262</v>
      </c>
      <c r="J299" s="11">
        <v>22.0</v>
      </c>
      <c r="K299" s="12">
        <v>45867.0</v>
      </c>
      <c r="L299" s="11"/>
      <c r="M299" s="11">
        <v>808743.0</v>
      </c>
      <c r="N299" s="11" t="s">
        <v>714</v>
      </c>
      <c r="O299" s="13"/>
      <c r="P299" s="11">
        <v>0.0</v>
      </c>
      <c r="Q299" s="14">
        <v>0.0</v>
      </c>
      <c r="R299" s="11">
        <v>1.0</v>
      </c>
      <c r="S299">
        <f t="shared" si="1"/>
        <v>2023</v>
      </c>
      <c r="T299">
        <f t="shared" si="2"/>
        <v>1</v>
      </c>
      <c r="U299">
        <f t="shared" si="3"/>
        <v>1</v>
      </c>
      <c r="Z299" s="17">
        <v>45834.0</v>
      </c>
      <c r="AG299" s="15"/>
      <c r="AH299" s="16"/>
      <c r="AM299" s="15"/>
      <c r="AN299" s="16"/>
    </row>
    <row r="300" ht="14.25" customHeight="1">
      <c r="A300" s="13" t="s">
        <v>715</v>
      </c>
      <c r="B300" s="10">
        <v>44927.0</v>
      </c>
      <c r="C300" s="11" t="s">
        <v>108</v>
      </c>
      <c r="D300" s="11" t="s">
        <v>58</v>
      </c>
      <c r="E300" s="11" t="s">
        <v>39</v>
      </c>
      <c r="F300" s="11" t="s">
        <v>40</v>
      </c>
      <c r="G300" s="11" t="s">
        <v>45</v>
      </c>
      <c r="H300" s="11" t="s">
        <v>59</v>
      </c>
      <c r="I300" s="11" t="s">
        <v>294</v>
      </c>
      <c r="J300" s="11">
        <v>26.0</v>
      </c>
      <c r="K300" s="12">
        <v>45745.0</v>
      </c>
      <c r="L300" s="11"/>
      <c r="M300" s="11">
        <v>682044.0</v>
      </c>
      <c r="N300" s="11" t="s">
        <v>716</v>
      </c>
      <c r="O300" s="13"/>
      <c r="P300" s="11">
        <v>0.0</v>
      </c>
      <c r="Q300" s="14">
        <v>0.0</v>
      </c>
      <c r="R300" s="11">
        <v>1.0</v>
      </c>
      <c r="S300">
        <f t="shared" si="1"/>
        <v>2023</v>
      </c>
      <c r="T300">
        <f t="shared" si="2"/>
        <v>1</v>
      </c>
      <c r="U300">
        <f t="shared" si="3"/>
        <v>1</v>
      </c>
      <c r="Z300" s="17">
        <v>45488.0</v>
      </c>
      <c r="AG300" s="15"/>
      <c r="AH300" s="16"/>
      <c r="AM300" s="15"/>
      <c r="AN300" s="16"/>
    </row>
    <row r="301" ht="14.25" customHeight="1">
      <c r="A301" s="13" t="s">
        <v>717</v>
      </c>
      <c r="B301" s="10">
        <v>44927.0</v>
      </c>
      <c r="C301" s="11" t="s">
        <v>108</v>
      </c>
      <c r="D301" s="11" t="s">
        <v>88</v>
      </c>
      <c r="E301" s="11" t="s">
        <v>104</v>
      </c>
      <c r="F301" s="11" t="s">
        <v>40</v>
      </c>
      <c r="G301" s="11" t="s">
        <v>53</v>
      </c>
      <c r="H301" s="11"/>
      <c r="I301" s="11"/>
      <c r="J301" s="11">
        <v>21.0</v>
      </c>
      <c r="K301" s="12">
        <v>45475.0</v>
      </c>
      <c r="L301" s="11"/>
      <c r="M301" s="11">
        <v>682625.0</v>
      </c>
      <c r="N301" s="11" t="s">
        <v>718</v>
      </c>
      <c r="O301" s="13"/>
      <c r="P301" s="11">
        <v>0.0</v>
      </c>
      <c r="Q301" s="14">
        <v>0.0</v>
      </c>
      <c r="R301" s="11">
        <v>1.0</v>
      </c>
      <c r="S301">
        <f t="shared" si="1"/>
        <v>2023</v>
      </c>
      <c r="T301">
        <f t="shared" si="2"/>
        <v>1</v>
      </c>
      <c r="U301">
        <f t="shared" si="3"/>
        <v>1</v>
      </c>
      <c r="Z301" s="17">
        <v>45449.0</v>
      </c>
      <c r="AG301" s="15"/>
      <c r="AH301" s="16"/>
      <c r="AM301" s="15"/>
      <c r="AN301" s="16"/>
    </row>
    <row r="302" ht="14.25" customHeight="1">
      <c r="A302" s="13" t="s">
        <v>719</v>
      </c>
      <c r="B302" s="10">
        <v>44927.0</v>
      </c>
      <c r="C302" s="11" t="s">
        <v>108</v>
      </c>
      <c r="D302" s="11" t="s">
        <v>97</v>
      </c>
      <c r="E302" s="11" t="s">
        <v>39</v>
      </c>
      <c r="F302" s="11" t="s">
        <v>40</v>
      </c>
      <c r="G302" s="11" t="s">
        <v>45</v>
      </c>
      <c r="H302" s="11" t="s">
        <v>84</v>
      </c>
      <c r="I302" s="11"/>
      <c r="J302" s="11">
        <v>20.0</v>
      </c>
      <c r="K302" s="12">
        <v>45751.0</v>
      </c>
      <c r="L302" s="11"/>
      <c r="M302" s="11">
        <v>702314.0</v>
      </c>
      <c r="N302" s="11" t="s">
        <v>720</v>
      </c>
      <c r="O302" s="13"/>
      <c r="P302" s="11">
        <v>0.0</v>
      </c>
      <c r="Q302" s="14">
        <v>0.0</v>
      </c>
      <c r="R302" s="11">
        <v>1.0</v>
      </c>
      <c r="S302">
        <f t="shared" si="1"/>
        <v>2023</v>
      </c>
      <c r="T302">
        <f t="shared" si="2"/>
        <v>1</v>
      </c>
      <c r="U302">
        <f t="shared" si="3"/>
        <v>1</v>
      </c>
      <c r="Z302" s="17">
        <v>45751.0</v>
      </c>
      <c r="AG302" s="15"/>
      <c r="AH302" s="16"/>
      <c r="AM302" s="15"/>
      <c r="AN302" s="16"/>
    </row>
    <row r="303">
      <c r="A303" s="13" t="s">
        <v>721</v>
      </c>
      <c r="B303" s="10">
        <v>44927.0</v>
      </c>
      <c r="C303" s="11" t="s">
        <v>274</v>
      </c>
      <c r="D303" s="11" t="s">
        <v>58</v>
      </c>
      <c r="E303" s="11" t="s">
        <v>39</v>
      </c>
      <c r="F303" s="11" t="s">
        <v>40</v>
      </c>
      <c r="G303" s="11" t="s">
        <v>45</v>
      </c>
      <c r="H303" s="11" t="s">
        <v>73</v>
      </c>
      <c r="I303" s="11" t="s">
        <v>722</v>
      </c>
      <c r="J303" s="11">
        <v>25.0</v>
      </c>
      <c r="K303" s="12">
        <v>45745.0</v>
      </c>
      <c r="L303" s="11"/>
      <c r="M303" s="11">
        <v>670183.0</v>
      </c>
      <c r="N303" s="11">
        <v>27583.0</v>
      </c>
      <c r="O303" s="13"/>
      <c r="P303" s="11">
        <v>0.0</v>
      </c>
      <c r="Q303" s="14">
        <v>0.0</v>
      </c>
      <c r="R303" s="11">
        <v>1.0</v>
      </c>
      <c r="S303">
        <f t="shared" si="1"/>
        <v>2023</v>
      </c>
      <c r="T303">
        <f t="shared" si="2"/>
        <v>1</v>
      </c>
      <c r="U303">
        <f t="shared" si="3"/>
        <v>1</v>
      </c>
      <c r="Z303" s="17">
        <v>45745.0</v>
      </c>
      <c r="AG303" s="15"/>
      <c r="AH303" s="16"/>
      <c r="AM303" s="15"/>
      <c r="AN303" s="16"/>
    </row>
    <row r="304">
      <c r="A304" s="13" t="s">
        <v>723</v>
      </c>
      <c r="B304" s="17">
        <v>44927.0</v>
      </c>
      <c r="C304" s="11" t="s">
        <v>150</v>
      </c>
      <c r="D304" s="11" t="s">
        <v>93</v>
      </c>
      <c r="E304" s="11" t="s">
        <v>39</v>
      </c>
      <c r="F304" s="11" t="s">
        <v>40</v>
      </c>
      <c r="G304" s="11" t="s">
        <v>45</v>
      </c>
      <c r="H304" s="11" t="s">
        <v>84</v>
      </c>
      <c r="I304" s="11" t="s">
        <v>724</v>
      </c>
      <c r="J304" s="11">
        <v>20.0</v>
      </c>
      <c r="K304" s="12"/>
      <c r="L304" s="11"/>
      <c r="M304" s="11">
        <v>805758.0</v>
      </c>
      <c r="N304" s="11" t="s">
        <v>725</v>
      </c>
      <c r="O304" s="13"/>
      <c r="P304" s="11">
        <v>0.0</v>
      </c>
      <c r="Q304" s="14">
        <v>0.0</v>
      </c>
      <c r="R304" s="11">
        <v>1.0</v>
      </c>
      <c r="S304">
        <f t="shared" si="1"/>
        <v>2023</v>
      </c>
      <c r="T304">
        <f t="shared" si="2"/>
        <v>1</v>
      </c>
      <c r="U304">
        <f t="shared" si="3"/>
        <v>1</v>
      </c>
      <c r="Z304" s="17"/>
      <c r="AG304" s="15"/>
      <c r="AH304" s="16"/>
      <c r="AM304" s="15"/>
      <c r="AN304" s="16"/>
    </row>
    <row r="305">
      <c r="A305" s="13" t="s">
        <v>726</v>
      </c>
      <c r="B305" s="17">
        <v>44927.0</v>
      </c>
      <c r="C305" s="11" t="s">
        <v>362</v>
      </c>
      <c r="D305" s="11" t="s">
        <v>93</v>
      </c>
      <c r="E305" s="11" t="s">
        <v>39</v>
      </c>
      <c r="F305" s="11" t="s">
        <v>40</v>
      </c>
      <c r="G305" s="11" t="s">
        <v>194</v>
      </c>
      <c r="H305" s="11"/>
      <c r="I305" s="11"/>
      <c r="J305" s="11">
        <v>21.0</v>
      </c>
      <c r="K305" s="12">
        <v>45419.0</v>
      </c>
      <c r="L305" s="11"/>
      <c r="M305" s="11">
        <v>692176.0</v>
      </c>
      <c r="N305" s="11" t="s">
        <v>727</v>
      </c>
      <c r="O305" s="13"/>
      <c r="P305" s="11">
        <v>0.0</v>
      </c>
      <c r="Q305" s="14">
        <v>0.0</v>
      </c>
      <c r="R305" s="11">
        <v>1.0</v>
      </c>
      <c r="S305">
        <f t="shared" si="1"/>
        <v>2023</v>
      </c>
      <c r="T305">
        <f t="shared" si="2"/>
        <v>1</v>
      </c>
      <c r="U305">
        <f t="shared" si="3"/>
        <v>1</v>
      </c>
      <c r="Z305" s="17">
        <v>45419.0</v>
      </c>
      <c r="AG305" s="15"/>
      <c r="AH305" s="16"/>
      <c r="AM305" s="15"/>
      <c r="AN305" s="16"/>
    </row>
    <row r="306">
      <c r="A306" s="13" t="s">
        <v>728</v>
      </c>
      <c r="B306" s="17">
        <v>44927.0</v>
      </c>
      <c r="C306" s="11" t="s">
        <v>175</v>
      </c>
      <c r="D306" s="11" t="s">
        <v>93</v>
      </c>
      <c r="E306" s="11" t="s">
        <v>39</v>
      </c>
      <c r="F306" s="11" t="s">
        <v>40</v>
      </c>
      <c r="G306" s="11" t="s">
        <v>45</v>
      </c>
      <c r="H306" s="11" t="s">
        <v>729</v>
      </c>
      <c r="I306" s="11" t="s">
        <v>730</v>
      </c>
      <c r="J306" s="11">
        <v>20.0</v>
      </c>
      <c r="K306" s="12">
        <v>45799.0</v>
      </c>
      <c r="L306" s="11"/>
      <c r="M306" s="11">
        <v>823801.0</v>
      </c>
      <c r="N306" s="11" t="s">
        <v>731</v>
      </c>
      <c r="O306" s="13"/>
      <c r="P306" s="11">
        <v>0.0</v>
      </c>
      <c r="Q306" s="14">
        <v>0.0</v>
      </c>
      <c r="R306" s="11">
        <v>1.0</v>
      </c>
      <c r="S306">
        <f t="shared" si="1"/>
        <v>2023</v>
      </c>
      <c r="T306">
        <f t="shared" si="2"/>
        <v>1</v>
      </c>
      <c r="U306">
        <f t="shared" si="3"/>
        <v>1</v>
      </c>
      <c r="Z306" s="17">
        <v>45799.0</v>
      </c>
      <c r="AG306" s="15"/>
      <c r="AH306" s="16"/>
      <c r="AM306" s="15"/>
      <c r="AN306" s="16"/>
    </row>
    <row r="307">
      <c r="A307" s="13" t="s">
        <v>732</v>
      </c>
      <c r="B307" s="10">
        <v>44927.0</v>
      </c>
      <c r="C307" s="11" t="s">
        <v>235</v>
      </c>
      <c r="D307" s="11" t="s">
        <v>97</v>
      </c>
      <c r="E307" s="11" t="s">
        <v>39</v>
      </c>
      <c r="F307" s="11" t="s">
        <v>40</v>
      </c>
      <c r="G307" s="11" t="s">
        <v>41</v>
      </c>
      <c r="H307" s="11"/>
      <c r="I307" s="11"/>
      <c r="J307" s="11">
        <v>22.0</v>
      </c>
      <c r="K307" s="12">
        <v>45394.0</v>
      </c>
      <c r="L307" s="11"/>
      <c r="M307" s="11">
        <v>696064.0</v>
      </c>
      <c r="N307" s="11" t="s">
        <v>733</v>
      </c>
      <c r="O307" s="13"/>
      <c r="P307" s="11">
        <v>0.0</v>
      </c>
      <c r="Q307" s="14">
        <v>0.0</v>
      </c>
      <c r="R307" s="11">
        <v>1.0</v>
      </c>
      <c r="S307">
        <f t="shared" si="1"/>
        <v>2023</v>
      </c>
      <c r="T307">
        <f t="shared" si="2"/>
        <v>1</v>
      </c>
      <c r="U307">
        <f t="shared" si="3"/>
        <v>1</v>
      </c>
      <c r="Z307" s="17">
        <v>45394.0</v>
      </c>
      <c r="AG307" s="15"/>
      <c r="AH307" s="16"/>
      <c r="AM307" s="15"/>
      <c r="AN307" s="16"/>
    </row>
    <row r="308">
      <c r="A308" s="13" t="s">
        <v>734</v>
      </c>
      <c r="B308" s="17">
        <v>44927.0</v>
      </c>
      <c r="C308" s="11" t="s">
        <v>76</v>
      </c>
      <c r="D308" s="11" t="s">
        <v>93</v>
      </c>
      <c r="E308" s="11" t="s">
        <v>39</v>
      </c>
      <c r="F308" s="11" t="s">
        <v>40</v>
      </c>
      <c r="G308" s="11" t="s">
        <v>45</v>
      </c>
      <c r="H308" s="11" t="s">
        <v>735</v>
      </c>
      <c r="I308" s="11" t="s">
        <v>736</v>
      </c>
      <c r="J308" s="11">
        <v>20.0</v>
      </c>
      <c r="K308" s="12">
        <v>45890.0</v>
      </c>
      <c r="L308" s="11"/>
      <c r="M308" s="11">
        <v>824667.0</v>
      </c>
      <c r="N308" s="11" t="s">
        <v>737</v>
      </c>
      <c r="O308" s="13"/>
      <c r="P308" s="11">
        <v>0.0</v>
      </c>
      <c r="Q308" s="14">
        <v>0.0</v>
      </c>
      <c r="R308" s="11">
        <v>1.0</v>
      </c>
      <c r="S308">
        <f t="shared" si="1"/>
        <v>2023</v>
      </c>
      <c r="T308">
        <f t="shared" si="2"/>
        <v>1</v>
      </c>
      <c r="U308">
        <f t="shared" si="3"/>
        <v>1</v>
      </c>
      <c r="Z308" s="17">
        <v>45890.0</v>
      </c>
      <c r="AG308" s="15"/>
      <c r="AH308" s="16"/>
      <c r="AM308" s="15"/>
      <c r="AN308" s="16"/>
    </row>
    <row r="309">
      <c r="A309" s="13" t="s">
        <v>738</v>
      </c>
      <c r="B309" s="10">
        <v>44888.0</v>
      </c>
      <c r="C309" s="11" t="s">
        <v>150</v>
      </c>
      <c r="D309" s="11" t="s">
        <v>38</v>
      </c>
      <c r="E309" s="11" t="s">
        <v>118</v>
      </c>
      <c r="F309" s="11" t="s">
        <v>40</v>
      </c>
      <c r="G309" s="11" t="s">
        <v>45</v>
      </c>
      <c r="H309" s="11" t="s">
        <v>301</v>
      </c>
      <c r="I309" s="11" t="s">
        <v>739</v>
      </c>
      <c r="J309" s="11">
        <v>29.0</v>
      </c>
      <c r="K309" s="12">
        <v>45048.0</v>
      </c>
      <c r="L309" s="11">
        <f t="shared" ref="L309:L313" si="27">ROUND(((K309-B309)/365)*12,0)</f>
        <v>5</v>
      </c>
      <c r="M309" s="11">
        <v>547180.0</v>
      </c>
      <c r="N309" s="11">
        <v>11579.0</v>
      </c>
      <c r="O309" s="13" t="s">
        <v>69</v>
      </c>
      <c r="P309" s="11">
        <v>0.0</v>
      </c>
      <c r="Q309" s="14">
        <v>0.0</v>
      </c>
      <c r="R309" s="11">
        <v>1.0</v>
      </c>
      <c r="S309">
        <f t="shared" si="1"/>
        <v>2022</v>
      </c>
      <c r="T309">
        <f t="shared" si="2"/>
        <v>11</v>
      </c>
      <c r="U309">
        <f t="shared" si="3"/>
        <v>23</v>
      </c>
      <c r="Z309" s="17">
        <v>45048.0</v>
      </c>
      <c r="AG309" s="15"/>
      <c r="AH309" s="16"/>
      <c r="AM309" s="15"/>
      <c r="AN309" s="16"/>
    </row>
    <row r="310">
      <c r="A310" s="13" t="s">
        <v>740</v>
      </c>
      <c r="B310" s="10">
        <v>44847.0</v>
      </c>
      <c r="C310" s="11" t="s">
        <v>108</v>
      </c>
      <c r="D310" s="11" t="s">
        <v>38</v>
      </c>
      <c r="E310" s="11" t="s">
        <v>39</v>
      </c>
      <c r="F310" s="11" t="s">
        <v>40</v>
      </c>
      <c r="G310" s="11" t="s">
        <v>45</v>
      </c>
      <c r="H310" s="11" t="s">
        <v>236</v>
      </c>
      <c r="I310" s="11" t="s">
        <v>412</v>
      </c>
      <c r="J310" s="11">
        <v>28.0</v>
      </c>
      <c r="K310" s="12">
        <v>45536.0</v>
      </c>
      <c r="L310" s="11">
        <f t="shared" si="27"/>
        <v>23</v>
      </c>
      <c r="M310" s="11">
        <v>664123.0</v>
      </c>
      <c r="N310" s="11">
        <v>18384.0</v>
      </c>
      <c r="O310" s="13"/>
      <c r="P310" s="11">
        <v>0.0</v>
      </c>
      <c r="Q310" s="14">
        <v>0.0</v>
      </c>
      <c r="R310" s="11">
        <v>1.0</v>
      </c>
      <c r="S310">
        <f t="shared" si="1"/>
        <v>2022</v>
      </c>
      <c r="T310">
        <f t="shared" si="2"/>
        <v>10</v>
      </c>
      <c r="U310">
        <f t="shared" si="3"/>
        <v>13</v>
      </c>
      <c r="Z310" s="17">
        <v>45462.0</v>
      </c>
      <c r="AC310" s="17">
        <v>45261.0</v>
      </c>
      <c r="AD310" s="13" t="s">
        <v>741</v>
      </c>
      <c r="AG310" s="15"/>
      <c r="AH310" s="16"/>
      <c r="AM310" s="15"/>
      <c r="AN310" s="16"/>
    </row>
    <row r="311">
      <c r="A311" s="13" t="s">
        <v>742</v>
      </c>
      <c r="B311" s="10">
        <v>44846.0</v>
      </c>
      <c r="C311" s="11" t="s">
        <v>116</v>
      </c>
      <c r="D311" s="11" t="s">
        <v>38</v>
      </c>
      <c r="E311" s="11" t="s">
        <v>39</v>
      </c>
      <c r="F311" s="11" t="s">
        <v>64</v>
      </c>
      <c r="G311" s="11" t="s">
        <v>45</v>
      </c>
      <c r="H311" s="11" t="s">
        <v>67</v>
      </c>
      <c r="I311" s="11"/>
      <c r="J311" s="11">
        <v>31.0</v>
      </c>
      <c r="K311" s="12">
        <v>45381.0</v>
      </c>
      <c r="L311" s="11">
        <f t="shared" si="27"/>
        <v>18</v>
      </c>
      <c r="M311" s="11">
        <v>554431.0</v>
      </c>
      <c r="N311" s="11">
        <v>10058.0</v>
      </c>
      <c r="O311" s="13" t="s">
        <v>42</v>
      </c>
      <c r="P311" s="11">
        <v>0.0</v>
      </c>
      <c r="Q311" s="14">
        <v>0.0</v>
      </c>
      <c r="R311" s="11">
        <v>1.0</v>
      </c>
      <c r="S311">
        <f t="shared" si="1"/>
        <v>2022</v>
      </c>
      <c r="T311">
        <f t="shared" si="2"/>
        <v>10</v>
      </c>
      <c r="U311">
        <f t="shared" si="3"/>
        <v>12</v>
      </c>
      <c r="Z311" s="17">
        <v>45381.0</v>
      </c>
      <c r="AG311" s="15"/>
      <c r="AH311" s="16"/>
      <c r="AM311" s="15"/>
      <c r="AN311" s="16"/>
    </row>
    <row r="312">
      <c r="A312" s="13" t="s">
        <v>743</v>
      </c>
      <c r="B312" s="10">
        <v>44832.0</v>
      </c>
      <c r="C312" s="11" t="s">
        <v>156</v>
      </c>
      <c r="D312" s="11" t="s">
        <v>38</v>
      </c>
      <c r="E312" s="11" t="s">
        <v>39</v>
      </c>
      <c r="F312" s="11" t="s">
        <v>40</v>
      </c>
      <c r="G312" s="11" t="s">
        <v>45</v>
      </c>
      <c r="H312" s="11" t="s">
        <v>56</v>
      </c>
      <c r="I312" s="11"/>
      <c r="J312" s="11">
        <v>23.0</v>
      </c>
      <c r="K312" s="12">
        <v>45478.0</v>
      </c>
      <c r="L312" s="11">
        <f t="shared" si="27"/>
        <v>21</v>
      </c>
      <c r="M312" s="11">
        <v>669358.0</v>
      </c>
      <c r="N312" s="11">
        <v>22264.0</v>
      </c>
      <c r="O312" s="13" t="s">
        <v>42</v>
      </c>
      <c r="P312" s="11">
        <v>0.0</v>
      </c>
      <c r="Q312" s="14">
        <v>0.0</v>
      </c>
      <c r="R312" s="11">
        <v>1.0</v>
      </c>
      <c r="S312">
        <f t="shared" si="1"/>
        <v>2022</v>
      </c>
      <c r="T312">
        <f t="shared" si="2"/>
        <v>9</v>
      </c>
      <c r="U312">
        <f t="shared" si="3"/>
        <v>28</v>
      </c>
      <c r="Z312" s="17">
        <v>45416.0</v>
      </c>
      <c r="AG312" s="15"/>
      <c r="AH312" s="16"/>
      <c r="AM312" s="15"/>
      <c r="AN312" s="16"/>
    </row>
    <row r="313">
      <c r="A313" s="13" t="s">
        <v>744</v>
      </c>
      <c r="B313" s="10">
        <v>44818.0</v>
      </c>
      <c r="C313" s="11" t="s">
        <v>44</v>
      </c>
      <c r="D313" s="11" t="s">
        <v>38</v>
      </c>
      <c r="E313" s="11" t="s">
        <v>39</v>
      </c>
      <c r="F313" s="11" t="s">
        <v>64</v>
      </c>
      <c r="G313" s="11" t="s">
        <v>45</v>
      </c>
      <c r="H313" s="11" t="s">
        <v>67</v>
      </c>
      <c r="I313" s="11"/>
      <c r="J313" s="11">
        <v>31.0</v>
      </c>
      <c r="K313" s="12">
        <v>45511.0</v>
      </c>
      <c r="L313" s="11">
        <f t="shared" si="27"/>
        <v>23</v>
      </c>
      <c r="M313" s="11">
        <v>543238.0</v>
      </c>
      <c r="N313" s="11">
        <v>5097.0</v>
      </c>
      <c r="O313" s="13" t="s">
        <v>42</v>
      </c>
      <c r="P313" s="11">
        <v>0.0</v>
      </c>
      <c r="Q313" s="14">
        <v>0.0</v>
      </c>
      <c r="R313" s="11">
        <v>1.0</v>
      </c>
      <c r="S313">
        <f t="shared" si="1"/>
        <v>2022</v>
      </c>
      <c r="T313">
        <f t="shared" si="2"/>
        <v>9</v>
      </c>
      <c r="U313">
        <f t="shared" si="3"/>
        <v>14</v>
      </c>
      <c r="Z313" s="17">
        <v>45382.0</v>
      </c>
      <c r="AG313" s="15"/>
      <c r="AH313" s="16"/>
      <c r="AM313" s="15"/>
      <c r="AN313" s="16"/>
    </row>
    <row r="314">
      <c r="A314" s="13" t="s">
        <v>745</v>
      </c>
      <c r="B314" s="10">
        <v>44818.0</v>
      </c>
      <c r="C314" s="11" t="s">
        <v>156</v>
      </c>
      <c r="D314" s="11" t="s">
        <v>58</v>
      </c>
      <c r="E314" s="11" t="s">
        <v>39</v>
      </c>
      <c r="F314" s="11" t="s">
        <v>64</v>
      </c>
      <c r="G314" s="11" t="s">
        <v>45</v>
      </c>
      <c r="H314" s="11" t="s">
        <v>109</v>
      </c>
      <c r="I314" s="11" t="s">
        <v>746</v>
      </c>
      <c r="J314" s="11">
        <v>26.0</v>
      </c>
      <c r="K314" s="12"/>
      <c r="L314" s="11"/>
      <c r="M314" s="11">
        <v>656713.0</v>
      </c>
      <c r="N314" s="11">
        <v>20186.0</v>
      </c>
      <c r="O314" s="13" t="s">
        <v>69</v>
      </c>
      <c r="P314" s="11">
        <v>0.0</v>
      </c>
      <c r="Q314" s="14">
        <v>0.0</v>
      </c>
      <c r="R314" s="11">
        <v>1.0</v>
      </c>
      <c r="S314">
        <f t="shared" si="1"/>
        <v>2022</v>
      </c>
      <c r="T314">
        <f t="shared" si="2"/>
        <v>9</v>
      </c>
      <c r="U314">
        <f t="shared" si="3"/>
        <v>14</v>
      </c>
      <c r="AG314" s="15"/>
      <c r="AH314" s="16"/>
      <c r="AM314" s="15"/>
      <c r="AN314" s="16"/>
    </row>
    <row r="315">
      <c r="A315" s="13" t="s">
        <v>747</v>
      </c>
      <c r="B315" s="10">
        <v>44813.0</v>
      </c>
      <c r="C315" s="11" t="s">
        <v>274</v>
      </c>
      <c r="D315" s="11" t="s">
        <v>38</v>
      </c>
      <c r="E315" s="11" t="s">
        <v>39</v>
      </c>
      <c r="F315" s="11" t="s">
        <v>40</v>
      </c>
      <c r="G315" s="11" t="s">
        <v>45</v>
      </c>
      <c r="H315" s="11" t="s">
        <v>67</v>
      </c>
      <c r="I315" s="11" t="s">
        <v>748</v>
      </c>
      <c r="J315" s="11">
        <v>26.0</v>
      </c>
      <c r="K315" s="12">
        <v>45382.0</v>
      </c>
      <c r="L315" s="11">
        <f t="shared" ref="L315:L316" si="28">ROUND(((K315-B315)/365)*12,0)</f>
        <v>19</v>
      </c>
      <c r="M315" s="11">
        <v>641726.0</v>
      </c>
      <c r="N315" s="11">
        <v>19345.0</v>
      </c>
      <c r="O315" s="13" t="s">
        <v>69</v>
      </c>
      <c r="P315" s="11">
        <v>0.0</v>
      </c>
      <c r="Q315" s="14">
        <v>0.0</v>
      </c>
      <c r="R315" s="11">
        <v>1.0</v>
      </c>
      <c r="S315">
        <f t="shared" si="1"/>
        <v>2022</v>
      </c>
      <c r="T315">
        <f t="shared" si="2"/>
        <v>9</v>
      </c>
      <c r="U315">
        <f t="shared" si="3"/>
        <v>9</v>
      </c>
      <c r="AG315" s="15"/>
      <c r="AH315" s="16"/>
      <c r="AM315" s="15"/>
      <c r="AN315" s="16"/>
    </row>
    <row r="316">
      <c r="A316" s="13" t="s">
        <v>749</v>
      </c>
      <c r="B316" s="10">
        <v>44811.0</v>
      </c>
      <c r="C316" s="11" t="s">
        <v>116</v>
      </c>
      <c r="D316" s="11" t="s">
        <v>58</v>
      </c>
      <c r="E316" s="11" t="s">
        <v>39</v>
      </c>
      <c r="F316" s="11" t="s">
        <v>40</v>
      </c>
      <c r="G316" s="11" t="s">
        <v>41</v>
      </c>
      <c r="H316" s="11"/>
      <c r="I316" s="11"/>
      <c r="J316" s="11">
        <v>24.0</v>
      </c>
      <c r="K316" s="12">
        <v>45385.0</v>
      </c>
      <c r="L316" s="11">
        <f t="shared" si="28"/>
        <v>19</v>
      </c>
      <c r="M316" s="11">
        <v>660623.0</v>
      </c>
      <c r="N316" s="11">
        <v>20468.0</v>
      </c>
      <c r="O316" s="13" t="s">
        <v>42</v>
      </c>
      <c r="P316" s="11">
        <v>0.0</v>
      </c>
      <c r="Q316" s="14">
        <v>0.0</v>
      </c>
      <c r="R316" s="11">
        <v>1.0</v>
      </c>
      <c r="S316">
        <f t="shared" si="1"/>
        <v>2022</v>
      </c>
      <c r="T316">
        <f t="shared" si="2"/>
        <v>9</v>
      </c>
      <c r="U316">
        <f t="shared" si="3"/>
        <v>7</v>
      </c>
      <c r="Z316" s="17">
        <v>45385.0</v>
      </c>
      <c r="AG316" s="15"/>
      <c r="AH316" s="16"/>
      <c r="AM316" s="15"/>
      <c r="AN316" s="16"/>
    </row>
    <row r="317">
      <c r="A317" s="13" t="s">
        <v>750</v>
      </c>
      <c r="B317" s="17">
        <v>44805.0</v>
      </c>
      <c r="C317" s="11" t="s">
        <v>44</v>
      </c>
      <c r="D317" s="11" t="s">
        <v>93</v>
      </c>
      <c r="E317" s="11" t="s">
        <v>39</v>
      </c>
      <c r="F317" s="11" t="s">
        <v>64</v>
      </c>
      <c r="G317" s="11" t="s">
        <v>45</v>
      </c>
      <c r="H317" s="11" t="s">
        <v>56</v>
      </c>
      <c r="I317" s="11" t="s">
        <v>344</v>
      </c>
      <c r="J317" s="11">
        <v>19.0</v>
      </c>
      <c r="K317" s="12">
        <v>45896.0</v>
      </c>
      <c r="L317" s="11"/>
      <c r="M317" s="11">
        <v>696492.0</v>
      </c>
      <c r="N317" s="11" t="s">
        <v>751</v>
      </c>
      <c r="O317" s="13"/>
      <c r="P317" s="11">
        <v>0.0</v>
      </c>
      <c r="Q317" s="14">
        <v>0.0</v>
      </c>
      <c r="R317" s="11">
        <v>1.0</v>
      </c>
      <c r="S317">
        <f t="shared" si="1"/>
        <v>2022</v>
      </c>
      <c r="T317">
        <f t="shared" si="2"/>
        <v>9</v>
      </c>
      <c r="U317">
        <f t="shared" si="3"/>
        <v>1</v>
      </c>
      <c r="Z317" s="17">
        <v>45896.0</v>
      </c>
      <c r="AG317" s="15"/>
      <c r="AH317" s="16"/>
      <c r="AM317" s="15"/>
      <c r="AN317" s="16"/>
    </row>
    <row r="318">
      <c r="A318" s="13" t="s">
        <v>752</v>
      </c>
      <c r="B318" s="10">
        <v>44804.0</v>
      </c>
      <c r="C318" s="11" t="s">
        <v>62</v>
      </c>
      <c r="D318" s="11" t="s">
        <v>58</v>
      </c>
      <c r="E318" s="11" t="s">
        <v>39</v>
      </c>
      <c r="F318" s="11" t="s">
        <v>64</v>
      </c>
      <c r="G318" s="11" t="s">
        <v>53</v>
      </c>
      <c r="H318" s="11"/>
      <c r="I318" s="11"/>
      <c r="J318" s="11">
        <v>33.0</v>
      </c>
      <c r="K318" s="12"/>
      <c r="L318" s="11"/>
      <c r="M318" s="11">
        <v>501625.0</v>
      </c>
      <c r="N318" s="11">
        <v>5358.0</v>
      </c>
      <c r="O318" s="13" t="s">
        <v>42</v>
      </c>
      <c r="P318" s="11">
        <v>0.0</v>
      </c>
      <c r="Q318" s="14">
        <v>0.0</v>
      </c>
      <c r="R318" s="11">
        <v>1.0</v>
      </c>
      <c r="S318">
        <f t="shared" si="1"/>
        <v>2022</v>
      </c>
      <c r="T318">
        <f t="shared" si="2"/>
        <v>8</v>
      </c>
      <c r="U318">
        <f t="shared" si="3"/>
        <v>31</v>
      </c>
      <c r="AG318" s="15"/>
      <c r="AH318" s="16"/>
      <c r="AM318" s="15"/>
      <c r="AN318" s="16"/>
    </row>
    <row r="319">
      <c r="A319" s="13" t="s">
        <v>753</v>
      </c>
      <c r="B319" s="10">
        <v>44803.0</v>
      </c>
      <c r="C319" s="11" t="s">
        <v>37</v>
      </c>
      <c r="D319" s="11" t="s">
        <v>38</v>
      </c>
      <c r="E319" s="11" t="s">
        <v>39</v>
      </c>
      <c r="F319" s="11" t="s">
        <v>40</v>
      </c>
      <c r="G319" s="11" t="s">
        <v>45</v>
      </c>
      <c r="H319" s="11" t="s">
        <v>67</v>
      </c>
      <c r="I319" s="11" t="s">
        <v>754</v>
      </c>
      <c r="J319" s="11">
        <v>27.0</v>
      </c>
      <c r="K319" s="12">
        <v>45379.0</v>
      </c>
      <c r="L319" s="11">
        <f t="shared" ref="L319:L323" si="29">ROUND(((K319-B319)/365)*12,0)</f>
        <v>19</v>
      </c>
      <c r="M319" s="11">
        <v>669622.0</v>
      </c>
      <c r="N319" s="11">
        <v>19742.0</v>
      </c>
      <c r="O319" s="13" t="s">
        <v>69</v>
      </c>
      <c r="P319" s="11">
        <v>0.0</v>
      </c>
      <c r="Q319" s="14">
        <v>0.0</v>
      </c>
      <c r="R319" s="11">
        <v>1.0</v>
      </c>
      <c r="S319">
        <f t="shared" si="1"/>
        <v>2022</v>
      </c>
      <c r="T319">
        <f t="shared" si="2"/>
        <v>8</v>
      </c>
      <c r="U319">
        <f t="shared" si="3"/>
        <v>30</v>
      </c>
      <c r="W319" s="17">
        <v>45088.0</v>
      </c>
      <c r="AG319" s="15"/>
      <c r="AH319" s="16"/>
      <c r="AM319" s="15"/>
      <c r="AN319" s="16"/>
    </row>
    <row r="320">
      <c r="A320" s="13" t="s">
        <v>755</v>
      </c>
      <c r="B320" s="10">
        <v>44796.0</v>
      </c>
      <c r="C320" s="11" t="s">
        <v>126</v>
      </c>
      <c r="D320" s="11" t="s">
        <v>38</v>
      </c>
      <c r="E320" s="11" t="s">
        <v>39</v>
      </c>
      <c r="F320" s="11" t="s">
        <v>40</v>
      </c>
      <c r="G320" s="11" t="s">
        <v>45</v>
      </c>
      <c r="H320" s="11" t="s">
        <v>231</v>
      </c>
      <c r="I320" s="11" t="s">
        <v>140</v>
      </c>
      <c r="J320" s="11">
        <v>27.0</v>
      </c>
      <c r="K320" s="12">
        <v>45418.0</v>
      </c>
      <c r="L320" s="11">
        <f t="shared" si="29"/>
        <v>20</v>
      </c>
      <c r="M320" s="11">
        <v>621111.0</v>
      </c>
      <c r="N320" s="11">
        <v>19374.0</v>
      </c>
      <c r="O320" s="13" t="s">
        <v>69</v>
      </c>
      <c r="P320" s="11">
        <v>0.0</v>
      </c>
      <c r="Q320" s="14">
        <v>0.0</v>
      </c>
      <c r="R320" s="11">
        <v>1.0</v>
      </c>
      <c r="S320">
        <f t="shared" si="1"/>
        <v>2022</v>
      </c>
      <c r="T320">
        <f t="shared" si="2"/>
        <v>8</v>
      </c>
      <c r="U320">
        <f t="shared" si="3"/>
        <v>23</v>
      </c>
      <c r="V320" s="17">
        <v>44622.0</v>
      </c>
      <c r="Y320" s="17">
        <v>45147.0</v>
      </c>
      <c r="Z320" s="17">
        <v>45172.0</v>
      </c>
      <c r="AG320" s="15"/>
      <c r="AH320" s="16"/>
      <c r="AM320" s="15"/>
      <c r="AN320" s="16"/>
    </row>
    <row r="321">
      <c r="A321" s="13" t="s">
        <v>756</v>
      </c>
      <c r="B321" s="10">
        <v>44790.0</v>
      </c>
      <c r="C321" s="11" t="s">
        <v>37</v>
      </c>
      <c r="D321" s="11" t="s">
        <v>38</v>
      </c>
      <c r="E321" s="11" t="s">
        <v>39</v>
      </c>
      <c r="F321" s="11" t="s">
        <v>40</v>
      </c>
      <c r="G321" s="11" t="s">
        <v>45</v>
      </c>
      <c r="H321" s="11" t="s">
        <v>67</v>
      </c>
      <c r="I321" s="11" t="s">
        <v>190</v>
      </c>
      <c r="J321" s="11">
        <v>27.0</v>
      </c>
      <c r="K321" s="12">
        <v>45395.0</v>
      </c>
      <c r="L321" s="11">
        <f t="shared" si="29"/>
        <v>20</v>
      </c>
      <c r="M321" s="11">
        <v>547001.0</v>
      </c>
      <c r="N321" s="11">
        <v>18769.0</v>
      </c>
      <c r="O321" s="13" t="s">
        <v>42</v>
      </c>
      <c r="P321" s="11">
        <v>0.0</v>
      </c>
      <c r="Q321" s="14">
        <v>0.0</v>
      </c>
      <c r="R321" s="11">
        <v>1.0</v>
      </c>
      <c r="S321">
        <f t="shared" si="1"/>
        <v>2022</v>
      </c>
      <c r="T321">
        <f t="shared" si="2"/>
        <v>8</v>
      </c>
      <c r="U321">
        <f t="shared" si="3"/>
        <v>17</v>
      </c>
      <c r="Z321" s="17">
        <v>45192.0</v>
      </c>
      <c r="AG321" s="15"/>
      <c r="AH321" s="16"/>
      <c r="AM321" s="15"/>
      <c r="AN321" s="16"/>
    </row>
    <row r="322">
      <c r="A322" s="13" t="s">
        <v>757</v>
      </c>
      <c r="B322" s="10">
        <v>44782.0</v>
      </c>
      <c r="C322" s="11" t="s">
        <v>37</v>
      </c>
      <c r="D322" s="11" t="s">
        <v>38</v>
      </c>
      <c r="E322" s="11" t="s">
        <v>39</v>
      </c>
      <c r="F322" s="11" t="s">
        <v>40</v>
      </c>
      <c r="G322" s="11" t="s">
        <v>45</v>
      </c>
      <c r="H322" s="11" t="s">
        <v>258</v>
      </c>
      <c r="I322" s="11" t="s">
        <v>258</v>
      </c>
      <c r="J322" s="11">
        <v>23.0</v>
      </c>
      <c r="K322" s="12">
        <v>45383.0</v>
      </c>
      <c r="L322" s="11">
        <f t="shared" si="29"/>
        <v>20</v>
      </c>
      <c r="M322" s="11">
        <v>676974.0</v>
      </c>
      <c r="N322" s="11">
        <v>27474.0</v>
      </c>
      <c r="O322" s="13" t="s">
        <v>69</v>
      </c>
      <c r="P322" s="11">
        <v>0.0</v>
      </c>
      <c r="Q322" s="14">
        <v>0.0</v>
      </c>
      <c r="R322" s="11">
        <v>1.0</v>
      </c>
      <c r="S322">
        <f t="shared" si="1"/>
        <v>2022</v>
      </c>
      <c r="T322">
        <f t="shared" si="2"/>
        <v>8</v>
      </c>
      <c r="U322">
        <f t="shared" si="3"/>
        <v>9</v>
      </c>
      <c r="AG322" s="15"/>
      <c r="AH322" s="16"/>
      <c r="AM322" s="15"/>
      <c r="AN322" s="16"/>
    </row>
    <row r="323">
      <c r="A323" s="13" t="s">
        <v>758</v>
      </c>
      <c r="B323" s="10">
        <v>44781.0</v>
      </c>
      <c r="C323" s="11" t="s">
        <v>101</v>
      </c>
      <c r="D323" s="11" t="s">
        <v>38</v>
      </c>
      <c r="E323" s="11" t="s">
        <v>39</v>
      </c>
      <c r="F323" s="11" t="s">
        <v>40</v>
      </c>
      <c r="G323" s="11" t="s">
        <v>326</v>
      </c>
      <c r="H323" s="11"/>
      <c r="I323" s="11"/>
      <c r="J323" s="11">
        <v>24.0</v>
      </c>
      <c r="K323" s="12">
        <v>45450.0</v>
      </c>
      <c r="L323" s="11">
        <f t="shared" si="29"/>
        <v>22</v>
      </c>
      <c r="M323" s="11">
        <v>528748.0</v>
      </c>
      <c r="N323" s="11">
        <v>21183.0</v>
      </c>
      <c r="O323" s="13" t="s">
        <v>42</v>
      </c>
      <c r="P323" s="11">
        <v>0.0</v>
      </c>
      <c r="Q323" s="14">
        <v>0.0</v>
      </c>
      <c r="R323" s="11">
        <v>1.0</v>
      </c>
      <c r="S323">
        <f t="shared" si="1"/>
        <v>2022</v>
      </c>
      <c r="T323">
        <f t="shared" si="2"/>
        <v>8</v>
      </c>
      <c r="U323">
        <f t="shared" si="3"/>
        <v>8</v>
      </c>
      <c r="Z323" s="17">
        <v>45382.0</v>
      </c>
      <c r="AG323" s="15"/>
      <c r="AH323" s="16"/>
      <c r="AM323" s="15"/>
      <c r="AN323" s="16"/>
    </row>
    <row r="324">
      <c r="A324" s="13" t="s">
        <v>759</v>
      </c>
      <c r="B324" s="10">
        <v>44777.0</v>
      </c>
      <c r="C324" s="11" t="s">
        <v>230</v>
      </c>
      <c r="D324" s="11" t="s">
        <v>77</v>
      </c>
      <c r="E324" s="11" t="s">
        <v>39</v>
      </c>
      <c r="F324" s="11" t="s">
        <v>40</v>
      </c>
      <c r="G324" s="11" t="s">
        <v>45</v>
      </c>
      <c r="H324" s="11" t="s">
        <v>46</v>
      </c>
      <c r="I324" s="11" t="s">
        <v>46</v>
      </c>
      <c r="J324" s="11">
        <v>27.0</v>
      </c>
      <c r="K324" s="12"/>
      <c r="L324" s="11"/>
      <c r="M324" s="11">
        <v>640453.0</v>
      </c>
      <c r="N324" s="11" t="s">
        <v>760</v>
      </c>
      <c r="O324" s="13" t="s">
        <v>761</v>
      </c>
      <c r="P324" s="11">
        <v>0.0</v>
      </c>
      <c r="Q324" s="14">
        <v>0.0</v>
      </c>
      <c r="R324" s="11">
        <v>0.0</v>
      </c>
      <c r="S324">
        <f t="shared" si="1"/>
        <v>2022</v>
      </c>
      <c r="T324">
        <f t="shared" si="2"/>
        <v>8</v>
      </c>
      <c r="U324">
        <f t="shared" si="3"/>
        <v>4</v>
      </c>
      <c r="AG324" s="15"/>
      <c r="AH324" s="16"/>
      <c r="AM324" s="15"/>
      <c r="AN324" s="16"/>
    </row>
    <row r="325">
      <c r="A325" s="13" t="s">
        <v>762</v>
      </c>
      <c r="B325" s="10">
        <v>44776.0</v>
      </c>
      <c r="C325" s="11" t="s">
        <v>138</v>
      </c>
      <c r="D325" s="11" t="s">
        <v>77</v>
      </c>
      <c r="E325" s="11" t="s">
        <v>39</v>
      </c>
      <c r="F325" s="11" t="s">
        <v>40</v>
      </c>
      <c r="G325" s="11" t="s">
        <v>45</v>
      </c>
      <c r="H325" s="11" t="s">
        <v>46</v>
      </c>
      <c r="I325" s="11" t="s">
        <v>763</v>
      </c>
      <c r="J325" s="11">
        <v>24.0</v>
      </c>
      <c r="K325" s="12">
        <v>45387.0</v>
      </c>
      <c r="L325" s="11">
        <f t="shared" ref="L325:L329" si="30">ROUND(((K325-B325)/365)*12,0)</f>
        <v>20</v>
      </c>
      <c r="M325" s="11">
        <v>686745.0</v>
      </c>
      <c r="N325" s="11" t="s">
        <v>764</v>
      </c>
      <c r="O325" s="13" t="s">
        <v>42</v>
      </c>
      <c r="P325" s="11">
        <v>0.0</v>
      </c>
      <c r="Q325" s="14">
        <v>0.0</v>
      </c>
      <c r="R325" s="11">
        <v>1.0</v>
      </c>
      <c r="S325">
        <f t="shared" si="1"/>
        <v>2022</v>
      </c>
      <c r="T325">
        <f t="shared" si="2"/>
        <v>8</v>
      </c>
      <c r="U325">
        <f t="shared" si="3"/>
        <v>3</v>
      </c>
      <c r="Z325" s="17">
        <v>45149.0</v>
      </c>
      <c r="AG325" s="15"/>
      <c r="AH325" s="16"/>
      <c r="AM325" s="15"/>
      <c r="AN325" s="16"/>
    </row>
    <row r="326">
      <c r="A326" s="13" t="s">
        <v>765</v>
      </c>
      <c r="B326" s="10">
        <v>44776.0</v>
      </c>
      <c r="C326" s="11" t="s">
        <v>55</v>
      </c>
      <c r="D326" s="11" t="s">
        <v>58</v>
      </c>
      <c r="E326" s="11" t="s">
        <v>39</v>
      </c>
      <c r="F326" s="11" t="s">
        <v>40</v>
      </c>
      <c r="G326" s="11" t="s">
        <v>45</v>
      </c>
      <c r="H326" s="11" t="s">
        <v>67</v>
      </c>
      <c r="I326" s="11" t="s">
        <v>766</v>
      </c>
      <c r="J326" s="11">
        <v>30.0</v>
      </c>
      <c r="K326" s="12">
        <v>45408.0</v>
      </c>
      <c r="L326" s="11">
        <f t="shared" si="30"/>
        <v>21</v>
      </c>
      <c r="M326" s="11">
        <v>673316.0</v>
      </c>
      <c r="N326" s="11">
        <v>19609.0</v>
      </c>
      <c r="O326" s="13"/>
      <c r="P326" s="11">
        <v>0.0</v>
      </c>
      <c r="Q326" s="14">
        <v>0.0</v>
      </c>
      <c r="R326" s="11">
        <v>1.0</v>
      </c>
      <c r="S326">
        <f t="shared" si="1"/>
        <v>2022</v>
      </c>
      <c r="T326">
        <f t="shared" si="2"/>
        <v>8</v>
      </c>
      <c r="U326">
        <f t="shared" si="3"/>
        <v>3</v>
      </c>
      <c r="Z326" s="17">
        <v>45408.0</v>
      </c>
      <c r="AG326" s="15"/>
      <c r="AH326" s="16"/>
      <c r="AM326" s="15"/>
      <c r="AN326" s="16"/>
    </row>
    <row r="327">
      <c r="A327" s="13" t="s">
        <v>767</v>
      </c>
      <c r="B327" s="10">
        <v>44776.0</v>
      </c>
      <c r="C327" s="11" t="s">
        <v>156</v>
      </c>
      <c r="D327" s="11" t="s">
        <v>88</v>
      </c>
      <c r="E327" s="11" t="s">
        <v>39</v>
      </c>
      <c r="F327" s="11" t="s">
        <v>40</v>
      </c>
      <c r="G327" s="11" t="s">
        <v>45</v>
      </c>
      <c r="H327" s="11" t="s">
        <v>127</v>
      </c>
      <c r="I327" s="11" t="s">
        <v>304</v>
      </c>
      <c r="J327" s="11">
        <v>23.0</v>
      </c>
      <c r="K327" s="12">
        <v>45169.0</v>
      </c>
      <c r="L327" s="11">
        <f t="shared" si="30"/>
        <v>13</v>
      </c>
      <c r="M327" s="11">
        <v>686751.0</v>
      </c>
      <c r="N327" s="11">
        <v>26020.0</v>
      </c>
      <c r="O327" s="13" t="s">
        <v>42</v>
      </c>
      <c r="P327" s="11">
        <v>0.0</v>
      </c>
      <c r="Q327" s="14">
        <v>0.0</v>
      </c>
      <c r="R327" s="11">
        <v>1.0</v>
      </c>
      <c r="S327">
        <f t="shared" si="1"/>
        <v>2022</v>
      </c>
      <c r="T327">
        <f t="shared" si="2"/>
        <v>8</v>
      </c>
      <c r="U327">
        <f t="shared" si="3"/>
        <v>3</v>
      </c>
      <c r="Z327" s="17">
        <v>45147.0</v>
      </c>
      <c r="AG327" s="15"/>
      <c r="AH327" s="16"/>
      <c r="AM327" s="15"/>
      <c r="AN327" s="16"/>
    </row>
    <row r="328">
      <c r="A328" s="13" t="s">
        <v>768</v>
      </c>
      <c r="B328" s="10">
        <v>44776.0</v>
      </c>
      <c r="C328" s="11" t="s">
        <v>76</v>
      </c>
      <c r="D328" s="11" t="s">
        <v>38</v>
      </c>
      <c r="E328" s="11" t="s">
        <v>39</v>
      </c>
      <c r="F328" s="11" t="s">
        <v>40</v>
      </c>
      <c r="G328" s="11" t="s">
        <v>45</v>
      </c>
      <c r="H328" s="11" t="s">
        <v>240</v>
      </c>
      <c r="I328" s="11" t="s">
        <v>769</v>
      </c>
      <c r="J328" s="11">
        <v>29.0</v>
      </c>
      <c r="K328" s="12">
        <v>45199.0</v>
      </c>
      <c r="L328" s="11">
        <f t="shared" si="30"/>
        <v>14</v>
      </c>
      <c r="M328" s="11">
        <v>663432.0</v>
      </c>
      <c r="N328" s="11">
        <v>17610.0</v>
      </c>
      <c r="O328" s="13" t="s">
        <v>42</v>
      </c>
      <c r="P328" s="11">
        <v>0.0</v>
      </c>
      <c r="Q328" s="14">
        <v>0.0</v>
      </c>
      <c r="R328" s="11">
        <v>1.0</v>
      </c>
      <c r="S328">
        <f t="shared" si="1"/>
        <v>2022</v>
      </c>
      <c r="T328">
        <f t="shared" si="2"/>
        <v>8</v>
      </c>
      <c r="U328">
        <f t="shared" si="3"/>
        <v>3</v>
      </c>
      <c r="Z328" s="17">
        <v>45145.0</v>
      </c>
      <c r="AG328" s="15"/>
      <c r="AH328" s="16"/>
      <c r="AM328" s="15"/>
      <c r="AN328" s="16"/>
    </row>
    <row r="329">
      <c r="A329" s="13" t="s">
        <v>770</v>
      </c>
      <c r="B329" s="10">
        <v>44774.0</v>
      </c>
      <c r="C329" s="11" t="s">
        <v>358</v>
      </c>
      <c r="D329" s="11" t="s">
        <v>88</v>
      </c>
      <c r="E329" s="11" t="s">
        <v>39</v>
      </c>
      <c r="F329" s="11" t="s">
        <v>64</v>
      </c>
      <c r="G329" s="11" t="s">
        <v>45</v>
      </c>
      <c r="H329" s="11" t="s">
        <v>182</v>
      </c>
      <c r="I329" s="11" t="s">
        <v>771</v>
      </c>
      <c r="J329" s="11">
        <v>24.0</v>
      </c>
      <c r="K329" s="12">
        <v>45387.0</v>
      </c>
      <c r="L329" s="11">
        <f t="shared" si="30"/>
        <v>20</v>
      </c>
      <c r="M329" s="11">
        <v>670191.0</v>
      </c>
      <c r="N329" s="11" t="s">
        <v>772</v>
      </c>
      <c r="O329" s="13" t="s">
        <v>773</v>
      </c>
      <c r="P329" s="11">
        <v>0.0</v>
      </c>
      <c r="Q329" s="14">
        <v>0.0</v>
      </c>
      <c r="R329" s="11">
        <v>1.0</v>
      </c>
      <c r="S329">
        <f t="shared" si="1"/>
        <v>2022</v>
      </c>
      <c r="T329">
        <f t="shared" si="2"/>
        <v>8</v>
      </c>
      <c r="U329">
        <f t="shared" si="3"/>
        <v>1</v>
      </c>
      <c r="Z329" s="17">
        <v>45387.0</v>
      </c>
      <c r="AG329" s="15"/>
      <c r="AH329" s="16"/>
      <c r="AM329" s="15"/>
      <c r="AN329" s="16"/>
    </row>
    <row r="330">
      <c r="A330" s="13" t="s">
        <v>774</v>
      </c>
      <c r="B330" s="10">
        <v>44774.0</v>
      </c>
      <c r="C330" s="11" t="s">
        <v>103</v>
      </c>
      <c r="D330" s="11" t="s">
        <v>221</v>
      </c>
      <c r="E330" s="11" t="s">
        <v>39</v>
      </c>
      <c r="F330" s="11" t="s">
        <v>40</v>
      </c>
      <c r="G330" s="11" t="s">
        <v>45</v>
      </c>
      <c r="H330" s="11" t="s">
        <v>56</v>
      </c>
      <c r="I330" s="11" t="s">
        <v>775</v>
      </c>
      <c r="J330" s="11">
        <v>24.0</v>
      </c>
      <c r="K330" s="12"/>
      <c r="L330" s="11"/>
      <c r="M330" s="11">
        <v>683764.0</v>
      </c>
      <c r="N330" s="11" t="s">
        <v>776</v>
      </c>
      <c r="O330" s="13" t="s">
        <v>42</v>
      </c>
      <c r="P330" s="11">
        <v>0.0</v>
      </c>
      <c r="Q330" s="14">
        <v>0.0</v>
      </c>
      <c r="R330" s="11">
        <v>1.0</v>
      </c>
      <c r="S330">
        <f t="shared" si="1"/>
        <v>2022</v>
      </c>
      <c r="T330">
        <f t="shared" si="2"/>
        <v>8</v>
      </c>
      <c r="U330">
        <f t="shared" si="3"/>
        <v>1</v>
      </c>
      <c r="AA330" s="17">
        <v>45777.0</v>
      </c>
      <c r="AB330" s="13" t="s">
        <v>777</v>
      </c>
      <c r="AG330" s="15"/>
      <c r="AH330" s="16"/>
      <c r="AM330" s="15"/>
      <c r="AN330" s="16"/>
    </row>
    <row r="331">
      <c r="A331" s="13" t="s">
        <v>778</v>
      </c>
      <c r="B331" s="10">
        <v>44774.0</v>
      </c>
      <c r="C331" s="11" t="s">
        <v>235</v>
      </c>
      <c r="D331" s="11" t="s">
        <v>77</v>
      </c>
      <c r="E331" s="11" t="s">
        <v>39</v>
      </c>
      <c r="F331" s="11" t="s">
        <v>40</v>
      </c>
      <c r="G331" s="11" t="s">
        <v>45</v>
      </c>
      <c r="H331" s="11" t="s">
        <v>258</v>
      </c>
      <c r="I331" s="11" t="s">
        <v>170</v>
      </c>
      <c r="J331" s="11">
        <v>23.0</v>
      </c>
      <c r="K331" s="12">
        <v>45391.0</v>
      </c>
      <c r="L331" s="11">
        <f t="shared" ref="L331:L333" si="31">ROUND(((K331-B331)/365)*12,0)</f>
        <v>20</v>
      </c>
      <c r="M331" s="11">
        <v>694382.0</v>
      </c>
      <c r="N331" s="11" t="s">
        <v>779</v>
      </c>
      <c r="O331" s="13"/>
      <c r="P331" s="11">
        <v>0.0</v>
      </c>
      <c r="Q331" s="14">
        <v>0.0</v>
      </c>
      <c r="R331" s="11">
        <v>1.0</v>
      </c>
      <c r="S331">
        <f t="shared" si="1"/>
        <v>2022</v>
      </c>
      <c r="T331">
        <f t="shared" si="2"/>
        <v>8</v>
      </c>
      <c r="U331">
        <f t="shared" si="3"/>
        <v>1</v>
      </c>
      <c r="Z331" s="17">
        <v>45149.0</v>
      </c>
      <c r="AG331" s="15"/>
      <c r="AH331" s="16"/>
      <c r="AM331" s="15"/>
      <c r="AN331" s="16"/>
    </row>
    <row r="332">
      <c r="A332" s="13" t="s">
        <v>780</v>
      </c>
      <c r="B332" s="10">
        <v>44763.0</v>
      </c>
      <c r="C332" s="11" t="s">
        <v>358</v>
      </c>
      <c r="D332" s="11" t="s">
        <v>77</v>
      </c>
      <c r="E332" s="11" t="s">
        <v>39</v>
      </c>
      <c r="F332" s="11" t="s">
        <v>64</v>
      </c>
      <c r="G332" s="11" t="s">
        <v>45</v>
      </c>
      <c r="H332" s="11" t="s">
        <v>74</v>
      </c>
      <c r="I332" s="11"/>
      <c r="J332" s="11">
        <v>27.0</v>
      </c>
      <c r="K332" s="12">
        <v>45160.0</v>
      </c>
      <c r="L332" s="11">
        <f t="shared" si="31"/>
        <v>13</v>
      </c>
      <c r="M332" s="11">
        <v>641394.0</v>
      </c>
      <c r="N332" s="11">
        <v>17783.0</v>
      </c>
      <c r="O332" s="13"/>
      <c r="P332" s="11">
        <v>0.0</v>
      </c>
      <c r="Q332" s="14">
        <v>0.0</v>
      </c>
      <c r="R332" s="11">
        <v>1.0</v>
      </c>
      <c r="S332">
        <f t="shared" si="1"/>
        <v>2022</v>
      </c>
      <c r="T332">
        <f t="shared" si="2"/>
        <v>7</v>
      </c>
      <c r="U332">
        <f t="shared" si="3"/>
        <v>21</v>
      </c>
      <c r="Z332" s="17">
        <v>45154.0</v>
      </c>
      <c r="AG332" s="15"/>
      <c r="AH332" s="16"/>
      <c r="AM332" s="15"/>
      <c r="AN332" s="16"/>
    </row>
    <row r="333">
      <c r="A333" s="13" t="s">
        <v>781</v>
      </c>
      <c r="B333" s="10">
        <v>44763.0</v>
      </c>
      <c r="C333" s="11" t="s">
        <v>108</v>
      </c>
      <c r="D333" s="11" t="s">
        <v>221</v>
      </c>
      <c r="E333" s="11" t="s">
        <v>39</v>
      </c>
      <c r="F333" s="11" t="s">
        <v>40</v>
      </c>
      <c r="G333" s="11" t="s">
        <v>53</v>
      </c>
      <c r="H333" s="11"/>
      <c r="I333" s="11"/>
      <c r="J333" s="11">
        <v>20.0</v>
      </c>
      <c r="K333" s="12">
        <v>45129.0</v>
      </c>
      <c r="L333" s="11">
        <f t="shared" si="31"/>
        <v>12</v>
      </c>
      <c r="M333" s="11">
        <v>684133.0</v>
      </c>
      <c r="N333" s="11" t="s">
        <v>782</v>
      </c>
      <c r="O333" s="13"/>
      <c r="P333" s="11">
        <v>0.0</v>
      </c>
      <c r="Q333" s="14">
        <v>0.0</v>
      </c>
      <c r="R333" s="11">
        <v>1.0</v>
      </c>
      <c r="S333">
        <f t="shared" si="1"/>
        <v>2022</v>
      </c>
      <c r="T333">
        <f t="shared" si="2"/>
        <v>7</v>
      </c>
      <c r="U333">
        <f t="shared" si="3"/>
        <v>21</v>
      </c>
      <c r="Z333" s="17">
        <v>45129.0</v>
      </c>
      <c r="AG333" s="15"/>
      <c r="AH333" s="16"/>
      <c r="AM333" s="15"/>
      <c r="AN333" s="16"/>
    </row>
    <row r="334">
      <c r="A334" s="13" t="s">
        <v>783</v>
      </c>
      <c r="B334" s="10">
        <v>44762.0</v>
      </c>
      <c r="C334" s="11" t="s">
        <v>167</v>
      </c>
      <c r="D334" s="11" t="s">
        <v>38</v>
      </c>
      <c r="E334" s="11" t="s">
        <v>39</v>
      </c>
      <c r="F334" s="11" t="s">
        <v>64</v>
      </c>
      <c r="G334" s="11" t="s">
        <v>45</v>
      </c>
      <c r="H334" s="11" t="s">
        <v>56</v>
      </c>
      <c r="I334" s="11" t="s">
        <v>784</v>
      </c>
      <c r="J334" s="11">
        <v>30.0</v>
      </c>
      <c r="K334" s="12"/>
      <c r="L334" s="11"/>
      <c r="M334" s="11">
        <v>623364.0</v>
      </c>
      <c r="N334" s="11">
        <v>16390.0</v>
      </c>
      <c r="O334" s="13"/>
      <c r="P334" s="11">
        <v>0.0</v>
      </c>
      <c r="Q334" s="14">
        <v>0.0</v>
      </c>
      <c r="R334" s="11">
        <v>1.0</v>
      </c>
      <c r="S334">
        <f t="shared" si="1"/>
        <v>2022</v>
      </c>
      <c r="T334">
        <f t="shared" si="2"/>
        <v>7</v>
      </c>
      <c r="U334">
        <f t="shared" si="3"/>
        <v>20</v>
      </c>
      <c r="Z334" s="17">
        <v>45381.0</v>
      </c>
      <c r="AG334" s="15"/>
      <c r="AH334" s="16"/>
      <c r="AM334" s="15"/>
      <c r="AN334" s="16"/>
    </row>
    <row r="335">
      <c r="A335" s="13" t="s">
        <v>785</v>
      </c>
      <c r="B335" s="10">
        <v>44762.0</v>
      </c>
      <c r="C335" s="11" t="s">
        <v>162</v>
      </c>
      <c r="D335" s="11" t="s">
        <v>38</v>
      </c>
      <c r="E335" s="11" t="s">
        <v>39</v>
      </c>
      <c r="F335" s="11" t="s">
        <v>40</v>
      </c>
      <c r="G335" s="11" t="s">
        <v>483</v>
      </c>
      <c r="H335" s="11"/>
      <c r="I335" s="11"/>
      <c r="J335" s="11">
        <v>26.0</v>
      </c>
      <c r="K335" s="12">
        <v>45382.0</v>
      </c>
      <c r="L335" s="11">
        <f t="shared" ref="L335:L338" si="32">ROUND(((K335-B335)/365)*12,0)</f>
        <v>20</v>
      </c>
      <c r="M335" s="11">
        <v>661269.0</v>
      </c>
      <c r="N335" s="11">
        <v>19278.0</v>
      </c>
      <c r="O335" s="13"/>
      <c r="P335" s="11">
        <v>0.0</v>
      </c>
      <c r="Q335" s="14">
        <v>0.0</v>
      </c>
      <c r="R335" s="11">
        <v>1.0</v>
      </c>
      <c r="S335">
        <f t="shared" si="1"/>
        <v>2022</v>
      </c>
      <c r="T335">
        <f t="shared" si="2"/>
        <v>7</v>
      </c>
      <c r="U335">
        <f t="shared" si="3"/>
        <v>20</v>
      </c>
      <c r="Z335" s="17">
        <v>45135.0</v>
      </c>
      <c r="AG335" s="15"/>
      <c r="AH335" s="16"/>
      <c r="AM335" s="15"/>
      <c r="AN335" s="16"/>
    </row>
    <row r="336">
      <c r="A336" s="13" t="s">
        <v>786</v>
      </c>
      <c r="B336" s="10">
        <v>44762.0</v>
      </c>
      <c r="C336" s="11" t="s">
        <v>44</v>
      </c>
      <c r="D336" s="11" t="s">
        <v>97</v>
      </c>
      <c r="E336" s="11" t="s">
        <v>39</v>
      </c>
      <c r="F336" s="11" t="s">
        <v>40</v>
      </c>
      <c r="G336" s="11" t="s">
        <v>45</v>
      </c>
      <c r="H336" s="11" t="s">
        <v>67</v>
      </c>
      <c r="I336" s="11" t="s">
        <v>375</v>
      </c>
      <c r="J336" s="11">
        <v>21.0</v>
      </c>
      <c r="K336" s="12">
        <v>45158.0</v>
      </c>
      <c r="L336" s="11">
        <f t="shared" si="32"/>
        <v>13</v>
      </c>
      <c r="M336" s="11">
        <v>681313.0</v>
      </c>
      <c r="N336" s="11" t="s">
        <v>787</v>
      </c>
      <c r="O336" s="13"/>
      <c r="P336" s="11">
        <v>0.0</v>
      </c>
      <c r="Q336" s="14">
        <v>0.0</v>
      </c>
      <c r="R336" s="11">
        <v>1.0</v>
      </c>
      <c r="S336">
        <f t="shared" si="1"/>
        <v>2022</v>
      </c>
      <c r="T336">
        <f t="shared" si="2"/>
        <v>7</v>
      </c>
      <c r="U336">
        <f t="shared" si="3"/>
        <v>20</v>
      </c>
      <c r="Z336" s="17">
        <v>45136.0</v>
      </c>
      <c r="AG336" s="15"/>
      <c r="AH336" s="16"/>
      <c r="AM336" s="15"/>
      <c r="AN336" s="16"/>
    </row>
    <row r="337">
      <c r="A337" s="13" t="s">
        <v>788</v>
      </c>
      <c r="B337" s="10">
        <v>44755.0</v>
      </c>
      <c r="C337" s="11" t="s">
        <v>167</v>
      </c>
      <c r="D337" s="11" t="s">
        <v>58</v>
      </c>
      <c r="E337" s="11" t="s">
        <v>39</v>
      </c>
      <c r="F337" s="11" t="s">
        <v>40</v>
      </c>
      <c r="G337" s="11" t="s">
        <v>45</v>
      </c>
      <c r="H337" s="11" t="s">
        <v>262</v>
      </c>
      <c r="I337" s="11" t="s">
        <v>789</v>
      </c>
      <c r="J337" s="11">
        <v>24.0</v>
      </c>
      <c r="K337" s="12">
        <v>45431.0</v>
      </c>
      <c r="L337" s="11">
        <f t="shared" si="32"/>
        <v>22</v>
      </c>
      <c r="M337" s="11">
        <v>681799.0</v>
      </c>
      <c r="N337" s="11">
        <v>24930.0</v>
      </c>
      <c r="O337" s="13" t="s">
        <v>42</v>
      </c>
      <c r="P337" s="11">
        <v>0.0</v>
      </c>
      <c r="Q337" s="14">
        <v>0.0</v>
      </c>
      <c r="R337" s="11">
        <v>1.0</v>
      </c>
      <c r="S337">
        <f t="shared" si="1"/>
        <v>2022</v>
      </c>
      <c r="T337">
        <f t="shared" si="2"/>
        <v>7</v>
      </c>
      <c r="U337">
        <f t="shared" si="3"/>
        <v>13</v>
      </c>
      <c r="Z337" s="17">
        <v>45423.0</v>
      </c>
      <c r="AG337" s="15"/>
      <c r="AH337" s="16"/>
      <c r="AM337" s="15"/>
      <c r="AN337" s="16"/>
    </row>
    <row r="338">
      <c r="A338" s="13" t="s">
        <v>790</v>
      </c>
      <c r="B338" s="10">
        <v>44743.0</v>
      </c>
      <c r="C338" s="11" t="s">
        <v>44</v>
      </c>
      <c r="D338" s="11" t="s">
        <v>221</v>
      </c>
      <c r="E338" s="11" t="s">
        <v>39</v>
      </c>
      <c r="F338" s="11" t="s">
        <v>40</v>
      </c>
      <c r="G338" s="11" t="s">
        <v>45</v>
      </c>
      <c r="H338" s="11" t="s">
        <v>84</v>
      </c>
      <c r="I338" s="11"/>
      <c r="J338" s="11">
        <v>21.0</v>
      </c>
      <c r="K338" s="12">
        <v>45121.0</v>
      </c>
      <c r="L338" s="11">
        <f t="shared" si="32"/>
        <v>12</v>
      </c>
      <c r="M338" s="11">
        <v>687198.0</v>
      </c>
      <c r="N338" s="11" t="s">
        <v>791</v>
      </c>
      <c r="O338" s="13"/>
      <c r="P338" s="11">
        <v>0.0</v>
      </c>
      <c r="Q338" s="14">
        <v>0.0</v>
      </c>
      <c r="R338" s="11">
        <v>1.0</v>
      </c>
      <c r="S338">
        <f t="shared" si="1"/>
        <v>2022</v>
      </c>
      <c r="T338">
        <f t="shared" si="2"/>
        <v>7</v>
      </c>
      <c r="U338">
        <f t="shared" si="3"/>
        <v>1</v>
      </c>
      <c r="Z338" s="17">
        <v>45121.0</v>
      </c>
      <c r="AG338" s="15"/>
      <c r="AH338" s="16"/>
      <c r="AM338" s="15"/>
      <c r="AN338" s="16"/>
    </row>
    <row r="339">
      <c r="A339" s="13" t="s">
        <v>792</v>
      </c>
      <c r="B339" s="17">
        <v>44743.0</v>
      </c>
      <c r="C339" s="11" t="s">
        <v>192</v>
      </c>
      <c r="D339" s="11" t="s">
        <v>93</v>
      </c>
      <c r="E339" s="11" t="s">
        <v>39</v>
      </c>
      <c r="F339" s="11" t="s">
        <v>64</v>
      </c>
      <c r="G339" s="11" t="s">
        <v>194</v>
      </c>
      <c r="H339" s="11"/>
      <c r="I339" s="11"/>
      <c r="J339" s="11">
        <v>20.0</v>
      </c>
      <c r="K339" s="12"/>
      <c r="L339" s="11"/>
      <c r="M339" s="11">
        <v>683328.0</v>
      </c>
      <c r="N339" s="11" t="s">
        <v>793</v>
      </c>
      <c r="O339" s="13"/>
      <c r="P339" s="11">
        <v>0.0</v>
      </c>
      <c r="Q339" s="14">
        <v>0.0</v>
      </c>
      <c r="R339" s="11">
        <v>1.0</v>
      </c>
      <c r="S339">
        <f t="shared" si="1"/>
        <v>2022</v>
      </c>
      <c r="T339">
        <f t="shared" si="2"/>
        <v>7</v>
      </c>
      <c r="U339">
        <f t="shared" si="3"/>
        <v>1</v>
      </c>
      <c r="AG339" s="15"/>
      <c r="AH339" s="16"/>
      <c r="AM339" s="15"/>
      <c r="AN339" s="16"/>
    </row>
    <row r="340">
      <c r="A340" s="13" t="s">
        <v>794</v>
      </c>
      <c r="B340" s="10">
        <v>44743.0</v>
      </c>
      <c r="C340" s="11" t="s">
        <v>358</v>
      </c>
      <c r="D340" s="11" t="s">
        <v>97</v>
      </c>
      <c r="E340" s="11" t="s">
        <v>279</v>
      </c>
      <c r="F340" s="11" t="s">
        <v>40</v>
      </c>
      <c r="G340" s="11" t="s">
        <v>45</v>
      </c>
      <c r="H340" s="11" t="s">
        <v>84</v>
      </c>
      <c r="I340" s="11" t="s">
        <v>84</v>
      </c>
      <c r="J340" s="11">
        <v>24.0</v>
      </c>
      <c r="K340" s="12"/>
      <c r="L340" s="11"/>
      <c r="M340" s="11">
        <v>669381.0</v>
      </c>
      <c r="N340" s="11" t="s">
        <v>795</v>
      </c>
      <c r="O340" s="13" t="s">
        <v>69</v>
      </c>
      <c r="P340" s="11">
        <v>0.0</v>
      </c>
      <c r="Q340" s="14">
        <v>0.0</v>
      </c>
      <c r="R340" s="11">
        <v>0.0</v>
      </c>
      <c r="S340">
        <f t="shared" si="1"/>
        <v>2022</v>
      </c>
      <c r="T340">
        <f t="shared" si="2"/>
        <v>7</v>
      </c>
      <c r="U340">
        <f t="shared" si="3"/>
        <v>1</v>
      </c>
      <c r="AG340" s="15"/>
      <c r="AH340" s="16"/>
      <c r="AM340" s="15"/>
      <c r="AN340" s="16"/>
    </row>
    <row r="341">
      <c r="A341" s="13" t="s">
        <v>796</v>
      </c>
      <c r="B341" s="10">
        <v>44743.0</v>
      </c>
      <c r="C341" s="11" t="s">
        <v>346</v>
      </c>
      <c r="D341" s="11" t="s">
        <v>88</v>
      </c>
      <c r="E341" s="11" t="s">
        <v>39</v>
      </c>
      <c r="F341" s="11" t="s">
        <v>40</v>
      </c>
      <c r="G341" s="11" t="s">
        <v>45</v>
      </c>
      <c r="H341" s="11" t="s">
        <v>67</v>
      </c>
      <c r="I341" s="11" t="s">
        <v>669</v>
      </c>
      <c r="J341" s="11">
        <v>21.0</v>
      </c>
      <c r="K341" s="12">
        <v>45428.0</v>
      </c>
      <c r="L341" s="11">
        <f t="shared" ref="L341:L356" si="33">ROUND(((K341-B341)/365)*12,0)</f>
        <v>23</v>
      </c>
      <c r="M341" s="11">
        <v>695065.0</v>
      </c>
      <c r="N341" s="11" t="s">
        <v>797</v>
      </c>
      <c r="O341" s="13"/>
      <c r="P341" s="11">
        <v>0.0</v>
      </c>
      <c r="Q341" s="14">
        <v>0.0</v>
      </c>
      <c r="R341" s="11">
        <v>1.0</v>
      </c>
      <c r="S341">
        <f t="shared" si="1"/>
        <v>2022</v>
      </c>
      <c r="T341">
        <f t="shared" si="2"/>
        <v>7</v>
      </c>
      <c r="U341">
        <f t="shared" si="3"/>
        <v>1</v>
      </c>
      <c r="Z341" s="17">
        <v>45418.0</v>
      </c>
      <c r="AG341" s="15"/>
      <c r="AH341" s="16"/>
      <c r="AM341" s="15"/>
      <c r="AN341" s="16"/>
    </row>
    <row r="342">
      <c r="A342" s="13" t="s">
        <v>798</v>
      </c>
      <c r="B342" s="10">
        <v>44743.0</v>
      </c>
      <c r="C342" s="11" t="s">
        <v>186</v>
      </c>
      <c r="D342" s="11" t="s">
        <v>88</v>
      </c>
      <c r="E342" s="11" t="s">
        <v>39</v>
      </c>
      <c r="F342" s="11" t="s">
        <v>40</v>
      </c>
      <c r="G342" s="11" t="s">
        <v>45</v>
      </c>
      <c r="H342" s="11" t="s">
        <v>59</v>
      </c>
      <c r="I342" s="11" t="s">
        <v>799</v>
      </c>
      <c r="J342" s="11">
        <v>24.0</v>
      </c>
      <c r="K342" s="12">
        <v>45163.0</v>
      </c>
      <c r="L342" s="11">
        <f t="shared" si="33"/>
        <v>14</v>
      </c>
      <c r="M342" s="11">
        <v>670391.0</v>
      </c>
      <c r="N342" s="11" t="s">
        <v>800</v>
      </c>
      <c r="O342" s="13"/>
      <c r="P342" s="11">
        <v>0.0</v>
      </c>
      <c r="Q342" s="14">
        <v>0.0</v>
      </c>
      <c r="R342" s="11">
        <v>1.0</v>
      </c>
      <c r="S342">
        <f t="shared" si="1"/>
        <v>2022</v>
      </c>
      <c r="T342">
        <f t="shared" si="2"/>
        <v>7</v>
      </c>
      <c r="U342">
        <f t="shared" si="3"/>
        <v>1</v>
      </c>
      <c r="Z342" s="17">
        <v>45148.0</v>
      </c>
      <c r="AG342" s="15"/>
      <c r="AH342" s="16"/>
      <c r="AM342" s="15"/>
      <c r="AN342" s="16"/>
    </row>
    <row r="343">
      <c r="A343" s="13" t="s">
        <v>801</v>
      </c>
      <c r="B343" s="10">
        <v>44734.0</v>
      </c>
      <c r="C343" s="11" t="s">
        <v>156</v>
      </c>
      <c r="D343" s="11" t="s">
        <v>38</v>
      </c>
      <c r="E343" s="11" t="s">
        <v>39</v>
      </c>
      <c r="F343" s="11" t="s">
        <v>40</v>
      </c>
      <c r="G343" s="11" t="s">
        <v>45</v>
      </c>
      <c r="H343" s="11" t="s">
        <v>182</v>
      </c>
      <c r="I343" s="11" t="s">
        <v>182</v>
      </c>
      <c r="J343" s="11">
        <v>32.0</v>
      </c>
      <c r="K343" s="12">
        <v>45156.0</v>
      </c>
      <c r="L343" s="11">
        <f t="shared" si="33"/>
        <v>14</v>
      </c>
      <c r="M343" s="11">
        <v>552640.0</v>
      </c>
      <c r="N343" s="11">
        <v>12828.0</v>
      </c>
      <c r="O343" s="13" t="s">
        <v>42</v>
      </c>
      <c r="P343" s="11">
        <v>0.0</v>
      </c>
      <c r="Q343" s="14">
        <v>0.0</v>
      </c>
      <c r="R343" s="11">
        <v>1.0</v>
      </c>
      <c r="S343">
        <f t="shared" si="1"/>
        <v>2022</v>
      </c>
      <c r="T343">
        <f t="shared" si="2"/>
        <v>6</v>
      </c>
      <c r="U343">
        <f t="shared" si="3"/>
        <v>22</v>
      </c>
      <c r="Z343" s="17">
        <v>45111.0</v>
      </c>
      <c r="AG343" s="15"/>
      <c r="AH343" s="16"/>
      <c r="AM343" s="15"/>
      <c r="AN343" s="16"/>
    </row>
    <row r="344">
      <c r="A344" s="13" t="s">
        <v>802</v>
      </c>
      <c r="B344" s="10">
        <v>44730.0</v>
      </c>
      <c r="C344" s="11" t="s">
        <v>235</v>
      </c>
      <c r="D344" s="11" t="s">
        <v>38</v>
      </c>
      <c r="E344" s="11" t="s">
        <v>39</v>
      </c>
      <c r="F344" s="11" t="s">
        <v>64</v>
      </c>
      <c r="G344" s="11" t="s">
        <v>803</v>
      </c>
      <c r="H344" s="30"/>
      <c r="I344" s="30"/>
      <c r="J344" s="11">
        <v>35.0</v>
      </c>
      <c r="K344" s="12">
        <v>45139.0</v>
      </c>
      <c r="L344" s="11">
        <f t="shared" si="33"/>
        <v>13</v>
      </c>
      <c r="M344" s="11">
        <v>547943.0</v>
      </c>
      <c r="N344" s="11">
        <v>14444.0</v>
      </c>
      <c r="O344" s="13" t="s">
        <v>69</v>
      </c>
      <c r="P344" s="11">
        <v>0.0</v>
      </c>
      <c r="Q344" s="14">
        <v>0.0</v>
      </c>
      <c r="R344" s="11">
        <v>1.0</v>
      </c>
      <c r="S344">
        <f t="shared" si="1"/>
        <v>2022</v>
      </c>
      <c r="T344">
        <f t="shared" si="2"/>
        <v>6</v>
      </c>
      <c r="U344">
        <f t="shared" si="3"/>
        <v>18</v>
      </c>
      <c r="X344" s="17">
        <v>45069.0</v>
      </c>
      <c r="Z344" s="17">
        <v>45111.0</v>
      </c>
      <c r="AG344" s="15"/>
      <c r="AH344" s="16"/>
      <c r="AM344" s="15"/>
      <c r="AN344" s="16"/>
    </row>
    <row r="345">
      <c r="A345" s="13" t="s">
        <v>804</v>
      </c>
      <c r="B345" s="10">
        <v>44727.0</v>
      </c>
      <c r="C345" s="11" t="s">
        <v>111</v>
      </c>
      <c r="D345" s="11" t="s">
        <v>58</v>
      </c>
      <c r="E345" s="11" t="s">
        <v>39</v>
      </c>
      <c r="F345" s="11" t="s">
        <v>40</v>
      </c>
      <c r="G345" s="11" t="s">
        <v>45</v>
      </c>
      <c r="H345" s="11" t="s">
        <v>243</v>
      </c>
      <c r="I345" s="11" t="s">
        <v>654</v>
      </c>
      <c r="J345" s="11">
        <v>25.0</v>
      </c>
      <c r="K345" s="12">
        <v>45386.0</v>
      </c>
      <c r="L345" s="11">
        <f t="shared" si="33"/>
        <v>22</v>
      </c>
      <c r="M345" s="11">
        <v>663554.0</v>
      </c>
      <c r="N345" s="11">
        <v>20492.0</v>
      </c>
      <c r="O345" s="13" t="s">
        <v>42</v>
      </c>
      <c r="P345" s="11">
        <v>0.0</v>
      </c>
      <c r="Q345" s="14">
        <v>0.0</v>
      </c>
      <c r="R345" s="11">
        <v>1.0</v>
      </c>
      <c r="S345">
        <f t="shared" si="1"/>
        <v>2022</v>
      </c>
      <c r="T345">
        <f t="shared" si="2"/>
        <v>6</v>
      </c>
      <c r="U345">
        <f t="shared" si="3"/>
        <v>15</v>
      </c>
      <c r="AG345" s="15"/>
      <c r="AH345" s="16"/>
      <c r="AM345" s="15"/>
      <c r="AN345" s="16"/>
    </row>
    <row r="346">
      <c r="A346" s="13" t="s">
        <v>805</v>
      </c>
      <c r="B346" s="10">
        <v>44722.0</v>
      </c>
      <c r="C346" s="11" t="s">
        <v>76</v>
      </c>
      <c r="D346" s="11" t="s">
        <v>77</v>
      </c>
      <c r="E346" s="11" t="s">
        <v>39</v>
      </c>
      <c r="F346" s="11" t="s">
        <v>40</v>
      </c>
      <c r="G346" s="11" t="s">
        <v>45</v>
      </c>
      <c r="H346" s="11" t="s">
        <v>67</v>
      </c>
      <c r="I346" s="11"/>
      <c r="J346" s="11">
        <v>29.0</v>
      </c>
      <c r="K346" s="12">
        <v>45183.0</v>
      </c>
      <c r="L346" s="11">
        <f t="shared" si="33"/>
        <v>15</v>
      </c>
      <c r="M346" s="11">
        <v>605452.0</v>
      </c>
      <c r="N346" s="11">
        <v>12972.0</v>
      </c>
      <c r="O346" s="13" t="s">
        <v>69</v>
      </c>
      <c r="P346" s="11">
        <v>0.0</v>
      </c>
      <c r="Q346" s="14">
        <v>0.0</v>
      </c>
      <c r="R346" s="11">
        <v>1.0</v>
      </c>
      <c r="S346">
        <f t="shared" si="1"/>
        <v>2022</v>
      </c>
      <c r="T346">
        <f t="shared" si="2"/>
        <v>6</v>
      </c>
      <c r="U346">
        <f t="shared" si="3"/>
        <v>10</v>
      </c>
      <c r="Z346" s="17">
        <v>45160.0</v>
      </c>
      <c r="AG346" s="15"/>
      <c r="AH346" s="16"/>
      <c r="AM346" s="15"/>
      <c r="AN346" s="16"/>
    </row>
    <row r="347">
      <c r="A347" s="13" t="s">
        <v>806</v>
      </c>
      <c r="B347" s="10">
        <v>44715.0</v>
      </c>
      <c r="C347" s="11" t="s">
        <v>162</v>
      </c>
      <c r="D347" s="11" t="s">
        <v>38</v>
      </c>
      <c r="E347" s="11" t="s">
        <v>39</v>
      </c>
      <c r="F347" s="11" t="s">
        <v>64</v>
      </c>
      <c r="G347" s="11" t="s">
        <v>45</v>
      </c>
      <c r="H347" s="11" t="s">
        <v>67</v>
      </c>
      <c r="I347" s="11" t="s">
        <v>807</v>
      </c>
      <c r="J347" s="11">
        <v>34.0</v>
      </c>
      <c r="K347" s="12">
        <v>45381.0</v>
      </c>
      <c r="L347" s="11">
        <f t="shared" si="33"/>
        <v>22</v>
      </c>
      <c r="M347" s="11">
        <v>458677.0</v>
      </c>
      <c r="N347" s="11">
        <v>4301.0</v>
      </c>
      <c r="O347" s="13" t="s">
        <v>355</v>
      </c>
      <c r="P347" s="11">
        <v>0.0</v>
      </c>
      <c r="Q347" s="14">
        <v>0.0</v>
      </c>
      <c r="R347" s="11">
        <v>1.0</v>
      </c>
      <c r="S347">
        <f t="shared" si="1"/>
        <v>2022</v>
      </c>
      <c r="T347">
        <f t="shared" si="2"/>
        <v>6</v>
      </c>
      <c r="U347">
        <f t="shared" si="3"/>
        <v>3</v>
      </c>
      <c r="Z347" s="17">
        <v>45104.0</v>
      </c>
      <c r="AA347" s="17">
        <v>45136.0</v>
      </c>
      <c r="AB347" s="13" t="s">
        <v>808</v>
      </c>
      <c r="AG347" s="15"/>
      <c r="AH347" s="16"/>
      <c r="AM347" s="15"/>
      <c r="AN347" s="16"/>
    </row>
    <row r="348">
      <c r="A348" s="13" t="s">
        <v>809</v>
      </c>
      <c r="B348" s="10">
        <v>44715.0</v>
      </c>
      <c r="C348" s="11" t="s">
        <v>362</v>
      </c>
      <c r="D348" s="11" t="s">
        <v>38</v>
      </c>
      <c r="E348" s="11" t="s">
        <v>39</v>
      </c>
      <c r="F348" s="11" t="s">
        <v>40</v>
      </c>
      <c r="G348" s="11" t="s">
        <v>45</v>
      </c>
      <c r="H348" s="11" t="s">
        <v>109</v>
      </c>
      <c r="I348" s="11"/>
      <c r="J348" s="11">
        <v>24.0</v>
      </c>
      <c r="K348" s="12">
        <v>45745.0</v>
      </c>
      <c r="L348" s="11">
        <f t="shared" si="33"/>
        <v>34</v>
      </c>
      <c r="M348" s="11">
        <v>668820.0</v>
      </c>
      <c r="N348" s="11">
        <v>22175.0</v>
      </c>
      <c r="O348" s="13"/>
      <c r="P348" s="11">
        <v>0.0</v>
      </c>
      <c r="Q348" s="14">
        <v>0.0</v>
      </c>
      <c r="R348" s="11">
        <v>1.0</v>
      </c>
      <c r="S348">
        <f t="shared" si="1"/>
        <v>2022</v>
      </c>
      <c r="T348">
        <f t="shared" si="2"/>
        <v>6</v>
      </c>
      <c r="U348">
        <f t="shared" si="3"/>
        <v>3</v>
      </c>
      <c r="Z348" s="17">
        <v>45151.0</v>
      </c>
      <c r="AG348" s="15"/>
      <c r="AH348" s="16"/>
      <c r="AM348" s="15"/>
      <c r="AN348" s="16"/>
    </row>
    <row r="349">
      <c r="A349" s="13" t="s">
        <v>810</v>
      </c>
      <c r="B349" s="10">
        <v>44713.0</v>
      </c>
      <c r="C349" s="11" t="s">
        <v>108</v>
      </c>
      <c r="D349" s="11" t="s">
        <v>38</v>
      </c>
      <c r="E349" s="11" t="s">
        <v>39</v>
      </c>
      <c r="F349" s="11" t="s">
        <v>40</v>
      </c>
      <c r="G349" s="11" t="s">
        <v>45</v>
      </c>
      <c r="H349" s="11" t="s">
        <v>73</v>
      </c>
      <c r="I349" s="11" t="s">
        <v>746</v>
      </c>
      <c r="J349" s="11">
        <v>31.0</v>
      </c>
      <c r="K349" s="12">
        <v>45170.0</v>
      </c>
      <c r="L349" s="11">
        <f t="shared" si="33"/>
        <v>15</v>
      </c>
      <c r="M349" s="11">
        <v>643338.0</v>
      </c>
      <c r="N349" s="11">
        <v>15552.0</v>
      </c>
      <c r="O349" s="13" t="s">
        <v>42</v>
      </c>
      <c r="P349" s="11">
        <v>0.0</v>
      </c>
      <c r="Q349" s="14">
        <v>0.0</v>
      </c>
      <c r="R349" s="11">
        <v>1.0</v>
      </c>
      <c r="S349">
        <f t="shared" si="1"/>
        <v>2022</v>
      </c>
      <c r="T349">
        <f t="shared" si="2"/>
        <v>6</v>
      </c>
      <c r="U349">
        <f t="shared" si="3"/>
        <v>1</v>
      </c>
      <c r="X349" s="17"/>
      <c r="Z349" s="17">
        <v>45129.0</v>
      </c>
      <c r="AG349" s="15"/>
      <c r="AH349" s="16"/>
      <c r="AM349" s="15"/>
      <c r="AN349" s="16"/>
    </row>
    <row r="350">
      <c r="A350" s="13" t="s">
        <v>811</v>
      </c>
      <c r="B350" s="10">
        <v>44713.0</v>
      </c>
      <c r="C350" s="11" t="s">
        <v>362</v>
      </c>
      <c r="D350" s="11" t="s">
        <v>58</v>
      </c>
      <c r="E350" s="11" t="s">
        <v>39</v>
      </c>
      <c r="F350" s="11" t="s">
        <v>64</v>
      </c>
      <c r="G350" s="11" t="s">
        <v>45</v>
      </c>
      <c r="H350" s="11" t="s">
        <v>109</v>
      </c>
      <c r="I350" s="11" t="s">
        <v>812</v>
      </c>
      <c r="J350" s="11">
        <v>24.0</v>
      </c>
      <c r="K350" s="12">
        <v>45435.0</v>
      </c>
      <c r="L350" s="11">
        <f t="shared" si="33"/>
        <v>24</v>
      </c>
      <c r="M350" s="11">
        <v>690736.0</v>
      </c>
      <c r="N350" s="11" t="s">
        <v>813</v>
      </c>
      <c r="O350" s="13"/>
      <c r="P350" s="11">
        <v>0.0</v>
      </c>
      <c r="Q350" s="14">
        <v>0.0</v>
      </c>
      <c r="R350" s="11">
        <v>1.0</v>
      </c>
      <c r="S350">
        <f t="shared" si="1"/>
        <v>2022</v>
      </c>
      <c r="T350">
        <f t="shared" si="2"/>
        <v>6</v>
      </c>
      <c r="U350">
        <f t="shared" si="3"/>
        <v>1</v>
      </c>
      <c r="Z350" s="17">
        <v>45142.0</v>
      </c>
      <c r="AG350" s="15"/>
      <c r="AH350" s="16"/>
      <c r="AM350" s="15"/>
      <c r="AN350" s="16"/>
    </row>
    <row r="351">
      <c r="A351" s="13" t="s">
        <v>814</v>
      </c>
      <c r="B351" s="10">
        <v>44713.0</v>
      </c>
      <c r="C351" s="11" t="s">
        <v>156</v>
      </c>
      <c r="D351" s="11" t="s">
        <v>77</v>
      </c>
      <c r="E351" s="11" t="s">
        <v>39</v>
      </c>
      <c r="F351" s="11" t="s">
        <v>64</v>
      </c>
      <c r="G351" s="11" t="s">
        <v>45</v>
      </c>
      <c r="H351" s="11" t="s">
        <v>729</v>
      </c>
      <c r="I351" s="11" t="s">
        <v>47</v>
      </c>
      <c r="J351" s="11">
        <v>23.0</v>
      </c>
      <c r="K351" s="12">
        <v>45183.0</v>
      </c>
      <c r="L351" s="11">
        <f t="shared" si="33"/>
        <v>15</v>
      </c>
      <c r="M351" s="11">
        <v>693855.0</v>
      </c>
      <c r="N351" s="11" t="s">
        <v>815</v>
      </c>
      <c r="O351" s="13"/>
      <c r="P351" s="11">
        <v>0.0</v>
      </c>
      <c r="Q351" s="14">
        <v>0.0</v>
      </c>
      <c r="R351" s="11">
        <v>1.0</v>
      </c>
      <c r="S351">
        <f t="shared" si="1"/>
        <v>2022</v>
      </c>
      <c r="T351">
        <f t="shared" si="2"/>
        <v>6</v>
      </c>
      <c r="U351">
        <f t="shared" si="3"/>
        <v>1</v>
      </c>
      <c r="Z351" s="17">
        <v>45111.0</v>
      </c>
      <c r="AG351" s="15"/>
      <c r="AH351" s="16"/>
      <c r="AM351" s="15"/>
      <c r="AN351" s="16"/>
    </row>
    <row r="352">
      <c r="A352" s="13" t="s">
        <v>816</v>
      </c>
      <c r="B352" s="17">
        <v>44713.0</v>
      </c>
      <c r="C352" s="11" t="s">
        <v>235</v>
      </c>
      <c r="D352" s="11" t="s">
        <v>93</v>
      </c>
      <c r="E352" s="11" t="s">
        <v>39</v>
      </c>
      <c r="F352" s="11" t="s">
        <v>40</v>
      </c>
      <c r="G352" s="11" t="s">
        <v>45</v>
      </c>
      <c r="H352" s="11" t="s">
        <v>84</v>
      </c>
      <c r="I352" s="11" t="s">
        <v>240</v>
      </c>
      <c r="J352" s="11">
        <v>21.0</v>
      </c>
      <c r="K352" s="12">
        <v>45143.0</v>
      </c>
      <c r="L352" s="11">
        <f t="shared" si="33"/>
        <v>14</v>
      </c>
      <c r="M352" s="11">
        <v>687629.0</v>
      </c>
      <c r="N352" s="11" t="s">
        <v>817</v>
      </c>
      <c r="O352" s="13"/>
      <c r="P352" s="11">
        <v>0.0</v>
      </c>
      <c r="Q352" s="14">
        <v>0.0</v>
      </c>
      <c r="R352" s="11">
        <v>1.0</v>
      </c>
      <c r="S352">
        <f t="shared" si="1"/>
        <v>2022</v>
      </c>
      <c r="T352">
        <f t="shared" si="2"/>
        <v>6</v>
      </c>
      <c r="U352">
        <f t="shared" si="3"/>
        <v>1</v>
      </c>
      <c r="Z352" s="17">
        <v>45143.0</v>
      </c>
      <c r="AG352" s="15"/>
      <c r="AH352" s="16"/>
      <c r="AM352" s="15"/>
      <c r="AN352" s="16"/>
    </row>
    <row r="353">
      <c r="A353" s="13" t="s">
        <v>818</v>
      </c>
      <c r="B353" s="10">
        <v>44708.0</v>
      </c>
      <c r="C353" s="11" t="s">
        <v>138</v>
      </c>
      <c r="D353" s="11" t="s">
        <v>58</v>
      </c>
      <c r="E353" s="11" t="s">
        <v>270</v>
      </c>
      <c r="F353" s="11" t="s">
        <v>40</v>
      </c>
      <c r="G353" s="11" t="s">
        <v>45</v>
      </c>
      <c r="H353" s="11" t="s">
        <v>163</v>
      </c>
      <c r="I353" s="11"/>
      <c r="J353" s="11">
        <v>24.0</v>
      </c>
      <c r="K353" s="12">
        <v>45017.0</v>
      </c>
      <c r="L353" s="11">
        <f t="shared" si="33"/>
        <v>10</v>
      </c>
      <c r="M353" s="11">
        <v>663330.0</v>
      </c>
      <c r="N353" s="11">
        <v>18872.0</v>
      </c>
      <c r="O353" s="13" t="s">
        <v>355</v>
      </c>
      <c r="P353" s="11">
        <v>0.0</v>
      </c>
      <c r="Q353" s="14">
        <v>0.0</v>
      </c>
      <c r="R353" s="11">
        <v>1.0</v>
      </c>
      <c r="S353">
        <f t="shared" si="1"/>
        <v>2022</v>
      </c>
      <c r="T353">
        <f t="shared" si="2"/>
        <v>5</v>
      </c>
      <c r="U353">
        <f t="shared" si="3"/>
        <v>27</v>
      </c>
      <c r="Z353" s="17">
        <v>45017.0</v>
      </c>
      <c r="AG353" s="15"/>
      <c r="AH353" s="16"/>
      <c r="AM353" s="15"/>
      <c r="AN353" s="16"/>
    </row>
    <row r="354">
      <c r="A354" s="13" t="s">
        <v>819</v>
      </c>
      <c r="B354" s="10">
        <v>44708.0</v>
      </c>
      <c r="C354" s="11" t="s">
        <v>76</v>
      </c>
      <c r="D354" s="11" t="s">
        <v>38</v>
      </c>
      <c r="E354" s="11" t="s">
        <v>279</v>
      </c>
      <c r="F354" s="11" t="s">
        <v>40</v>
      </c>
      <c r="G354" s="11" t="s">
        <v>45</v>
      </c>
      <c r="H354" s="11" t="s">
        <v>163</v>
      </c>
      <c r="I354" s="11"/>
      <c r="J354" s="11">
        <v>24.0</v>
      </c>
      <c r="K354" s="12">
        <v>45160.0</v>
      </c>
      <c r="L354" s="11">
        <f t="shared" si="33"/>
        <v>15</v>
      </c>
      <c r="M354" s="11">
        <v>666198.0</v>
      </c>
      <c r="N354" s="11">
        <v>19958.0</v>
      </c>
      <c r="O354" s="13"/>
      <c r="P354" s="11">
        <v>0.0</v>
      </c>
      <c r="Q354" s="14">
        <v>0.0</v>
      </c>
      <c r="R354" s="11">
        <v>1.0</v>
      </c>
      <c r="S354">
        <f t="shared" si="1"/>
        <v>2022</v>
      </c>
      <c r="T354">
        <f t="shared" si="2"/>
        <v>5</v>
      </c>
      <c r="U354">
        <f t="shared" si="3"/>
        <v>27</v>
      </c>
      <c r="Z354" s="17">
        <v>45050.0</v>
      </c>
      <c r="AA354" s="17">
        <v>44990.0</v>
      </c>
      <c r="AB354" s="13" t="s">
        <v>820</v>
      </c>
      <c r="AG354" s="15"/>
      <c r="AH354" s="16"/>
      <c r="AM354" s="15"/>
      <c r="AN354" s="16"/>
    </row>
    <row r="355">
      <c r="A355" s="13" t="s">
        <v>821</v>
      </c>
      <c r="B355" s="10">
        <v>44705.0</v>
      </c>
      <c r="C355" s="11" t="s">
        <v>108</v>
      </c>
      <c r="D355" s="11" t="s">
        <v>58</v>
      </c>
      <c r="E355" s="11" t="s">
        <v>39</v>
      </c>
      <c r="F355" s="11" t="s">
        <v>40</v>
      </c>
      <c r="G355" s="11" t="s">
        <v>41</v>
      </c>
      <c r="H355" s="11"/>
      <c r="I355" s="11"/>
      <c r="J355" s="11">
        <v>24.0</v>
      </c>
      <c r="K355" s="12">
        <v>45383.0</v>
      </c>
      <c r="L355" s="11">
        <f t="shared" si="33"/>
        <v>22</v>
      </c>
      <c r="M355" s="11">
        <v>661563.0</v>
      </c>
      <c r="N355" s="11">
        <v>21052.0</v>
      </c>
      <c r="O355" s="13" t="s">
        <v>494</v>
      </c>
      <c r="P355" s="11">
        <v>0.0</v>
      </c>
      <c r="Q355" s="14">
        <v>0.0</v>
      </c>
      <c r="R355" s="11">
        <v>1.0</v>
      </c>
      <c r="S355">
        <f t="shared" si="1"/>
        <v>2022</v>
      </c>
      <c r="T355">
        <f t="shared" si="2"/>
        <v>5</v>
      </c>
      <c r="U355">
        <f t="shared" si="3"/>
        <v>24</v>
      </c>
      <c r="X355" s="17">
        <v>45065.0</v>
      </c>
      <c r="Z355" s="17">
        <v>45170.0</v>
      </c>
      <c r="AG355" s="15"/>
      <c r="AH355" s="16"/>
      <c r="AM355" s="15"/>
      <c r="AN355" s="16"/>
    </row>
    <row r="356">
      <c r="A356" s="13" t="s">
        <v>822</v>
      </c>
      <c r="B356" s="10">
        <v>44699.0</v>
      </c>
      <c r="C356" s="11" t="s">
        <v>103</v>
      </c>
      <c r="D356" s="11" t="s">
        <v>38</v>
      </c>
      <c r="E356" s="11" t="s">
        <v>39</v>
      </c>
      <c r="F356" s="11" t="s">
        <v>40</v>
      </c>
      <c r="G356" s="11" t="s">
        <v>45</v>
      </c>
      <c r="H356" s="11" t="s">
        <v>56</v>
      </c>
      <c r="I356" s="11"/>
      <c r="J356" s="11">
        <v>26.0</v>
      </c>
      <c r="K356" s="12">
        <v>45193.0</v>
      </c>
      <c r="L356" s="11">
        <f t="shared" si="33"/>
        <v>16</v>
      </c>
      <c r="M356" s="11">
        <v>663978.0</v>
      </c>
      <c r="N356" s="11">
        <v>20099.0</v>
      </c>
      <c r="O356" s="13" t="s">
        <v>42</v>
      </c>
      <c r="P356" s="11">
        <v>0.0</v>
      </c>
      <c r="Q356" s="14">
        <v>0.0</v>
      </c>
      <c r="R356" s="11">
        <v>1.0</v>
      </c>
      <c r="S356">
        <f t="shared" si="1"/>
        <v>2022</v>
      </c>
      <c r="T356">
        <f t="shared" si="2"/>
        <v>5</v>
      </c>
      <c r="U356">
        <f t="shared" si="3"/>
        <v>18</v>
      </c>
      <c r="AG356" s="15"/>
      <c r="AH356" s="16"/>
      <c r="AM356" s="15"/>
      <c r="AN356" s="16"/>
    </row>
    <row r="357">
      <c r="A357" s="13" t="s">
        <v>823</v>
      </c>
      <c r="B357" s="17">
        <v>44698.0</v>
      </c>
      <c r="C357" s="11" t="s">
        <v>76</v>
      </c>
      <c r="D357" s="11" t="s">
        <v>93</v>
      </c>
      <c r="E357" s="11" t="s">
        <v>39</v>
      </c>
      <c r="F357" s="11" t="s">
        <v>40</v>
      </c>
      <c r="G357" s="11" t="s">
        <v>45</v>
      </c>
      <c r="H357" s="11" t="s">
        <v>159</v>
      </c>
      <c r="I357" s="11" t="s">
        <v>159</v>
      </c>
      <c r="J357" s="11">
        <v>19.0</v>
      </c>
      <c r="K357" s="12"/>
      <c r="L357" s="11"/>
      <c r="M357" s="11">
        <v>824600.0</v>
      </c>
      <c r="N357" s="11" t="s">
        <v>824</v>
      </c>
      <c r="O357" s="13"/>
      <c r="P357" s="11">
        <v>0.0</v>
      </c>
      <c r="Q357" s="14">
        <v>0.0</v>
      </c>
      <c r="R357" s="11">
        <v>1.0</v>
      </c>
      <c r="S357">
        <f t="shared" si="1"/>
        <v>2022</v>
      </c>
      <c r="T357">
        <f t="shared" si="2"/>
        <v>5</v>
      </c>
      <c r="U357">
        <f t="shared" si="3"/>
        <v>17</v>
      </c>
      <c r="Z357" s="17"/>
      <c r="AG357" s="15"/>
      <c r="AH357" s="16"/>
      <c r="AM357" s="15"/>
      <c r="AN357" s="16"/>
    </row>
    <row r="358">
      <c r="A358" s="13" t="s">
        <v>825</v>
      </c>
      <c r="B358" s="10">
        <v>44692.0</v>
      </c>
      <c r="C358" s="11" t="s">
        <v>138</v>
      </c>
      <c r="D358" s="11" t="s">
        <v>58</v>
      </c>
      <c r="E358" s="11" t="s">
        <v>39</v>
      </c>
      <c r="F358" s="11" t="s">
        <v>40</v>
      </c>
      <c r="G358" s="11" t="s">
        <v>45</v>
      </c>
      <c r="H358" s="11" t="s">
        <v>163</v>
      </c>
      <c r="I358" s="11" t="s">
        <v>826</v>
      </c>
      <c r="J358" s="11">
        <v>24.0</v>
      </c>
      <c r="K358" s="12">
        <v>45748.0</v>
      </c>
      <c r="L358" s="11">
        <f t="shared" ref="L358:L359" si="34">ROUND(((K358-B358)/365)*12,0)</f>
        <v>35</v>
      </c>
      <c r="M358" s="11">
        <v>686599.0</v>
      </c>
      <c r="N358" s="11" t="s">
        <v>827</v>
      </c>
      <c r="O358" s="13" t="s">
        <v>42</v>
      </c>
      <c r="P358" s="11">
        <v>0.0</v>
      </c>
      <c r="Q358" s="14">
        <v>0.0</v>
      </c>
      <c r="R358" s="11">
        <v>1.0</v>
      </c>
      <c r="S358">
        <f t="shared" si="1"/>
        <v>2022</v>
      </c>
      <c r="T358">
        <f t="shared" si="2"/>
        <v>5</v>
      </c>
      <c r="U358">
        <f t="shared" si="3"/>
        <v>11</v>
      </c>
      <c r="Z358" s="17">
        <v>45103.0</v>
      </c>
      <c r="AG358" s="15"/>
      <c r="AH358" s="16"/>
      <c r="AM358" s="15"/>
      <c r="AN358" s="16"/>
    </row>
    <row r="359">
      <c r="A359" s="13" t="s">
        <v>828</v>
      </c>
      <c r="B359" s="10">
        <v>44692.0</v>
      </c>
      <c r="C359" s="11" t="s">
        <v>49</v>
      </c>
      <c r="D359" s="11" t="s">
        <v>38</v>
      </c>
      <c r="E359" s="11" t="s">
        <v>39</v>
      </c>
      <c r="F359" s="11" t="s">
        <v>40</v>
      </c>
      <c r="G359" s="11" t="s">
        <v>45</v>
      </c>
      <c r="H359" s="11" t="s">
        <v>84</v>
      </c>
      <c r="I359" s="11"/>
      <c r="J359" s="11">
        <v>26.0</v>
      </c>
      <c r="K359" s="12">
        <v>45161.0</v>
      </c>
      <c r="L359" s="11">
        <f t="shared" si="34"/>
        <v>15</v>
      </c>
      <c r="M359" s="11">
        <v>656887.0</v>
      </c>
      <c r="N359" s="11">
        <v>17034.0</v>
      </c>
      <c r="O359" s="13" t="s">
        <v>42</v>
      </c>
      <c r="P359" s="11">
        <v>0.0</v>
      </c>
      <c r="Q359" s="14">
        <v>0.0</v>
      </c>
      <c r="R359" s="11">
        <v>1.0</v>
      </c>
      <c r="S359">
        <f t="shared" si="1"/>
        <v>2022</v>
      </c>
      <c r="T359">
        <f t="shared" si="2"/>
        <v>5</v>
      </c>
      <c r="U359">
        <f t="shared" si="3"/>
        <v>11</v>
      </c>
      <c r="Z359" s="17">
        <v>45094.0</v>
      </c>
      <c r="AG359" s="15"/>
      <c r="AH359" s="16"/>
      <c r="AM359" s="15"/>
      <c r="AN359" s="16"/>
    </row>
    <row r="360">
      <c r="A360" s="13" t="s">
        <v>829</v>
      </c>
      <c r="B360" s="10">
        <v>44682.0</v>
      </c>
      <c r="C360" s="11" t="s">
        <v>72</v>
      </c>
      <c r="D360" s="11" t="s">
        <v>77</v>
      </c>
      <c r="E360" s="11" t="s">
        <v>39</v>
      </c>
      <c r="F360" s="11" t="s">
        <v>64</v>
      </c>
      <c r="G360" s="11" t="s">
        <v>45</v>
      </c>
      <c r="H360" s="11" t="s">
        <v>84</v>
      </c>
      <c r="I360" s="11" t="s">
        <v>736</v>
      </c>
      <c r="J360" s="11">
        <v>26.0</v>
      </c>
      <c r="K360" s="12"/>
      <c r="L360" s="11"/>
      <c r="M360" s="11">
        <v>661837.0</v>
      </c>
      <c r="N360" s="11" t="s">
        <v>830</v>
      </c>
      <c r="O360" s="13" t="s">
        <v>761</v>
      </c>
      <c r="P360" s="11">
        <v>0.0</v>
      </c>
      <c r="Q360" s="14">
        <v>0.0</v>
      </c>
      <c r="R360" s="11">
        <v>0.0</v>
      </c>
      <c r="S360">
        <f t="shared" si="1"/>
        <v>2022</v>
      </c>
      <c r="T360">
        <f t="shared" si="2"/>
        <v>5</v>
      </c>
      <c r="U360">
        <f t="shared" si="3"/>
        <v>1</v>
      </c>
      <c r="AG360" s="15"/>
      <c r="AH360" s="16"/>
      <c r="AM360" s="15"/>
      <c r="AN360" s="16"/>
    </row>
    <row r="361">
      <c r="A361" s="13" t="s">
        <v>831</v>
      </c>
      <c r="B361" s="10">
        <v>44682.0</v>
      </c>
      <c r="C361" s="11" t="s">
        <v>346</v>
      </c>
      <c r="D361" s="11" t="s">
        <v>93</v>
      </c>
      <c r="E361" s="11" t="s">
        <v>39</v>
      </c>
      <c r="F361" s="11" t="s">
        <v>40</v>
      </c>
      <c r="G361" s="11" t="s">
        <v>45</v>
      </c>
      <c r="H361" s="11" t="s">
        <v>56</v>
      </c>
      <c r="I361" s="11" t="s">
        <v>832</v>
      </c>
      <c r="J361" s="11">
        <v>19.0</v>
      </c>
      <c r="K361" s="12">
        <v>45149.0</v>
      </c>
      <c r="L361" s="11">
        <f>ROUND(((K361-B361)/365)*12,0)</f>
        <v>15</v>
      </c>
      <c r="M361" s="11">
        <v>809496.0</v>
      </c>
      <c r="N361" s="11" t="s">
        <v>833</v>
      </c>
      <c r="O361" s="13"/>
      <c r="P361" s="11">
        <v>0.0</v>
      </c>
      <c r="Q361" s="14">
        <v>0.0</v>
      </c>
      <c r="R361" s="11">
        <v>1.0</v>
      </c>
      <c r="S361">
        <f t="shared" si="1"/>
        <v>2022</v>
      </c>
      <c r="T361">
        <f t="shared" si="2"/>
        <v>5</v>
      </c>
      <c r="U361">
        <f t="shared" si="3"/>
        <v>1</v>
      </c>
      <c r="V361" s="17"/>
      <c r="Z361" s="17">
        <v>45149.0</v>
      </c>
      <c r="AG361" s="15"/>
      <c r="AH361" s="16"/>
      <c r="AM361" s="15"/>
      <c r="AN361" s="16"/>
    </row>
    <row r="362">
      <c r="A362" s="13" t="s">
        <v>834</v>
      </c>
      <c r="B362" s="17">
        <v>44682.0</v>
      </c>
      <c r="C362" s="11" t="s">
        <v>126</v>
      </c>
      <c r="D362" s="11" t="s">
        <v>93</v>
      </c>
      <c r="E362" s="11" t="s">
        <v>39</v>
      </c>
      <c r="F362" s="11" t="s">
        <v>40</v>
      </c>
      <c r="G362" s="11" t="s">
        <v>45</v>
      </c>
      <c r="H362" s="11" t="s">
        <v>240</v>
      </c>
      <c r="I362" s="11" t="s">
        <v>637</v>
      </c>
      <c r="J362" s="11">
        <v>20.0</v>
      </c>
      <c r="K362" s="12">
        <v>45752.0</v>
      </c>
      <c r="L362" s="11"/>
      <c r="M362" s="11">
        <v>824624.0</v>
      </c>
      <c r="N362" s="11" t="s">
        <v>835</v>
      </c>
      <c r="O362" s="13"/>
      <c r="P362" s="11">
        <v>0.0</v>
      </c>
      <c r="Q362" s="14">
        <v>0.0</v>
      </c>
      <c r="R362" s="11">
        <v>1.0</v>
      </c>
      <c r="S362">
        <f t="shared" si="1"/>
        <v>2022</v>
      </c>
      <c r="T362">
        <f t="shared" si="2"/>
        <v>5</v>
      </c>
      <c r="U362">
        <f t="shared" si="3"/>
        <v>1</v>
      </c>
      <c r="V362" s="17"/>
      <c r="Z362" s="17">
        <v>45752.0</v>
      </c>
      <c r="AG362" s="15"/>
      <c r="AH362" s="16"/>
      <c r="AM362" s="15"/>
      <c r="AN362" s="16"/>
    </row>
    <row r="363">
      <c r="A363" s="13" t="s">
        <v>836</v>
      </c>
      <c r="B363" s="10">
        <v>44682.0</v>
      </c>
      <c r="C363" s="11" t="s">
        <v>37</v>
      </c>
      <c r="D363" s="11" t="s">
        <v>97</v>
      </c>
      <c r="E363" s="11" t="s">
        <v>39</v>
      </c>
      <c r="F363" s="11" t="s">
        <v>40</v>
      </c>
      <c r="G363" s="11" t="s">
        <v>45</v>
      </c>
      <c r="H363" s="11" t="s">
        <v>67</v>
      </c>
      <c r="I363" s="11" t="s">
        <v>190</v>
      </c>
      <c r="J363" s="11">
        <v>22.0</v>
      </c>
      <c r="K363" s="12">
        <v>45472.0</v>
      </c>
      <c r="L363" s="11">
        <f t="shared" ref="L363:L364" si="35">ROUND(((K363-B363)/365)*12,0)</f>
        <v>26</v>
      </c>
      <c r="M363" s="11">
        <v>685045.0</v>
      </c>
      <c r="N363" s="11" t="s">
        <v>837</v>
      </c>
      <c r="O363" s="13"/>
      <c r="P363" s="11">
        <v>0.0</v>
      </c>
      <c r="Q363" s="14">
        <v>0.0</v>
      </c>
      <c r="R363" s="11">
        <v>1.0</v>
      </c>
      <c r="S363">
        <f t="shared" si="1"/>
        <v>2022</v>
      </c>
      <c r="T363">
        <f t="shared" si="2"/>
        <v>5</v>
      </c>
      <c r="U363">
        <f t="shared" si="3"/>
        <v>1</v>
      </c>
      <c r="V363" s="17"/>
      <c r="Z363" s="17">
        <v>45441.0</v>
      </c>
      <c r="AG363" s="15"/>
      <c r="AH363" s="16"/>
      <c r="AM363" s="15"/>
      <c r="AN363" s="16"/>
    </row>
    <row r="364">
      <c r="A364" s="13" t="s">
        <v>838</v>
      </c>
      <c r="B364" s="10">
        <v>44682.0</v>
      </c>
      <c r="C364" s="11" t="s">
        <v>362</v>
      </c>
      <c r="D364" s="11" t="s">
        <v>93</v>
      </c>
      <c r="E364" s="11" t="s">
        <v>39</v>
      </c>
      <c r="F364" s="11" t="s">
        <v>64</v>
      </c>
      <c r="G364" s="11" t="s">
        <v>45</v>
      </c>
      <c r="H364" s="11" t="s">
        <v>84</v>
      </c>
      <c r="I364" s="11" t="s">
        <v>84</v>
      </c>
      <c r="J364" s="11">
        <v>21.0</v>
      </c>
      <c r="K364" s="12">
        <v>45127.0</v>
      </c>
      <c r="L364" s="11">
        <f t="shared" si="35"/>
        <v>15</v>
      </c>
      <c r="M364" s="11">
        <v>682995.0</v>
      </c>
      <c r="N364" s="11" t="s">
        <v>839</v>
      </c>
      <c r="O364" s="13"/>
      <c r="P364" s="11">
        <v>0.0</v>
      </c>
      <c r="Q364" s="14">
        <v>0.0</v>
      </c>
      <c r="R364" s="11">
        <v>1.0</v>
      </c>
      <c r="S364">
        <f t="shared" si="1"/>
        <v>2022</v>
      </c>
      <c r="T364">
        <f t="shared" si="2"/>
        <v>5</v>
      </c>
      <c r="U364">
        <f t="shared" si="3"/>
        <v>1</v>
      </c>
      <c r="V364" s="17"/>
      <c r="Z364" s="17">
        <v>45127.0</v>
      </c>
      <c r="AG364" s="15"/>
      <c r="AH364" s="16"/>
      <c r="AM364" s="15"/>
      <c r="AN364" s="16"/>
    </row>
    <row r="365">
      <c r="A365" s="13" t="s">
        <v>840</v>
      </c>
      <c r="B365" s="10">
        <v>44682.0</v>
      </c>
      <c r="C365" s="11" t="s">
        <v>235</v>
      </c>
      <c r="D365" s="11" t="s">
        <v>77</v>
      </c>
      <c r="E365" s="11" t="s">
        <v>39</v>
      </c>
      <c r="F365" s="11" t="s">
        <v>40</v>
      </c>
      <c r="G365" s="11" t="s">
        <v>45</v>
      </c>
      <c r="H365" s="11" t="s">
        <v>236</v>
      </c>
      <c r="I365" s="11" t="s">
        <v>479</v>
      </c>
      <c r="J365" s="11">
        <v>25.0</v>
      </c>
      <c r="K365" s="12"/>
      <c r="L365" s="11"/>
      <c r="M365" s="11">
        <v>680765.0</v>
      </c>
      <c r="N365" s="11" t="s">
        <v>841</v>
      </c>
      <c r="O365" s="13"/>
      <c r="P365" s="11">
        <v>0.0</v>
      </c>
      <c r="Q365" s="14">
        <v>0.0</v>
      </c>
      <c r="R365" s="11">
        <v>1.0</v>
      </c>
      <c r="S365">
        <f t="shared" si="1"/>
        <v>2022</v>
      </c>
      <c r="T365">
        <f t="shared" si="2"/>
        <v>5</v>
      </c>
      <c r="U365">
        <f t="shared" si="3"/>
        <v>1</v>
      </c>
      <c r="V365" s="17"/>
      <c r="Z365" s="17">
        <v>45087.0</v>
      </c>
      <c r="AG365" s="15"/>
      <c r="AH365" s="16"/>
      <c r="AM365" s="15"/>
      <c r="AN365" s="16"/>
    </row>
    <row r="366">
      <c r="A366" s="13" t="s">
        <v>327</v>
      </c>
      <c r="B366" s="10">
        <v>44678.0</v>
      </c>
      <c r="C366" s="11" t="s">
        <v>138</v>
      </c>
      <c r="D366" s="11" t="s">
        <v>38</v>
      </c>
      <c r="E366" s="11" t="s">
        <v>39</v>
      </c>
      <c r="F366" s="11" t="s">
        <v>64</v>
      </c>
      <c r="G366" s="11" t="s">
        <v>45</v>
      </c>
      <c r="H366" s="11" t="s">
        <v>119</v>
      </c>
      <c r="I366" s="11" t="s">
        <v>328</v>
      </c>
      <c r="J366" s="11">
        <v>29.0</v>
      </c>
      <c r="K366" s="12">
        <v>45181.0</v>
      </c>
      <c r="L366" s="11">
        <f t="shared" ref="L366:L370" si="36">ROUND(((K366-B366)/365)*12,0)</f>
        <v>17</v>
      </c>
      <c r="M366" s="11">
        <v>607644.0</v>
      </c>
      <c r="N366" s="11">
        <v>16269.0</v>
      </c>
      <c r="O366" s="13" t="s">
        <v>42</v>
      </c>
      <c r="P366" s="11">
        <v>0.0</v>
      </c>
      <c r="Q366" s="14">
        <v>0.0</v>
      </c>
      <c r="R366" s="11">
        <v>1.0</v>
      </c>
      <c r="S366">
        <f t="shared" si="1"/>
        <v>2022</v>
      </c>
      <c r="T366">
        <f t="shared" si="2"/>
        <v>4</v>
      </c>
      <c r="U366">
        <f t="shared" si="3"/>
        <v>27</v>
      </c>
      <c r="V366" s="17">
        <v>44851.0</v>
      </c>
      <c r="Z366" s="17">
        <v>45148.0</v>
      </c>
      <c r="AA366" s="17">
        <v>45072.0</v>
      </c>
      <c r="AB366" s="13" t="s">
        <v>842</v>
      </c>
      <c r="AG366" s="15"/>
      <c r="AH366" s="16"/>
      <c r="AM366" s="15"/>
      <c r="AN366" s="16"/>
    </row>
    <row r="367">
      <c r="A367" s="13" t="s">
        <v>843</v>
      </c>
      <c r="B367" s="10">
        <v>44678.0</v>
      </c>
      <c r="C367" s="11" t="s">
        <v>72</v>
      </c>
      <c r="D367" s="11" t="s">
        <v>88</v>
      </c>
      <c r="E367" s="11" t="s">
        <v>39</v>
      </c>
      <c r="F367" s="11" t="s">
        <v>64</v>
      </c>
      <c r="G367" s="11" t="s">
        <v>45</v>
      </c>
      <c r="H367" s="11" t="s">
        <v>182</v>
      </c>
      <c r="I367" s="11" t="s">
        <v>222</v>
      </c>
      <c r="J367" s="11">
        <v>23.0</v>
      </c>
      <c r="K367" s="12">
        <v>45434.0</v>
      </c>
      <c r="L367" s="11">
        <f t="shared" si="36"/>
        <v>25</v>
      </c>
      <c r="M367" s="11">
        <v>695026.0</v>
      </c>
      <c r="N367" s="11" t="s">
        <v>844</v>
      </c>
      <c r="O367" s="13"/>
      <c r="P367" s="11">
        <v>0.0</v>
      </c>
      <c r="Q367" s="14">
        <v>0.0</v>
      </c>
      <c r="R367" s="11">
        <v>1.0</v>
      </c>
      <c r="S367">
        <f t="shared" si="1"/>
        <v>2022</v>
      </c>
      <c r="T367">
        <f t="shared" si="2"/>
        <v>4</v>
      </c>
      <c r="U367">
        <f t="shared" si="3"/>
        <v>27</v>
      </c>
      <c r="Z367" s="17">
        <v>45097.0</v>
      </c>
      <c r="AG367" s="15"/>
      <c r="AH367" s="16"/>
      <c r="AM367" s="15"/>
      <c r="AN367" s="16"/>
    </row>
    <row r="368">
      <c r="A368" s="13" t="s">
        <v>845</v>
      </c>
      <c r="B368" s="10">
        <v>44678.0</v>
      </c>
      <c r="C368" s="11" t="s">
        <v>143</v>
      </c>
      <c r="D368" s="11" t="s">
        <v>58</v>
      </c>
      <c r="E368" s="11" t="s">
        <v>39</v>
      </c>
      <c r="F368" s="11" t="s">
        <v>40</v>
      </c>
      <c r="G368" s="11" t="s">
        <v>41</v>
      </c>
      <c r="H368" s="11"/>
      <c r="I368" s="11"/>
      <c r="J368" s="11">
        <v>26.0</v>
      </c>
      <c r="K368" s="12">
        <v>45144.0</v>
      </c>
      <c r="L368" s="11">
        <f t="shared" si="36"/>
        <v>15</v>
      </c>
      <c r="M368" s="11">
        <v>667339.0</v>
      </c>
      <c r="N368" s="11" t="s">
        <v>846</v>
      </c>
      <c r="O368" s="13"/>
      <c r="P368" s="11">
        <v>0.0</v>
      </c>
      <c r="Q368" s="14">
        <v>0.0</v>
      </c>
      <c r="R368" s="11">
        <v>1.0</v>
      </c>
      <c r="S368">
        <f t="shared" si="1"/>
        <v>2022</v>
      </c>
      <c r="T368">
        <f t="shared" si="2"/>
        <v>4</v>
      </c>
      <c r="U368">
        <f t="shared" si="3"/>
        <v>27</v>
      </c>
      <c r="Z368" s="17">
        <v>45064.0</v>
      </c>
      <c r="AG368" s="15"/>
      <c r="AH368" s="16"/>
      <c r="AM368" s="15"/>
      <c r="AN368" s="16"/>
    </row>
    <row r="369">
      <c r="A369" s="13" t="s">
        <v>847</v>
      </c>
      <c r="B369" s="10">
        <v>44677.0</v>
      </c>
      <c r="C369" s="11" t="s">
        <v>126</v>
      </c>
      <c r="D369" s="11" t="s">
        <v>58</v>
      </c>
      <c r="E369" s="11" t="s">
        <v>39</v>
      </c>
      <c r="F369" s="11" t="s">
        <v>64</v>
      </c>
      <c r="G369" s="11" t="s">
        <v>483</v>
      </c>
      <c r="H369" s="11"/>
      <c r="I369" s="11"/>
      <c r="J369" s="11">
        <v>29.0</v>
      </c>
      <c r="K369" s="12">
        <v>45147.0</v>
      </c>
      <c r="L369" s="11">
        <f t="shared" si="36"/>
        <v>15</v>
      </c>
      <c r="M369" s="11">
        <v>628345.0</v>
      </c>
      <c r="N369" s="11">
        <v>21197.0</v>
      </c>
      <c r="O369" s="13"/>
      <c r="P369" s="11">
        <v>0.0</v>
      </c>
      <c r="Q369" s="14">
        <v>0.0</v>
      </c>
      <c r="R369" s="11">
        <v>1.0</v>
      </c>
      <c r="S369">
        <f t="shared" si="1"/>
        <v>2022</v>
      </c>
      <c r="T369">
        <f t="shared" si="2"/>
        <v>4</v>
      </c>
      <c r="U369">
        <f t="shared" si="3"/>
        <v>26</v>
      </c>
      <c r="Z369" s="17">
        <v>45120.0</v>
      </c>
      <c r="AG369" s="15"/>
      <c r="AH369" s="16"/>
      <c r="AM369" s="15"/>
      <c r="AN369" s="16"/>
    </row>
    <row r="370">
      <c r="A370" s="13" t="s">
        <v>848</v>
      </c>
      <c r="B370" s="17">
        <v>44677.0</v>
      </c>
      <c r="C370" s="11" t="s">
        <v>175</v>
      </c>
      <c r="D370" s="11" t="s">
        <v>213</v>
      </c>
      <c r="E370" s="11" t="s">
        <v>39</v>
      </c>
      <c r="F370" s="11" t="s">
        <v>40</v>
      </c>
      <c r="G370" s="11" t="s">
        <v>45</v>
      </c>
      <c r="H370" s="11" t="s">
        <v>163</v>
      </c>
      <c r="I370" s="11"/>
      <c r="J370" s="11">
        <v>18.0</v>
      </c>
      <c r="K370" s="12">
        <v>45097.0</v>
      </c>
      <c r="L370" s="11">
        <f t="shared" si="36"/>
        <v>14</v>
      </c>
      <c r="M370" s="11">
        <v>702266.0</v>
      </c>
      <c r="N370" s="11" t="s">
        <v>849</v>
      </c>
      <c r="O370" s="13" t="s">
        <v>69</v>
      </c>
      <c r="P370" s="11">
        <v>0.0</v>
      </c>
      <c r="Q370" s="14">
        <v>0.0</v>
      </c>
      <c r="R370" s="11">
        <v>1.0</v>
      </c>
      <c r="S370">
        <f t="shared" si="1"/>
        <v>2022</v>
      </c>
      <c r="T370">
        <f t="shared" si="2"/>
        <v>4</v>
      </c>
      <c r="U370">
        <f t="shared" si="3"/>
        <v>26</v>
      </c>
      <c r="V370" s="17"/>
      <c r="AG370" s="15"/>
      <c r="AH370" s="16"/>
      <c r="AM370" s="15"/>
      <c r="AN370" s="16"/>
    </row>
    <row r="371">
      <c r="A371" s="13" t="s">
        <v>850</v>
      </c>
      <c r="B371" s="10">
        <v>44676.0</v>
      </c>
      <c r="C371" s="11" t="s">
        <v>49</v>
      </c>
      <c r="D371" s="11" t="s">
        <v>58</v>
      </c>
      <c r="E371" s="11" t="s">
        <v>39</v>
      </c>
      <c r="F371" s="11" t="s">
        <v>40</v>
      </c>
      <c r="G371" s="11" t="s">
        <v>45</v>
      </c>
      <c r="H371" s="11" t="s">
        <v>59</v>
      </c>
      <c r="I371" s="11" t="s">
        <v>851</v>
      </c>
      <c r="J371" s="11">
        <v>28.0</v>
      </c>
      <c r="K371" s="12"/>
      <c r="L371" s="11"/>
      <c r="M371" s="11">
        <v>664785.0</v>
      </c>
      <c r="N371" s="11" t="s">
        <v>852</v>
      </c>
      <c r="O371" s="13"/>
      <c r="P371" s="11">
        <v>0.0</v>
      </c>
      <c r="Q371" s="14">
        <v>0.0</v>
      </c>
      <c r="R371" s="11">
        <v>1.0</v>
      </c>
      <c r="S371">
        <f t="shared" si="1"/>
        <v>2022</v>
      </c>
      <c r="T371">
        <f t="shared" si="2"/>
        <v>4</v>
      </c>
      <c r="U371">
        <f t="shared" si="3"/>
        <v>25</v>
      </c>
      <c r="V371" s="17">
        <v>44802.0</v>
      </c>
      <c r="AG371" s="15"/>
      <c r="AH371" s="16"/>
      <c r="AM371" s="15"/>
      <c r="AN371" s="16"/>
    </row>
    <row r="372">
      <c r="A372" s="13" t="s">
        <v>853</v>
      </c>
      <c r="B372" s="10">
        <v>44664.0</v>
      </c>
      <c r="C372" s="11" t="s">
        <v>116</v>
      </c>
      <c r="D372" s="11" t="s">
        <v>38</v>
      </c>
      <c r="E372" s="11" t="s">
        <v>39</v>
      </c>
      <c r="F372" s="11" t="s">
        <v>40</v>
      </c>
      <c r="G372" s="11" t="s">
        <v>45</v>
      </c>
      <c r="H372" s="11" t="s">
        <v>84</v>
      </c>
      <c r="I372" s="11"/>
      <c r="J372" s="11">
        <v>30.0</v>
      </c>
      <c r="K372" s="12">
        <v>45077.0</v>
      </c>
      <c r="L372" s="11">
        <f>ROUND(((K372-B372)/365)*12,0)</f>
        <v>14</v>
      </c>
      <c r="M372" s="11">
        <v>592426.0</v>
      </c>
      <c r="N372" s="11">
        <v>11752.0</v>
      </c>
      <c r="O372" s="13" t="s">
        <v>42</v>
      </c>
      <c r="P372" s="11">
        <v>0.0</v>
      </c>
      <c r="Q372" s="14">
        <v>0.0</v>
      </c>
      <c r="R372" s="11">
        <v>1.0</v>
      </c>
      <c r="S372">
        <f t="shared" si="1"/>
        <v>2022</v>
      </c>
      <c r="T372">
        <f t="shared" si="2"/>
        <v>4</v>
      </c>
      <c r="U372">
        <f t="shared" si="3"/>
        <v>13</v>
      </c>
      <c r="Z372" s="17">
        <v>45060.0</v>
      </c>
      <c r="AG372" s="15"/>
      <c r="AH372" s="16"/>
      <c r="AM372" s="15"/>
      <c r="AN372" s="16"/>
    </row>
    <row r="373">
      <c r="A373" s="13" t="s">
        <v>854</v>
      </c>
      <c r="B373" s="10">
        <v>44664.0</v>
      </c>
      <c r="C373" s="11" t="s">
        <v>44</v>
      </c>
      <c r="D373" s="11" t="s">
        <v>88</v>
      </c>
      <c r="E373" s="11" t="s">
        <v>39</v>
      </c>
      <c r="F373" s="11" t="s">
        <v>40</v>
      </c>
      <c r="G373" s="11" t="s">
        <v>45</v>
      </c>
      <c r="H373" s="11" t="s">
        <v>67</v>
      </c>
      <c r="I373" s="11" t="s">
        <v>375</v>
      </c>
      <c r="J373" s="11">
        <v>26.0</v>
      </c>
      <c r="K373" s="12"/>
      <c r="L373" s="11"/>
      <c r="M373" s="11">
        <v>657034.0</v>
      </c>
      <c r="N373" s="11" t="s">
        <v>855</v>
      </c>
      <c r="O373" s="13"/>
      <c r="P373" s="11">
        <v>0.0</v>
      </c>
      <c r="Q373" s="14">
        <v>0.0</v>
      </c>
      <c r="R373" s="11">
        <v>0.0</v>
      </c>
      <c r="S373">
        <f t="shared" si="1"/>
        <v>2022</v>
      </c>
      <c r="T373">
        <f t="shared" si="2"/>
        <v>4</v>
      </c>
      <c r="U373">
        <f t="shared" si="3"/>
        <v>13</v>
      </c>
      <c r="AG373" s="15"/>
      <c r="AH373" s="16"/>
      <c r="AM373" s="15"/>
      <c r="AN373" s="16"/>
    </row>
    <row r="374">
      <c r="A374" s="13" t="s">
        <v>856</v>
      </c>
      <c r="B374" s="10">
        <v>44664.0</v>
      </c>
      <c r="C374" s="11" t="s">
        <v>274</v>
      </c>
      <c r="D374" s="11" t="s">
        <v>38</v>
      </c>
      <c r="E374" s="11" t="s">
        <v>39</v>
      </c>
      <c r="F374" s="11" t="s">
        <v>40</v>
      </c>
      <c r="G374" s="11" t="s">
        <v>53</v>
      </c>
      <c r="H374" s="11"/>
      <c r="I374" s="11"/>
      <c r="J374" s="11">
        <v>33.0</v>
      </c>
      <c r="K374" s="12"/>
      <c r="L374" s="11"/>
      <c r="M374" s="11">
        <v>500610.0</v>
      </c>
      <c r="N374" s="11">
        <v>8410.0</v>
      </c>
      <c r="O374" s="13" t="s">
        <v>42</v>
      </c>
      <c r="P374" s="11">
        <v>0.0</v>
      </c>
      <c r="Q374" s="14">
        <v>0.0</v>
      </c>
      <c r="R374" s="11">
        <v>1.0</v>
      </c>
      <c r="S374">
        <f t="shared" si="1"/>
        <v>2022</v>
      </c>
      <c r="T374">
        <f t="shared" si="2"/>
        <v>4</v>
      </c>
      <c r="U374">
        <f t="shared" si="3"/>
        <v>13</v>
      </c>
      <c r="Z374" s="17">
        <v>45098.0</v>
      </c>
      <c r="AG374" s="15"/>
      <c r="AH374" s="16"/>
      <c r="AM374" s="15"/>
      <c r="AN374" s="16"/>
    </row>
    <row r="375">
      <c r="A375" s="13" t="s">
        <v>857</v>
      </c>
      <c r="B375" s="10">
        <v>44658.0</v>
      </c>
      <c r="C375" s="11" t="s">
        <v>37</v>
      </c>
      <c r="D375" s="11" t="s">
        <v>38</v>
      </c>
      <c r="E375" s="11" t="s">
        <v>39</v>
      </c>
      <c r="F375" s="11" t="s">
        <v>64</v>
      </c>
      <c r="G375" s="11" t="s">
        <v>45</v>
      </c>
      <c r="H375" s="11" t="s">
        <v>163</v>
      </c>
      <c r="I375" s="11" t="s">
        <v>645</v>
      </c>
      <c r="J375" s="11">
        <v>26.0</v>
      </c>
      <c r="K375" s="12">
        <v>45505.0</v>
      </c>
      <c r="L375" s="11">
        <f t="shared" ref="L375:L377" si="37">ROUND(((K375-B375)/365)*12,0)</f>
        <v>28</v>
      </c>
      <c r="M375" s="11">
        <v>674944.0</v>
      </c>
      <c r="N375" s="11">
        <v>20045.0</v>
      </c>
      <c r="O375" s="13" t="s">
        <v>69</v>
      </c>
      <c r="P375" s="11">
        <v>0.0</v>
      </c>
      <c r="Q375" s="14">
        <v>0.0</v>
      </c>
      <c r="R375" s="11">
        <v>1.0</v>
      </c>
      <c r="S375">
        <f t="shared" si="1"/>
        <v>2022</v>
      </c>
      <c r="T375">
        <f t="shared" si="2"/>
        <v>4</v>
      </c>
      <c r="U375">
        <f t="shared" si="3"/>
        <v>7</v>
      </c>
      <c r="Z375" s="17">
        <v>45055.0</v>
      </c>
      <c r="AG375" s="15"/>
      <c r="AH375" s="16"/>
      <c r="AM375" s="15"/>
      <c r="AN375" s="16"/>
    </row>
    <row r="376">
      <c r="A376" s="13" t="s">
        <v>858</v>
      </c>
      <c r="B376" s="10">
        <v>44656.0</v>
      </c>
      <c r="C376" s="11" t="s">
        <v>143</v>
      </c>
      <c r="D376" s="11" t="s">
        <v>38</v>
      </c>
      <c r="E376" s="11" t="s">
        <v>39</v>
      </c>
      <c r="F376" s="11" t="s">
        <v>64</v>
      </c>
      <c r="G376" s="11" t="s">
        <v>45</v>
      </c>
      <c r="H376" s="11" t="s">
        <v>159</v>
      </c>
      <c r="I376" s="11" t="s">
        <v>262</v>
      </c>
      <c r="J376" s="11">
        <v>23.0</v>
      </c>
      <c r="K376" s="12">
        <v>45064.0</v>
      </c>
      <c r="L376" s="11">
        <f t="shared" si="37"/>
        <v>13</v>
      </c>
      <c r="M376" s="11">
        <v>676979.0</v>
      </c>
      <c r="N376" s="11">
        <v>27463.0</v>
      </c>
      <c r="O376" s="13" t="s">
        <v>761</v>
      </c>
      <c r="P376" s="11">
        <v>0.0</v>
      </c>
      <c r="Q376" s="14">
        <v>0.0</v>
      </c>
      <c r="R376" s="11">
        <v>1.0</v>
      </c>
      <c r="S376">
        <f t="shared" si="1"/>
        <v>2022</v>
      </c>
      <c r="T376">
        <f t="shared" si="2"/>
        <v>4</v>
      </c>
      <c r="U376">
        <f t="shared" si="3"/>
        <v>5</v>
      </c>
      <c r="Z376" s="17">
        <v>45046.0</v>
      </c>
      <c r="AG376" s="15"/>
      <c r="AH376" s="16"/>
      <c r="AM376" s="15"/>
      <c r="AN376" s="16"/>
    </row>
    <row r="377">
      <c r="A377" s="13" t="s">
        <v>859</v>
      </c>
      <c r="B377" s="10">
        <v>44655.0</v>
      </c>
      <c r="C377" s="11" t="s">
        <v>156</v>
      </c>
      <c r="D377" s="11" t="s">
        <v>58</v>
      </c>
      <c r="E377" s="11" t="s">
        <v>39</v>
      </c>
      <c r="F377" s="11" t="s">
        <v>40</v>
      </c>
      <c r="G377" s="11" t="s">
        <v>45</v>
      </c>
      <c r="H377" s="11" t="s">
        <v>159</v>
      </c>
      <c r="I377" s="11" t="s">
        <v>637</v>
      </c>
      <c r="J377" s="11">
        <v>23.0</v>
      </c>
      <c r="K377" s="12">
        <v>45380.0</v>
      </c>
      <c r="L377" s="11">
        <f t="shared" si="37"/>
        <v>24</v>
      </c>
      <c r="M377" s="11">
        <v>686831.0</v>
      </c>
      <c r="N377" s="11" t="s">
        <v>860</v>
      </c>
      <c r="O377" s="13" t="s">
        <v>662</v>
      </c>
      <c r="P377" s="11">
        <v>0.0</v>
      </c>
      <c r="Q377" s="14">
        <v>0.0</v>
      </c>
      <c r="R377" s="11">
        <v>1.0</v>
      </c>
      <c r="S377">
        <f t="shared" si="1"/>
        <v>2022</v>
      </c>
      <c r="T377">
        <f t="shared" si="2"/>
        <v>4</v>
      </c>
      <c r="U377">
        <f t="shared" si="3"/>
        <v>4</v>
      </c>
      <c r="Z377" s="17">
        <v>45083.0</v>
      </c>
      <c r="AG377" s="15"/>
      <c r="AH377" s="16"/>
      <c r="AM377" s="15"/>
      <c r="AN377" s="16"/>
    </row>
    <row r="378">
      <c r="A378" s="13" t="s">
        <v>473</v>
      </c>
      <c r="B378" s="17">
        <v>44652.0</v>
      </c>
      <c r="C378" s="11" t="s">
        <v>116</v>
      </c>
      <c r="D378" s="11" t="s">
        <v>213</v>
      </c>
      <c r="E378" s="11" t="s">
        <v>39</v>
      </c>
      <c r="F378" s="11" t="s">
        <v>40</v>
      </c>
      <c r="G378" s="11" t="s">
        <v>45</v>
      </c>
      <c r="H378" s="11" t="s">
        <v>56</v>
      </c>
      <c r="I378" s="11"/>
      <c r="J378" s="11">
        <v>19.0</v>
      </c>
      <c r="K378" s="12"/>
      <c r="L378" s="11"/>
      <c r="M378" s="11">
        <v>702551.0</v>
      </c>
      <c r="N378" s="11" t="s">
        <v>474</v>
      </c>
      <c r="O378" s="13"/>
      <c r="P378" s="11">
        <v>0.0</v>
      </c>
      <c r="Q378" s="14">
        <v>0.0</v>
      </c>
      <c r="R378" s="11">
        <v>1.0</v>
      </c>
      <c r="S378">
        <f t="shared" si="1"/>
        <v>2022</v>
      </c>
      <c r="T378">
        <f t="shared" si="2"/>
        <v>4</v>
      </c>
      <c r="U378">
        <f t="shared" si="3"/>
        <v>1</v>
      </c>
      <c r="AG378" s="15"/>
      <c r="AH378" s="16"/>
      <c r="AM378" s="15"/>
      <c r="AN378" s="16"/>
    </row>
    <row r="379">
      <c r="A379" s="13" t="s">
        <v>861</v>
      </c>
      <c r="B379" s="17">
        <v>44652.0</v>
      </c>
      <c r="C379" s="11" t="s">
        <v>358</v>
      </c>
      <c r="D379" s="11" t="s">
        <v>93</v>
      </c>
      <c r="E379" s="11" t="s">
        <v>39</v>
      </c>
      <c r="F379" s="11" t="s">
        <v>64</v>
      </c>
      <c r="G379" s="11" t="s">
        <v>45</v>
      </c>
      <c r="H379" s="11" t="s">
        <v>84</v>
      </c>
      <c r="I379" s="11" t="s">
        <v>124</v>
      </c>
      <c r="J379" s="11">
        <v>22.0</v>
      </c>
      <c r="K379" s="12">
        <v>45082.0</v>
      </c>
      <c r="L379" s="11">
        <f>ROUND(((K379-B379)/365)*12,0)</f>
        <v>14</v>
      </c>
      <c r="M379" s="11">
        <v>687593.0</v>
      </c>
      <c r="N379" s="11" t="s">
        <v>862</v>
      </c>
      <c r="O379" s="13"/>
      <c r="P379" s="11">
        <v>0.0</v>
      </c>
      <c r="Q379" s="14">
        <v>0.0</v>
      </c>
      <c r="R379" s="11">
        <v>1.0</v>
      </c>
      <c r="S379">
        <f t="shared" si="1"/>
        <v>2022</v>
      </c>
      <c r="T379">
        <f t="shared" si="2"/>
        <v>4</v>
      </c>
      <c r="U379">
        <f t="shared" si="3"/>
        <v>1</v>
      </c>
      <c r="Z379" s="17">
        <v>45082.0</v>
      </c>
      <c r="AG379" s="15"/>
      <c r="AH379" s="16"/>
      <c r="AM379" s="15"/>
      <c r="AN379" s="16"/>
    </row>
    <row r="380">
      <c r="A380" s="13" t="s">
        <v>863</v>
      </c>
      <c r="B380" s="10">
        <v>44652.0</v>
      </c>
      <c r="C380" s="11" t="s">
        <v>49</v>
      </c>
      <c r="D380" s="11" t="s">
        <v>77</v>
      </c>
      <c r="E380" s="11" t="s">
        <v>39</v>
      </c>
      <c r="F380" s="11" t="s">
        <v>40</v>
      </c>
      <c r="G380" s="11" t="s">
        <v>45</v>
      </c>
      <c r="H380" s="11" t="s">
        <v>163</v>
      </c>
      <c r="I380" s="11" t="s">
        <v>864</v>
      </c>
      <c r="J380" s="11">
        <v>25.0</v>
      </c>
      <c r="K380" s="12"/>
      <c r="L380" s="11"/>
      <c r="M380" s="11">
        <v>663894.0</v>
      </c>
      <c r="N380" s="11" t="s">
        <v>865</v>
      </c>
      <c r="O380" s="13"/>
      <c r="P380" s="11">
        <v>0.0</v>
      </c>
      <c r="Q380" s="14">
        <v>0.0</v>
      </c>
      <c r="R380" s="11">
        <v>0.0</v>
      </c>
      <c r="S380">
        <f t="shared" si="1"/>
        <v>2022</v>
      </c>
      <c r="T380">
        <f t="shared" si="2"/>
        <v>4</v>
      </c>
      <c r="U380">
        <f t="shared" si="3"/>
        <v>1</v>
      </c>
      <c r="AG380" s="15"/>
      <c r="AH380" s="16"/>
      <c r="AM380" s="15"/>
      <c r="AN380" s="16"/>
    </row>
    <row r="381">
      <c r="A381" s="13" t="s">
        <v>866</v>
      </c>
      <c r="B381" s="10">
        <v>44652.0</v>
      </c>
      <c r="C381" s="11" t="s">
        <v>150</v>
      </c>
      <c r="D381" s="11" t="s">
        <v>88</v>
      </c>
      <c r="E381" s="11" t="s">
        <v>39</v>
      </c>
      <c r="F381" s="11" t="s">
        <v>40</v>
      </c>
      <c r="G381" s="11" t="s">
        <v>45</v>
      </c>
      <c r="H381" s="11" t="s">
        <v>112</v>
      </c>
      <c r="I381" s="11" t="s">
        <v>867</v>
      </c>
      <c r="J381" s="11">
        <v>22.0</v>
      </c>
      <c r="K381" s="12">
        <v>45150.0</v>
      </c>
      <c r="L381" s="11">
        <f t="shared" ref="L381:L383" si="38">ROUND(((K381-B381)/365)*12,0)</f>
        <v>16</v>
      </c>
      <c r="M381" s="11">
        <v>694909.0</v>
      </c>
      <c r="N381" s="11" t="s">
        <v>868</v>
      </c>
      <c r="O381" s="13"/>
      <c r="P381" s="11">
        <v>0.0</v>
      </c>
      <c r="Q381" s="14">
        <v>0.0</v>
      </c>
      <c r="R381" s="11">
        <v>1.0</v>
      </c>
      <c r="S381">
        <f t="shared" si="1"/>
        <v>2022</v>
      </c>
      <c r="T381">
        <f t="shared" si="2"/>
        <v>4</v>
      </c>
      <c r="U381">
        <f t="shared" si="3"/>
        <v>1</v>
      </c>
      <c r="Z381" s="17">
        <v>45129.0</v>
      </c>
      <c r="AG381" s="15"/>
      <c r="AH381" s="16"/>
      <c r="AM381" s="15"/>
      <c r="AN381" s="16"/>
    </row>
    <row r="382">
      <c r="A382" s="13" t="s">
        <v>869</v>
      </c>
      <c r="B382" s="17">
        <v>44652.0</v>
      </c>
      <c r="C382" s="11" t="s">
        <v>150</v>
      </c>
      <c r="D382" s="11" t="s">
        <v>93</v>
      </c>
      <c r="E382" s="11" t="s">
        <v>39</v>
      </c>
      <c r="F382" s="11" t="s">
        <v>40</v>
      </c>
      <c r="G382" s="11" t="s">
        <v>45</v>
      </c>
      <c r="H382" s="11" t="s">
        <v>317</v>
      </c>
      <c r="I382" s="11" t="s">
        <v>870</v>
      </c>
      <c r="J382" s="11">
        <v>23.0</v>
      </c>
      <c r="K382" s="12">
        <v>45176.0</v>
      </c>
      <c r="L382" s="11">
        <f t="shared" si="38"/>
        <v>17</v>
      </c>
      <c r="M382" s="11">
        <v>669366.0</v>
      </c>
      <c r="N382" s="11" t="s">
        <v>871</v>
      </c>
      <c r="O382" s="13"/>
      <c r="P382" s="11">
        <v>0.0</v>
      </c>
      <c r="Q382" s="14">
        <v>0.0</v>
      </c>
      <c r="R382" s="11">
        <v>1.0</v>
      </c>
      <c r="S382">
        <f t="shared" si="1"/>
        <v>2022</v>
      </c>
      <c r="T382">
        <f t="shared" si="2"/>
        <v>4</v>
      </c>
      <c r="U382">
        <f t="shared" si="3"/>
        <v>1</v>
      </c>
      <c r="Z382" s="17"/>
      <c r="AG382" s="15"/>
      <c r="AH382" s="16"/>
      <c r="AM382" s="15"/>
      <c r="AN382" s="16"/>
    </row>
    <row r="383">
      <c r="A383" s="13" t="s">
        <v>872</v>
      </c>
      <c r="B383" s="10">
        <v>44652.0</v>
      </c>
      <c r="C383" s="11" t="s">
        <v>175</v>
      </c>
      <c r="D383" s="11" t="s">
        <v>58</v>
      </c>
      <c r="E383" s="11" t="s">
        <v>39</v>
      </c>
      <c r="F383" s="11" t="s">
        <v>64</v>
      </c>
      <c r="G383" s="11" t="s">
        <v>45</v>
      </c>
      <c r="H383" s="11" t="s">
        <v>67</v>
      </c>
      <c r="I383" s="11"/>
      <c r="J383" s="11">
        <v>29.0</v>
      </c>
      <c r="K383" s="12">
        <v>45381.0</v>
      </c>
      <c r="L383" s="11">
        <f t="shared" si="38"/>
        <v>24</v>
      </c>
      <c r="M383" s="11">
        <v>547176.0</v>
      </c>
      <c r="N383" s="11">
        <v>14467.0</v>
      </c>
      <c r="O383" s="13"/>
      <c r="P383" s="11">
        <v>0.0</v>
      </c>
      <c r="Q383" s="14">
        <v>0.0</v>
      </c>
      <c r="R383" s="11">
        <v>1.0</v>
      </c>
      <c r="S383">
        <f t="shared" si="1"/>
        <v>2022</v>
      </c>
      <c r="T383">
        <f t="shared" si="2"/>
        <v>4</v>
      </c>
      <c r="U383">
        <f t="shared" si="3"/>
        <v>1</v>
      </c>
      <c r="Z383" s="17">
        <v>45046.0</v>
      </c>
      <c r="AG383" s="15"/>
      <c r="AH383" s="16"/>
      <c r="AM383" s="15"/>
      <c r="AN383" s="16"/>
    </row>
    <row r="384">
      <c r="A384" s="13" t="s">
        <v>873</v>
      </c>
      <c r="B384" s="10">
        <v>44652.0</v>
      </c>
      <c r="C384" s="11" t="s">
        <v>230</v>
      </c>
      <c r="D384" s="11" t="s">
        <v>213</v>
      </c>
      <c r="E384" s="11" t="s">
        <v>39</v>
      </c>
      <c r="F384" s="11" t="s">
        <v>64</v>
      </c>
      <c r="G384" s="11" t="s">
        <v>45</v>
      </c>
      <c r="H384" s="11" t="s">
        <v>240</v>
      </c>
      <c r="I384" s="11" t="s">
        <v>619</v>
      </c>
      <c r="J384" s="11">
        <v>17.0</v>
      </c>
      <c r="K384" s="12"/>
      <c r="L384" s="11"/>
      <c r="M384" s="11">
        <v>807739.0</v>
      </c>
      <c r="N384" s="11" t="s">
        <v>874</v>
      </c>
      <c r="O384" s="13"/>
      <c r="P384" s="11">
        <v>0.0</v>
      </c>
      <c r="Q384" s="14">
        <v>0.0</v>
      </c>
      <c r="R384" s="11">
        <v>1.0</v>
      </c>
      <c r="S384">
        <f t="shared" si="1"/>
        <v>2022</v>
      </c>
      <c r="T384">
        <f t="shared" si="2"/>
        <v>4</v>
      </c>
      <c r="U384">
        <f t="shared" si="3"/>
        <v>1</v>
      </c>
      <c r="Z384" s="17"/>
      <c r="AG384" s="15"/>
      <c r="AH384" s="16"/>
      <c r="AM384" s="15"/>
      <c r="AN384" s="16"/>
    </row>
    <row r="385">
      <c r="A385" s="13" t="s">
        <v>875</v>
      </c>
      <c r="B385" s="10">
        <v>44650.0</v>
      </c>
      <c r="C385" s="11" t="s">
        <v>235</v>
      </c>
      <c r="D385" s="11" t="s">
        <v>77</v>
      </c>
      <c r="E385" s="11" t="s">
        <v>39</v>
      </c>
      <c r="F385" s="11" t="s">
        <v>64</v>
      </c>
      <c r="G385" s="11" t="s">
        <v>45</v>
      </c>
      <c r="H385" s="11" t="s">
        <v>258</v>
      </c>
      <c r="I385" s="11"/>
      <c r="J385" s="11">
        <v>26.0</v>
      </c>
      <c r="K385" s="12">
        <v>45497.0</v>
      </c>
      <c r="L385" s="11">
        <f>ROUND(((K385-B385)/365)*12,0)</f>
        <v>28</v>
      </c>
      <c r="M385" s="11">
        <v>676697.0</v>
      </c>
      <c r="N385" s="11" t="s">
        <v>876</v>
      </c>
      <c r="O385" s="13"/>
      <c r="P385" s="11">
        <v>0.0</v>
      </c>
      <c r="Q385" s="14">
        <v>0.0</v>
      </c>
      <c r="R385" s="11">
        <v>1.0</v>
      </c>
      <c r="S385">
        <f t="shared" si="1"/>
        <v>2022</v>
      </c>
      <c r="T385">
        <f t="shared" si="2"/>
        <v>3</v>
      </c>
      <c r="U385">
        <f t="shared" si="3"/>
        <v>30</v>
      </c>
      <c r="Z385" s="17">
        <v>45083.0</v>
      </c>
      <c r="AG385" s="15"/>
      <c r="AH385" s="16"/>
      <c r="AM385" s="15"/>
      <c r="AN385" s="16"/>
    </row>
    <row r="386">
      <c r="A386" s="13" t="s">
        <v>877</v>
      </c>
      <c r="B386" s="10">
        <v>44643.0</v>
      </c>
      <c r="C386" s="11" t="s">
        <v>111</v>
      </c>
      <c r="D386" s="11" t="s">
        <v>77</v>
      </c>
      <c r="E386" s="11" t="s">
        <v>39</v>
      </c>
      <c r="F386" s="11" t="s">
        <v>40</v>
      </c>
      <c r="G386" s="11" t="s">
        <v>45</v>
      </c>
      <c r="H386" s="11" t="s">
        <v>67</v>
      </c>
      <c r="I386" s="11" t="s">
        <v>878</v>
      </c>
      <c r="J386" s="11">
        <v>26.0</v>
      </c>
      <c r="K386" s="12"/>
      <c r="L386" s="11"/>
      <c r="M386" s="11">
        <v>676055.0</v>
      </c>
      <c r="N386" s="11" t="s">
        <v>879</v>
      </c>
      <c r="O386" s="13"/>
      <c r="P386" s="11">
        <v>0.0</v>
      </c>
      <c r="Q386" s="14">
        <v>0.0</v>
      </c>
      <c r="R386" s="11">
        <v>1.0</v>
      </c>
      <c r="S386">
        <f t="shared" si="1"/>
        <v>2022</v>
      </c>
      <c r="T386">
        <f t="shared" si="2"/>
        <v>3</v>
      </c>
      <c r="U386">
        <f t="shared" si="3"/>
        <v>23</v>
      </c>
      <c r="Z386" s="17">
        <v>45066.0</v>
      </c>
      <c r="AG386" s="15"/>
      <c r="AH386" s="16"/>
      <c r="AM386" s="15"/>
      <c r="AN386" s="16"/>
    </row>
    <row r="387">
      <c r="A387" s="13" t="s">
        <v>880</v>
      </c>
      <c r="B387" s="10">
        <v>44628.0</v>
      </c>
      <c r="C387" s="11" t="s">
        <v>103</v>
      </c>
      <c r="D387" s="11" t="s">
        <v>221</v>
      </c>
      <c r="E387" s="11" t="s">
        <v>39</v>
      </c>
      <c r="F387" s="11" t="s">
        <v>64</v>
      </c>
      <c r="G387" s="11" t="s">
        <v>45</v>
      </c>
      <c r="H387" s="11" t="s">
        <v>243</v>
      </c>
      <c r="I387" s="11" t="s">
        <v>637</v>
      </c>
      <c r="J387" s="11">
        <v>22.0</v>
      </c>
      <c r="K387" s="12">
        <v>45056.0</v>
      </c>
      <c r="L387" s="11">
        <f t="shared" ref="L387:L388" si="39">ROUND(((K387-B387)/365)*12,0)</f>
        <v>14</v>
      </c>
      <c r="M387" s="11">
        <v>681306.0</v>
      </c>
      <c r="N387" s="11" t="s">
        <v>881</v>
      </c>
      <c r="O387" s="13"/>
      <c r="P387" s="11">
        <v>0.0</v>
      </c>
      <c r="Q387" s="14">
        <v>0.0</v>
      </c>
      <c r="R387" s="11">
        <v>1.0</v>
      </c>
      <c r="S387">
        <f t="shared" si="1"/>
        <v>2022</v>
      </c>
      <c r="T387">
        <f t="shared" si="2"/>
        <v>3</v>
      </c>
      <c r="U387">
        <f t="shared" si="3"/>
        <v>8</v>
      </c>
      <c r="Z387" s="17">
        <v>45056.0</v>
      </c>
      <c r="AG387" s="15"/>
      <c r="AH387" s="16"/>
      <c r="AM387" s="15"/>
      <c r="AN387" s="16"/>
    </row>
    <row r="388">
      <c r="A388" s="13" t="s">
        <v>882</v>
      </c>
      <c r="B388" s="10">
        <v>44627.0</v>
      </c>
      <c r="C388" s="11" t="s">
        <v>167</v>
      </c>
      <c r="D388" s="11" t="s">
        <v>38</v>
      </c>
      <c r="E388" s="11" t="s">
        <v>39</v>
      </c>
      <c r="F388" s="11" t="s">
        <v>40</v>
      </c>
      <c r="G388" s="11" t="s">
        <v>45</v>
      </c>
      <c r="H388" s="11" t="s">
        <v>652</v>
      </c>
      <c r="I388" s="11" t="s">
        <v>883</v>
      </c>
      <c r="J388" s="11">
        <v>25.0</v>
      </c>
      <c r="K388" s="12">
        <v>45811.0</v>
      </c>
      <c r="L388" s="11">
        <f t="shared" si="39"/>
        <v>39</v>
      </c>
      <c r="M388" s="11">
        <v>676051.0</v>
      </c>
      <c r="N388" s="11">
        <v>23293.0</v>
      </c>
      <c r="O388" s="13"/>
      <c r="P388" s="11">
        <v>0.0</v>
      </c>
      <c r="Q388" s="14">
        <v>0.0</v>
      </c>
      <c r="R388" s="11">
        <v>1.0</v>
      </c>
      <c r="S388">
        <f t="shared" si="1"/>
        <v>2022</v>
      </c>
      <c r="T388">
        <f t="shared" si="2"/>
        <v>3</v>
      </c>
      <c r="U388">
        <f t="shared" si="3"/>
        <v>7</v>
      </c>
      <c r="Z388" s="17">
        <v>45052.0</v>
      </c>
      <c r="AA388" s="17">
        <v>45097.0</v>
      </c>
      <c r="AB388" s="13" t="s">
        <v>884</v>
      </c>
      <c r="AG388" s="15"/>
      <c r="AH388" s="16"/>
      <c r="AM388" s="15"/>
      <c r="AN388" s="16"/>
    </row>
    <row r="389">
      <c r="A389" s="13" t="s">
        <v>885</v>
      </c>
      <c r="B389" s="17">
        <v>44624.0</v>
      </c>
      <c r="C389" s="11" t="s">
        <v>52</v>
      </c>
      <c r="D389" s="11" t="s">
        <v>93</v>
      </c>
      <c r="E389" s="11" t="s">
        <v>39</v>
      </c>
      <c r="F389" s="11" t="s">
        <v>40</v>
      </c>
      <c r="G389" s="11" t="s">
        <v>45</v>
      </c>
      <c r="H389" s="11" t="s">
        <v>669</v>
      </c>
      <c r="I389" s="11" t="s">
        <v>173</v>
      </c>
      <c r="J389" s="11">
        <v>21.0</v>
      </c>
      <c r="K389" s="12">
        <v>45146.0</v>
      </c>
      <c r="L389" s="11"/>
      <c r="M389" s="11">
        <v>801802.0</v>
      </c>
      <c r="N389" s="11" t="s">
        <v>886</v>
      </c>
      <c r="O389" s="13"/>
      <c r="P389" s="11">
        <v>0.0</v>
      </c>
      <c r="Q389" s="14">
        <v>0.0</v>
      </c>
      <c r="R389" s="11">
        <v>1.0</v>
      </c>
      <c r="S389">
        <f t="shared" si="1"/>
        <v>2022</v>
      </c>
      <c r="T389">
        <f t="shared" si="2"/>
        <v>3</v>
      </c>
      <c r="U389">
        <f t="shared" si="3"/>
        <v>4</v>
      </c>
      <c r="V389" s="17"/>
      <c r="Z389" s="17"/>
      <c r="AG389" s="15"/>
      <c r="AH389" s="16"/>
      <c r="AM389" s="15"/>
      <c r="AN389" s="16"/>
    </row>
    <row r="390">
      <c r="A390" s="13" t="s">
        <v>887</v>
      </c>
      <c r="B390" s="10">
        <v>44621.0</v>
      </c>
      <c r="C390" s="11" t="s">
        <v>101</v>
      </c>
      <c r="D390" s="11" t="s">
        <v>93</v>
      </c>
      <c r="E390" s="11" t="s">
        <v>39</v>
      </c>
      <c r="F390" s="11" t="s">
        <v>40</v>
      </c>
      <c r="G390" s="11" t="s">
        <v>45</v>
      </c>
      <c r="H390" s="11" t="s">
        <v>163</v>
      </c>
      <c r="I390" s="11" t="s">
        <v>637</v>
      </c>
      <c r="J390" s="11">
        <v>21.0</v>
      </c>
      <c r="K390" s="12">
        <v>45086.0</v>
      </c>
      <c r="L390" s="11">
        <f t="shared" ref="L390:L392" si="40">ROUND(((K390-B390)/365)*12,0)</f>
        <v>15</v>
      </c>
      <c r="M390" s="11">
        <v>683085.0</v>
      </c>
      <c r="N390" s="11" t="s">
        <v>888</v>
      </c>
      <c r="O390" s="13"/>
      <c r="P390" s="11">
        <v>0.0</v>
      </c>
      <c r="Q390" s="14">
        <v>0.0</v>
      </c>
      <c r="R390" s="11">
        <v>1.0</v>
      </c>
      <c r="S390">
        <f t="shared" si="1"/>
        <v>2022</v>
      </c>
      <c r="T390">
        <f t="shared" si="2"/>
        <v>3</v>
      </c>
      <c r="U390">
        <f t="shared" si="3"/>
        <v>1</v>
      </c>
      <c r="V390" s="17"/>
      <c r="Z390" s="17">
        <v>45086.0</v>
      </c>
      <c r="AG390" s="15"/>
      <c r="AH390" s="16"/>
      <c r="AM390" s="15"/>
      <c r="AN390" s="16"/>
    </row>
    <row r="391">
      <c r="A391" s="13" t="s">
        <v>889</v>
      </c>
      <c r="B391" s="10">
        <v>44621.0</v>
      </c>
      <c r="C391" s="11" t="s">
        <v>72</v>
      </c>
      <c r="D391" s="11" t="s">
        <v>97</v>
      </c>
      <c r="E391" s="11" t="s">
        <v>39</v>
      </c>
      <c r="F391" s="11" t="s">
        <v>40</v>
      </c>
      <c r="G391" s="11" t="s">
        <v>45</v>
      </c>
      <c r="H391" s="11" t="s">
        <v>163</v>
      </c>
      <c r="I391" s="11"/>
      <c r="J391" s="11">
        <v>21.0</v>
      </c>
      <c r="K391" s="12">
        <v>45070.0</v>
      </c>
      <c r="L391" s="11">
        <f t="shared" si="40"/>
        <v>15</v>
      </c>
      <c r="M391" s="11">
        <v>687134.0</v>
      </c>
      <c r="N391" s="11">
        <v>26419.0</v>
      </c>
      <c r="O391" s="13"/>
      <c r="P391" s="11">
        <v>0.0</v>
      </c>
      <c r="Q391" s="14">
        <v>0.0</v>
      </c>
      <c r="R391" s="11">
        <v>1.0</v>
      </c>
      <c r="S391">
        <f t="shared" si="1"/>
        <v>2022</v>
      </c>
      <c r="T391">
        <f t="shared" si="2"/>
        <v>3</v>
      </c>
      <c r="U391">
        <f t="shared" si="3"/>
        <v>1</v>
      </c>
      <c r="V391" s="17">
        <v>44790.0</v>
      </c>
      <c r="Z391" s="17">
        <v>45070.0</v>
      </c>
      <c r="AG391" s="15"/>
      <c r="AH391" s="16"/>
      <c r="AM391" s="15"/>
      <c r="AN391" s="16"/>
    </row>
    <row r="392">
      <c r="A392" s="13" t="s">
        <v>890</v>
      </c>
      <c r="B392" s="17">
        <v>44621.0</v>
      </c>
      <c r="C392" s="11" t="s">
        <v>167</v>
      </c>
      <c r="D392" s="11" t="s">
        <v>93</v>
      </c>
      <c r="E392" s="11" t="s">
        <v>39</v>
      </c>
      <c r="F392" s="11" t="s">
        <v>40</v>
      </c>
      <c r="G392" s="11" t="s">
        <v>45</v>
      </c>
      <c r="H392" s="11" t="s">
        <v>258</v>
      </c>
      <c r="I392" s="11" t="s">
        <v>179</v>
      </c>
      <c r="J392" s="11">
        <v>21.0</v>
      </c>
      <c r="K392" s="12">
        <v>45451.0</v>
      </c>
      <c r="L392" s="11">
        <f t="shared" si="40"/>
        <v>27</v>
      </c>
      <c r="M392" s="11">
        <v>687137.0</v>
      </c>
      <c r="N392" s="11" t="s">
        <v>891</v>
      </c>
      <c r="O392" s="13"/>
      <c r="P392" s="11">
        <v>0.0</v>
      </c>
      <c r="Q392" s="14">
        <v>0.0</v>
      </c>
      <c r="R392" s="11">
        <v>1.0</v>
      </c>
      <c r="S392">
        <f t="shared" si="1"/>
        <v>2022</v>
      </c>
      <c r="T392">
        <f t="shared" si="2"/>
        <v>3</v>
      </c>
      <c r="U392">
        <f t="shared" si="3"/>
        <v>1</v>
      </c>
      <c r="Z392" s="17">
        <v>45451.0</v>
      </c>
      <c r="AG392" s="15"/>
      <c r="AH392" s="16"/>
      <c r="AM392" s="15"/>
      <c r="AN392" s="16"/>
    </row>
    <row r="393">
      <c r="A393" s="13" t="s">
        <v>892</v>
      </c>
      <c r="B393" s="10">
        <v>44621.0</v>
      </c>
      <c r="C393" s="11" t="s">
        <v>143</v>
      </c>
      <c r="D393" s="11" t="s">
        <v>77</v>
      </c>
      <c r="E393" s="11" t="s">
        <v>39</v>
      </c>
      <c r="F393" s="11" t="s">
        <v>40</v>
      </c>
      <c r="G393" s="11" t="s">
        <v>45</v>
      </c>
      <c r="H393" s="11" t="s">
        <v>73</v>
      </c>
      <c r="I393" s="11" t="s">
        <v>893</v>
      </c>
      <c r="J393" s="11">
        <v>26.0</v>
      </c>
      <c r="K393" s="12"/>
      <c r="L393" s="11"/>
      <c r="M393" s="11">
        <v>670267.0</v>
      </c>
      <c r="N393" s="11" t="s">
        <v>894</v>
      </c>
      <c r="O393" s="13"/>
      <c r="P393" s="11">
        <v>0.0</v>
      </c>
      <c r="Q393" s="14">
        <v>0.0</v>
      </c>
      <c r="R393" s="11">
        <v>1.0</v>
      </c>
      <c r="S393">
        <f t="shared" si="1"/>
        <v>2022</v>
      </c>
      <c r="T393">
        <f t="shared" si="2"/>
        <v>3</v>
      </c>
      <c r="U393">
        <f t="shared" si="3"/>
        <v>1</v>
      </c>
      <c r="Z393" s="17">
        <v>45063.0</v>
      </c>
      <c r="AG393" s="15"/>
      <c r="AH393" s="16"/>
      <c r="AM393" s="15"/>
      <c r="AN393" s="16"/>
    </row>
    <row r="394">
      <c r="A394" s="13" t="s">
        <v>895</v>
      </c>
      <c r="B394" s="10">
        <v>44621.0</v>
      </c>
      <c r="C394" s="11" t="s">
        <v>49</v>
      </c>
      <c r="D394" s="11" t="s">
        <v>97</v>
      </c>
      <c r="E394" s="11" t="s">
        <v>39</v>
      </c>
      <c r="F394" s="11" t="s">
        <v>64</v>
      </c>
      <c r="G394" s="11" t="s">
        <v>41</v>
      </c>
      <c r="H394" s="11"/>
      <c r="I394" s="11"/>
      <c r="J394" s="11">
        <v>19.0</v>
      </c>
      <c r="K394" s="12">
        <v>45086.0</v>
      </c>
      <c r="L394" s="11">
        <f>ROUND(((K394-B394)/365)*12,0)</f>
        <v>15</v>
      </c>
      <c r="M394" s="11">
        <v>691712.0</v>
      </c>
      <c r="N394" s="11" t="s">
        <v>896</v>
      </c>
      <c r="O394" s="13"/>
      <c r="P394" s="11">
        <v>0.0</v>
      </c>
      <c r="Q394" s="14">
        <v>0.0</v>
      </c>
      <c r="R394" s="11">
        <v>1.0</v>
      </c>
      <c r="S394">
        <f t="shared" si="1"/>
        <v>2022</v>
      </c>
      <c r="T394">
        <f t="shared" si="2"/>
        <v>3</v>
      </c>
      <c r="U394">
        <f t="shared" si="3"/>
        <v>1</v>
      </c>
      <c r="Z394" s="17">
        <v>45082.0</v>
      </c>
      <c r="AG394" s="15"/>
      <c r="AH394" s="16"/>
      <c r="AM394" s="15"/>
      <c r="AN394" s="16"/>
    </row>
    <row r="395">
      <c r="A395" s="13" t="s">
        <v>897</v>
      </c>
      <c r="B395" s="17">
        <v>44621.0</v>
      </c>
      <c r="C395" s="11" t="s">
        <v>49</v>
      </c>
      <c r="D395" s="11" t="s">
        <v>93</v>
      </c>
      <c r="E395" s="11" t="s">
        <v>39</v>
      </c>
      <c r="F395" s="11" t="s">
        <v>40</v>
      </c>
      <c r="G395" s="11" t="s">
        <v>45</v>
      </c>
      <c r="H395" s="11" t="s">
        <v>56</v>
      </c>
      <c r="I395" s="11" t="s">
        <v>56</v>
      </c>
      <c r="J395" s="11">
        <v>19.0</v>
      </c>
      <c r="K395" s="12">
        <v>45541.0</v>
      </c>
      <c r="L395" s="11"/>
      <c r="M395" s="11">
        <v>691027.0</v>
      </c>
      <c r="N395" s="11" t="s">
        <v>898</v>
      </c>
      <c r="O395" s="13"/>
      <c r="P395" s="11">
        <v>0.0</v>
      </c>
      <c r="Q395" s="14">
        <v>0.0</v>
      </c>
      <c r="R395" s="11">
        <v>1.0</v>
      </c>
      <c r="S395">
        <f t="shared" si="1"/>
        <v>2022</v>
      </c>
      <c r="T395">
        <f t="shared" si="2"/>
        <v>3</v>
      </c>
      <c r="U395">
        <f t="shared" si="3"/>
        <v>1</v>
      </c>
      <c r="Z395" s="17">
        <v>45541.0</v>
      </c>
      <c r="AG395" s="15"/>
      <c r="AH395" s="16"/>
      <c r="AM395" s="15"/>
      <c r="AN395" s="16"/>
    </row>
    <row r="396">
      <c r="A396" s="13" t="s">
        <v>899</v>
      </c>
      <c r="B396" s="10">
        <v>44621.0</v>
      </c>
      <c r="C396" s="11" t="s">
        <v>76</v>
      </c>
      <c r="D396" s="11" t="s">
        <v>221</v>
      </c>
      <c r="E396" s="11" t="s">
        <v>900</v>
      </c>
      <c r="F396" s="11" t="s">
        <v>40</v>
      </c>
      <c r="G396" s="11" t="s">
        <v>45</v>
      </c>
      <c r="H396" s="11" t="s">
        <v>231</v>
      </c>
      <c r="I396" s="11"/>
      <c r="J396" s="11">
        <v>19.0</v>
      </c>
      <c r="K396" s="12">
        <v>45023.0</v>
      </c>
      <c r="L396" s="11">
        <f t="shared" ref="L396:L400" si="41">ROUND(((K396-B396)/365)*12,0)</f>
        <v>13</v>
      </c>
      <c r="M396" s="11">
        <v>695734.0</v>
      </c>
      <c r="N396" s="11" t="s">
        <v>901</v>
      </c>
      <c r="O396" s="13"/>
      <c r="P396" s="11">
        <v>0.0</v>
      </c>
      <c r="Q396" s="14">
        <v>0.0</v>
      </c>
      <c r="R396" s="11">
        <v>1.0</v>
      </c>
      <c r="S396">
        <f t="shared" si="1"/>
        <v>2022</v>
      </c>
      <c r="T396">
        <f t="shared" si="2"/>
        <v>3</v>
      </c>
      <c r="U396">
        <f t="shared" si="3"/>
        <v>1</v>
      </c>
      <c r="Z396" s="17">
        <v>45023.0</v>
      </c>
      <c r="AG396" s="15"/>
      <c r="AH396" s="16"/>
      <c r="AM396" s="15"/>
      <c r="AN396" s="16"/>
    </row>
    <row r="397">
      <c r="A397" s="13" t="s">
        <v>902</v>
      </c>
      <c r="B397" s="10">
        <v>44620.0</v>
      </c>
      <c r="C397" s="11" t="s">
        <v>186</v>
      </c>
      <c r="D397" s="11" t="s">
        <v>58</v>
      </c>
      <c r="E397" s="11" t="s">
        <v>39</v>
      </c>
      <c r="F397" s="11" t="s">
        <v>40</v>
      </c>
      <c r="G397" s="11" t="s">
        <v>45</v>
      </c>
      <c r="H397" s="11" t="s">
        <v>119</v>
      </c>
      <c r="I397" s="11" t="s">
        <v>903</v>
      </c>
      <c r="J397" s="11">
        <v>25.0</v>
      </c>
      <c r="K397" s="12">
        <v>45153.0</v>
      </c>
      <c r="L397" s="11">
        <f t="shared" si="41"/>
        <v>18</v>
      </c>
      <c r="M397" s="11">
        <v>670081.0</v>
      </c>
      <c r="N397" s="11" t="s">
        <v>904</v>
      </c>
      <c r="O397" s="13"/>
      <c r="P397" s="11">
        <v>0.0</v>
      </c>
      <c r="Q397" s="14">
        <v>0.0</v>
      </c>
      <c r="R397" s="11">
        <v>1.0</v>
      </c>
      <c r="S397">
        <f t="shared" si="1"/>
        <v>2022</v>
      </c>
      <c r="T397">
        <f t="shared" si="2"/>
        <v>2</v>
      </c>
      <c r="U397">
        <f t="shared" si="3"/>
        <v>28</v>
      </c>
      <c r="Z397" s="17">
        <v>45135.0</v>
      </c>
      <c r="AG397" s="15"/>
      <c r="AH397" s="16"/>
      <c r="AM397" s="15"/>
      <c r="AN397" s="16"/>
    </row>
    <row r="398">
      <c r="A398" s="13" t="s">
        <v>905</v>
      </c>
      <c r="B398" s="10">
        <v>44600.0</v>
      </c>
      <c r="C398" s="11" t="s">
        <v>116</v>
      </c>
      <c r="D398" s="11" t="s">
        <v>58</v>
      </c>
      <c r="E398" s="11" t="s">
        <v>39</v>
      </c>
      <c r="F398" s="11" t="s">
        <v>40</v>
      </c>
      <c r="G398" s="11" t="s">
        <v>483</v>
      </c>
      <c r="H398" s="11"/>
      <c r="I398" s="11"/>
      <c r="J398" s="11">
        <v>25.0</v>
      </c>
      <c r="K398" s="12">
        <v>45123.0</v>
      </c>
      <c r="L398" s="11">
        <f t="shared" si="41"/>
        <v>17</v>
      </c>
      <c r="M398" s="11">
        <v>678226.0</v>
      </c>
      <c r="N398" s="11">
        <v>20271.0</v>
      </c>
      <c r="O398" s="13"/>
      <c r="P398" s="11">
        <v>0.0</v>
      </c>
      <c r="Q398" s="14">
        <v>0.0</v>
      </c>
      <c r="R398" s="11">
        <v>1.0</v>
      </c>
      <c r="S398">
        <f t="shared" si="1"/>
        <v>2022</v>
      </c>
      <c r="T398">
        <f t="shared" si="2"/>
        <v>2</v>
      </c>
      <c r="U398">
        <f t="shared" si="3"/>
        <v>8</v>
      </c>
      <c r="Z398" s="17">
        <v>45031.0</v>
      </c>
      <c r="AG398" s="15"/>
      <c r="AH398" s="16"/>
      <c r="AM398" s="15"/>
      <c r="AN398" s="16"/>
    </row>
    <row r="399">
      <c r="A399" s="13" t="s">
        <v>906</v>
      </c>
      <c r="B399" s="10">
        <v>44593.0</v>
      </c>
      <c r="C399" s="11" t="s">
        <v>44</v>
      </c>
      <c r="D399" s="11" t="s">
        <v>221</v>
      </c>
      <c r="E399" s="11" t="s">
        <v>39</v>
      </c>
      <c r="F399" s="11" t="s">
        <v>40</v>
      </c>
      <c r="G399" s="11" t="s">
        <v>41</v>
      </c>
      <c r="H399" s="11"/>
      <c r="I399" s="11"/>
      <c r="J399" s="11">
        <v>21.0</v>
      </c>
      <c r="K399" s="12">
        <v>45108.0</v>
      </c>
      <c r="L399" s="11">
        <f t="shared" si="41"/>
        <v>17</v>
      </c>
      <c r="M399" s="11">
        <v>687673.0</v>
      </c>
      <c r="N399" s="11" t="s">
        <v>907</v>
      </c>
      <c r="O399" s="13"/>
      <c r="P399" s="11">
        <v>0.0</v>
      </c>
      <c r="Q399" s="14">
        <v>0.0</v>
      </c>
      <c r="R399" s="11">
        <v>1.0</v>
      </c>
      <c r="S399">
        <f t="shared" si="1"/>
        <v>2022</v>
      </c>
      <c r="T399">
        <f t="shared" si="2"/>
        <v>2</v>
      </c>
      <c r="U399">
        <f t="shared" si="3"/>
        <v>1</v>
      </c>
      <c r="Z399" s="17">
        <v>45108.0</v>
      </c>
      <c r="AG399" s="15"/>
      <c r="AH399" s="16"/>
      <c r="AM399" s="15"/>
      <c r="AN399" s="16"/>
    </row>
    <row r="400">
      <c r="A400" s="13" t="s">
        <v>908</v>
      </c>
      <c r="B400" s="10">
        <v>44592.0</v>
      </c>
      <c r="C400" s="11" t="s">
        <v>143</v>
      </c>
      <c r="D400" s="11" t="s">
        <v>93</v>
      </c>
      <c r="E400" s="11" t="s">
        <v>39</v>
      </c>
      <c r="F400" s="11" t="s">
        <v>40</v>
      </c>
      <c r="G400" s="11" t="s">
        <v>45</v>
      </c>
      <c r="H400" s="11" t="s">
        <v>669</v>
      </c>
      <c r="I400" s="11" t="s">
        <v>669</v>
      </c>
      <c r="J400" s="11">
        <v>21.0</v>
      </c>
      <c r="K400" s="12">
        <v>45023.0</v>
      </c>
      <c r="L400" s="11">
        <f t="shared" si="41"/>
        <v>14</v>
      </c>
      <c r="M400" s="11">
        <v>688883.0</v>
      </c>
      <c r="N400" s="11" t="s">
        <v>909</v>
      </c>
      <c r="O400" s="13"/>
      <c r="P400" s="11">
        <v>0.0</v>
      </c>
      <c r="Q400" s="14">
        <v>0.0</v>
      </c>
      <c r="R400" s="11">
        <v>1.0</v>
      </c>
      <c r="S400">
        <f t="shared" si="1"/>
        <v>2022</v>
      </c>
      <c r="T400">
        <f t="shared" si="2"/>
        <v>1</v>
      </c>
      <c r="U400">
        <f t="shared" si="3"/>
        <v>31</v>
      </c>
      <c r="Z400" s="17">
        <v>45023.0</v>
      </c>
      <c r="AG400" s="15"/>
      <c r="AH400" s="16"/>
      <c r="AM400" s="15"/>
      <c r="AN400" s="16"/>
    </row>
    <row r="401">
      <c r="A401" s="13" t="s">
        <v>910</v>
      </c>
      <c r="B401" s="10">
        <v>44587.0</v>
      </c>
      <c r="C401" s="11" t="s">
        <v>111</v>
      </c>
      <c r="D401" s="11" t="s">
        <v>77</v>
      </c>
      <c r="E401" s="11" t="s">
        <v>39</v>
      </c>
      <c r="F401" s="11" t="s">
        <v>40</v>
      </c>
      <c r="G401" s="11" t="s">
        <v>45</v>
      </c>
      <c r="H401" s="11" t="s">
        <v>46</v>
      </c>
      <c r="I401" s="11" t="s">
        <v>619</v>
      </c>
      <c r="J401" s="11">
        <v>25.0</v>
      </c>
      <c r="K401" s="12"/>
      <c r="L401" s="11"/>
      <c r="M401" s="11">
        <v>666132.0</v>
      </c>
      <c r="N401" s="11" t="s">
        <v>911</v>
      </c>
      <c r="O401" s="13" t="s">
        <v>42</v>
      </c>
      <c r="P401" s="11">
        <v>0.0</v>
      </c>
      <c r="Q401" s="14">
        <v>0.0</v>
      </c>
      <c r="R401" s="11">
        <v>1.0</v>
      </c>
      <c r="S401">
        <f t="shared" si="1"/>
        <v>2022</v>
      </c>
      <c r="T401">
        <f t="shared" si="2"/>
        <v>1</v>
      </c>
      <c r="U401">
        <f t="shared" si="3"/>
        <v>26</v>
      </c>
      <c r="Z401" s="17">
        <v>45024.0</v>
      </c>
      <c r="AG401" s="15"/>
      <c r="AH401" s="16"/>
      <c r="AM401" s="15"/>
      <c r="AN401" s="16"/>
    </row>
    <row r="402">
      <c r="A402" s="13" t="s">
        <v>912</v>
      </c>
      <c r="B402" s="17">
        <v>44562.0</v>
      </c>
      <c r="C402" s="11" t="s">
        <v>101</v>
      </c>
      <c r="D402" s="11" t="s">
        <v>213</v>
      </c>
      <c r="E402" s="11" t="s">
        <v>39</v>
      </c>
      <c r="F402" s="11" t="s">
        <v>64</v>
      </c>
      <c r="G402" s="11" t="s">
        <v>45</v>
      </c>
      <c r="H402" s="11" t="s">
        <v>566</v>
      </c>
      <c r="I402" s="11" t="s">
        <v>913</v>
      </c>
      <c r="J402" s="11">
        <v>19.0</v>
      </c>
      <c r="K402" s="12">
        <v>45527.0</v>
      </c>
      <c r="L402" s="11"/>
      <c r="M402" s="11">
        <v>695775.0</v>
      </c>
      <c r="N402" s="11" t="s">
        <v>914</v>
      </c>
      <c r="O402" s="13"/>
      <c r="P402" s="11">
        <v>0.0</v>
      </c>
      <c r="Q402" s="14">
        <v>0.0</v>
      </c>
      <c r="R402" s="11">
        <v>1.0</v>
      </c>
      <c r="S402">
        <f t="shared" si="1"/>
        <v>2022</v>
      </c>
      <c r="T402">
        <f t="shared" si="2"/>
        <v>1</v>
      </c>
      <c r="U402">
        <f t="shared" si="3"/>
        <v>1</v>
      </c>
      <c r="Z402" s="17">
        <v>45527.0</v>
      </c>
      <c r="AG402" s="15"/>
      <c r="AH402" s="16"/>
      <c r="AM402" s="15"/>
      <c r="AN402" s="16"/>
    </row>
    <row r="403">
      <c r="A403" s="13" t="s">
        <v>915</v>
      </c>
      <c r="B403" s="10">
        <v>44562.0</v>
      </c>
      <c r="C403" s="11" t="s">
        <v>116</v>
      </c>
      <c r="D403" s="11" t="s">
        <v>97</v>
      </c>
      <c r="E403" s="11" t="s">
        <v>39</v>
      </c>
      <c r="F403" s="11" t="s">
        <v>40</v>
      </c>
      <c r="G403" s="11" t="s">
        <v>45</v>
      </c>
      <c r="H403" s="11" t="s">
        <v>159</v>
      </c>
      <c r="I403" s="11"/>
      <c r="J403" s="11">
        <v>21.0</v>
      </c>
      <c r="K403" s="12">
        <v>45027.0</v>
      </c>
      <c r="L403" s="11"/>
      <c r="M403" s="11">
        <v>687991.0</v>
      </c>
      <c r="N403" s="11" t="s">
        <v>916</v>
      </c>
      <c r="O403" s="13"/>
      <c r="P403" s="11">
        <v>0.0</v>
      </c>
      <c r="Q403" s="14">
        <v>0.0</v>
      </c>
      <c r="R403" s="11">
        <v>1.0</v>
      </c>
      <c r="S403">
        <f t="shared" si="1"/>
        <v>2022</v>
      </c>
      <c r="T403">
        <f t="shared" si="2"/>
        <v>1</v>
      </c>
      <c r="U403">
        <f t="shared" si="3"/>
        <v>1</v>
      </c>
      <c r="Z403" s="17">
        <v>45027.0</v>
      </c>
      <c r="AG403" s="15"/>
      <c r="AH403" s="16"/>
      <c r="AM403" s="15"/>
      <c r="AN403" s="16"/>
    </row>
    <row r="404">
      <c r="A404" s="13" t="s">
        <v>917</v>
      </c>
      <c r="B404" s="10">
        <v>44562.0</v>
      </c>
      <c r="C404" s="11" t="s">
        <v>116</v>
      </c>
      <c r="D404" s="11" t="s">
        <v>77</v>
      </c>
      <c r="E404" s="11" t="s">
        <v>118</v>
      </c>
      <c r="F404" s="11" t="s">
        <v>64</v>
      </c>
      <c r="G404" s="11" t="s">
        <v>45</v>
      </c>
      <c r="H404" s="11" t="s">
        <v>182</v>
      </c>
      <c r="I404" s="11" t="s">
        <v>129</v>
      </c>
      <c r="J404" s="11">
        <v>23.0</v>
      </c>
      <c r="K404" s="12">
        <v>45052.0</v>
      </c>
      <c r="L404" s="11"/>
      <c r="M404" s="11">
        <v>675966.0</v>
      </c>
      <c r="N404" s="11" t="s">
        <v>918</v>
      </c>
      <c r="O404" s="13"/>
      <c r="P404" s="11">
        <v>0.0</v>
      </c>
      <c r="Q404" s="14">
        <v>0.0</v>
      </c>
      <c r="R404" s="11">
        <v>1.0</v>
      </c>
      <c r="S404">
        <f t="shared" si="1"/>
        <v>2022</v>
      </c>
      <c r="T404">
        <f t="shared" si="2"/>
        <v>1</v>
      </c>
      <c r="U404">
        <f t="shared" si="3"/>
        <v>1</v>
      </c>
      <c r="Z404" s="17">
        <v>45052.0</v>
      </c>
      <c r="AG404" s="15"/>
      <c r="AH404" s="16"/>
      <c r="AM404" s="15"/>
      <c r="AN404" s="16"/>
    </row>
    <row r="405">
      <c r="A405" s="13" t="s">
        <v>919</v>
      </c>
      <c r="B405" s="10">
        <v>44562.0</v>
      </c>
      <c r="C405" s="11" t="s">
        <v>116</v>
      </c>
      <c r="D405" s="11" t="s">
        <v>58</v>
      </c>
      <c r="E405" s="11" t="s">
        <v>39</v>
      </c>
      <c r="F405" s="11" t="s">
        <v>40</v>
      </c>
      <c r="G405" s="11" t="s">
        <v>45</v>
      </c>
      <c r="H405" s="11" t="s">
        <v>84</v>
      </c>
      <c r="I405" s="11" t="s">
        <v>574</v>
      </c>
      <c r="J405" s="11">
        <v>26.0</v>
      </c>
      <c r="K405" s="12">
        <v>45188.0</v>
      </c>
      <c r="L405" s="11"/>
      <c r="M405" s="11">
        <v>676570.0</v>
      </c>
      <c r="N405" s="11" t="s">
        <v>920</v>
      </c>
      <c r="O405" s="13"/>
      <c r="P405" s="11">
        <v>0.0</v>
      </c>
      <c r="Q405" s="14">
        <v>0.0</v>
      </c>
      <c r="R405" s="11">
        <v>1.0</v>
      </c>
      <c r="S405">
        <f t="shared" si="1"/>
        <v>2022</v>
      </c>
      <c r="T405">
        <f t="shared" si="2"/>
        <v>1</v>
      </c>
      <c r="U405">
        <f t="shared" si="3"/>
        <v>1</v>
      </c>
      <c r="Z405" s="17">
        <v>45092.0</v>
      </c>
      <c r="AG405" s="15"/>
      <c r="AH405" s="16"/>
      <c r="AM405" s="15"/>
      <c r="AN405" s="16"/>
    </row>
    <row r="406">
      <c r="A406" s="19" t="s">
        <v>921</v>
      </c>
      <c r="B406" s="31">
        <v>44562.0</v>
      </c>
      <c r="C406" s="21" t="s">
        <v>138</v>
      </c>
      <c r="D406" s="18" t="s">
        <v>77</v>
      </c>
      <c r="E406" s="21" t="s">
        <v>39</v>
      </c>
      <c r="F406" s="21" t="s">
        <v>40</v>
      </c>
      <c r="G406" s="21" t="s">
        <v>45</v>
      </c>
      <c r="H406" s="21" t="s">
        <v>56</v>
      </c>
      <c r="I406" s="21" t="s">
        <v>922</v>
      </c>
      <c r="J406" s="18">
        <v>23.0</v>
      </c>
      <c r="K406" s="32">
        <v>45156.0</v>
      </c>
      <c r="L406" s="19"/>
      <c r="M406" s="21">
        <v>687064.0</v>
      </c>
      <c r="N406" s="21" t="s">
        <v>923</v>
      </c>
      <c r="O406" s="19"/>
      <c r="P406" s="21">
        <v>0.0</v>
      </c>
      <c r="Q406" s="23">
        <v>0.0</v>
      </c>
      <c r="R406" s="21">
        <v>1.0</v>
      </c>
      <c r="S406" s="33">
        <f t="shared" si="1"/>
        <v>2022</v>
      </c>
      <c r="T406" s="33">
        <f t="shared" si="2"/>
        <v>1</v>
      </c>
      <c r="U406" s="33">
        <f t="shared" si="3"/>
        <v>1</v>
      </c>
      <c r="V406" s="24"/>
      <c r="W406" s="24"/>
      <c r="X406" s="24"/>
      <c r="Y406" s="24"/>
      <c r="Z406" s="34">
        <v>45122.0</v>
      </c>
      <c r="AA406" s="24"/>
      <c r="AB406" s="24"/>
      <c r="AC406" s="24"/>
      <c r="AD406" s="24"/>
      <c r="AE406" s="24"/>
      <c r="AF406" s="24"/>
      <c r="AG406" s="26"/>
      <c r="AH406" s="27"/>
      <c r="AI406" s="24"/>
      <c r="AJ406" s="24"/>
      <c r="AK406" s="24"/>
      <c r="AL406" s="24"/>
      <c r="AM406" s="26"/>
      <c r="AN406" s="27"/>
      <c r="AO406" s="24"/>
      <c r="AP406" s="24"/>
    </row>
    <row r="407">
      <c r="A407" s="13" t="s">
        <v>924</v>
      </c>
      <c r="B407" s="17">
        <v>44562.0</v>
      </c>
      <c r="C407" s="11" t="s">
        <v>138</v>
      </c>
      <c r="D407" s="11" t="s">
        <v>93</v>
      </c>
      <c r="E407" s="11" t="s">
        <v>39</v>
      </c>
      <c r="F407" s="11" t="s">
        <v>40</v>
      </c>
      <c r="G407" s="11" t="s">
        <v>45</v>
      </c>
      <c r="H407" s="11" t="s">
        <v>67</v>
      </c>
      <c r="I407" s="11" t="s">
        <v>925</v>
      </c>
      <c r="J407" s="11">
        <v>20.0</v>
      </c>
      <c r="K407" s="12"/>
      <c r="L407" s="11"/>
      <c r="M407" s="11"/>
      <c r="N407" s="11"/>
      <c r="O407" s="13"/>
      <c r="P407" s="11">
        <v>0.0</v>
      </c>
      <c r="Q407" s="14">
        <v>0.0</v>
      </c>
      <c r="R407" s="11">
        <v>1.0</v>
      </c>
      <c r="S407" s="33">
        <f t="shared" si="1"/>
        <v>2022</v>
      </c>
      <c r="T407" s="33">
        <f t="shared" si="2"/>
        <v>1</v>
      </c>
      <c r="U407" s="33">
        <f t="shared" si="3"/>
        <v>1</v>
      </c>
      <c r="Z407" s="17"/>
      <c r="AG407" s="15"/>
      <c r="AH407" s="16"/>
      <c r="AM407" s="15"/>
      <c r="AN407" s="16"/>
    </row>
    <row r="408">
      <c r="A408" s="13" t="s">
        <v>926</v>
      </c>
      <c r="B408" s="17">
        <v>44562.0</v>
      </c>
      <c r="C408" s="11" t="s">
        <v>138</v>
      </c>
      <c r="D408" s="11" t="s">
        <v>221</v>
      </c>
      <c r="E408" s="11" t="s">
        <v>39</v>
      </c>
      <c r="F408" s="11" t="s">
        <v>40</v>
      </c>
      <c r="G408" s="11" t="s">
        <v>45</v>
      </c>
      <c r="H408" s="11" t="s">
        <v>159</v>
      </c>
      <c r="I408" s="11" t="s">
        <v>637</v>
      </c>
      <c r="J408" s="11">
        <v>22.0</v>
      </c>
      <c r="K408" s="12">
        <v>45388.0</v>
      </c>
      <c r="L408" s="11"/>
      <c r="M408" s="11">
        <v>699980.0</v>
      </c>
      <c r="N408" s="11" t="s">
        <v>927</v>
      </c>
      <c r="O408" s="13"/>
      <c r="P408" s="11">
        <v>0.0</v>
      </c>
      <c r="Q408" s="14">
        <v>0.0</v>
      </c>
      <c r="R408" s="11">
        <v>1.0</v>
      </c>
      <c r="S408">
        <f t="shared" si="1"/>
        <v>2022</v>
      </c>
      <c r="T408">
        <f t="shared" si="2"/>
        <v>1</v>
      </c>
      <c r="U408">
        <f t="shared" si="3"/>
        <v>1</v>
      </c>
      <c r="Z408" s="17">
        <v>45388.0</v>
      </c>
      <c r="AG408" s="15"/>
      <c r="AH408" s="16"/>
      <c r="AM408" s="15"/>
      <c r="AN408" s="16"/>
    </row>
    <row r="409">
      <c r="A409" s="13" t="s">
        <v>928</v>
      </c>
      <c r="B409" s="17">
        <v>44562.0</v>
      </c>
      <c r="C409" s="11" t="s">
        <v>72</v>
      </c>
      <c r="D409" s="11" t="s">
        <v>93</v>
      </c>
      <c r="E409" s="11" t="s">
        <v>39</v>
      </c>
      <c r="F409" s="11" t="s">
        <v>64</v>
      </c>
      <c r="G409" s="11" t="s">
        <v>45</v>
      </c>
      <c r="H409" s="11" t="s">
        <v>929</v>
      </c>
      <c r="I409" s="11" t="s">
        <v>654</v>
      </c>
      <c r="J409" s="11">
        <v>21.0</v>
      </c>
      <c r="K409" s="12">
        <v>45156.0</v>
      </c>
      <c r="L409" s="11"/>
      <c r="M409" s="11">
        <v>683093.0</v>
      </c>
      <c r="N409" s="11" t="s">
        <v>930</v>
      </c>
      <c r="O409" s="13"/>
      <c r="P409" s="11">
        <v>0.0</v>
      </c>
      <c r="Q409" s="14">
        <v>0.0</v>
      </c>
      <c r="R409" s="11">
        <v>1.0</v>
      </c>
      <c r="S409">
        <f t="shared" si="1"/>
        <v>2022</v>
      </c>
      <c r="T409">
        <f t="shared" si="2"/>
        <v>1</v>
      </c>
      <c r="U409">
        <f t="shared" si="3"/>
        <v>1</v>
      </c>
      <c r="Z409" s="17">
        <v>45156.0</v>
      </c>
      <c r="AG409" s="15"/>
      <c r="AH409" s="16"/>
      <c r="AM409" s="15"/>
      <c r="AN409" s="16"/>
    </row>
    <row r="410">
      <c r="A410" s="13" t="s">
        <v>931</v>
      </c>
      <c r="B410" s="10">
        <v>44562.0</v>
      </c>
      <c r="C410" s="11" t="s">
        <v>167</v>
      </c>
      <c r="D410" s="11" t="s">
        <v>77</v>
      </c>
      <c r="E410" s="11" t="s">
        <v>39</v>
      </c>
      <c r="F410" s="11" t="s">
        <v>64</v>
      </c>
      <c r="G410" s="11" t="s">
        <v>45</v>
      </c>
      <c r="H410" s="11" t="s">
        <v>652</v>
      </c>
      <c r="I410" s="11" t="s">
        <v>932</v>
      </c>
      <c r="J410" s="11">
        <v>25.0</v>
      </c>
      <c r="K410" s="12">
        <v>45381.0</v>
      </c>
      <c r="L410" s="11"/>
      <c r="M410" s="11">
        <v>687911.0</v>
      </c>
      <c r="N410" s="11">
        <v>25890.0</v>
      </c>
      <c r="O410" s="13"/>
      <c r="P410" s="11">
        <v>0.0</v>
      </c>
      <c r="Q410" s="14">
        <v>0.0</v>
      </c>
      <c r="R410" s="11">
        <v>1.0</v>
      </c>
      <c r="S410">
        <f t="shared" si="1"/>
        <v>2022</v>
      </c>
      <c r="T410">
        <f t="shared" si="2"/>
        <v>1</v>
      </c>
      <c r="U410">
        <f t="shared" si="3"/>
        <v>1</v>
      </c>
      <c r="Z410" s="17">
        <v>45381.0</v>
      </c>
      <c r="AG410" s="15"/>
      <c r="AH410" s="16"/>
      <c r="AM410" s="15"/>
      <c r="AN410" s="16"/>
    </row>
    <row r="411">
      <c r="A411" s="13" t="s">
        <v>933</v>
      </c>
      <c r="B411" s="10">
        <v>44562.0</v>
      </c>
      <c r="C411" s="11" t="s">
        <v>167</v>
      </c>
      <c r="D411" s="11" t="s">
        <v>58</v>
      </c>
      <c r="E411" s="11" t="s">
        <v>39</v>
      </c>
      <c r="F411" s="11" t="s">
        <v>64</v>
      </c>
      <c r="G411" s="11" t="s">
        <v>45</v>
      </c>
      <c r="H411" s="11" t="s">
        <v>67</v>
      </c>
      <c r="I411" s="11"/>
      <c r="J411" s="11">
        <v>27.0</v>
      </c>
      <c r="K411" s="12">
        <v>45381.0</v>
      </c>
      <c r="L411" s="11"/>
      <c r="M411" s="11">
        <v>624427.0</v>
      </c>
      <c r="N411" s="11">
        <v>15492.0</v>
      </c>
      <c r="O411" s="13"/>
      <c r="P411" s="11">
        <v>0.0</v>
      </c>
      <c r="Q411" s="14">
        <v>0.0</v>
      </c>
      <c r="R411" s="11">
        <v>1.0</v>
      </c>
      <c r="S411">
        <f t="shared" si="1"/>
        <v>2022</v>
      </c>
      <c r="T411">
        <f t="shared" si="2"/>
        <v>1</v>
      </c>
      <c r="U411">
        <f t="shared" si="3"/>
        <v>1</v>
      </c>
      <c r="Z411" s="17">
        <v>45381.0</v>
      </c>
      <c r="AG411" s="15"/>
      <c r="AH411" s="16"/>
      <c r="AM411" s="15"/>
      <c r="AN411" s="16"/>
    </row>
    <row r="412">
      <c r="A412" s="19" t="s">
        <v>934</v>
      </c>
      <c r="B412" s="20">
        <v>44562.0</v>
      </c>
      <c r="C412" s="21" t="s">
        <v>167</v>
      </c>
      <c r="D412" s="21" t="s">
        <v>77</v>
      </c>
      <c r="E412" s="21" t="s">
        <v>39</v>
      </c>
      <c r="F412" s="21" t="s">
        <v>64</v>
      </c>
      <c r="G412" s="21" t="s">
        <v>45</v>
      </c>
      <c r="H412" s="21" t="s">
        <v>276</v>
      </c>
      <c r="I412" s="21" t="s">
        <v>405</v>
      </c>
      <c r="J412" s="18">
        <v>26.0</v>
      </c>
      <c r="K412" s="35"/>
      <c r="L412" s="19"/>
      <c r="M412" s="21">
        <v>682163.0</v>
      </c>
      <c r="N412" s="21" t="s">
        <v>935</v>
      </c>
      <c r="O412" s="19"/>
      <c r="P412" s="21">
        <v>0.0</v>
      </c>
      <c r="Q412" s="23">
        <v>0.0</v>
      </c>
      <c r="R412" s="18">
        <v>0.0</v>
      </c>
      <c r="S412" s="33">
        <f t="shared" si="1"/>
        <v>2022</v>
      </c>
      <c r="T412" s="33">
        <f t="shared" si="2"/>
        <v>1</v>
      </c>
      <c r="U412" s="33">
        <f t="shared" si="3"/>
        <v>1</v>
      </c>
      <c r="V412" s="24"/>
      <c r="W412" s="24"/>
      <c r="X412" s="24"/>
      <c r="Y412" s="24"/>
      <c r="Z412" s="34">
        <v>45389.0</v>
      </c>
      <c r="AA412" s="24"/>
      <c r="AB412" s="24"/>
      <c r="AC412" s="24"/>
      <c r="AD412" s="24"/>
      <c r="AE412" s="24"/>
      <c r="AF412" s="24"/>
      <c r="AG412" s="26"/>
      <c r="AH412" s="27"/>
      <c r="AI412" s="24"/>
      <c r="AJ412" s="24"/>
      <c r="AK412" s="24"/>
      <c r="AL412" s="24"/>
      <c r="AM412" s="26"/>
      <c r="AN412" s="27"/>
      <c r="AO412" s="24"/>
      <c r="AP412" s="24"/>
    </row>
    <row r="413">
      <c r="A413" s="13" t="s">
        <v>936</v>
      </c>
      <c r="B413" s="10">
        <v>44562.0</v>
      </c>
      <c r="C413" s="11" t="s">
        <v>167</v>
      </c>
      <c r="D413" s="11" t="s">
        <v>88</v>
      </c>
      <c r="E413" s="11" t="s">
        <v>39</v>
      </c>
      <c r="F413" s="11" t="s">
        <v>40</v>
      </c>
      <c r="G413" s="11" t="s">
        <v>45</v>
      </c>
      <c r="H413" s="11" t="s">
        <v>73</v>
      </c>
      <c r="I413" s="11"/>
      <c r="J413" s="11">
        <v>21.0</v>
      </c>
      <c r="K413" s="12">
        <v>45389.0</v>
      </c>
      <c r="L413" s="11"/>
      <c r="M413" s="11">
        <v>690370.0</v>
      </c>
      <c r="N413" s="11" t="s">
        <v>937</v>
      </c>
      <c r="O413" s="13"/>
      <c r="P413" s="11">
        <v>0.0</v>
      </c>
      <c r="Q413" s="14">
        <v>0.0</v>
      </c>
      <c r="R413" s="11">
        <v>1.0</v>
      </c>
      <c r="S413" s="33">
        <f t="shared" si="1"/>
        <v>2022</v>
      </c>
      <c r="T413" s="33">
        <f t="shared" si="2"/>
        <v>1</v>
      </c>
      <c r="U413" s="33">
        <f t="shared" si="3"/>
        <v>1</v>
      </c>
      <c r="Z413" s="17">
        <v>45389.0</v>
      </c>
      <c r="AG413" s="15"/>
      <c r="AH413" s="16"/>
      <c r="AM413" s="15"/>
      <c r="AN413" s="16"/>
    </row>
    <row r="414">
      <c r="A414" s="13" t="s">
        <v>938</v>
      </c>
      <c r="B414" s="10">
        <v>44562.0</v>
      </c>
      <c r="C414" s="11" t="s">
        <v>167</v>
      </c>
      <c r="D414" s="11" t="s">
        <v>221</v>
      </c>
      <c r="E414" s="11" t="s">
        <v>39</v>
      </c>
      <c r="F414" s="11" t="s">
        <v>64</v>
      </c>
      <c r="G414" s="11" t="s">
        <v>45</v>
      </c>
      <c r="H414" s="11" t="s">
        <v>84</v>
      </c>
      <c r="I414" s="11"/>
      <c r="J414" s="11">
        <v>19.0</v>
      </c>
      <c r="K414" s="12">
        <v>45083.0</v>
      </c>
      <c r="L414" s="11"/>
      <c r="M414" s="11">
        <v>695645.0</v>
      </c>
      <c r="N414" s="11" t="s">
        <v>939</v>
      </c>
      <c r="O414" s="13"/>
      <c r="P414" s="11">
        <v>0.0</v>
      </c>
      <c r="Q414" s="14">
        <v>0.0</v>
      </c>
      <c r="R414" s="11">
        <v>1.0</v>
      </c>
      <c r="S414">
        <f t="shared" si="1"/>
        <v>2022</v>
      </c>
      <c r="T414">
        <f t="shared" si="2"/>
        <v>1</v>
      </c>
      <c r="U414">
        <f t="shared" si="3"/>
        <v>1</v>
      </c>
      <c r="Z414" s="17">
        <v>45083.0</v>
      </c>
      <c r="AG414" s="15"/>
      <c r="AH414" s="16"/>
      <c r="AM414" s="15"/>
      <c r="AN414" s="16"/>
    </row>
    <row r="415">
      <c r="A415" s="13" t="s">
        <v>940</v>
      </c>
      <c r="B415" s="10">
        <v>44562.0</v>
      </c>
      <c r="C415" s="11" t="s">
        <v>143</v>
      </c>
      <c r="D415" s="11" t="s">
        <v>97</v>
      </c>
      <c r="E415" s="11" t="s">
        <v>39</v>
      </c>
      <c r="F415" s="11" t="s">
        <v>64</v>
      </c>
      <c r="G415" s="11" t="s">
        <v>45</v>
      </c>
      <c r="H415" s="11" t="s">
        <v>84</v>
      </c>
      <c r="I415" s="11" t="s">
        <v>941</v>
      </c>
      <c r="J415" s="11">
        <v>24.0</v>
      </c>
      <c r="K415" s="12">
        <v>45129.0</v>
      </c>
      <c r="L415" s="11"/>
      <c r="M415" s="11">
        <v>685073.0</v>
      </c>
      <c r="N415" s="11" t="s">
        <v>942</v>
      </c>
      <c r="P415" s="11">
        <v>0.0</v>
      </c>
      <c r="Q415" s="14">
        <v>0.0</v>
      </c>
      <c r="R415" s="11">
        <v>1.0</v>
      </c>
      <c r="S415">
        <f t="shared" si="1"/>
        <v>2022</v>
      </c>
      <c r="T415">
        <f t="shared" si="2"/>
        <v>1</v>
      </c>
      <c r="U415">
        <f t="shared" si="3"/>
        <v>1</v>
      </c>
      <c r="Z415" s="17">
        <v>45097.0</v>
      </c>
      <c r="AG415" s="15"/>
      <c r="AH415" s="16"/>
      <c r="AM415" s="15"/>
      <c r="AN415" s="16"/>
    </row>
    <row r="416">
      <c r="A416" s="13" t="s">
        <v>943</v>
      </c>
      <c r="B416" s="10">
        <v>44562.0</v>
      </c>
      <c r="C416" s="11" t="s">
        <v>143</v>
      </c>
      <c r="D416" s="11" t="s">
        <v>221</v>
      </c>
      <c r="E416" s="11" t="s">
        <v>39</v>
      </c>
      <c r="F416" s="11" t="s">
        <v>40</v>
      </c>
      <c r="G416" s="11" t="s">
        <v>45</v>
      </c>
      <c r="H416" s="11" t="s">
        <v>127</v>
      </c>
      <c r="I416" s="11"/>
      <c r="J416" s="11">
        <v>21.0</v>
      </c>
      <c r="K416" s="12">
        <v>45146.0</v>
      </c>
      <c r="L416" s="11"/>
      <c r="M416" s="11">
        <v>681984.0</v>
      </c>
      <c r="N416" s="11" t="s">
        <v>944</v>
      </c>
      <c r="P416" s="11">
        <v>0.0</v>
      </c>
      <c r="Q416" s="14">
        <v>0.0</v>
      </c>
      <c r="R416" s="11">
        <v>1.0</v>
      </c>
      <c r="S416">
        <f t="shared" si="1"/>
        <v>2022</v>
      </c>
      <c r="T416">
        <f t="shared" si="2"/>
        <v>1</v>
      </c>
      <c r="U416">
        <f t="shared" si="3"/>
        <v>1</v>
      </c>
      <c r="Z416" s="17">
        <v>45146.0</v>
      </c>
      <c r="AG416" s="15"/>
      <c r="AH416" s="16"/>
      <c r="AM416" s="15"/>
      <c r="AN416" s="16"/>
    </row>
    <row r="417">
      <c r="A417" s="13" t="s">
        <v>945</v>
      </c>
      <c r="B417" s="17">
        <v>44562.0</v>
      </c>
      <c r="C417" s="11" t="s">
        <v>143</v>
      </c>
      <c r="D417" s="11" t="s">
        <v>93</v>
      </c>
      <c r="E417" s="11" t="s">
        <v>39</v>
      </c>
      <c r="F417" s="11" t="s">
        <v>40</v>
      </c>
      <c r="G417" s="11" t="s">
        <v>45</v>
      </c>
      <c r="H417" s="11" t="s">
        <v>56</v>
      </c>
      <c r="I417" s="11" t="s">
        <v>259</v>
      </c>
      <c r="J417" s="11">
        <v>19.0</v>
      </c>
      <c r="K417" s="12"/>
      <c r="L417" s="11"/>
      <c r="M417" s="11">
        <v>696488.0</v>
      </c>
      <c r="N417" s="11" t="s">
        <v>946</v>
      </c>
      <c r="P417" s="11">
        <v>0.0</v>
      </c>
      <c r="Q417" s="14">
        <v>0.0</v>
      </c>
      <c r="R417" s="11">
        <v>1.0</v>
      </c>
      <c r="S417">
        <f t="shared" si="1"/>
        <v>2022</v>
      </c>
      <c r="T417">
        <f t="shared" si="2"/>
        <v>1</v>
      </c>
      <c r="U417">
        <f t="shared" si="3"/>
        <v>1</v>
      </c>
      <c r="Z417" s="17"/>
      <c r="AG417" s="15"/>
      <c r="AH417" s="16"/>
      <c r="AM417" s="15"/>
      <c r="AN417" s="16"/>
    </row>
    <row r="418">
      <c r="A418" s="13" t="s">
        <v>947</v>
      </c>
      <c r="B418" s="17">
        <v>44562.0</v>
      </c>
      <c r="C418" s="11" t="s">
        <v>44</v>
      </c>
      <c r="D418" s="11" t="s">
        <v>213</v>
      </c>
      <c r="E418" s="11" t="s">
        <v>39</v>
      </c>
      <c r="F418" s="11" t="s">
        <v>64</v>
      </c>
      <c r="G418" s="11" t="s">
        <v>45</v>
      </c>
      <c r="H418" s="11" t="s">
        <v>139</v>
      </c>
      <c r="I418" s="11" t="s">
        <v>948</v>
      </c>
      <c r="J418" s="11">
        <v>18.0</v>
      </c>
      <c r="K418" s="12">
        <v>45514.0</v>
      </c>
      <c r="L418" s="11"/>
      <c r="M418" s="11">
        <v>805124.0</v>
      </c>
      <c r="N418" s="11" t="s">
        <v>949</v>
      </c>
      <c r="P418" s="11">
        <v>0.0</v>
      </c>
      <c r="Q418" s="14">
        <v>0.0</v>
      </c>
      <c r="R418" s="11">
        <v>1.0</v>
      </c>
      <c r="S418">
        <f t="shared" si="1"/>
        <v>2022</v>
      </c>
      <c r="T418">
        <f t="shared" si="2"/>
        <v>1</v>
      </c>
      <c r="U418">
        <f t="shared" si="3"/>
        <v>1</v>
      </c>
      <c r="Z418" s="17">
        <v>45514.0</v>
      </c>
      <c r="AG418" s="15"/>
      <c r="AH418" s="16"/>
      <c r="AM418" s="15"/>
      <c r="AN418" s="16"/>
    </row>
    <row r="419">
      <c r="A419" s="13" t="s">
        <v>950</v>
      </c>
      <c r="B419" s="10">
        <v>44562.0</v>
      </c>
      <c r="C419" s="11" t="s">
        <v>192</v>
      </c>
      <c r="D419" s="11" t="s">
        <v>58</v>
      </c>
      <c r="E419" s="11" t="s">
        <v>39</v>
      </c>
      <c r="F419" s="11" t="s">
        <v>64</v>
      </c>
      <c r="G419" s="11" t="s">
        <v>45</v>
      </c>
      <c r="H419" s="11" t="s">
        <v>652</v>
      </c>
      <c r="I419" s="11" t="s">
        <v>951</v>
      </c>
      <c r="J419" s="11">
        <v>26.0</v>
      </c>
      <c r="K419" s="12">
        <v>45417.0</v>
      </c>
      <c r="L419" s="11">
        <f>ROUND(((K419-B419)/365)*12,0)</f>
        <v>28</v>
      </c>
      <c r="M419" s="11">
        <v>657047.0</v>
      </c>
      <c r="N419" s="11" t="s">
        <v>952</v>
      </c>
      <c r="P419" s="11">
        <v>0.0</v>
      </c>
      <c r="Q419" s="14">
        <v>0.0</v>
      </c>
      <c r="R419" s="11">
        <v>1.0</v>
      </c>
      <c r="S419">
        <f t="shared" si="1"/>
        <v>2022</v>
      </c>
      <c r="T419">
        <f t="shared" si="2"/>
        <v>1</v>
      </c>
      <c r="U419">
        <f t="shared" si="3"/>
        <v>1</v>
      </c>
      <c r="Z419" s="17">
        <v>45417.0</v>
      </c>
      <c r="AG419" s="15"/>
      <c r="AH419" s="16"/>
      <c r="AM419" s="15"/>
      <c r="AN419" s="16"/>
    </row>
    <row r="420">
      <c r="A420" s="13" t="s">
        <v>953</v>
      </c>
      <c r="B420" s="10">
        <v>44562.0</v>
      </c>
      <c r="C420" s="11" t="s">
        <v>111</v>
      </c>
      <c r="D420" s="11" t="s">
        <v>77</v>
      </c>
      <c r="E420" s="11" t="s">
        <v>39</v>
      </c>
      <c r="F420" s="11" t="s">
        <v>40</v>
      </c>
      <c r="G420" s="11" t="s">
        <v>954</v>
      </c>
      <c r="H420" s="11"/>
      <c r="I420" s="11"/>
      <c r="J420" s="11">
        <v>30.0</v>
      </c>
      <c r="K420" s="12"/>
      <c r="L420" s="11"/>
      <c r="M420" s="11">
        <v>602929.0</v>
      </c>
      <c r="N420" s="11" t="s">
        <v>955</v>
      </c>
      <c r="P420" s="11">
        <v>0.0</v>
      </c>
      <c r="Q420" s="14">
        <v>0.0</v>
      </c>
      <c r="R420" s="11">
        <v>1.0</v>
      </c>
      <c r="S420">
        <f t="shared" si="1"/>
        <v>2022</v>
      </c>
      <c r="T420">
        <f t="shared" si="2"/>
        <v>1</v>
      </c>
      <c r="U420">
        <f t="shared" si="3"/>
        <v>1</v>
      </c>
      <c r="Z420" s="17"/>
      <c r="AG420" s="15"/>
      <c r="AH420" s="16"/>
      <c r="AM420" s="15"/>
      <c r="AN420" s="16"/>
    </row>
    <row r="421">
      <c r="A421" s="13" t="s">
        <v>956</v>
      </c>
      <c r="B421" s="10">
        <v>44562.0</v>
      </c>
      <c r="C421" s="11" t="s">
        <v>111</v>
      </c>
      <c r="D421" s="11" t="s">
        <v>93</v>
      </c>
      <c r="E421" s="11" t="s">
        <v>39</v>
      </c>
      <c r="F421" s="11" t="s">
        <v>40</v>
      </c>
      <c r="G421" s="11" t="s">
        <v>45</v>
      </c>
      <c r="H421" s="11" t="s">
        <v>957</v>
      </c>
      <c r="I421" s="11" t="s">
        <v>958</v>
      </c>
      <c r="J421" s="11">
        <v>23.0</v>
      </c>
      <c r="K421" s="12">
        <v>45099.0</v>
      </c>
      <c r="L421" s="11"/>
      <c r="M421" s="11">
        <v>681289.0</v>
      </c>
      <c r="N421" s="11" t="s">
        <v>959</v>
      </c>
      <c r="P421" s="11">
        <v>0.0</v>
      </c>
      <c r="Q421" s="14">
        <v>0.0</v>
      </c>
      <c r="R421" s="11">
        <v>1.0</v>
      </c>
      <c r="S421">
        <f t="shared" si="1"/>
        <v>2022</v>
      </c>
      <c r="T421">
        <f t="shared" si="2"/>
        <v>1</v>
      </c>
      <c r="U421">
        <f t="shared" si="3"/>
        <v>1</v>
      </c>
      <c r="Z421" s="17">
        <v>45099.0</v>
      </c>
      <c r="AG421" s="15"/>
      <c r="AH421" s="16"/>
      <c r="AM421" s="15"/>
      <c r="AN421" s="16"/>
    </row>
    <row r="422">
      <c r="A422" s="13" t="s">
        <v>960</v>
      </c>
      <c r="B422" s="17">
        <v>44562.0</v>
      </c>
      <c r="C422" s="11" t="s">
        <v>52</v>
      </c>
      <c r="D422" s="11" t="s">
        <v>93</v>
      </c>
      <c r="E422" s="11" t="s">
        <v>39</v>
      </c>
      <c r="F422" s="11" t="s">
        <v>40</v>
      </c>
      <c r="G422" s="11" t="s">
        <v>45</v>
      </c>
      <c r="H422" s="11" t="s">
        <v>73</v>
      </c>
      <c r="I422" s="11" t="s">
        <v>73</v>
      </c>
      <c r="J422" s="11">
        <v>19.0</v>
      </c>
      <c r="K422" s="12">
        <v>45751.0</v>
      </c>
      <c r="L422" s="11"/>
      <c r="M422" s="11">
        <v>823193.0</v>
      </c>
      <c r="N422" s="11" t="s">
        <v>961</v>
      </c>
      <c r="O422" s="13"/>
      <c r="P422" s="11">
        <v>0.0</v>
      </c>
      <c r="Q422" s="14">
        <v>0.0</v>
      </c>
      <c r="R422" s="11">
        <v>1.0</v>
      </c>
      <c r="S422">
        <f t="shared" si="1"/>
        <v>2022</v>
      </c>
      <c r="T422">
        <f t="shared" si="2"/>
        <v>1</v>
      </c>
      <c r="U422">
        <f t="shared" si="3"/>
        <v>1</v>
      </c>
      <c r="Z422" s="17">
        <v>45751.0</v>
      </c>
      <c r="AG422" s="15"/>
      <c r="AH422" s="16"/>
      <c r="AM422" s="15"/>
      <c r="AN422" s="16"/>
    </row>
    <row r="423">
      <c r="A423" s="13" t="s">
        <v>962</v>
      </c>
      <c r="B423" s="17">
        <v>44562.0</v>
      </c>
      <c r="C423" s="11" t="s">
        <v>358</v>
      </c>
      <c r="D423" s="11" t="s">
        <v>93</v>
      </c>
      <c r="E423" s="11" t="s">
        <v>39</v>
      </c>
      <c r="F423" s="11" t="s">
        <v>40</v>
      </c>
      <c r="G423" s="11" t="s">
        <v>45</v>
      </c>
      <c r="H423" s="11" t="s">
        <v>258</v>
      </c>
      <c r="I423" s="11" t="s">
        <v>963</v>
      </c>
      <c r="J423" s="11">
        <v>21.0</v>
      </c>
      <c r="K423" s="12">
        <v>45152.0</v>
      </c>
      <c r="L423" s="11"/>
      <c r="M423" s="11">
        <v>815073.0</v>
      </c>
      <c r="N423" s="11" t="s">
        <v>964</v>
      </c>
      <c r="O423" s="13"/>
      <c r="P423" s="11">
        <v>0.0</v>
      </c>
      <c r="Q423" s="14">
        <v>0.0</v>
      </c>
      <c r="R423" s="11">
        <v>1.0</v>
      </c>
      <c r="S423">
        <f t="shared" si="1"/>
        <v>2022</v>
      </c>
      <c r="T423">
        <f t="shared" si="2"/>
        <v>1</v>
      </c>
      <c r="U423">
        <f t="shared" si="3"/>
        <v>1</v>
      </c>
      <c r="Z423" s="17"/>
      <c r="AG423" s="15"/>
      <c r="AH423" s="16"/>
      <c r="AM423" s="15"/>
      <c r="AN423" s="16"/>
    </row>
    <row r="424">
      <c r="A424" s="13" t="s">
        <v>965</v>
      </c>
      <c r="B424" s="17">
        <v>44562.0</v>
      </c>
      <c r="C424" s="11" t="s">
        <v>358</v>
      </c>
      <c r="D424" s="11" t="s">
        <v>93</v>
      </c>
      <c r="E424" s="11" t="s">
        <v>39</v>
      </c>
      <c r="F424" s="11" t="s">
        <v>40</v>
      </c>
      <c r="G424" s="11" t="s">
        <v>45</v>
      </c>
      <c r="H424" s="11" t="s">
        <v>729</v>
      </c>
      <c r="I424" s="11" t="s">
        <v>569</v>
      </c>
      <c r="J424" s="11">
        <v>18.0</v>
      </c>
      <c r="K424" s="12">
        <v>45752.0</v>
      </c>
      <c r="L424" s="11"/>
      <c r="M424" s="11">
        <v>701207.0</v>
      </c>
      <c r="N424" s="11" t="s">
        <v>966</v>
      </c>
      <c r="O424" s="13"/>
      <c r="P424" s="11">
        <v>0.0</v>
      </c>
      <c r="Q424" s="14">
        <v>0.0</v>
      </c>
      <c r="R424" s="11">
        <v>1.0</v>
      </c>
      <c r="S424">
        <f t="shared" si="1"/>
        <v>2022</v>
      </c>
      <c r="T424">
        <f t="shared" si="2"/>
        <v>1</v>
      </c>
      <c r="U424">
        <f t="shared" si="3"/>
        <v>1</v>
      </c>
      <c r="Z424" s="17">
        <v>45752.0</v>
      </c>
      <c r="AG424" s="15"/>
      <c r="AH424" s="16"/>
      <c r="AM424" s="15"/>
      <c r="AN424" s="16"/>
    </row>
    <row r="425">
      <c r="A425" s="13" t="s">
        <v>967</v>
      </c>
      <c r="B425" s="17">
        <v>44562.0</v>
      </c>
      <c r="C425" s="11" t="s">
        <v>358</v>
      </c>
      <c r="D425" s="11" t="s">
        <v>213</v>
      </c>
      <c r="E425" s="11" t="s">
        <v>39</v>
      </c>
      <c r="F425" s="11" t="s">
        <v>64</v>
      </c>
      <c r="G425" s="11" t="s">
        <v>194</v>
      </c>
      <c r="H425" s="11"/>
      <c r="I425" s="11"/>
      <c r="J425" s="11">
        <v>18.0</v>
      </c>
      <c r="K425" s="12">
        <v>45421.0</v>
      </c>
      <c r="L425" s="11"/>
      <c r="M425" s="11">
        <v>806637.0</v>
      </c>
      <c r="N425" s="11" t="s">
        <v>968</v>
      </c>
      <c r="O425" s="13"/>
      <c r="P425" s="11">
        <v>0.0</v>
      </c>
      <c r="Q425" s="14">
        <v>0.0</v>
      </c>
      <c r="R425" s="11">
        <v>1.0</v>
      </c>
      <c r="S425">
        <f t="shared" si="1"/>
        <v>2022</v>
      </c>
      <c r="T425">
        <f t="shared" si="2"/>
        <v>1</v>
      </c>
      <c r="U425">
        <f t="shared" si="3"/>
        <v>1</v>
      </c>
      <c r="Z425" s="17"/>
      <c r="AG425" s="15"/>
      <c r="AH425" s="16"/>
      <c r="AM425" s="15"/>
      <c r="AN425" s="16"/>
    </row>
    <row r="426">
      <c r="A426" s="13" t="s">
        <v>969</v>
      </c>
      <c r="B426" s="10">
        <v>44562.0</v>
      </c>
      <c r="C426" s="11" t="s">
        <v>126</v>
      </c>
      <c r="D426" s="11" t="s">
        <v>97</v>
      </c>
      <c r="E426" s="11" t="s">
        <v>39</v>
      </c>
      <c r="F426" s="11" t="s">
        <v>40</v>
      </c>
      <c r="G426" s="11" t="s">
        <v>53</v>
      </c>
      <c r="H426" s="11"/>
      <c r="I426" s="11"/>
      <c r="J426" s="11">
        <v>20.0</v>
      </c>
      <c r="K426" s="12">
        <v>45388.0</v>
      </c>
      <c r="L426" s="11"/>
      <c r="M426" s="11">
        <v>683618.0</v>
      </c>
      <c r="N426" s="11">
        <v>26944.0</v>
      </c>
      <c r="O426" s="13"/>
      <c r="P426" s="11">
        <v>0.0</v>
      </c>
      <c r="Q426" s="14">
        <v>0.0</v>
      </c>
      <c r="R426" s="11">
        <v>1.0</v>
      </c>
      <c r="S426">
        <f t="shared" si="1"/>
        <v>2022</v>
      </c>
      <c r="T426">
        <f t="shared" si="2"/>
        <v>1</v>
      </c>
      <c r="U426">
        <f t="shared" si="3"/>
        <v>1</v>
      </c>
      <c r="Z426" s="17">
        <v>45388.0</v>
      </c>
      <c r="AG426" s="15"/>
      <c r="AH426" s="16"/>
      <c r="AM426" s="15"/>
      <c r="AN426" s="16"/>
    </row>
    <row r="427">
      <c r="A427" s="13" t="s">
        <v>970</v>
      </c>
      <c r="B427" s="10">
        <v>44562.0</v>
      </c>
      <c r="C427" s="11" t="s">
        <v>126</v>
      </c>
      <c r="D427" s="11" t="s">
        <v>88</v>
      </c>
      <c r="E427" s="11" t="s">
        <v>39</v>
      </c>
      <c r="F427" s="11" t="s">
        <v>40</v>
      </c>
      <c r="G427" s="11" t="s">
        <v>41</v>
      </c>
      <c r="H427" s="11"/>
      <c r="I427" s="11"/>
      <c r="J427" s="11">
        <v>20.0</v>
      </c>
      <c r="K427" s="12">
        <v>45477.0</v>
      </c>
      <c r="L427" s="11"/>
      <c r="M427" s="11">
        <v>679922.0</v>
      </c>
      <c r="N427" s="11" t="s">
        <v>971</v>
      </c>
      <c r="O427" s="13"/>
      <c r="P427" s="11">
        <v>0.0</v>
      </c>
      <c r="Q427" s="14">
        <v>0.0</v>
      </c>
      <c r="R427" s="11">
        <v>1.0</v>
      </c>
      <c r="S427">
        <f t="shared" si="1"/>
        <v>2022</v>
      </c>
      <c r="T427">
        <f t="shared" si="2"/>
        <v>1</v>
      </c>
      <c r="U427">
        <f t="shared" si="3"/>
        <v>1</v>
      </c>
      <c r="Z427" s="17">
        <v>45389.0</v>
      </c>
      <c r="AG427" s="15"/>
      <c r="AH427" s="16"/>
      <c r="AM427" s="15"/>
      <c r="AN427" s="16"/>
    </row>
    <row r="428">
      <c r="A428" s="13" t="s">
        <v>972</v>
      </c>
      <c r="B428" s="17">
        <v>44562.0</v>
      </c>
      <c r="C428" s="11" t="s">
        <v>126</v>
      </c>
      <c r="D428" s="11" t="s">
        <v>93</v>
      </c>
      <c r="E428" s="11" t="s">
        <v>39</v>
      </c>
      <c r="F428" s="11" t="s">
        <v>40</v>
      </c>
      <c r="G428" s="11" t="s">
        <v>45</v>
      </c>
      <c r="H428" s="11" t="s">
        <v>276</v>
      </c>
      <c r="I428" s="11" t="s">
        <v>60</v>
      </c>
      <c r="J428" s="11">
        <v>20.0</v>
      </c>
      <c r="K428" s="12">
        <v>45440.0</v>
      </c>
      <c r="L428" s="11"/>
      <c r="M428" s="11">
        <v>803183.0</v>
      </c>
      <c r="N428" s="11" t="s">
        <v>973</v>
      </c>
      <c r="O428" s="13"/>
      <c r="P428" s="11">
        <v>0.0</v>
      </c>
      <c r="Q428" s="14">
        <v>0.0</v>
      </c>
      <c r="R428" s="11">
        <v>1.0</v>
      </c>
      <c r="S428">
        <f t="shared" si="1"/>
        <v>2022</v>
      </c>
      <c r="T428">
        <f t="shared" si="2"/>
        <v>1</v>
      </c>
      <c r="U428">
        <f t="shared" si="3"/>
        <v>1</v>
      </c>
      <c r="Z428" s="17">
        <v>45440.0</v>
      </c>
      <c r="AG428" s="15"/>
      <c r="AH428" s="16"/>
      <c r="AM428" s="15"/>
      <c r="AN428" s="16"/>
    </row>
    <row r="429">
      <c r="A429" s="13" t="s">
        <v>974</v>
      </c>
      <c r="B429" s="10">
        <v>44562.0</v>
      </c>
      <c r="C429" s="11" t="s">
        <v>37</v>
      </c>
      <c r="D429" s="11" t="s">
        <v>58</v>
      </c>
      <c r="E429" s="11" t="s">
        <v>39</v>
      </c>
      <c r="F429" s="11" t="s">
        <v>40</v>
      </c>
      <c r="G429" s="11" t="s">
        <v>45</v>
      </c>
      <c r="H429" s="11" t="s">
        <v>276</v>
      </c>
      <c r="I429" s="11" t="s">
        <v>864</v>
      </c>
      <c r="J429" s="11">
        <v>26.0</v>
      </c>
      <c r="K429" s="12"/>
      <c r="L429" s="11"/>
      <c r="M429" s="11">
        <v>669294.0</v>
      </c>
      <c r="N429" s="11">
        <v>22248.0</v>
      </c>
      <c r="O429" s="13"/>
      <c r="P429" s="11">
        <v>0.0</v>
      </c>
      <c r="Q429" s="14">
        <v>0.0</v>
      </c>
      <c r="R429" s="11">
        <v>1.0</v>
      </c>
      <c r="S429">
        <f t="shared" si="1"/>
        <v>2022</v>
      </c>
      <c r="T429">
        <f t="shared" si="2"/>
        <v>1</v>
      </c>
      <c r="U429">
        <f t="shared" si="3"/>
        <v>1</v>
      </c>
      <c r="Z429" s="17">
        <v>45389.0</v>
      </c>
      <c r="AG429" s="15"/>
      <c r="AH429" s="16"/>
      <c r="AM429" s="15"/>
      <c r="AN429" s="16"/>
    </row>
    <row r="430">
      <c r="A430" s="13" t="s">
        <v>975</v>
      </c>
      <c r="B430" s="17">
        <v>44562.0</v>
      </c>
      <c r="C430" s="11" t="s">
        <v>37</v>
      </c>
      <c r="D430" s="11" t="s">
        <v>93</v>
      </c>
      <c r="E430" s="11" t="s">
        <v>39</v>
      </c>
      <c r="F430" s="11" t="s">
        <v>40</v>
      </c>
      <c r="G430" s="11" t="s">
        <v>45</v>
      </c>
      <c r="H430" s="11" t="s">
        <v>451</v>
      </c>
      <c r="I430" s="11" t="s">
        <v>452</v>
      </c>
      <c r="J430" s="11">
        <v>20.0</v>
      </c>
      <c r="K430" s="12">
        <v>45541.0</v>
      </c>
      <c r="L430" s="11"/>
      <c r="M430" s="11">
        <v>813752.0</v>
      </c>
      <c r="N430" s="11" t="s">
        <v>976</v>
      </c>
      <c r="O430" s="13"/>
      <c r="P430" s="11">
        <v>0.0</v>
      </c>
      <c r="Q430" s="14">
        <v>0.0</v>
      </c>
      <c r="R430" s="11">
        <v>1.0</v>
      </c>
      <c r="S430">
        <f t="shared" si="1"/>
        <v>2022</v>
      </c>
      <c r="T430">
        <f t="shared" si="2"/>
        <v>1</v>
      </c>
      <c r="U430">
        <f t="shared" si="3"/>
        <v>1</v>
      </c>
      <c r="Z430" s="17">
        <v>45541.0</v>
      </c>
      <c r="AG430" s="15"/>
      <c r="AH430" s="16"/>
      <c r="AM430" s="15"/>
      <c r="AN430" s="16"/>
    </row>
    <row r="431">
      <c r="A431" s="13" t="s">
        <v>977</v>
      </c>
      <c r="B431" s="10">
        <v>44562.0</v>
      </c>
      <c r="C431" s="11" t="s">
        <v>55</v>
      </c>
      <c r="D431" s="11" t="s">
        <v>93</v>
      </c>
      <c r="E431" s="11" t="s">
        <v>39</v>
      </c>
      <c r="F431" s="11" t="s">
        <v>40</v>
      </c>
      <c r="G431" s="11" t="s">
        <v>45</v>
      </c>
      <c r="H431" s="11" t="s">
        <v>163</v>
      </c>
      <c r="I431" s="11" t="s">
        <v>163</v>
      </c>
      <c r="J431" s="11">
        <v>21.0</v>
      </c>
      <c r="K431" s="12">
        <v>45084.0</v>
      </c>
      <c r="L431" s="11"/>
      <c r="M431" s="11">
        <v>682999.0</v>
      </c>
      <c r="N431" s="11" t="s">
        <v>978</v>
      </c>
      <c r="O431" s="13"/>
      <c r="P431" s="11">
        <v>0.0</v>
      </c>
      <c r="Q431" s="14">
        <v>0.0</v>
      </c>
      <c r="R431" s="11">
        <v>1.0</v>
      </c>
      <c r="S431">
        <f t="shared" si="1"/>
        <v>2022</v>
      </c>
      <c r="T431">
        <f t="shared" si="2"/>
        <v>1</v>
      </c>
      <c r="U431">
        <f t="shared" si="3"/>
        <v>1</v>
      </c>
      <c r="Z431" s="17">
        <v>45084.0</v>
      </c>
      <c r="AG431" s="15"/>
      <c r="AH431" s="16"/>
      <c r="AM431" s="15"/>
      <c r="AN431" s="16"/>
    </row>
    <row r="432">
      <c r="A432" s="13" t="s">
        <v>979</v>
      </c>
      <c r="B432" s="17">
        <v>44562.0</v>
      </c>
      <c r="C432" s="11" t="s">
        <v>103</v>
      </c>
      <c r="D432" s="11" t="s">
        <v>213</v>
      </c>
      <c r="E432" s="11" t="s">
        <v>39</v>
      </c>
      <c r="F432" s="11" t="s">
        <v>40</v>
      </c>
      <c r="G432" s="11" t="s">
        <v>45</v>
      </c>
      <c r="H432" s="11" t="s">
        <v>59</v>
      </c>
      <c r="I432" s="11" t="s">
        <v>851</v>
      </c>
      <c r="J432" s="11">
        <v>18.0</v>
      </c>
      <c r="K432" s="12">
        <v>45760.0</v>
      </c>
      <c r="L432" s="11"/>
      <c r="M432" s="11">
        <v>828492.0</v>
      </c>
      <c r="N432" s="11" t="s">
        <v>980</v>
      </c>
      <c r="O432" s="13"/>
      <c r="P432" s="11">
        <v>0.0</v>
      </c>
      <c r="Q432" s="14">
        <v>0.0</v>
      </c>
      <c r="R432" s="11">
        <v>1.0</v>
      </c>
      <c r="S432">
        <f t="shared" si="1"/>
        <v>2022</v>
      </c>
      <c r="T432">
        <f t="shared" si="2"/>
        <v>1</v>
      </c>
      <c r="U432">
        <f t="shared" si="3"/>
        <v>1</v>
      </c>
      <c r="Z432" s="17">
        <v>45760.0</v>
      </c>
      <c r="AG432" s="15"/>
      <c r="AH432" s="16"/>
      <c r="AM432" s="15"/>
      <c r="AN432" s="16"/>
    </row>
    <row r="433">
      <c r="A433" s="13" t="s">
        <v>981</v>
      </c>
      <c r="B433" s="17">
        <v>44562.0</v>
      </c>
      <c r="C433" s="11" t="s">
        <v>103</v>
      </c>
      <c r="D433" s="11" t="s">
        <v>213</v>
      </c>
      <c r="E433" s="11" t="s">
        <v>982</v>
      </c>
      <c r="F433" s="11" t="s">
        <v>40</v>
      </c>
      <c r="G433" s="11" t="s">
        <v>45</v>
      </c>
      <c r="H433" s="11" t="s">
        <v>163</v>
      </c>
      <c r="I433" s="11"/>
      <c r="J433" s="11">
        <v>18.0</v>
      </c>
      <c r="K433" s="12">
        <v>45082.0</v>
      </c>
      <c r="L433" s="11"/>
      <c r="M433" s="11">
        <v>702673.0</v>
      </c>
      <c r="N433" s="11" t="s">
        <v>983</v>
      </c>
      <c r="O433" s="13"/>
      <c r="P433" s="11">
        <v>0.0</v>
      </c>
      <c r="Q433" s="14">
        <v>0.0</v>
      </c>
      <c r="R433" s="11">
        <v>1.0</v>
      </c>
      <c r="S433">
        <f t="shared" si="1"/>
        <v>2022</v>
      </c>
      <c r="T433">
        <f t="shared" si="2"/>
        <v>1</v>
      </c>
      <c r="U433">
        <f t="shared" si="3"/>
        <v>1</v>
      </c>
      <c r="Z433" s="17">
        <v>45082.0</v>
      </c>
      <c r="AG433" s="15"/>
      <c r="AH433" s="16"/>
      <c r="AM433" s="15"/>
      <c r="AN433" s="16"/>
    </row>
    <row r="434">
      <c r="A434" s="13" t="s">
        <v>984</v>
      </c>
      <c r="B434" s="17">
        <v>44562.0</v>
      </c>
      <c r="C434" s="11" t="s">
        <v>49</v>
      </c>
      <c r="D434" s="11" t="s">
        <v>213</v>
      </c>
      <c r="E434" s="11" t="s">
        <v>39</v>
      </c>
      <c r="F434" s="11" t="s">
        <v>40</v>
      </c>
      <c r="G434" s="11" t="s">
        <v>45</v>
      </c>
      <c r="H434" s="11" t="s">
        <v>112</v>
      </c>
      <c r="I434" s="11" t="s">
        <v>985</v>
      </c>
      <c r="J434" s="11">
        <v>19.0</v>
      </c>
      <c r="K434" s="12">
        <v>45519.0</v>
      </c>
      <c r="L434" s="11"/>
      <c r="M434" s="11">
        <v>701807.0</v>
      </c>
      <c r="N434" s="11" t="s">
        <v>986</v>
      </c>
      <c r="O434" s="13"/>
      <c r="P434" s="11">
        <v>0.0</v>
      </c>
      <c r="Q434" s="14">
        <v>0.0</v>
      </c>
      <c r="R434" s="11">
        <v>1.0</v>
      </c>
      <c r="S434">
        <f t="shared" si="1"/>
        <v>2022</v>
      </c>
      <c r="T434">
        <f t="shared" si="2"/>
        <v>1</v>
      </c>
      <c r="U434">
        <f t="shared" si="3"/>
        <v>1</v>
      </c>
      <c r="Z434" s="17">
        <v>45519.0</v>
      </c>
      <c r="AG434" s="15"/>
      <c r="AH434" s="16"/>
      <c r="AM434" s="15"/>
      <c r="AN434" s="16"/>
    </row>
    <row r="435">
      <c r="A435" s="13" t="s">
        <v>987</v>
      </c>
      <c r="B435" s="17">
        <v>44562.0</v>
      </c>
      <c r="C435" s="11" t="s">
        <v>274</v>
      </c>
      <c r="D435" s="11" t="s">
        <v>93</v>
      </c>
      <c r="E435" s="11" t="s">
        <v>39</v>
      </c>
      <c r="F435" s="11" t="s">
        <v>64</v>
      </c>
      <c r="G435" s="11" t="s">
        <v>45</v>
      </c>
      <c r="H435" s="11" t="s">
        <v>67</v>
      </c>
      <c r="I435" s="11" t="s">
        <v>215</v>
      </c>
      <c r="J435" s="11">
        <v>19.0</v>
      </c>
      <c r="K435" s="12">
        <v>776236.0</v>
      </c>
      <c r="L435" s="11"/>
      <c r="M435" s="11">
        <v>695611.0</v>
      </c>
      <c r="N435" s="11" t="s">
        <v>988</v>
      </c>
      <c r="O435" s="13"/>
      <c r="P435" s="11">
        <v>0.0</v>
      </c>
      <c r="Q435" s="14">
        <v>0.0</v>
      </c>
      <c r="R435" s="11">
        <v>1.0</v>
      </c>
      <c r="S435">
        <f t="shared" si="1"/>
        <v>2022</v>
      </c>
      <c r="T435">
        <f t="shared" si="2"/>
        <v>1</v>
      </c>
      <c r="U435">
        <f t="shared" si="3"/>
        <v>1</v>
      </c>
      <c r="Z435" s="17">
        <v>45751.0</v>
      </c>
      <c r="AG435" s="15"/>
      <c r="AH435" s="16"/>
      <c r="AM435" s="15"/>
      <c r="AN435" s="16"/>
    </row>
    <row r="436">
      <c r="A436" s="13" t="s">
        <v>989</v>
      </c>
      <c r="B436" s="17">
        <v>44562.0</v>
      </c>
      <c r="C436" s="11" t="s">
        <v>150</v>
      </c>
      <c r="D436" s="11" t="s">
        <v>93</v>
      </c>
      <c r="E436" s="11" t="s">
        <v>39</v>
      </c>
      <c r="F436" s="11" t="s">
        <v>40</v>
      </c>
      <c r="G436" s="11" t="s">
        <v>45</v>
      </c>
      <c r="H436" s="11" t="s">
        <v>74</v>
      </c>
      <c r="I436" s="11" t="s">
        <v>990</v>
      </c>
      <c r="J436" s="11">
        <v>21.0</v>
      </c>
      <c r="K436" s="12">
        <v>45387.0</v>
      </c>
      <c r="L436" s="11"/>
      <c r="M436" s="11">
        <v>690974.0</v>
      </c>
      <c r="N436" s="11" t="s">
        <v>991</v>
      </c>
      <c r="O436" s="13"/>
      <c r="P436" s="11">
        <v>0.0</v>
      </c>
      <c r="Q436" s="14">
        <v>0.0</v>
      </c>
      <c r="R436" s="11">
        <v>1.0</v>
      </c>
      <c r="S436">
        <f t="shared" si="1"/>
        <v>2022</v>
      </c>
      <c r="T436">
        <f t="shared" si="2"/>
        <v>1</v>
      </c>
      <c r="U436">
        <f t="shared" si="3"/>
        <v>1</v>
      </c>
      <c r="AG436" s="15"/>
      <c r="AH436" s="16"/>
      <c r="AM436" s="15"/>
      <c r="AN436" s="16"/>
    </row>
    <row r="437">
      <c r="A437" s="13" t="s">
        <v>992</v>
      </c>
      <c r="B437" s="10">
        <v>44562.0</v>
      </c>
      <c r="C437" s="11" t="s">
        <v>175</v>
      </c>
      <c r="D437" s="11" t="s">
        <v>97</v>
      </c>
      <c r="E437" s="11" t="s">
        <v>39</v>
      </c>
      <c r="F437" s="11" t="s">
        <v>64</v>
      </c>
      <c r="G437" s="11" t="s">
        <v>45</v>
      </c>
      <c r="H437" s="11" t="s">
        <v>258</v>
      </c>
      <c r="I437" s="11" t="s">
        <v>78</v>
      </c>
      <c r="J437" s="11">
        <v>23.0</v>
      </c>
      <c r="K437" s="12">
        <v>45389.0</v>
      </c>
      <c r="L437" s="11"/>
      <c r="M437" s="11">
        <v>701000.0</v>
      </c>
      <c r="N437" s="11" t="s">
        <v>993</v>
      </c>
      <c r="O437" s="13"/>
      <c r="P437" s="11">
        <v>0.0</v>
      </c>
      <c r="Q437" s="14">
        <v>0.0</v>
      </c>
      <c r="R437" s="11">
        <v>1.0</v>
      </c>
      <c r="S437">
        <f t="shared" si="1"/>
        <v>2022</v>
      </c>
      <c r="T437">
        <f t="shared" si="2"/>
        <v>1</v>
      </c>
      <c r="U437">
        <f t="shared" si="3"/>
        <v>1</v>
      </c>
      <c r="Z437" s="17">
        <v>45389.0</v>
      </c>
      <c r="AG437" s="15"/>
      <c r="AH437" s="16"/>
      <c r="AM437" s="15"/>
      <c r="AN437" s="16"/>
    </row>
    <row r="438">
      <c r="A438" s="13" t="s">
        <v>994</v>
      </c>
      <c r="B438" s="10">
        <v>44562.0</v>
      </c>
      <c r="C438" s="11" t="s">
        <v>230</v>
      </c>
      <c r="D438" s="11" t="s">
        <v>221</v>
      </c>
      <c r="E438" s="11" t="s">
        <v>39</v>
      </c>
      <c r="F438" s="11" t="s">
        <v>40</v>
      </c>
      <c r="G438" s="11" t="s">
        <v>45</v>
      </c>
      <c r="H438" s="11" t="s">
        <v>59</v>
      </c>
      <c r="I438" s="11"/>
      <c r="J438" s="11">
        <v>22.0</v>
      </c>
      <c r="K438" s="12">
        <v>45399.0</v>
      </c>
      <c r="L438" s="11"/>
      <c r="M438" s="11">
        <v>686802.0</v>
      </c>
      <c r="N438" s="11" t="s">
        <v>995</v>
      </c>
      <c r="O438" s="13"/>
      <c r="P438" s="11">
        <v>0.0</v>
      </c>
      <c r="Q438" s="14">
        <v>0.0</v>
      </c>
      <c r="R438" s="11">
        <v>1.0</v>
      </c>
      <c r="S438">
        <f t="shared" si="1"/>
        <v>2022</v>
      </c>
      <c r="T438">
        <f t="shared" si="2"/>
        <v>1</v>
      </c>
      <c r="U438">
        <f t="shared" si="3"/>
        <v>1</v>
      </c>
      <c r="Z438" s="17">
        <v>45399.0</v>
      </c>
      <c r="AG438" s="15"/>
      <c r="AH438" s="16"/>
      <c r="AM438" s="15"/>
      <c r="AN438" s="16"/>
    </row>
    <row r="439">
      <c r="A439" s="13" t="s">
        <v>996</v>
      </c>
      <c r="B439" s="17">
        <v>44562.0</v>
      </c>
      <c r="C439" s="11" t="s">
        <v>235</v>
      </c>
      <c r="D439" s="11" t="s">
        <v>213</v>
      </c>
      <c r="E439" s="11" t="s">
        <v>39</v>
      </c>
      <c r="F439" s="11" t="s">
        <v>40</v>
      </c>
      <c r="G439" s="11" t="s">
        <v>45</v>
      </c>
      <c r="H439" s="11" t="s">
        <v>735</v>
      </c>
      <c r="I439" s="11" t="s">
        <v>120</v>
      </c>
      <c r="J439" s="11">
        <v>19.0</v>
      </c>
      <c r="K439" s="12">
        <v>45752.0</v>
      </c>
      <c r="L439" s="11"/>
      <c r="M439" s="11">
        <v>695741.0</v>
      </c>
      <c r="N439" s="11" t="s">
        <v>997</v>
      </c>
      <c r="O439" s="13"/>
      <c r="P439" s="11">
        <v>0.0</v>
      </c>
      <c r="Q439" s="14">
        <v>0.0</v>
      </c>
      <c r="R439" s="11">
        <v>1.0</v>
      </c>
      <c r="S439">
        <f t="shared" si="1"/>
        <v>2022</v>
      </c>
      <c r="T439">
        <f t="shared" si="2"/>
        <v>1</v>
      </c>
      <c r="U439">
        <f t="shared" si="3"/>
        <v>1</v>
      </c>
      <c r="Z439" s="17">
        <v>45752.0</v>
      </c>
      <c r="AG439" s="15"/>
      <c r="AH439" s="16"/>
      <c r="AM439" s="15"/>
      <c r="AN439" s="16"/>
    </row>
    <row r="440">
      <c r="A440" s="13" t="s">
        <v>998</v>
      </c>
      <c r="B440" s="10">
        <v>44546.0</v>
      </c>
      <c r="C440" s="11" t="s">
        <v>175</v>
      </c>
      <c r="D440" s="11" t="s">
        <v>93</v>
      </c>
      <c r="E440" s="11" t="s">
        <v>39</v>
      </c>
      <c r="F440" s="11" t="s">
        <v>40</v>
      </c>
      <c r="G440" s="11" t="s">
        <v>45</v>
      </c>
      <c r="H440" s="11" t="s">
        <v>276</v>
      </c>
      <c r="I440" s="11" t="s">
        <v>999</v>
      </c>
      <c r="J440" s="11">
        <v>19.0</v>
      </c>
      <c r="K440" s="12">
        <v>45057.0</v>
      </c>
      <c r="L440" s="11">
        <f t="shared" ref="L440:L442" si="42">ROUND(((K440-B440)/365)*12,0)</f>
        <v>17</v>
      </c>
      <c r="M440" s="11">
        <v>689275.0</v>
      </c>
      <c r="N440" s="11" t="s">
        <v>1000</v>
      </c>
      <c r="O440" s="13"/>
      <c r="P440" s="11">
        <v>0.0</v>
      </c>
      <c r="Q440" s="14">
        <v>0.0</v>
      </c>
      <c r="R440" s="11">
        <v>1.0</v>
      </c>
      <c r="S440">
        <f t="shared" si="1"/>
        <v>2021</v>
      </c>
      <c r="T440">
        <f t="shared" si="2"/>
        <v>12</v>
      </c>
      <c r="U440">
        <f t="shared" si="3"/>
        <v>16</v>
      </c>
      <c r="Z440" s="17">
        <v>45057.0</v>
      </c>
      <c r="AG440" s="15"/>
      <c r="AH440" s="16"/>
      <c r="AM440" s="15"/>
      <c r="AN440" s="16"/>
    </row>
    <row r="441">
      <c r="A441" s="13" t="s">
        <v>1001</v>
      </c>
      <c r="B441" s="10">
        <v>44530.0</v>
      </c>
      <c r="C441" s="11" t="s">
        <v>167</v>
      </c>
      <c r="D441" s="11" t="s">
        <v>77</v>
      </c>
      <c r="E441" s="11" t="s">
        <v>104</v>
      </c>
      <c r="F441" s="11" t="s">
        <v>40</v>
      </c>
      <c r="G441" s="11" t="s">
        <v>1002</v>
      </c>
      <c r="H441" s="11"/>
      <c r="I441" s="11"/>
      <c r="J441" s="11">
        <v>22.0</v>
      </c>
      <c r="K441" s="12">
        <v>44764.0</v>
      </c>
      <c r="L441" s="11">
        <f t="shared" si="42"/>
        <v>8</v>
      </c>
      <c r="M441" s="11">
        <v>665804.0</v>
      </c>
      <c r="N441" s="11">
        <v>21693.0</v>
      </c>
      <c r="O441" s="13"/>
      <c r="P441" s="11">
        <v>0.0</v>
      </c>
      <c r="Q441" s="14">
        <v>0.0</v>
      </c>
      <c r="R441" s="11">
        <v>1.0</v>
      </c>
      <c r="S441">
        <f t="shared" si="1"/>
        <v>2021</v>
      </c>
      <c r="T441">
        <f t="shared" si="2"/>
        <v>11</v>
      </c>
      <c r="U441">
        <f t="shared" si="3"/>
        <v>30</v>
      </c>
      <c r="Z441" s="17">
        <v>44743.0</v>
      </c>
      <c r="AG441" s="15"/>
      <c r="AH441" s="16"/>
      <c r="AM441" s="15"/>
      <c r="AN441" s="16"/>
    </row>
    <row r="442">
      <c r="A442" s="13" t="s">
        <v>1003</v>
      </c>
      <c r="B442" s="10">
        <v>44529.0</v>
      </c>
      <c r="C442" s="11" t="s">
        <v>274</v>
      </c>
      <c r="D442" s="11" t="s">
        <v>97</v>
      </c>
      <c r="E442" s="11" t="s">
        <v>39</v>
      </c>
      <c r="F442" s="11" t="s">
        <v>40</v>
      </c>
      <c r="G442" s="11" t="s">
        <v>483</v>
      </c>
      <c r="H442" s="11"/>
      <c r="I442" s="11"/>
      <c r="J442" s="11">
        <v>21.0</v>
      </c>
      <c r="K442" s="12">
        <v>45023.0</v>
      </c>
      <c r="L442" s="11">
        <f t="shared" si="42"/>
        <v>16</v>
      </c>
      <c r="M442" s="11">
        <v>683726.0</v>
      </c>
      <c r="N442" s="11" t="s">
        <v>1004</v>
      </c>
      <c r="O442" s="13"/>
      <c r="P442" s="11">
        <v>0.0</v>
      </c>
      <c r="Q442" s="14">
        <v>0.0</v>
      </c>
      <c r="R442" s="11">
        <v>1.0</v>
      </c>
      <c r="S442">
        <f t="shared" si="1"/>
        <v>2021</v>
      </c>
      <c r="T442">
        <f t="shared" si="2"/>
        <v>11</v>
      </c>
      <c r="U442">
        <f t="shared" si="3"/>
        <v>29</v>
      </c>
      <c r="Z442" s="17">
        <v>45023.0</v>
      </c>
      <c r="AG442" s="15"/>
      <c r="AH442" s="16"/>
      <c r="AM442" s="15"/>
      <c r="AN442" s="16"/>
    </row>
    <row r="443">
      <c r="A443" s="13" t="s">
        <v>1005</v>
      </c>
      <c r="B443" s="10">
        <v>44523.0</v>
      </c>
      <c r="C443" s="11" t="s">
        <v>143</v>
      </c>
      <c r="D443" s="11" t="s">
        <v>38</v>
      </c>
      <c r="E443" s="11" t="s">
        <v>39</v>
      </c>
      <c r="F443" s="11" t="s">
        <v>40</v>
      </c>
      <c r="G443" s="11" t="s">
        <v>45</v>
      </c>
      <c r="H443" s="11" t="s">
        <v>67</v>
      </c>
      <c r="I443" s="11" t="s">
        <v>120</v>
      </c>
      <c r="J443" s="11">
        <v>31.0</v>
      </c>
      <c r="K443" s="12"/>
      <c r="L443" s="11"/>
      <c r="M443" s="11">
        <v>605359.0</v>
      </c>
      <c r="N443" s="11">
        <v>12297.0</v>
      </c>
      <c r="O443" s="13" t="s">
        <v>761</v>
      </c>
      <c r="P443" s="11">
        <v>0.0</v>
      </c>
      <c r="Q443" s="14">
        <v>0.0</v>
      </c>
      <c r="R443" s="11">
        <v>0.0</v>
      </c>
      <c r="S443">
        <f t="shared" si="1"/>
        <v>2021</v>
      </c>
      <c r="T443">
        <f t="shared" si="2"/>
        <v>11</v>
      </c>
      <c r="U443">
        <f t="shared" si="3"/>
        <v>23</v>
      </c>
      <c r="AG443" s="15"/>
      <c r="AH443" s="16"/>
      <c r="AM443" s="15"/>
      <c r="AN443" s="16"/>
    </row>
    <row r="444">
      <c r="A444" s="13" t="s">
        <v>1006</v>
      </c>
      <c r="B444" s="10">
        <v>44501.0</v>
      </c>
      <c r="C444" s="11" t="s">
        <v>62</v>
      </c>
      <c r="D444" s="11" t="s">
        <v>93</v>
      </c>
      <c r="E444" s="11" t="s">
        <v>39</v>
      </c>
      <c r="F444" s="11" t="s">
        <v>64</v>
      </c>
      <c r="G444" s="11" t="s">
        <v>45</v>
      </c>
      <c r="H444" s="11" t="s">
        <v>109</v>
      </c>
      <c r="I444" s="11" t="s">
        <v>276</v>
      </c>
      <c r="J444" s="11">
        <v>20.0</v>
      </c>
      <c r="K444" s="12">
        <v>44788.0</v>
      </c>
      <c r="L444" s="11">
        <f t="shared" ref="L444:L450" si="43">ROUND(((K444-B444)/365)*12,0)</f>
        <v>9</v>
      </c>
      <c r="M444" s="11">
        <v>686846.0</v>
      </c>
      <c r="N444" s="11" t="s">
        <v>1007</v>
      </c>
      <c r="O444" s="13"/>
      <c r="P444" s="11">
        <v>0.0</v>
      </c>
      <c r="Q444" s="14">
        <v>0.0</v>
      </c>
      <c r="R444" s="11">
        <v>1.0</v>
      </c>
      <c r="S444">
        <f t="shared" si="1"/>
        <v>2021</v>
      </c>
      <c r="T444">
        <f t="shared" si="2"/>
        <v>11</v>
      </c>
      <c r="U444">
        <f t="shared" si="3"/>
        <v>1</v>
      </c>
      <c r="Z444" s="17">
        <v>44788.0</v>
      </c>
      <c r="AG444" s="15"/>
      <c r="AH444" s="16"/>
      <c r="AM444" s="15"/>
      <c r="AN444" s="16"/>
    </row>
    <row r="445">
      <c r="A445" s="13" t="s">
        <v>1008</v>
      </c>
      <c r="B445" s="10">
        <v>44497.0</v>
      </c>
      <c r="C445" s="11" t="s">
        <v>143</v>
      </c>
      <c r="D445" s="11" t="s">
        <v>221</v>
      </c>
      <c r="E445" s="11" t="s">
        <v>39</v>
      </c>
      <c r="F445" s="11" t="s">
        <v>40</v>
      </c>
      <c r="G445" s="11" t="s">
        <v>45</v>
      </c>
      <c r="H445" s="11" t="s">
        <v>301</v>
      </c>
      <c r="I445" s="11"/>
      <c r="J445" s="11">
        <v>18.0</v>
      </c>
      <c r="K445" s="12">
        <v>45029.0</v>
      </c>
      <c r="L445" s="11">
        <f t="shared" si="43"/>
        <v>17</v>
      </c>
      <c r="M445" s="11">
        <v>701780.0</v>
      </c>
      <c r="N445" s="11" t="s">
        <v>1009</v>
      </c>
      <c r="O445" s="13"/>
      <c r="P445" s="11">
        <v>0.0</v>
      </c>
      <c r="Q445" s="14">
        <v>0.0</v>
      </c>
      <c r="R445" s="11">
        <v>1.0</v>
      </c>
      <c r="S445">
        <f t="shared" si="1"/>
        <v>2021</v>
      </c>
      <c r="T445">
        <f t="shared" si="2"/>
        <v>10</v>
      </c>
      <c r="U445">
        <f t="shared" si="3"/>
        <v>28</v>
      </c>
      <c r="Z445" s="17">
        <v>45029.0</v>
      </c>
      <c r="AG445" s="15"/>
      <c r="AH445" s="16"/>
      <c r="AM445" s="15"/>
      <c r="AN445" s="16"/>
    </row>
    <row r="446">
      <c r="A446" s="13" t="s">
        <v>1010</v>
      </c>
      <c r="B446" s="10">
        <v>44485.0</v>
      </c>
      <c r="C446" s="11" t="s">
        <v>175</v>
      </c>
      <c r="D446" s="11" t="s">
        <v>88</v>
      </c>
      <c r="E446" s="11" t="s">
        <v>39</v>
      </c>
      <c r="F446" s="11" t="s">
        <v>64</v>
      </c>
      <c r="G446" s="11" t="s">
        <v>194</v>
      </c>
      <c r="H446" s="11"/>
      <c r="I446" s="11"/>
      <c r="J446" s="11">
        <v>23.0</v>
      </c>
      <c r="K446" s="12">
        <v>45079.0</v>
      </c>
      <c r="L446" s="11">
        <f t="shared" si="43"/>
        <v>20</v>
      </c>
      <c r="M446" s="11">
        <v>681870.0</v>
      </c>
      <c r="N446" s="11">
        <v>24978.0</v>
      </c>
      <c r="O446" s="13"/>
      <c r="P446" s="11">
        <v>0.0</v>
      </c>
      <c r="Q446" s="14">
        <v>0.0</v>
      </c>
      <c r="R446" s="11">
        <v>1.0</v>
      </c>
      <c r="S446">
        <f t="shared" si="1"/>
        <v>2021</v>
      </c>
      <c r="T446">
        <f t="shared" si="2"/>
        <v>10</v>
      </c>
      <c r="U446">
        <f t="shared" si="3"/>
        <v>16</v>
      </c>
      <c r="Z446" s="17">
        <v>45079.0</v>
      </c>
      <c r="AG446" s="15"/>
      <c r="AH446" s="16"/>
      <c r="AM446" s="15"/>
      <c r="AN446" s="16"/>
    </row>
    <row r="447">
      <c r="A447" s="13" t="s">
        <v>1011</v>
      </c>
      <c r="B447" s="10">
        <v>44481.0</v>
      </c>
      <c r="C447" s="11" t="s">
        <v>44</v>
      </c>
      <c r="D447" s="11" t="s">
        <v>58</v>
      </c>
      <c r="E447" s="11" t="s">
        <v>39</v>
      </c>
      <c r="F447" s="11" t="s">
        <v>64</v>
      </c>
      <c r="G447" s="11" t="s">
        <v>45</v>
      </c>
      <c r="H447" s="11" t="s">
        <v>84</v>
      </c>
      <c r="I447" s="11"/>
      <c r="J447" s="11">
        <v>24.0</v>
      </c>
      <c r="K447" s="12">
        <v>45436.0</v>
      </c>
      <c r="L447" s="11">
        <f t="shared" si="43"/>
        <v>31</v>
      </c>
      <c r="M447" s="11">
        <v>663535.0</v>
      </c>
      <c r="N447" s="11" t="s">
        <v>1012</v>
      </c>
      <c r="O447" s="13"/>
      <c r="P447" s="11">
        <v>0.0</v>
      </c>
      <c r="Q447" s="14">
        <v>0.0</v>
      </c>
      <c r="R447" s="11">
        <v>1.0</v>
      </c>
      <c r="S447">
        <f t="shared" si="1"/>
        <v>2021</v>
      </c>
      <c r="T447">
        <f t="shared" si="2"/>
        <v>10</v>
      </c>
      <c r="U447">
        <f t="shared" si="3"/>
        <v>12</v>
      </c>
      <c r="Z447" s="17">
        <v>45436.0</v>
      </c>
      <c r="AG447" s="15"/>
      <c r="AH447" s="16"/>
      <c r="AM447" s="15"/>
      <c r="AN447" s="16"/>
    </row>
    <row r="448">
      <c r="A448" s="13" t="s">
        <v>1013</v>
      </c>
      <c r="B448" s="10">
        <v>44470.0</v>
      </c>
      <c r="C448" s="11" t="s">
        <v>103</v>
      </c>
      <c r="D448" s="11" t="s">
        <v>77</v>
      </c>
      <c r="E448" s="11" t="s">
        <v>39</v>
      </c>
      <c r="F448" s="11" t="s">
        <v>40</v>
      </c>
      <c r="G448" s="11" t="s">
        <v>45</v>
      </c>
      <c r="H448" s="11" t="s">
        <v>84</v>
      </c>
      <c r="I448" s="11" t="s">
        <v>1014</v>
      </c>
      <c r="J448" s="11">
        <v>25.0</v>
      </c>
      <c r="K448" s="12">
        <v>44823.0</v>
      </c>
      <c r="L448" s="11">
        <f t="shared" si="43"/>
        <v>12</v>
      </c>
      <c r="M448" s="11">
        <v>679604.0</v>
      </c>
      <c r="N448" s="11" t="s">
        <v>1015</v>
      </c>
      <c r="O448" s="13"/>
      <c r="P448" s="11">
        <v>0.0</v>
      </c>
      <c r="Q448" s="14">
        <v>0.0</v>
      </c>
      <c r="R448" s="11">
        <v>1.0</v>
      </c>
      <c r="S448">
        <f t="shared" si="1"/>
        <v>2021</v>
      </c>
      <c r="T448">
        <f t="shared" si="2"/>
        <v>10</v>
      </c>
      <c r="U448">
        <f t="shared" si="3"/>
        <v>1</v>
      </c>
      <c r="Z448" s="17">
        <v>44796.0</v>
      </c>
      <c r="AG448" s="15"/>
      <c r="AH448" s="16"/>
      <c r="AM448" s="15"/>
      <c r="AN448" s="16"/>
    </row>
    <row r="449">
      <c r="A449" s="13" t="s">
        <v>1016</v>
      </c>
      <c r="B449" s="10">
        <v>44470.0</v>
      </c>
      <c r="C449" s="11" t="s">
        <v>150</v>
      </c>
      <c r="D449" s="11" t="s">
        <v>88</v>
      </c>
      <c r="E449" s="11" t="s">
        <v>39</v>
      </c>
      <c r="F449" s="11" t="s">
        <v>40</v>
      </c>
      <c r="G449" s="11" t="s">
        <v>45</v>
      </c>
      <c r="H449" s="11" t="s">
        <v>139</v>
      </c>
      <c r="I449" s="11"/>
      <c r="J449" s="11">
        <v>23.0</v>
      </c>
      <c r="K449" s="12">
        <v>45024.0</v>
      </c>
      <c r="L449" s="11">
        <f t="shared" si="43"/>
        <v>18</v>
      </c>
      <c r="M449" s="11">
        <v>663969.0</v>
      </c>
      <c r="N449" s="11">
        <v>20629.0</v>
      </c>
      <c r="O449" s="13"/>
      <c r="P449" s="11">
        <v>0.0</v>
      </c>
      <c r="Q449" s="14">
        <v>0.0</v>
      </c>
      <c r="R449" s="11">
        <v>1.0</v>
      </c>
      <c r="S449">
        <f t="shared" si="1"/>
        <v>2021</v>
      </c>
      <c r="T449">
        <f t="shared" si="2"/>
        <v>10</v>
      </c>
      <c r="U449">
        <f t="shared" si="3"/>
        <v>1</v>
      </c>
      <c r="Z449" s="17">
        <v>45024.0</v>
      </c>
      <c r="AG449" s="15"/>
      <c r="AH449" s="16"/>
      <c r="AM449" s="15"/>
      <c r="AN449" s="16"/>
    </row>
    <row r="450">
      <c r="A450" s="13" t="s">
        <v>1017</v>
      </c>
      <c r="B450" s="10">
        <v>44468.0</v>
      </c>
      <c r="C450" s="11" t="s">
        <v>358</v>
      </c>
      <c r="D450" s="11" t="s">
        <v>38</v>
      </c>
      <c r="E450" s="11" t="s">
        <v>39</v>
      </c>
      <c r="F450" s="11" t="s">
        <v>64</v>
      </c>
      <c r="G450" s="11" t="s">
        <v>45</v>
      </c>
      <c r="H450" s="11" t="s">
        <v>163</v>
      </c>
      <c r="I450" s="11" t="s">
        <v>164</v>
      </c>
      <c r="J450" s="11">
        <v>25.0</v>
      </c>
      <c r="K450" s="12">
        <v>45032.0</v>
      </c>
      <c r="L450" s="11">
        <f t="shared" si="43"/>
        <v>19</v>
      </c>
      <c r="M450" s="11">
        <v>663992.0</v>
      </c>
      <c r="N450" s="11">
        <v>19337.0</v>
      </c>
      <c r="O450" s="13" t="s">
        <v>69</v>
      </c>
      <c r="P450" s="11">
        <v>0.0</v>
      </c>
      <c r="Q450" s="14">
        <v>0.0</v>
      </c>
      <c r="R450" s="11">
        <v>1.0</v>
      </c>
      <c r="S450">
        <f t="shared" si="1"/>
        <v>2021</v>
      </c>
      <c r="T450">
        <f t="shared" si="2"/>
        <v>9</v>
      </c>
      <c r="U450">
        <f t="shared" si="3"/>
        <v>29</v>
      </c>
      <c r="Z450" s="17">
        <v>44822.0</v>
      </c>
      <c r="AG450" s="15"/>
      <c r="AH450" s="16"/>
      <c r="AM450" s="15"/>
      <c r="AN450" s="16"/>
    </row>
    <row r="451">
      <c r="A451" s="13" t="s">
        <v>1018</v>
      </c>
      <c r="B451" s="10">
        <v>44463.0</v>
      </c>
      <c r="C451" s="11" t="s">
        <v>126</v>
      </c>
      <c r="D451" s="11" t="s">
        <v>77</v>
      </c>
      <c r="E451" s="11" t="s">
        <v>39</v>
      </c>
      <c r="F451" s="11" t="s">
        <v>40</v>
      </c>
      <c r="G451" s="11" t="s">
        <v>45</v>
      </c>
      <c r="H451" s="11" t="s">
        <v>243</v>
      </c>
      <c r="I451" s="11" t="s">
        <v>704</v>
      </c>
      <c r="J451" s="11">
        <v>27.0</v>
      </c>
      <c r="K451" s="12"/>
      <c r="L451" s="11"/>
      <c r="M451" s="11">
        <v>671066.0</v>
      </c>
      <c r="N451" s="11" t="s">
        <v>1019</v>
      </c>
      <c r="O451" s="13"/>
      <c r="P451" s="11">
        <v>0.0</v>
      </c>
      <c r="Q451" s="14">
        <v>0.0</v>
      </c>
      <c r="R451" s="11">
        <v>0.0</v>
      </c>
      <c r="S451">
        <f t="shared" si="1"/>
        <v>2021</v>
      </c>
      <c r="T451">
        <f t="shared" si="2"/>
        <v>9</v>
      </c>
      <c r="U451">
        <f t="shared" si="3"/>
        <v>24</v>
      </c>
      <c r="AG451" s="15"/>
      <c r="AH451" s="16"/>
      <c r="AM451" s="15"/>
      <c r="AN451" s="16"/>
    </row>
    <row r="452">
      <c r="A452" s="13" t="s">
        <v>1020</v>
      </c>
      <c r="B452" s="10">
        <v>44459.0</v>
      </c>
      <c r="C452" s="11" t="s">
        <v>235</v>
      </c>
      <c r="D452" s="11" t="s">
        <v>88</v>
      </c>
      <c r="E452" s="11" t="s">
        <v>39</v>
      </c>
      <c r="F452" s="11" t="s">
        <v>40</v>
      </c>
      <c r="G452" s="11" t="s">
        <v>45</v>
      </c>
      <c r="H452" s="11" t="s">
        <v>84</v>
      </c>
      <c r="I452" s="11" t="s">
        <v>391</v>
      </c>
      <c r="J452" s="11">
        <v>22.0</v>
      </c>
      <c r="K452" s="12">
        <v>45169.0</v>
      </c>
      <c r="L452" s="11">
        <f t="shared" ref="L452:L456" si="44">ROUND(((K452-B452)/365)*12,0)</f>
        <v>23</v>
      </c>
      <c r="M452" s="11">
        <v>669310.0</v>
      </c>
      <c r="N452" s="11" t="s">
        <v>1021</v>
      </c>
      <c r="O452" s="13"/>
      <c r="P452" s="11">
        <v>0.0</v>
      </c>
      <c r="Q452" s="14">
        <v>0.0</v>
      </c>
      <c r="R452" s="11">
        <v>1.0</v>
      </c>
      <c r="S452">
        <f t="shared" si="1"/>
        <v>2021</v>
      </c>
      <c r="T452">
        <f t="shared" si="2"/>
        <v>9</v>
      </c>
      <c r="U452">
        <f t="shared" si="3"/>
        <v>20</v>
      </c>
      <c r="Z452" s="17">
        <v>45053.0</v>
      </c>
      <c r="AG452" s="15"/>
      <c r="AH452" s="16"/>
      <c r="AM452" s="15"/>
      <c r="AN452" s="16"/>
    </row>
    <row r="453">
      <c r="A453" s="13" t="s">
        <v>1022</v>
      </c>
      <c r="B453" s="10">
        <v>44447.0</v>
      </c>
      <c r="C453" s="11" t="s">
        <v>111</v>
      </c>
      <c r="D453" s="11" t="s">
        <v>38</v>
      </c>
      <c r="E453" s="11" t="s">
        <v>104</v>
      </c>
      <c r="F453" s="11" t="s">
        <v>40</v>
      </c>
      <c r="G453" s="11" t="s">
        <v>45</v>
      </c>
      <c r="H453" s="11" t="s">
        <v>56</v>
      </c>
      <c r="I453" s="11" t="s">
        <v>1023</v>
      </c>
      <c r="J453" s="11">
        <v>26.0</v>
      </c>
      <c r="K453" s="12">
        <v>45017.0</v>
      </c>
      <c r="L453" s="11">
        <f t="shared" si="44"/>
        <v>19</v>
      </c>
      <c r="M453" s="11">
        <v>668670.0</v>
      </c>
      <c r="N453" s="11">
        <v>19452.0</v>
      </c>
      <c r="O453" s="13" t="s">
        <v>42</v>
      </c>
      <c r="P453" s="11">
        <v>0.0</v>
      </c>
      <c r="Q453" s="14">
        <v>0.0</v>
      </c>
      <c r="R453" s="11">
        <v>1.0</v>
      </c>
      <c r="S453">
        <f t="shared" si="1"/>
        <v>2021</v>
      </c>
      <c r="T453">
        <f t="shared" si="2"/>
        <v>9</v>
      </c>
      <c r="U453">
        <f t="shared" si="3"/>
        <v>8</v>
      </c>
      <c r="Z453" s="17">
        <v>45017.0</v>
      </c>
      <c r="AG453" s="15"/>
      <c r="AH453" s="16"/>
      <c r="AM453" s="15"/>
      <c r="AN453" s="16"/>
    </row>
    <row r="454">
      <c r="A454" s="13" t="s">
        <v>1024</v>
      </c>
      <c r="B454" s="10">
        <v>44447.0</v>
      </c>
      <c r="C454" s="11" t="s">
        <v>156</v>
      </c>
      <c r="D454" s="11" t="s">
        <v>97</v>
      </c>
      <c r="E454" s="11" t="s">
        <v>39</v>
      </c>
      <c r="F454" s="11" t="s">
        <v>40</v>
      </c>
      <c r="G454" s="11" t="s">
        <v>45</v>
      </c>
      <c r="H454" s="11" t="s">
        <v>163</v>
      </c>
      <c r="I454" s="11" t="s">
        <v>163</v>
      </c>
      <c r="J454" s="11">
        <v>21.0</v>
      </c>
      <c r="K454" s="12">
        <v>44798.0</v>
      </c>
      <c r="L454" s="11">
        <f t="shared" si="44"/>
        <v>12</v>
      </c>
      <c r="M454" s="11">
        <v>677961.0</v>
      </c>
      <c r="N454" s="11" t="s">
        <v>1025</v>
      </c>
      <c r="O454" s="13"/>
      <c r="P454" s="11">
        <v>0.0</v>
      </c>
      <c r="Q454" s="14">
        <v>0.0</v>
      </c>
      <c r="R454" s="11">
        <v>1.0</v>
      </c>
      <c r="S454">
        <f t="shared" si="1"/>
        <v>2021</v>
      </c>
      <c r="T454">
        <f t="shared" si="2"/>
        <v>9</v>
      </c>
      <c r="U454">
        <f t="shared" si="3"/>
        <v>8</v>
      </c>
      <c r="Z454" s="17">
        <v>44781.0</v>
      </c>
      <c r="AG454" s="15"/>
      <c r="AH454" s="16"/>
      <c r="AM454" s="15"/>
      <c r="AN454" s="16"/>
    </row>
    <row r="455">
      <c r="A455" s="13" t="s">
        <v>1026</v>
      </c>
      <c r="B455" s="10">
        <v>44440.0</v>
      </c>
      <c r="C455" s="11" t="s">
        <v>37</v>
      </c>
      <c r="D455" s="11" t="s">
        <v>88</v>
      </c>
      <c r="E455" s="11" t="s">
        <v>39</v>
      </c>
      <c r="F455" s="11" t="s">
        <v>40</v>
      </c>
      <c r="G455" s="11" t="s">
        <v>45</v>
      </c>
      <c r="H455" s="11" t="s">
        <v>243</v>
      </c>
      <c r="I455" s="11" t="s">
        <v>243</v>
      </c>
      <c r="J455" s="11">
        <v>25.0</v>
      </c>
      <c r="K455" s="12">
        <v>45020.0</v>
      </c>
      <c r="L455" s="11">
        <f t="shared" si="44"/>
        <v>19</v>
      </c>
      <c r="M455" s="11">
        <v>669476.0</v>
      </c>
      <c r="N455" s="11" t="s">
        <v>1027</v>
      </c>
      <c r="O455" s="13"/>
      <c r="P455" s="11">
        <v>0.0</v>
      </c>
      <c r="Q455" s="14">
        <v>0.0</v>
      </c>
      <c r="R455" s="11">
        <v>1.0</v>
      </c>
      <c r="S455">
        <f t="shared" si="1"/>
        <v>2021</v>
      </c>
      <c r="T455">
        <f t="shared" si="2"/>
        <v>9</v>
      </c>
      <c r="U455">
        <f t="shared" si="3"/>
        <v>1</v>
      </c>
      <c r="Z455" s="17">
        <v>45020.0</v>
      </c>
      <c r="AG455" s="15"/>
      <c r="AH455" s="16"/>
      <c r="AM455" s="15"/>
      <c r="AN455" s="16"/>
    </row>
    <row r="456">
      <c r="A456" s="13" t="s">
        <v>1028</v>
      </c>
      <c r="B456" s="10">
        <v>44440.0</v>
      </c>
      <c r="C456" s="11" t="s">
        <v>37</v>
      </c>
      <c r="D456" s="11" t="s">
        <v>77</v>
      </c>
      <c r="E456" s="11" t="s">
        <v>39</v>
      </c>
      <c r="F456" s="11" t="s">
        <v>64</v>
      </c>
      <c r="G456" s="11" t="s">
        <v>45</v>
      </c>
      <c r="H456" s="11" t="s">
        <v>84</v>
      </c>
      <c r="I456" s="11" t="s">
        <v>140</v>
      </c>
      <c r="J456" s="11">
        <v>22.0</v>
      </c>
      <c r="K456" s="12">
        <v>45100.0</v>
      </c>
      <c r="L456" s="11">
        <f t="shared" si="44"/>
        <v>22</v>
      </c>
      <c r="M456" s="11">
        <v>671109.0</v>
      </c>
      <c r="N456" s="11">
        <v>27590.0</v>
      </c>
      <c r="O456" s="13"/>
      <c r="P456" s="11">
        <v>0.0</v>
      </c>
      <c r="Q456" s="14">
        <v>0.0</v>
      </c>
      <c r="R456" s="11">
        <v>1.0</v>
      </c>
      <c r="S456">
        <f t="shared" si="1"/>
        <v>2021</v>
      </c>
      <c r="T456">
        <f t="shared" si="2"/>
        <v>9</v>
      </c>
      <c r="U456">
        <f t="shared" si="3"/>
        <v>1</v>
      </c>
      <c r="Z456" s="17">
        <v>45081.0</v>
      </c>
      <c r="AG456" s="15"/>
      <c r="AH456" s="16"/>
      <c r="AM456" s="15"/>
      <c r="AN456" s="16"/>
    </row>
    <row r="457">
      <c r="A457" s="13" t="s">
        <v>1029</v>
      </c>
      <c r="B457" s="10">
        <v>44440.0</v>
      </c>
      <c r="C457" s="11" t="s">
        <v>55</v>
      </c>
      <c r="D457" s="11" t="s">
        <v>88</v>
      </c>
      <c r="E457" s="11" t="s">
        <v>39</v>
      </c>
      <c r="F457" s="11" t="s">
        <v>64</v>
      </c>
      <c r="G457" s="11" t="s">
        <v>45</v>
      </c>
      <c r="H457" s="11" t="s">
        <v>67</v>
      </c>
      <c r="I457" s="11" t="s">
        <v>748</v>
      </c>
      <c r="J457" s="11">
        <v>23.0</v>
      </c>
      <c r="K457" s="12"/>
      <c r="L457" s="11"/>
      <c r="M457" s="11">
        <v>687828.0</v>
      </c>
      <c r="N457" s="11" t="s">
        <v>1030</v>
      </c>
      <c r="O457" s="13" t="s">
        <v>1031</v>
      </c>
      <c r="P457" s="11">
        <v>0.0</v>
      </c>
      <c r="Q457" s="14">
        <v>0.0</v>
      </c>
      <c r="R457" s="11">
        <v>0.0</v>
      </c>
      <c r="S457">
        <f t="shared" si="1"/>
        <v>2021</v>
      </c>
      <c r="T457">
        <f t="shared" si="2"/>
        <v>9</v>
      </c>
      <c r="U457">
        <f t="shared" si="3"/>
        <v>1</v>
      </c>
      <c r="AG457" s="15"/>
      <c r="AH457" s="16"/>
      <c r="AM457" s="15"/>
      <c r="AN457" s="16"/>
    </row>
    <row r="458">
      <c r="A458" s="13" t="s">
        <v>1032</v>
      </c>
      <c r="B458" s="10">
        <v>44440.0</v>
      </c>
      <c r="C458" s="11" t="s">
        <v>55</v>
      </c>
      <c r="D458" s="11" t="s">
        <v>38</v>
      </c>
      <c r="E458" s="11" t="s">
        <v>39</v>
      </c>
      <c r="F458" s="11" t="s">
        <v>40</v>
      </c>
      <c r="G458" s="11" t="s">
        <v>194</v>
      </c>
      <c r="H458" s="11"/>
      <c r="I458" s="11"/>
      <c r="J458" s="11">
        <v>38.0</v>
      </c>
      <c r="K458" s="12"/>
      <c r="L458" s="11"/>
      <c r="M458" s="11">
        <v>446099.0</v>
      </c>
      <c r="N458" s="11">
        <v>9059.0</v>
      </c>
      <c r="O458" s="13"/>
      <c r="P458" s="11">
        <v>0.0</v>
      </c>
      <c r="Q458" s="14">
        <v>0.0</v>
      </c>
      <c r="R458" s="11">
        <v>0.0</v>
      </c>
      <c r="S458">
        <f t="shared" si="1"/>
        <v>2021</v>
      </c>
      <c r="T458">
        <f t="shared" si="2"/>
        <v>9</v>
      </c>
      <c r="U458">
        <f t="shared" si="3"/>
        <v>1</v>
      </c>
      <c r="V458" s="17">
        <v>44718.0</v>
      </c>
      <c r="AG458" s="15"/>
      <c r="AH458" s="16"/>
      <c r="AM458" s="15"/>
      <c r="AN458" s="16"/>
    </row>
    <row r="459">
      <c r="A459" s="13" t="s">
        <v>1033</v>
      </c>
      <c r="B459" s="10">
        <v>44440.0</v>
      </c>
      <c r="C459" s="11" t="s">
        <v>55</v>
      </c>
      <c r="D459" s="11" t="s">
        <v>38</v>
      </c>
      <c r="E459" s="11" t="s">
        <v>39</v>
      </c>
      <c r="F459" s="11" t="s">
        <v>40</v>
      </c>
      <c r="G459" s="11" t="s">
        <v>45</v>
      </c>
      <c r="H459" s="11" t="s">
        <v>56</v>
      </c>
      <c r="I459" s="11" t="s">
        <v>56</v>
      </c>
      <c r="J459" s="11">
        <v>28.0</v>
      </c>
      <c r="K459" s="12">
        <v>45016.0</v>
      </c>
      <c r="L459" s="11">
        <f t="shared" ref="L459:L462" si="45">ROUND(((K459-B459)/365)*12,0)</f>
        <v>19</v>
      </c>
      <c r="M459" s="11">
        <v>595928.0</v>
      </c>
      <c r="N459" s="11">
        <v>16128.0</v>
      </c>
      <c r="O459" s="13"/>
      <c r="P459" s="11">
        <v>0.0</v>
      </c>
      <c r="Q459" s="14">
        <v>0.0</v>
      </c>
      <c r="R459" s="11">
        <v>1.0</v>
      </c>
      <c r="S459">
        <f t="shared" si="1"/>
        <v>2021</v>
      </c>
      <c r="T459">
        <f t="shared" si="2"/>
        <v>9</v>
      </c>
      <c r="U459">
        <f t="shared" si="3"/>
        <v>1</v>
      </c>
      <c r="Z459" s="17">
        <v>45016.0</v>
      </c>
      <c r="AG459" s="15"/>
      <c r="AH459" s="16"/>
      <c r="AM459" s="15"/>
      <c r="AN459" s="16"/>
    </row>
    <row r="460">
      <c r="A460" s="13" t="s">
        <v>1034</v>
      </c>
      <c r="B460" s="10">
        <v>44440.0</v>
      </c>
      <c r="C460" s="11" t="s">
        <v>103</v>
      </c>
      <c r="D460" s="11" t="s">
        <v>38</v>
      </c>
      <c r="E460" s="11" t="s">
        <v>39</v>
      </c>
      <c r="F460" s="11" t="s">
        <v>40</v>
      </c>
      <c r="G460" s="11" t="s">
        <v>503</v>
      </c>
      <c r="H460" s="11"/>
      <c r="I460" s="11"/>
      <c r="J460" s="11">
        <v>33.0</v>
      </c>
      <c r="K460" s="12">
        <v>45020.0</v>
      </c>
      <c r="L460" s="11">
        <f t="shared" si="45"/>
        <v>19</v>
      </c>
      <c r="M460" s="11">
        <v>628317.0</v>
      </c>
      <c r="N460" s="11">
        <v>18498.0</v>
      </c>
      <c r="O460" s="13" t="s">
        <v>42</v>
      </c>
      <c r="P460" s="11">
        <v>0.0</v>
      </c>
      <c r="Q460" s="14">
        <v>0.0</v>
      </c>
      <c r="R460" s="11">
        <v>1.0</v>
      </c>
      <c r="S460">
        <f t="shared" si="1"/>
        <v>2021</v>
      </c>
      <c r="T460">
        <f t="shared" si="2"/>
        <v>9</v>
      </c>
      <c r="U460">
        <f t="shared" si="3"/>
        <v>1</v>
      </c>
      <c r="Z460" s="17">
        <v>45020.0</v>
      </c>
      <c r="AA460" s="17"/>
      <c r="AB460" s="13"/>
      <c r="AG460" s="15"/>
      <c r="AH460" s="16"/>
      <c r="AM460" s="15"/>
      <c r="AN460" s="16"/>
    </row>
    <row r="461">
      <c r="A461" s="13" t="s">
        <v>1035</v>
      </c>
      <c r="B461" s="10">
        <v>44435.0</v>
      </c>
      <c r="C461" s="11" t="s">
        <v>162</v>
      </c>
      <c r="D461" s="11" t="s">
        <v>38</v>
      </c>
      <c r="E461" s="11" t="s">
        <v>39</v>
      </c>
      <c r="F461" s="11" t="s">
        <v>40</v>
      </c>
      <c r="G461" s="11" t="s">
        <v>45</v>
      </c>
      <c r="H461" s="11" t="s">
        <v>56</v>
      </c>
      <c r="I461" s="11" t="s">
        <v>1036</v>
      </c>
      <c r="J461" s="11">
        <v>27.0</v>
      </c>
      <c r="K461" s="12">
        <v>45171.0</v>
      </c>
      <c r="L461" s="11">
        <f t="shared" si="45"/>
        <v>24</v>
      </c>
      <c r="M461" s="11">
        <v>622088.0</v>
      </c>
      <c r="N461" s="11">
        <v>16233.0</v>
      </c>
      <c r="O461" s="13" t="s">
        <v>355</v>
      </c>
      <c r="P461" s="11">
        <v>0.0</v>
      </c>
      <c r="Q461" s="14">
        <v>0.0</v>
      </c>
      <c r="R461" s="11">
        <v>1.0</v>
      </c>
      <c r="S461">
        <f t="shared" si="1"/>
        <v>2021</v>
      </c>
      <c r="T461">
        <f t="shared" si="2"/>
        <v>8</v>
      </c>
      <c r="U461">
        <f t="shared" si="3"/>
        <v>27</v>
      </c>
      <c r="Z461" s="17">
        <v>45132.0</v>
      </c>
      <c r="AA461" s="17">
        <v>44964.0</v>
      </c>
      <c r="AB461" s="13" t="s">
        <v>1037</v>
      </c>
      <c r="AG461" s="15"/>
      <c r="AH461" s="16"/>
      <c r="AM461" s="15"/>
      <c r="AN461" s="16"/>
    </row>
    <row r="462">
      <c r="A462" s="13" t="s">
        <v>1038</v>
      </c>
      <c r="B462" s="10">
        <v>44433.0</v>
      </c>
      <c r="C462" s="11" t="s">
        <v>52</v>
      </c>
      <c r="D462" s="11" t="s">
        <v>58</v>
      </c>
      <c r="E462" s="11" t="s">
        <v>39</v>
      </c>
      <c r="F462" s="11" t="s">
        <v>40</v>
      </c>
      <c r="G462" s="11" t="s">
        <v>45</v>
      </c>
      <c r="H462" s="11" t="s">
        <v>119</v>
      </c>
      <c r="I462" s="11" t="s">
        <v>112</v>
      </c>
      <c r="J462" s="11">
        <v>24.0</v>
      </c>
      <c r="K462" s="12">
        <v>45016.0</v>
      </c>
      <c r="L462" s="11">
        <f t="shared" si="45"/>
        <v>19</v>
      </c>
      <c r="M462" s="11">
        <v>667712.0</v>
      </c>
      <c r="N462" s="11" t="s">
        <v>1039</v>
      </c>
      <c r="O462" s="13"/>
      <c r="P462" s="11">
        <v>0.0</v>
      </c>
      <c r="Q462" s="14">
        <v>0.0</v>
      </c>
      <c r="R462" s="11">
        <v>1.0</v>
      </c>
      <c r="S462">
        <f t="shared" si="1"/>
        <v>2021</v>
      </c>
      <c r="T462">
        <f t="shared" si="2"/>
        <v>8</v>
      </c>
      <c r="U462">
        <f t="shared" si="3"/>
        <v>25</v>
      </c>
      <c r="Z462" s="17">
        <v>44986.0</v>
      </c>
      <c r="AG462" s="15"/>
      <c r="AH462" s="16"/>
      <c r="AM462" s="15"/>
      <c r="AN462" s="16"/>
    </row>
    <row r="463">
      <c r="A463" s="13" t="s">
        <v>1040</v>
      </c>
      <c r="B463" s="10">
        <v>44425.0</v>
      </c>
      <c r="C463" s="11" t="s">
        <v>175</v>
      </c>
      <c r="D463" s="11" t="s">
        <v>58</v>
      </c>
      <c r="E463" s="11" t="s">
        <v>39</v>
      </c>
      <c r="F463" s="11" t="s">
        <v>40</v>
      </c>
      <c r="G463" s="11" t="s">
        <v>45</v>
      </c>
      <c r="H463" s="11" t="s">
        <v>84</v>
      </c>
      <c r="I463" s="11" t="s">
        <v>1041</v>
      </c>
      <c r="J463" s="11">
        <v>24.0</v>
      </c>
      <c r="K463" s="12"/>
      <c r="L463" s="11"/>
      <c r="M463" s="11">
        <v>663910.0</v>
      </c>
      <c r="N463" s="11" t="s">
        <v>1042</v>
      </c>
      <c r="O463" s="13"/>
      <c r="P463" s="11">
        <v>0.0</v>
      </c>
      <c r="Q463" s="14">
        <v>0.0</v>
      </c>
      <c r="R463" s="11">
        <v>0.0</v>
      </c>
      <c r="S463">
        <f t="shared" si="1"/>
        <v>2021</v>
      </c>
      <c r="T463">
        <f t="shared" si="2"/>
        <v>8</v>
      </c>
      <c r="U463">
        <f t="shared" si="3"/>
        <v>17</v>
      </c>
      <c r="Z463" s="17">
        <v>44789.0</v>
      </c>
      <c r="AG463" s="15"/>
      <c r="AH463" s="16"/>
      <c r="AM463" s="15"/>
      <c r="AN463" s="16"/>
    </row>
    <row r="464">
      <c r="A464" s="13" t="s">
        <v>1043</v>
      </c>
      <c r="B464" s="10">
        <v>44418.0</v>
      </c>
      <c r="C464" s="11" t="s">
        <v>103</v>
      </c>
      <c r="D464" s="11" t="s">
        <v>88</v>
      </c>
      <c r="E464" s="11" t="s">
        <v>39</v>
      </c>
      <c r="F464" s="11" t="s">
        <v>40</v>
      </c>
      <c r="G464" s="11" t="s">
        <v>53</v>
      </c>
      <c r="H464" s="11"/>
      <c r="I464" s="11"/>
      <c r="J464" s="11">
        <v>22.0</v>
      </c>
      <c r="K464" s="12">
        <v>44769.0</v>
      </c>
      <c r="L464" s="11">
        <f t="shared" ref="L464:L467" si="46">ROUND(((K464-B464)/365)*12,0)</f>
        <v>12</v>
      </c>
      <c r="M464" s="11">
        <v>665894.0</v>
      </c>
      <c r="N464" s="11" t="s">
        <v>1044</v>
      </c>
      <c r="O464" s="13"/>
      <c r="P464" s="11">
        <v>0.0</v>
      </c>
      <c r="Q464" s="14">
        <v>0.0</v>
      </c>
      <c r="R464" s="11">
        <v>1.0</v>
      </c>
      <c r="S464">
        <f t="shared" si="1"/>
        <v>2021</v>
      </c>
      <c r="T464">
        <f t="shared" si="2"/>
        <v>8</v>
      </c>
      <c r="U464">
        <f t="shared" si="3"/>
        <v>10</v>
      </c>
      <c r="Z464" s="17">
        <v>44722.0</v>
      </c>
      <c r="AG464" s="15"/>
      <c r="AH464" s="16"/>
      <c r="AM464" s="15"/>
      <c r="AN464" s="16"/>
    </row>
    <row r="465">
      <c r="A465" s="13" t="s">
        <v>1045</v>
      </c>
      <c r="B465" s="10">
        <v>44412.0</v>
      </c>
      <c r="C465" s="11" t="s">
        <v>156</v>
      </c>
      <c r="D465" s="11" t="s">
        <v>38</v>
      </c>
      <c r="E465" s="11" t="s">
        <v>39</v>
      </c>
      <c r="F465" s="11" t="s">
        <v>40</v>
      </c>
      <c r="G465" s="11" t="s">
        <v>45</v>
      </c>
      <c r="H465" s="11" t="s">
        <v>67</v>
      </c>
      <c r="I465" s="11"/>
      <c r="J465" s="11">
        <v>27.0</v>
      </c>
      <c r="K465" s="12">
        <v>44832.0</v>
      </c>
      <c r="L465" s="11">
        <f t="shared" si="46"/>
        <v>14</v>
      </c>
      <c r="M465" s="11">
        <v>607192.0</v>
      </c>
      <c r="N465" s="11">
        <v>14374.0</v>
      </c>
      <c r="O465" s="13" t="s">
        <v>42</v>
      </c>
      <c r="P465" s="11">
        <v>0.0</v>
      </c>
      <c r="Q465" s="14">
        <v>0.0</v>
      </c>
      <c r="R465" s="11">
        <v>1.0</v>
      </c>
      <c r="S465">
        <f t="shared" si="1"/>
        <v>2021</v>
      </c>
      <c r="T465">
        <f t="shared" si="2"/>
        <v>8</v>
      </c>
      <c r="U465">
        <f t="shared" si="3"/>
        <v>4</v>
      </c>
      <c r="Y465" s="17">
        <v>44793.0</v>
      </c>
      <c r="Z465" s="17">
        <v>44811.0</v>
      </c>
      <c r="AA465" s="17">
        <v>44638.0</v>
      </c>
      <c r="AB465" s="13" t="s">
        <v>1046</v>
      </c>
      <c r="AG465" s="15"/>
      <c r="AH465" s="16"/>
      <c r="AM465" s="15"/>
      <c r="AN465" s="16"/>
    </row>
    <row r="466">
      <c r="A466" s="13" t="s">
        <v>1047</v>
      </c>
      <c r="B466" s="10">
        <v>44410.0</v>
      </c>
      <c r="C466" s="11" t="s">
        <v>362</v>
      </c>
      <c r="D466" s="11" t="s">
        <v>88</v>
      </c>
      <c r="E466" s="11" t="s">
        <v>39</v>
      </c>
      <c r="F466" s="11" t="s">
        <v>40</v>
      </c>
      <c r="G466" s="11" t="s">
        <v>45</v>
      </c>
      <c r="H466" s="11" t="s">
        <v>56</v>
      </c>
      <c r="I466" s="11"/>
      <c r="J466" s="11">
        <v>21.0</v>
      </c>
      <c r="K466" s="12">
        <v>45037.0</v>
      </c>
      <c r="L466" s="11">
        <f t="shared" si="46"/>
        <v>21</v>
      </c>
      <c r="M466" s="11">
        <v>677952.0</v>
      </c>
      <c r="N466" s="11" t="s">
        <v>1048</v>
      </c>
      <c r="O466" s="13"/>
      <c r="P466" s="11">
        <v>0.0</v>
      </c>
      <c r="Q466" s="14">
        <v>0.0</v>
      </c>
      <c r="R466" s="11">
        <v>1.0</v>
      </c>
      <c r="S466">
        <f t="shared" si="1"/>
        <v>2021</v>
      </c>
      <c r="T466">
        <f t="shared" si="2"/>
        <v>8</v>
      </c>
      <c r="U466">
        <f t="shared" si="3"/>
        <v>2</v>
      </c>
      <c r="Z466" s="17">
        <v>45025.0</v>
      </c>
      <c r="AG466" s="15"/>
      <c r="AH466" s="16"/>
      <c r="AM466" s="15"/>
      <c r="AN466" s="16"/>
    </row>
    <row r="467">
      <c r="A467" s="13" t="s">
        <v>1049</v>
      </c>
      <c r="B467" s="17">
        <v>44409.0</v>
      </c>
      <c r="C467" s="11" t="s">
        <v>116</v>
      </c>
      <c r="D467" s="11" t="s">
        <v>93</v>
      </c>
      <c r="E467" s="11" t="s">
        <v>39</v>
      </c>
      <c r="F467" s="11" t="s">
        <v>40</v>
      </c>
      <c r="G467" s="11" t="s">
        <v>45</v>
      </c>
      <c r="H467" s="11" t="s">
        <v>129</v>
      </c>
      <c r="I467" s="11" t="s">
        <v>133</v>
      </c>
      <c r="J467" s="11">
        <v>21.0</v>
      </c>
      <c r="K467" s="12">
        <v>45022.0</v>
      </c>
      <c r="L467" s="11">
        <f t="shared" si="46"/>
        <v>20</v>
      </c>
      <c r="M467" s="11">
        <v>680885.0</v>
      </c>
      <c r="N467" s="11">
        <v>31846.0</v>
      </c>
      <c r="O467" s="13"/>
      <c r="P467" s="11">
        <v>0.0</v>
      </c>
      <c r="Q467" s="14">
        <v>0.0</v>
      </c>
      <c r="R467" s="11">
        <v>1.0</v>
      </c>
      <c r="S467">
        <f t="shared" si="1"/>
        <v>2021</v>
      </c>
      <c r="T467">
        <f t="shared" si="2"/>
        <v>8</v>
      </c>
      <c r="U467">
        <f t="shared" si="3"/>
        <v>1</v>
      </c>
      <c r="V467" s="17">
        <v>44669.0</v>
      </c>
      <c r="Z467" s="17">
        <v>45022.0</v>
      </c>
      <c r="AG467" s="15"/>
      <c r="AH467" s="16"/>
      <c r="AM467" s="15"/>
      <c r="AN467" s="16"/>
    </row>
    <row r="468">
      <c r="A468" s="13" t="s">
        <v>1050</v>
      </c>
      <c r="B468" s="10">
        <v>44409.0</v>
      </c>
      <c r="C468" s="11" t="s">
        <v>126</v>
      </c>
      <c r="D468" s="11" t="s">
        <v>38</v>
      </c>
      <c r="E468" s="11" t="s">
        <v>39</v>
      </c>
      <c r="F468" s="11" t="s">
        <v>40</v>
      </c>
      <c r="G468" s="11" t="s">
        <v>45</v>
      </c>
      <c r="H468" s="11" t="s">
        <v>84</v>
      </c>
      <c r="I468" s="11" t="s">
        <v>243</v>
      </c>
      <c r="J468" s="11">
        <v>32.0</v>
      </c>
      <c r="K468" s="12"/>
      <c r="L468" s="11"/>
      <c r="M468" s="11">
        <v>519076.0</v>
      </c>
      <c r="N468" s="11">
        <v>10547.0</v>
      </c>
      <c r="O468" s="13"/>
      <c r="P468" s="11">
        <v>0.0</v>
      </c>
      <c r="Q468" s="14">
        <v>0.0</v>
      </c>
      <c r="R468" s="11">
        <v>0.0</v>
      </c>
      <c r="S468">
        <f t="shared" si="1"/>
        <v>2021</v>
      </c>
      <c r="T468">
        <f t="shared" si="2"/>
        <v>8</v>
      </c>
      <c r="U468">
        <f t="shared" si="3"/>
        <v>1</v>
      </c>
      <c r="Z468" s="17">
        <v>45041.0</v>
      </c>
      <c r="AG468" s="15"/>
      <c r="AH468" s="16"/>
      <c r="AM468" s="15"/>
      <c r="AN468" s="16"/>
    </row>
    <row r="469">
      <c r="A469" s="13" t="s">
        <v>1051</v>
      </c>
      <c r="B469" s="17">
        <v>44409.0</v>
      </c>
      <c r="C469" s="11" t="s">
        <v>103</v>
      </c>
      <c r="D469" s="18" t="s">
        <v>93</v>
      </c>
      <c r="E469" s="18" t="s">
        <v>39</v>
      </c>
      <c r="F469" s="18" t="s">
        <v>40</v>
      </c>
      <c r="G469" s="18" t="s">
        <v>45</v>
      </c>
      <c r="H469" s="18" t="s">
        <v>301</v>
      </c>
      <c r="I469" s="18" t="s">
        <v>1052</v>
      </c>
      <c r="J469" s="18">
        <v>20.0</v>
      </c>
      <c r="K469" s="12">
        <v>45389.0</v>
      </c>
      <c r="L469" s="11"/>
      <c r="M469" s="18">
        <v>695308.0</v>
      </c>
      <c r="N469" s="18" t="s">
        <v>1053</v>
      </c>
      <c r="O469" s="19"/>
      <c r="P469" s="18">
        <v>0.0</v>
      </c>
      <c r="Q469" s="36">
        <v>0.0</v>
      </c>
      <c r="R469" s="18">
        <v>1.0</v>
      </c>
      <c r="S469">
        <f t="shared" si="1"/>
        <v>2021</v>
      </c>
      <c r="T469">
        <f t="shared" si="2"/>
        <v>8</v>
      </c>
      <c r="U469">
        <f t="shared" si="3"/>
        <v>1</v>
      </c>
      <c r="V469" s="24"/>
      <c r="W469" s="24"/>
      <c r="X469" s="24"/>
      <c r="Y469" s="24"/>
      <c r="Z469" s="34"/>
      <c r="AA469" s="24"/>
      <c r="AB469" s="24"/>
      <c r="AC469" s="24"/>
      <c r="AD469" s="24"/>
      <c r="AE469" s="24"/>
      <c r="AF469" s="24"/>
      <c r="AG469" s="26"/>
      <c r="AH469" s="27"/>
      <c r="AI469" s="24"/>
      <c r="AJ469" s="24"/>
      <c r="AK469" s="24"/>
      <c r="AL469" s="24"/>
      <c r="AM469" s="26"/>
      <c r="AN469" s="27"/>
      <c r="AO469" s="24"/>
      <c r="AP469" s="24"/>
    </row>
    <row r="470">
      <c r="A470" s="19" t="s">
        <v>1054</v>
      </c>
      <c r="B470" s="20">
        <v>44409.0</v>
      </c>
      <c r="C470" s="21" t="s">
        <v>108</v>
      </c>
      <c r="D470" s="21" t="s">
        <v>97</v>
      </c>
      <c r="E470" s="21" t="s">
        <v>39</v>
      </c>
      <c r="F470" s="21" t="s">
        <v>40</v>
      </c>
      <c r="G470" s="21" t="s">
        <v>53</v>
      </c>
      <c r="H470" s="21"/>
      <c r="I470" s="21"/>
      <c r="J470" s="21">
        <v>21.0</v>
      </c>
      <c r="K470" s="12">
        <v>44729.0</v>
      </c>
      <c r="L470" s="11">
        <f t="shared" ref="L470:L472" si="47">ROUND(((K470-B470)/365)*12,0)</f>
        <v>11</v>
      </c>
      <c r="M470" s="21">
        <v>672782.0</v>
      </c>
      <c r="N470" s="18">
        <v>22872.0</v>
      </c>
      <c r="O470" s="19"/>
      <c r="P470" s="21">
        <v>0.0</v>
      </c>
      <c r="Q470" s="23">
        <v>0.0</v>
      </c>
      <c r="R470" s="21">
        <v>1.0</v>
      </c>
      <c r="S470" s="33">
        <f t="shared" si="1"/>
        <v>2021</v>
      </c>
      <c r="T470" s="33">
        <f t="shared" si="2"/>
        <v>8</v>
      </c>
      <c r="U470" s="33">
        <f t="shared" si="3"/>
        <v>1</v>
      </c>
      <c r="V470" s="24"/>
      <c r="W470" s="24"/>
      <c r="X470" s="24"/>
      <c r="Y470" s="24"/>
      <c r="Z470" s="34">
        <v>44721.0</v>
      </c>
      <c r="AA470" s="24"/>
      <c r="AB470" s="24"/>
      <c r="AC470" s="24"/>
      <c r="AD470" s="24"/>
      <c r="AE470" s="24"/>
      <c r="AF470" s="24"/>
      <c r="AG470" s="26"/>
      <c r="AH470" s="27"/>
      <c r="AI470" s="24"/>
      <c r="AJ470" s="24"/>
      <c r="AK470" s="24"/>
      <c r="AL470" s="24"/>
      <c r="AM470" s="26"/>
      <c r="AN470" s="27"/>
      <c r="AO470" s="24"/>
      <c r="AP470" s="24"/>
    </row>
    <row r="471">
      <c r="A471" s="13" t="s">
        <v>1055</v>
      </c>
      <c r="B471" s="10">
        <v>44409.0</v>
      </c>
      <c r="C471" s="11" t="s">
        <v>175</v>
      </c>
      <c r="D471" s="11" t="s">
        <v>88</v>
      </c>
      <c r="E471" s="11" t="s">
        <v>39</v>
      </c>
      <c r="F471" s="11" t="s">
        <v>40</v>
      </c>
      <c r="G471" s="11" t="s">
        <v>194</v>
      </c>
      <c r="H471" s="11"/>
      <c r="I471" s="11"/>
      <c r="J471" s="11">
        <v>22.0</v>
      </c>
      <c r="K471" s="12">
        <v>45107.0</v>
      </c>
      <c r="L471" s="11">
        <f t="shared" si="47"/>
        <v>23</v>
      </c>
      <c r="M471" s="11">
        <v>659389.0</v>
      </c>
      <c r="N471" s="11" t="s">
        <v>1056</v>
      </c>
      <c r="O471" s="13"/>
      <c r="P471" s="11">
        <v>0.0</v>
      </c>
      <c r="Q471" s="14">
        <v>0.0</v>
      </c>
      <c r="R471" s="11">
        <v>1.0</v>
      </c>
      <c r="S471">
        <f t="shared" si="1"/>
        <v>2021</v>
      </c>
      <c r="T471">
        <f t="shared" si="2"/>
        <v>8</v>
      </c>
      <c r="U471">
        <f t="shared" si="3"/>
        <v>1</v>
      </c>
      <c r="Z471" s="17">
        <v>44789.0</v>
      </c>
      <c r="AG471" s="15"/>
      <c r="AH471" s="16"/>
      <c r="AM471" s="15"/>
      <c r="AN471" s="16"/>
    </row>
    <row r="472">
      <c r="A472" s="13" t="s">
        <v>1057</v>
      </c>
      <c r="B472" s="10">
        <v>44406.0</v>
      </c>
      <c r="C472" s="11" t="s">
        <v>111</v>
      </c>
      <c r="D472" s="11" t="s">
        <v>38</v>
      </c>
      <c r="E472" s="11" t="s">
        <v>39</v>
      </c>
      <c r="F472" s="11" t="s">
        <v>40</v>
      </c>
      <c r="G472" s="11" t="s">
        <v>45</v>
      </c>
      <c r="H472" s="11" t="s">
        <v>159</v>
      </c>
      <c r="I472" s="11" t="s">
        <v>243</v>
      </c>
      <c r="J472" s="11">
        <v>28.0</v>
      </c>
      <c r="K472" s="12">
        <v>45017.0</v>
      </c>
      <c r="L472" s="11">
        <f t="shared" si="47"/>
        <v>20</v>
      </c>
      <c r="M472" s="11">
        <v>605513.0</v>
      </c>
      <c r="N472" s="11">
        <v>16207.0</v>
      </c>
      <c r="O472" s="13" t="s">
        <v>335</v>
      </c>
      <c r="P472" s="11">
        <v>0.0</v>
      </c>
      <c r="Q472" s="14">
        <v>0.0</v>
      </c>
      <c r="R472" s="11">
        <v>1.0</v>
      </c>
      <c r="S472">
        <f t="shared" si="1"/>
        <v>2021</v>
      </c>
      <c r="T472">
        <f t="shared" si="2"/>
        <v>7</v>
      </c>
      <c r="U472">
        <f t="shared" si="3"/>
        <v>29</v>
      </c>
      <c r="Y472" s="17">
        <v>44980.0</v>
      </c>
      <c r="Z472" s="17">
        <v>45017.0</v>
      </c>
      <c r="AG472" s="15"/>
      <c r="AH472" s="16"/>
      <c r="AM472" s="15"/>
      <c r="AN472" s="16"/>
    </row>
    <row r="473">
      <c r="A473" s="13" t="s">
        <v>1058</v>
      </c>
      <c r="B473" s="10">
        <v>44397.0</v>
      </c>
      <c r="C473" s="11" t="s">
        <v>192</v>
      </c>
      <c r="D473" s="11" t="s">
        <v>213</v>
      </c>
      <c r="E473" s="11" t="s">
        <v>39</v>
      </c>
      <c r="F473" s="11" t="s">
        <v>64</v>
      </c>
      <c r="G473" s="11" t="s">
        <v>45</v>
      </c>
      <c r="H473" s="11" t="s">
        <v>46</v>
      </c>
      <c r="I473" s="11" t="s">
        <v>1059</v>
      </c>
      <c r="J473" s="11">
        <v>18.0</v>
      </c>
      <c r="K473" s="12">
        <v>45513.0</v>
      </c>
      <c r="L473" s="11"/>
      <c r="M473" s="11">
        <v>820825.0</v>
      </c>
      <c r="N473" s="11" t="s">
        <v>1060</v>
      </c>
      <c r="O473" s="13"/>
      <c r="P473" s="11">
        <v>0.0</v>
      </c>
      <c r="Q473" s="14">
        <v>0.0</v>
      </c>
      <c r="R473" s="11">
        <v>1.0</v>
      </c>
      <c r="S473">
        <f t="shared" si="1"/>
        <v>2021</v>
      </c>
      <c r="T473">
        <f t="shared" si="2"/>
        <v>7</v>
      </c>
      <c r="U473">
        <f t="shared" si="3"/>
        <v>20</v>
      </c>
      <c r="Z473" s="17">
        <v>45513.0</v>
      </c>
      <c r="AG473" s="15"/>
      <c r="AH473" s="16"/>
      <c r="AM473" s="15"/>
      <c r="AN473" s="16"/>
    </row>
    <row r="474">
      <c r="A474" s="13" t="s">
        <v>1061</v>
      </c>
      <c r="B474" s="10">
        <v>44390.0</v>
      </c>
      <c r="C474" s="11" t="s">
        <v>167</v>
      </c>
      <c r="D474" s="11" t="s">
        <v>88</v>
      </c>
      <c r="E474" s="11" t="s">
        <v>118</v>
      </c>
      <c r="F474" s="11" t="s">
        <v>64</v>
      </c>
      <c r="G474" s="11" t="s">
        <v>45</v>
      </c>
      <c r="H474" s="11" t="s">
        <v>67</v>
      </c>
      <c r="I474" s="11"/>
      <c r="J474" s="11">
        <v>21.0</v>
      </c>
      <c r="K474" s="12">
        <v>44691.0</v>
      </c>
      <c r="L474" s="11">
        <f t="shared" ref="L474:L478" si="48">ROUND(((K474-B474)/365)*12,0)</f>
        <v>10</v>
      </c>
      <c r="M474" s="11">
        <v>680711.0</v>
      </c>
      <c r="N474" s="11" t="s">
        <v>1062</v>
      </c>
      <c r="O474" s="13"/>
      <c r="P474" s="11">
        <v>0.0</v>
      </c>
      <c r="Q474" s="14">
        <v>0.0</v>
      </c>
      <c r="R474" s="11">
        <v>1.0</v>
      </c>
      <c r="S474">
        <f t="shared" si="1"/>
        <v>2021</v>
      </c>
      <c r="T474">
        <f t="shared" si="2"/>
        <v>7</v>
      </c>
      <c r="U474">
        <f t="shared" si="3"/>
        <v>13</v>
      </c>
      <c r="Z474" s="17">
        <v>44684.0</v>
      </c>
      <c r="AG474" s="15"/>
      <c r="AH474" s="16"/>
      <c r="AM474" s="15"/>
      <c r="AN474" s="16"/>
    </row>
    <row r="475">
      <c r="A475" s="13" t="s">
        <v>1063</v>
      </c>
      <c r="B475" s="10">
        <v>44384.0</v>
      </c>
      <c r="C475" s="11" t="s">
        <v>101</v>
      </c>
      <c r="D475" s="11" t="s">
        <v>88</v>
      </c>
      <c r="E475" s="11" t="s">
        <v>39</v>
      </c>
      <c r="F475" s="11" t="s">
        <v>40</v>
      </c>
      <c r="G475" s="11" t="s">
        <v>45</v>
      </c>
      <c r="H475" s="11" t="s">
        <v>46</v>
      </c>
      <c r="I475" s="11" t="s">
        <v>963</v>
      </c>
      <c r="J475" s="11">
        <v>23.0</v>
      </c>
      <c r="K475" s="12">
        <v>44765.0</v>
      </c>
      <c r="L475" s="11">
        <f t="shared" si="48"/>
        <v>13</v>
      </c>
      <c r="M475" s="11">
        <v>682202.0</v>
      </c>
      <c r="N475" s="11" t="s">
        <v>1064</v>
      </c>
      <c r="O475" s="13"/>
      <c r="P475" s="11">
        <v>0.0</v>
      </c>
      <c r="Q475" s="14">
        <v>0.0</v>
      </c>
      <c r="R475" s="11">
        <v>1.0</v>
      </c>
      <c r="S475">
        <f t="shared" si="1"/>
        <v>2021</v>
      </c>
      <c r="T475">
        <f t="shared" si="2"/>
        <v>7</v>
      </c>
      <c r="U475">
        <f t="shared" si="3"/>
        <v>7</v>
      </c>
      <c r="Z475" s="17">
        <v>44754.0</v>
      </c>
      <c r="AG475" s="15"/>
      <c r="AH475" s="16"/>
      <c r="AM475" s="15"/>
      <c r="AN475" s="16"/>
    </row>
    <row r="476">
      <c r="A476" s="13" t="s">
        <v>1065</v>
      </c>
      <c r="B476" s="10">
        <v>44384.0</v>
      </c>
      <c r="C476" s="11" t="s">
        <v>37</v>
      </c>
      <c r="D476" s="11" t="s">
        <v>77</v>
      </c>
      <c r="E476" s="11" t="s">
        <v>39</v>
      </c>
      <c r="F476" s="11" t="s">
        <v>40</v>
      </c>
      <c r="G476" s="11" t="s">
        <v>45</v>
      </c>
      <c r="H476" s="11" t="s">
        <v>412</v>
      </c>
      <c r="I476" s="11" t="s">
        <v>1066</v>
      </c>
      <c r="J476" s="11">
        <v>25.0</v>
      </c>
      <c r="K476" s="12">
        <v>44811.0</v>
      </c>
      <c r="L476" s="11">
        <f t="shared" si="48"/>
        <v>14</v>
      </c>
      <c r="M476" s="11">
        <v>681084.0</v>
      </c>
      <c r="N476" s="11" t="s">
        <v>1067</v>
      </c>
      <c r="O476" s="13"/>
      <c r="P476" s="11">
        <v>0.0</v>
      </c>
      <c r="Q476" s="14">
        <v>0.0</v>
      </c>
      <c r="R476" s="11">
        <v>1.0</v>
      </c>
      <c r="S476">
        <f t="shared" si="1"/>
        <v>2021</v>
      </c>
      <c r="T476">
        <f t="shared" si="2"/>
        <v>7</v>
      </c>
      <c r="U476">
        <f t="shared" si="3"/>
        <v>7</v>
      </c>
      <c r="Z476" s="17">
        <v>44763.0</v>
      </c>
      <c r="AG476" s="15"/>
      <c r="AH476" s="16"/>
      <c r="AM476" s="15"/>
      <c r="AN476" s="16"/>
    </row>
    <row r="477">
      <c r="A477" s="13" t="s">
        <v>1068</v>
      </c>
      <c r="B477" s="10">
        <v>44378.0</v>
      </c>
      <c r="C477" s="11" t="s">
        <v>143</v>
      </c>
      <c r="D477" s="11" t="s">
        <v>88</v>
      </c>
      <c r="E477" s="11" t="s">
        <v>39</v>
      </c>
      <c r="F477" s="11" t="s">
        <v>40</v>
      </c>
      <c r="G477" s="11" t="s">
        <v>45</v>
      </c>
      <c r="H477" s="11" t="s">
        <v>129</v>
      </c>
      <c r="I477" s="11" t="s">
        <v>73</v>
      </c>
      <c r="J477" s="11">
        <v>23.0</v>
      </c>
      <c r="K477" s="12">
        <v>44764.0</v>
      </c>
      <c r="L477" s="11">
        <f t="shared" si="48"/>
        <v>13</v>
      </c>
      <c r="M477" s="11">
        <v>663443.0</v>
      </c>
      <c r="N477" s="11" t="s">
        <v>1069</v>
      </c>
      <c r="O477" s="13"/>
      <c r="P477" s="11">
        <v>0.0</v>
      </c>
      <c r="Q477" s="14">
        <v>0.0</v>
      </c>
      <c r="R477" s="11">
        <v>1.0</v>
      </c>
      <c r="S477">
        <f t="shared" si="1"/>
        <v>2021</v>
      </c>
      <c r="T477">
        <f t="shared" si="2"/>
        <v>7</v>
      </c>
      <c r="U477">
        <f t="shared" si="3"/>
        <v>1</v>
      </c>
      <c r="Z477" s="17">
        <v>44750.0</v>
      </c>
      <c r="AG477" s="15"/>
      <c r="AH477" s="16"/>
      <c r="AM477" s="15"/>
      <c r="AN477" s="16"/>
    </row>
    <row r="478">
      <c r="A478" s="13" t="s">
        <v>1070</v>
      </c>
      <c r="B478" s="10">
        <v>44378.0</v>
      </c>
      <c r="C478" s="11" t="s">
        <v>44</v>
      </c>
      <c r="D478" s="11" t="s">
        <v>77</v>
      </c>
      <c r="E478" s="11" t="s">
        <v>39</v>
      </c>
      <c r="F478" s="11" t="s">
        <v>40</v>
      </c>
      <c r="G478" s="11" t="s">
        <v>45</v>
      </c>
      <c r="H478" s="11" t="s">
        <v>139</v>
      </c>
      <c r="I478" s="11" t="s">
        <v>1071</v>
      </c>
      <c r="J478" s="11">
        <v>24.0</v>
      </c>
      <c r="K478" s="12">
        <v>45031.0</v>
      </c>
      <c r="L478" s="11">
        <f t="shared" si="48"/>
        <v>21</v>
      </c>
      <c r="M478" s="11">
        <v>676511.0</v>
      </c>
      <c r="N478" s="11" t="s">
        <v>1072</v>
      </c>
      <c r="O478" s="13"/>
      <c r="P478" s="11">
        <v>0.0</v>
      </c>
      <c r="Q478" s="14">
        <v>0.0</v>
      </c>
      <c r="R478" s="11">
        <v>1.0</v>
      </c>
      <c r="S478">
        <f t="shared" si="1"/>
        <v>2021</v>
      </c>
      <c r="T478">
        <f t="shared" si="2"/>
        <v>7</v>
      </c>
      <c r="U478">
        <f t="shared" si="3"/>
        <v>1</v>
      </c>
      <c r="Z478" s="17">
        <v>45031.0</v>
      </c>
      <c r="AG478" s="15"/>
      <c r="AH478" s="16"/>
      <c r="AM478" s="15"/>
      <c r="AN478" s="16"/>
    </row>
    <row r="479">
      <c r="A479" s="13" t="s">
        <v>1073</v>
      </c>
      <c r="B479" s="10">
        <v>44378.0</v>
      </c>
      <c r="C479" s="11" t="s">
        <v>126</v>
      </c>
      <c r="D479" s="11" t="s">
        <v>93</v>
      </c>
      <c r="E479" s="11" t="s">
        <v>39</v>
      </c>
      <c r="F479" s="11" t="s">
        <v>40</v>
      </c>
      <c r="G479" s="11" t="s">
        <v>503</v>
      </c>
      <c r="H479" s="11"/>
      <c r="I479" s="11"/>
      <c r="J479" s="11">
        <v>23.0</v>
      </c>
      <c r="K479" s="12"/>
      <c r="L479" s="11"/>
      <c r="M479" s="11">
        <v>800494.0</v>
      </c>
      <c r="N479" s="11"/>
      <c r="O479" s="13"/>
      <c r="P479" s="11">
        <v>0.0</v>
      </c>
      <c r="Q479" s="14">
        <v>0.0</v>
      </c>
      <c r="R479" s="11">
        <v>1.0</v>
      </c>
      <c r="S479">
        <f t="shared" si="1"/>
        <v>2021</v>
      </c>
      <c r="T479">
        <f t="shared" si="2"/>
        <v>7</v>
      </c>
      <c r="U479">
        <f t="shared" si="3"/>
        <v>1</v>
      </c>
      <c r="AG479" s="15"/>
      <c r="AH479" s="16"/>
      <c r="AM479" s="15"/>
      <c r="AN479" s="16"/>
    </row>
    <row r="480">
      <c r="A480" s="13" t="s">
        <v>1074</v>
      </c>
      <c r="B480" s="10">
        <v>44378.0</v>
      </c>
      <c r="C480" s="11" t="s">
        <v>55</v>
      </c>
      <c r="D480" s="11" t="s">
        <v>97</v>
      </c>
      <c r="E480" s="11" t="s">
        <v>39</v>
      </c>
      <c r="F480" s="11" t="s">
        <v>40</v>
      </c>
      <c r="G480" s="11" t="s">
        <v>45</v>
      </c>
      <c r="H480" s="11" t="s">
        <v>243</v>
      </c>
      <c r="I480" s="11"/>
      <c r="J480" s="11">
        <v>22.0</v>
      </c>
      <c r="K480" s="12"/>
      <c r="L480" s="11"/>
      <c r="M480" s="11">
        <v>671132.0</v>
      </c>
      <c r="N480" s="11" t="s">
        <v>1075</v>
      </c>
      <c r="O480" s="13"/>
      <c r="P480" s="11">
        <v>0.0</v>
      </c>
      <c r="Q480" s="14">
        <v>0.0</v>
      </c>
      <c r="R480" s="11">
        <v>0.0</v>
      </c>
      <c r="S480">
        <f t="shared" si="1"/>
        <v>2021</v>
      </c>
      <c r="T480">
        <f t="shared" si="2"/>
        <v>7</v>
      </c>
      <c r="U480">
        <f t="shared" si="3"/>
        <v>1</v>
      </c>
      <c r="AG480" s="15"/>
      <c r="AH480" s="16"/>
      <c r="AM480" s="15"/>
      <c r="AN480" s="16"/>
    </row>
    <row r="481">
      <c r="A481" s="13" t="s">
        <v>1076</v>
      </c>
      <c r="B481" s="17">
        <v>44378.0</v>
      </c>
      <c r="C481" s="11" t="s">
        <v>103</v>
      </c>
      <c r="D481" s="11" t="s">
        <v>213</v>
      </c>
      <c r="E481" s="11" t="s">
        <v>39</v>
      </c>
      <c r="F481" s="11" t="s">
        <v>40</v>
      </c>
      <c r="G481" s="11" t="s">
        <v>45</v>
      </c>
      <c r="H481" s="11" t="s">
        <v>163</v>
      </c>
      <c r="I481" s="11" t="s">
        <v>173</v>
      </c>
      <c r="J481" s="11">
        <v>18.0</v>
      </c>
      <c r="K481" s="12">
        <v>45751.0</v>
      </c>
      <c r="L481" s="11"/>
      <c r="M481" s="11">
        <v>801796.0</v>
      </c>
      <c r="N481" s="11" t="s">
        <v>1077</v>
      </c>
      <c r="O481" s="13"/>
      <c r="P481" s="11">
        <v>0.0</v>
      </c>
      <c r="Q481" s="14">
        <v>0.0</v>
      </c>
      <c r="R481" s="11">
        <v>1.0</v>
      </c>
      <c r="S481">
        <f t="shared" si="1"/>
        <v>2021</v>
      </c>
      <c r="T481">
        <f t="shared" si="2"/>
        <v>7</v>
      </c>
      <c r="U481">
        <f t="shared" si="3"/>
        <v>1</v>
      </c>
      <c r="Z481" s="17">
        <v>45751.0</v>
      </c>
      <c r="AG481" s="15"/>
      <c r="AH481" s="16"/>
      <c r="AM481" s="15"/>
      <c r="AN481" s="16"/>
    </row>
    <row r="482">
      <c r="A482" s="13" t="s">
        <v>1078</v>
      </c>
      <c r="B482" s="10">
        <v>44378.0</v>
      </c>
      <c r="C482" s="11" t="s">
        <v>49</v>
      </c>
      <c r="D482" s="11" t="s">
        <v>77</v>
      </c>
      <c r="E482" s="11" t="s">
        <v>39</v>
      </c>
      <c r="F482" s="11" t="s">
        <v>40</v>
      </c>
      <c r="G482" s="11" t="s">
        <v>45</v>
      </c>
      <c r="H482" s="11" t="s">
        <v>67</v>
      </c>
      <c r="I482" s="11" t="s">
        <v>129</v>
      </c>
      <c r="J482" s="11">
        <v>24.0</v>
      </c>
      <c r="K482" s="12">
        <v>45022.0</v>
      </c>
      <c r="L482" s="11">
        <f t="shared" ref="L482:L485" si="49">ROUND(((K482-B482)/365)*12,0)</f>
        <v>21</v>
      </c>
      <c r="M482" s="11">
        <v>663632.0</v>
      </c>
      <c r="N482" s="11" t="s">
        <v>1079</v>
      </c>
      <c r="O482" s="13"/>
      <c r="P482" s="11">
        <v>0.0</v>
      </c>
      <c r="Q482" s="14">
        <v>0.0</v>
      </c>
      <c r="R482" s="11">
        <v>1.0</v>
      </c>
      <c r="S482">
        <f t="shared" si="1"/>
        <v>2021</v>
      </c>
      <c r="T482">
        <f t="shared" si="2"/>
        <v>7</v>
      </c>
      <c r="U482">
        <f t="shared" si="3"/>
        <v>1</v>
      </c>
      <c r="Z482" s="17">
        <v>45022.0</v>
      </c>
      <c r="AG482" s="15"/>
      <c r="AH482" s="16"/>
      <c r="AM482" s="15"/>
      <c r="AN482" s="16"/>
    </row>
    <row r="483">
      <c r="A483" s="13" t="s">
        <v>1080</v>
      </c>
      <c r="B483" s="10">
        <v>44378.0</v>
      </c>
      <c r="C483" s="11" t="s">
        <v>49</v>
      </c>
      <c r="D483" s="11" t="s">
        <v>77</v>
      </c>
      <c r="E483" s="11" t="s">
        <v>39</v>
      </c>
      <c r="F483" s="11" t="s">
        <v>40</v>
      </c>
      <c r="G483" s="11" t="s">
        <v>45</v>
      </c>
      <c r="H483" s="11" t="s">
        <v>163</v>
      </c>
      <c r="I483" s="11" t="s">
        <v>164</v>
      </c>
      <c r="J483" s="11">
        <v>25.0</v>
      </c>
      <c r="K483" s="12">
        <v>44777.0</v>
      </c>
      <c r="L483" s="11">
        <f t="shared" si="49"/>
        <v>13</v>
      </c>
      <c r="M483" s="11">
        <v>675914.0</v>
      </c>
      <c r="N483" s="11" t="s">
        <v>1081</v>
      </c>
      <c r="O483" s="13"/>
      <c r="P483" s="11">
        <v>0.0</v>
      </c>
      <c r="Q483" s="14">
        <v>0.0</v>
      </c>
      <c r="R483" s="11">
        <v>1.0</v>
      </c>
      <c r="S483">
        <f t="shared" si="1"/>
        <v>2021</v>
      </c>
      <c r="T483">
        <f t="shared" si="2"/>
        <v>7</v>
      </c>
      <c r="U483">
        <f t="shared" si="3"/>
        <v>1</v>
      </c>
      <c r="Z483" s="17">
        <v>44739.0</v>
      </c>
      <c r="AG483" s="15"/>
      <c r="AH483" s="16"/>
      <c r="AM483" s="15"/>
      <c r="AN483" s="16"/>
    </row>
    <row r="484">
      <c r="A484" s="13" t="s">
        <v>1082</v>
      </c>
      <c r="B484" s="10">
        <v>44378.0</v>
      </c>
      <c r="C484" s="11" t="s">
        <v>274</v>
      </c>
      <c r="D484" s="11" t="s">
        <v>97</v>
      </c>
      <c r="E484" s="11" t="s">
        <v>39</v>
      </c>
      <c r="F484" s="11" t="s">
        <v>40</v>
      </c>
      <c r="G484" s="11" t="s">
        <v>45</v>
      </c>
      <c r="H484" s="11" t="s">
        <v>317</v>
      </c>
      <c r="I484" s="11"/>
      <c r="J484" s="11">
        <v>20.0</v>
      </c>
      <c r="K484" s="12">
        <v>44799.0</v>
      </c>
      <c r="L484" s="11">
        <f t="shared" si="49"/>
        <v>14</v>
      </c>
      <c r="M484" s="11">
        <v>686946.0</v>
      </c>
      <c r="N484" s="11" t="s">
        <v>1083</v>
      </c>
      <c r="O484" s="13"/>
      <c r="P484" s="11">
        <v>0.0</v>
      </c>
      <c r="Q484" s="14">
        <v>0.0</v>
      </c>
      <c r="R484" s="11">
        <v>1.0</v>
      </c>
      <c r="S484">
        <f t="shared" si="1"/>
        <v>2021</v>
      </c>
      <c r="T484">
        <f t="shared" si="2"/>
        <v>7</v>
      </c>
      <c r="U484">
        <f t="shared" si="3"/>
        <v>1</v>
      </c>
      <c r="Z484" s="17">
        <v>44785.0</v>
      </c>
      <c r="AG484" s="15"/>
      <c r="AH484" s="16"/>
      <c r="AM484" s="15"/>
      <c r="AN484" s="16"/>
    </row>
    <row r="485">
      <c r="A485" s="13" t="s">
        <v>1084</v>
      </c>
      <c r="B485" s="10">
        <v>44378.0</v>
      </c>
      <c r="C485" s="11" t="s">
        <v>274</v>
      </c>
      <c r="D485" s="11" t="s">
        <v>88</v>
      </c>
      <c r="E485" s="11" t="s">
        <v>39</v>
      </c>
      <c r="F485" s="11" t="s">
        <v>64</v>
      </c>
      <c r="G485" s="11" t="s">
        <v>45</v>
      </c>
      <c r="H485" s="11" t="s">
        <v>56</v>
      </c>
      <c r="I485" s="11" t="s">
        <v>379</v>
      </c>
      <c r="J485" s="11">
        <v>23.0</v>
      </c>
      <c r="K485" s="12">
        <v>45049.0</v>
      </c>
      <c r="L485" s="11">
        <f t="shared" si="49"/>
        <v>22</v>
      </c>
      <c r="M485" s="11">
        <v>669620.0</v>
      </c>
      <c r="N485" s="11">
        <v>25582.0</v>
      </c>
      <c r="O485" s="13"/>
      <c r="P485" s="11">
        <v>0.0</v>
      </c>
      <c r="Q485" s="14">
        <v>0.0</v>
      </c>
      <c r="R485" s="11">
        <v>1.0</v>
      </c>
      <c r="S485">
        <f t="shared" si="1"/>
        <v>2021</v>
      </c>
      <c r="T485">
        <f t="shared" si="2"/>
        <v>7</v>
      </c>
      <c r="U485">
        <f t="shared" si="3"/>
        <v>1</v>
      </c>
      <c r="Z485" s="17">
        <v>45049.0</v>
      </c>
      <c r="AG485" s="15"/>
      <c r="AH485" s="16"/>
      <c r="AM485" s="15"/>
      <c r="AN485" s="16"/>
    </row>
    <row r="486">
      <c r="A486" s="13" t="s">
        <v>1085</v>
      </c>
      <c r="B486" s="10">
        <v>44378.0</v>
      </c>
      <c r="C486" s="11" t="s">
        <v>62</v>
      </c>
      <c r="D486" s="11" t="s">
        <v>77</v>
      </c>
      <c r="E486" s="11" t="s">
        <v>104</v>
      </c>
      <c r="F486" s="11" t="s">
        <v>40</v>
      </c>
      <c r="G486" s="11" t="s">
        <v>954</v>
      </c>
      <c r="H486" s="11"/>
      <c r="I486" s="11"/>
      <c r="J486" s="11">
        <v>30.0</v>
      </c>
      <c r="K486" s="12"/>
      <c r="L486" s="11"/>
      <c r="M486" s="11">
        <v>622194.0</v>
      </c>
      <c r="N486" s="11">
        <v>13866.0</v>
      </c>
      <c r="O486" s="13"/>
      <c r="P486" s="11">
        <v>0.0</v>
      </c>
      <c r="Q486" s="14">
        <v>0.0</v>
      </c>
      <c r="R486" s="11">
        <v>0.0</v>
      </c>
      <c r="S486">
        <f t="shared" si="1"/>
        <v>2021</v>
      </c>
      <c r="T486">
        <f t="shared" si="2"/>
        <v>7</v>
      </c>
      <c r="U486">
        <f t="shared" si="3"/>
        <v>1</v>
      </c>
      <c r="AG486" s="15"/>
      <c r="AH486" s="16"/>
      <c r="AM486" s="15"/>
      <c r="AN486" s="16"/>
    </row>
    <row r="487">
      <c r="A487" s="13" t="s">
        <v>1086</v>
      </c>
      <c r="B487" s="10">
        <v>44376.0</v>
      </c>
      <c r="C487" s="11" t="s">
        <v>175</v>
      </c>
      <c r="D487" s="11" t="s">
        <v>38</v>
      </c>
      <c r="E487" s="11" t="s">
        <v>39</v>
      </c>
      <c r="F487" s="11" t="s">
        <v>40</v>
      </c>
      <c r="G487" s="11" t="s">
        <v>45</v>
      </c>
      <c r="H487" s="11" t="s">
        <v>109</v>
      </c>
      <c r="I487" s="11" t="s">
        <v>1087</v>
      </c>
      <c r="J487" s="11">
        <v>28.0</v>
      </c>
      <c r="K487" s="12">
        <v>45453.0</v>
      </c>
      <c r="L487" s="11">
        <f t="shared" ref="L487:L489" si="50">ROUND(((K487-B487)/365)*12,0)</f>
        <v>35</v>
      </c>
      <c r="M487" s="11">
        <v>656186.0</v>
      </c>
      <c r="N487" s="11">
        <v>16507.0</v>
      </c>
      <c r="O487" s="13" t="s">
        <v>761</v>
      </c>
      <c r="P487" s="11">
        <v>0.0</v>
      </c>
      <c r="Q487" s="14">
        <v>0.0</v>
      </c>
      <c r="R487" s="11">
        <v>1.0</v>
      </c>
      <c r="S487">
        <f t="shared" si="1"/>
        <v>2021</v>
      </c>
      <c r="T487">
        <f t="shared" si="2"/>
        <v>6</v>
      </c>
      <c r="U487">
        <f t="shared" si="3"/>
        <v>29</v>
      </c>
      <c r="Z487" s="17">
        <v>45122.0</v>
      </c>
      <c r="AG487" s="15"/>
      <c r="AH487" s="16"/>
      <c r="AM487" s="15"/>
      <c r="AN487" s="16"/>
    </row>
    <row r="488">
      <c r="A488" s="13" t="s">
        <v>1088</v>
      </c>
      <c r="B488" s="10">
        <v>44375.0</v>
      </c>
      <c r="C488" s="11" t="s">
        <v>52</v>
      </c>
      <c r="D488" s="11" t="s">
        <v>97</v>
      </c>
      <c r="E488" s="11" t="s">
        <v>39</v>
      </c>
      <c r="F488" s="11" t="s">
        <v>40</v>
      </c>
      <c r="G488" s="11" t="s">
        <v>53</v>
      </c>
      <c r="H488" s="11"/>
      <c r="I488" s="11"/>
      <c r="J488" s="11">
        <v>21.0</v>
      </c>
      <c r="K488" s="12">
        <v>45021.0</v>
      </c>
      <c r="L488" s="11">
        <f t="shared" si="50"/>
        <v>21</v>
      </c>
      <c r="M488" s="11">
        <v>672810.0</v>
      </c>
      <c r="N488" s="11" t="s">
        <v>1089</v>
      </c>
      <c r="O488" s="13"/>
      <c r="P488" s="11">
        <v>0.0</v>
      </c>
      <c r="Q488" s="14">
        <v>0.0</v>
      </c>
      <c r="R488" s="11">
        <v>1.0</v>
      </c>
      <c r="S488">
        <f t="shared" si="1"/>
        <v>2021</v>
      </c>
      <c r="T488">
        <f t="shared" si="2"/>
        <v>6</v>
      </c>
      <c r="U488">
        <f t="shared" si="3"/>
        <v>28</v>
      </c>
      <c r="Z488" s="17">
        <v>45021.0</v>
      </c>
      <c r="AG488" s="15"/>
      <c r="AH488" s="16"/>
      <c r="AM488" s="15"/>
      <c r="AN488" s="16"/>
    </row>
    <row r="489">
      <c r="A489" s="13" t="s">
        <v>1090</v>
      </c>
      <c r="B489" s="10">
        <v>44371.0</v>
      </c>
      <c r="C489" s="11" t="s">
        <v>49</v>
      </c>
      <c r="D489" s="11" t="s">
        <v>38</v>
      </c>
      <c r="E489" s="11" t="s">
        <v>39</v>
      </c>
      <c r="F489" s="11" t="s">
        <v>64</v>
      </c>
      <c r="G489" s="11" t="s">
        <v>45</v>
      </c>
      <c r="H489" s="11" t="s">
        <v>67</v>
      </c>
      <c r="I489" s="11" t="s">
        <v>1091</v>
      </c>
      <c r="J489" s="11">
        <v>28.0</v>
      </c>
      <c r="K489" s="12">
        <v>45037.0</v>
      </c>
      <c r="L489" s="11">
        <f t="shared" si="50"/>
        <v>22</v>
      </c>
      <c r="M489" s="11">
        <v>664192.0</v>
      </c>
      <c r="N489" s="11">
        <v>19320.0</v>
      </c>
      <c r="O489" s="13"/>
      <c r="P489" s="11">
        <v>0.0</v>
      </c>
      <c r="Q489" s="14">
        <v>0.0</v>
      </c>
      <c r="R489" s="11">
        <v>1.0</v>
      </c>
      <c r="S489">
        <f t="shared" si="1"/>
        <v>2021</v>
      </c>
      <c r="T489">
        <f t="shared" si="2"/>
        <v>6</v>
      </c>
      <c r="U489">
        <f t="shared" si="3"/>
        <v>24</v>
      </c>
      <c r="V489" s="17">
        <v>44530.0</v>
      </c>
      <c r="Y489" s="17">
        <v>44764.0</v>
      </c>
      <c r="Z489" s="17">
        <v>44794.0</v>
      </c>
      <c r="AG489" s="15"/>
      <c r="AH489" s="16"/>
      <c r="AM489" s="15"/>
      <c r="AN489" s="16"/>
    </row>
    <row r="490">
      <c r="A490" s="13" t="s">
        <v>1092</v>
      </c>
      <c r="B490" s="10">
        <v>44363.0</v>
      </c>
      <c r="C490" s="11" t="s">
        <v>103</v>
      </c>
      <c r="D490" s="11" t="s">
        <v>221</v>
      </c>
      <c r="E490" s="11" t="s">
        <v>39</v>
      </c>
      <c r="F490" s="11" t="s">
        <v>40</v>
      </c>
      <c r="G490" s="11" t="s">
        <v>45</v>
      </c>
      <c r="H490" s="11" t="s">
        <v>59</v>
      </c>
      <c r="I490" s="11" t="s">
        <v>1093</v>
      </c>
      <c r="J490" s="11">
        <v>24.0</v>
      </c>
      <c r="K490" s="12"/>
      <c r="L490" s="11"/>
      <c r="M490" s="11">
        <v>681964.0</v>
      </c>
      <c r="N490" s="11" t="s">
        <v>1094</v>
      </c>
      <c r="O490" s="13"/>
      <c r="P490" s="11">
        <v>0.0</v>
      </c>
      <c r="Q490" s="14">
        <v>0.0</v>
      </c>
      <c r="R490" s="11">
        <v>0.0</v>
      </c>
      <c r="S490">
        <f t="shared" si="1"/>
        <v>2021</v>
      </c>
      <c r="T490">
        <f t="shared" si="2"/>
        <v>6</v>
      </c>
      <c r="U490">
        <f t="shared" si="3"/>
        <v>16</v>
      </c>
      <c r="AG490" s="15"/>
      <c r="AH490" s="16"/>
      <c r="AM490" s="15"/>
      <c r="AN490" s="16"/>
    </row>
    <row r="491">
      <c r="A491" s="13" t="s">
        <v>1095</v>
      </c>
      <c r="B491" s="10">
        <v>44362.0</v>
      </c>
      <c r="C491" s="11" t="s">
        <v>362</v>
      </c>
      <c r="D491" s="11" t="s">
        <v>97</v>
      </c>
      <c r="E491" s="11" t="s">
        <v>39</v>
      </c>
      <c r="F491" s="11" t="s">
        <v>40</v>
      </c>
      <c r="G491" s="11" t="s">
        <v>41</v>
      </c>
      <c r="H491" s="11"/>
      <c r="I491" s="11"/>
      <c r="J491" s="11">
        <v>22.0</v>
      </c>
      <c r="K491" s="12">
        <v>44799.0</v>
      </c>
      <c r="L491" s="11">
        <f>ROUND(((K491-B491)/365)*12,0)</f>
        <v>14</v>
      </c>
      <c r="M491" s="11">
        <v>667755.0</v>
      </c>
      <c r="N491" s="11">
        <v>22100.0</v>
      </c>
      <c r="O491" s="13" t="s">
        <v>69</v>
      </c>
      <c r="P491" s="11">
        <v>0.0</v>
      </c>
      <c r="Q491" s="14">
        <v>0.0</v>
      </c>
      <c r="R491" s="11">
        <v>1.0</v>
      </c>
      <c r="S491">
        <f t="shared" si="1"/>
        <v>2021</v>
      </c>
      <c r="T491">
        <f t="shared" si="2"/>
        <v>6</v>
      </c>
      <c r="U491">
        <f t="shared" si="3"/>
        <v>15</v>
      </c>
      <c r="Z491" s="17">
        <v>44770.0</v>
      </c>
      <c r="AG491" s="15"/>
      <c r="AH491" s="16"/>
      <c r="AM491" s="15"/>
      <c r="AN491" s="16"/>
    </row>
    <row r="492">
      <c r="A492" s="13" t="s">
        <v>1096</v>
      </c>
      <c r="B492" s="10">
        <v>44357.0</v>
      </c>
      <c r="C492" s="11" t="s">
        <v>235</v>
      </c>
      <c r="D492" s="11" t="s">
        <v>97</v>
      </c>
      <c r="E492" s="11" t="s">
        <v>39</v>
      </c>
      <c r="F492" s="11" t="s">
        <v>40</v>
      </c>
      <c r="G492" s="11" t="s">
        <v>45</v>
      </c>
      <c r="H492" s="11" t="s">
        <v>182</v>
      </c>
      <c r="I492" s="11" t="s">
        <v>1097</v>
      </c>
      <c r="J492" s="11">
        <v>21.0</v>
      </c>
      <c r="K492" s="12"/>
      <c r="L492" s="11"/>
      <c r="M492" s="11">
        <v>682193.0</v>
      </c>
      <c r="N492" s="11" t="s">
        <v>1098</v>
      </c>
      <c r="O492" s="13" t="s">
        <v>42</v>
      </c>
      <c r="P492" s="11">
        <v>0.0</v>
      </c>
      <c r="Q492" s="14">
        <v>0.0</v>
      </c>
      <c r="R492" s="11">
        <v>0.0</v>
      </c>
      <c r="S492">
        <f t="shared" si="1"/>
        <v>2021</v>
      </c>
      <c r="T492">
        <f t="shared" si="2"/>
        <v>6</v>
      </c>
      <c r="U492">
        <f t="shared" si="3"/>
        <v>10</v>
      </c>
      <c r="AG492" s="15"/>
      <c r="AH492" s="16"/>
      <c r="AM492" s="15"/>
      <c r="AN492" s="16"/>
    </row>
    <row r="493">
      <c r="A493" s="13" t="s">
        <v>1099</v>
      </c>
      <c r="B493" s="10">
        <v>44357.0</v>
      </c>
      <c r="C493" s="11" t="s">
        <v>235</v>
      </c>
      <c r="D493" s="11" t="s">
        <v>88</v>
      </c>
      <c r="E493" s="11" t="s">
        <v>39</v>
      </c>
      <c r="F493" s="11" t="s">
        <v>40</v>
      </c>
      <c r="G493" s="11" t="s">
        <v>45</v>
      </c>
      <c r="H493" s="11" t="s">
        <v>56</v>
      </c>
      <c r="I493" s="11" t="s">
        <v>1100</v>
      </c>
      <c r="J493" s="11">
        <v>24.0</v>
      </c>
      <c r="K493" s="12">
        <v>44780.0</v>
      </c>
      <c r="L493" s="11">
        <f t="shared" ref="L493:L500" si="51">ROUND(((K493-B493)/365)*12,0)</f>
        <v>14</v>
      </c>
      <c r="M493" s="11">
        <v>681890.0</v>
      </c>
      <c r="N493" s="11" t="s">
        <v>1101</v>
      </c>
      <c r="O493" s="13" t="s">
        <v>42</v>
      </c>
      <c r="P493" s="11">
        <v>0.0</v>
      </c>
      <c r="Q493" s="14">
        <v>0.0</v>
      </c>
      <c r="R493" s="11">
        <v>1.0</v>
      </c>
      <c r="S493">
        <f t="shared" si="1"/>
        <v>2021</v>
      </c>
      <c r="T493">
        <f t="shared" si="2"/>
        <v>6</v>
      </c>
      <c r="U493">
        <f t="shared" si="3"/>
        <v>10</v>
      </c>
      <c r="Z493" s="17">
        <v>44733.0</v>
      </c>
      <c r="AG493" s="15"/>
      <c r="AH493" s="16"/>
      <c r="AM493" s="15"/>
      <c r="AN493" s="16"/>
    </row>
    <row r="494">
      <c r="A494" s="13" t="s">
        <v>393</v>
      </c>
      <c r="B494" s="10">
        <v>44356.0</v>
      </c>
      <c r="C494" s="11" t="s">
        <v>103</v>
      </c>
      <c r="D494" s="11" t="s">
        <v>88</v>
      </c>
      <c r="E494" s="11" t="s">
        <v>39</v>
      </c>
      <c r="F494" s="11" t="s">
        <v>40</v>
      </c>
      <c r="G494" s="11" t="s">
        <v>45</v>
      </c>
      <c r="H494" s="11" t="s">
        <v>240</v>
      </c>
      <c r="I494" s="11"/>
      <c r="J494" s="11">
        <v>22.0</v>
      </c>
      <c r="K494" s="12">
        <v>44695.0</v>
      </c>
      <c r="L494" s="11">
        <f t="shared" si="51"/>
        <v>11</v>
      </c>
      <c r="M494" s="11">
        <v>669416.0</v>
      </c>
      <c r="N494" s="11" t="s">
        <v>394</v>
      </c>
      <c r="O494" s="13"/>
      <c r="P494" s="11">
        <v>0.0</v>
      </c>
      <c r="Q494" s="14">
        <v>0.0</v>
      </c>
      <c r="R494" s="11">
        <v>1.0</v>
      </c>
      <c r="S494">
        <f t="shared" si="1"/>
        <v>2021</v>
      </c>
      <c r="T494">
        <f t="shared" si="2"/>
        <v>6</v>
      </c>
      <c r="U494">
        <f t="shared" si="3"/>
        <v>9</v>
      </c>
      <c r="Z494" s="17">
        <v>44688.0</v>
      </c>
      <c r="AG494" s="15"/>
      <c r="AH494" s="16"/>
      <c r="AM494" s="15"/>
      <c r="AN494" s="16"/>
    </row>
    <row r="495">
      <c r="A495" s="13" t="s">
        <v>1102</v>
      </c>
      <c r="B495" s="10">
        <v>44350.0</v>
      </c>
      <c r="C495" s="11" t="s">
        <v>72</v>
      </c>
      <c r="D495" s="11" t="s">
        <v>77</v>
      </c>
      <c r="E495" s="11" t="s">
        <v>39</v>
      </c>
      <c r="F495" s="11" t="s">
        <v>40</v>
      </c>
      <c r="G495" s="11" t="s">
        <v>45</v>
      </c>
      <c r="H495" s="11" t="s">
        <v>84</v>
      </c>
      <c r="I495" s="11" t="s">
        <v>124</v>
      </c>
      <c r="J495" s="11">
        <v>24.0</v>
      </c>
      <c r="K495" s="12">
        <v>44777.0</v>
      </c>
      <c r="L495" s="11">
        <f t="shared" si="51"/>
        <v>14</v>
      </c>
      <c r="M495" s="11">
        <v>663658.0</v>
      </c>
      <c r="N495" s="11">
        <v>21513.0</v>
      </c>
      <c r="O495" s="13" t="s">
        <v>761</v>
      </c>
      <c r="P495" s="11">
        <v>0.0</v>
      </c>
      <c r="Q495" s="14">
        <v>0.0</v>
      </c>
      <c r="R495" s="11">
        <v>1.0</v>
      </c>
      <c r="S495">
        <f t="shared" si="1"/>
        <v>2021</v>
      </c>
      <c r="T495">
        <f t="shared" si="2"/>
        <v>6</v>
      </c>
      <c r="U495">
        <f t="shared" si="3"/>
        <v>3</v>
      </c>
      <c r="V495" s="17">
        <v>44503.0</v>
      </c>
      <c r="Z495" s="17">
        <v>44743.0</v>
      </c>
      <c r="AG495" s="15"/>
      <c r="AH495" s="16"/>
      <c r="AM495" s="15"/>
      <c r="AN495" s="16"/>
    </row>
    <row r="496">
      <c r="A496" s="13" t="s">
        <v>100</v>
      </c>
      <c r="B496" s="10">
        <v>44348.0</v>
      </c>
      <c r="C496" s="11" t="s">
        <v>101</v>
      </c>
      <c r="D496" s="11" t="s">
        <v>97</v>
      </c>
      <c r="E496" s="11" t="s">
        <v>39</v>
      </c>
      <c r="F496" s="11" t="s">
        <v>40</v>
      </c>
      <c r="G496" s="11" t="s">
        <v>41</v>
      </c>
      <c r="H496" s="11"/>
      <c r="I496" s="11"/>
      <c r="J496" s="11">
        <v>19.0</v>
      </c>
      <c r="K496" s="12">
        <v>44766.0</v>
      </c>
      <c r="L496" s="11">
        <f t="shared" si="51"/>
        <v>14</v>
      </c>
      <c r="M496" s="11">
        <v>679885.0</v>
      </c>
      <c r="N496" s="11">
        <v>24453.0</v>
      </c>
      <c r="O496" s="13"/>
      <c r="P496" s="11">
        <v>0.0</v>
      </c>
      <c r="Q496" s="14">
        <v>0.0</v>
      </c>
      <c r="R496" s="11">
        <v>1.0</v>
      </c>
      <c r="S496">
        <f t="shared" si="1"/>
        <v>2021</v>
      </c>
      <c r="T496">
        <f t="shared" si="2"/>
        <v>6</v>
      </c>
      <c r="U496">
        <f t="shared" si="3"/>
        <v>1</v>
      </c>
      <c r="X496" s="17"/>
      <c r="Z496" s="17">
        <v>44754.0</v>
      </c>
      <c r="AG496" s="15"/>
      <c r="AH496" s="16"/>
      <c r="AM496" s="15"/>
      <c r="AN496" s="16"/>
    </row>
    <row r="497">
      <c r="A497" s="13" t="s">
        <v>1103</v>
      </c>
      <c r="B497" s="10">
        <v>44348.0</v>
      </c>
      <c r="C497" s="11" t="s">
        <v>101</v>
      </c>
      <c r="D497" s="11" t="s">
        <v>38</v>
      </c>
      <c r="E497" s="11" t="s">
        <v>39</v>
      </c>
      <c r="F497" s="11" t="s">
        <v>40</v>
      </c>
      <c r="G497" s="11" t="s">
        <v>45</v>
      </c>
      <c r="H497" s="11" t="s">
        <v>67</v>
      </c>
      <c r="I497" s="11" t="s">
        <v>925</v>
      </c>
      <c r="J497" s="11">
        <v>30.0</v>
      </c>
      <c r="K497" s="12">
        <v>44771.0</v>
      </c>
      <c r="L497" s="11">
        <f t="shared" si="51"/>
        <v>14</v>
      </c>
      <c r="M497" s="11">
        <v>606965.0</v>
      </c>
      <c r="N497" s="11">
        <v>12763.0</v>
      </c>
      <c r="O497" s="13"/>
      <c r="P497" s="11">
        <v>0.0</v>
      </c>
      <c r="Q497" s="14">
        <v>0.0</v>
      </c>
      <c r="R497" s="11">
        <v>1.0</v>
      </c>
      <c r="S497">
        <f t="shared" si="1"/>
        <v>2021</v>
      </c>
      <c r="T497">
        <f t="shared" si="2"/>
        <v>6</v>
      </c>
      <c r="U497">
        <f t="shared" si="3"/>
        <v>1</v>
      </c>
      <c r="Z497" s="17">
        <v>44733.0</v>
      </c>
      <c r="AG497" s="15"/>
      <c r="AH497" s="16"/>
      <c r="AM497" s="15"/>
      <c r="AN497" s="16"/>
    </row>
    <row r="498">
      <c r="A498" s="13" t="s">
        <v>1104</v>
      </c>
      <c r="B498" s="10">
        <v>44348.0</v>
      </c>
      <c r="C498" s="11" t="s">
        <v>358</v>
      </c>
      <c r="D498" s="11" t="s">
        <v>77</v>
      </c>
      <c r="E498" s="11" t="s">
        <v>39</v>
      </c>
      <c r="F498" s="11" t="s">
        <v>40</v>
      </c>
      <c r="G498" s="11" t="s">
        <v>45</v>
      </c>
      <c r="H498" s="11" t="s">
        <v>262</v>
      </c>
      <c r="I498" s="11" t="s">
        <v>1105</v>
      </c>
      <c r="J498" s="11">
        <v>24.0</v>
      </c>
      <c r="K498" s="12">
        <v>44770.0</v>
      </c>
      <c r="L498" s="11">
        <f t="shared" si="51"/>
        <v>14</v>
      </c>
      <c r="M498" s="11">
        <v>680742.0</v>
      </c>
      <c r="N498" s="11">
        <v>24607.0</v>
      </c>
      <c r="O498" s="13"/>
      <c r="P498" s="11">
        <v>0.0</v>
      </c>
      <c r="Q498" s="14">
        <v>0.0</v>
      </c>
      <c r="R498" s="11">
        <v>1.0</v>
      </c>
      <c r="S498">
        <f t="shared" si="1"/>
        <v>2021</v>
      </c>
      <c r="T498">
        <f t="shared" si="2"/>
        <v>6</v>
      </c>
      <c r="U498">
        <f t="shared" si="3"/>
        <v>1</v>
      </c>
      <c r="X498" s="17">
        <v>44649.0</v>
      </c>
      <c r="Z498" s="17">
        <v>44729.0</v>
      </c>
      <c r="AG498" s="15"/>
      <c r="AH498" s="16"/>
      <c r="AM498" s="15"/>
      <c r="AN498" s="16"/>
    </row>
    <row r="499">
      <c r="A499" s="13" t="s">
        <v>1106</v>
      </c>
      <c r="B499" s="10">
        <v>44348.0</v>
      </c>
      <c r="C499" s="11" t="s">
        <v>49</v>
      </c>
      <c r="D499" s="11" t="s">
        <v>97</v>
      </c>
      <c r="E499" s="11" t="s">
        <v>39</v>
      </c>
      <c r="F499" s="11" t="s">
        <v>40</v>
      </c>
      <c r="G499" s="11" t="s">
        <v>53</v>
      </c>
      <c r="H499" s="11"/>
      <c r="I499" s="11"/>
      <c r="J499" s="11">
        <v>21.0</v>
      </c>
      <c r="K499" s="12">
        <v>44796.0</v>
      </c>
      <c r="L499" s="11">
        <f t="shared" si="51"/>
        <v>15</v>
      </c>
      <c r="M499" s="11">
        <v>680933.0</v>
      </c>
      <c r="N499" s="11" t="s">
        <v>1107</v>
      </c>
      <c r="O499" s="13"/>
      <c r="P499" s="11">
        <v>0.0</v>
      </c>
      <c r="Q499" s="14">
        <v>0.0</v>
      </c>
      <c r="R499" s="11">
        <v>1.0</v>
      </c>
      <c r="S499">
        <f t="shared" si="1"/>
        <v>2021</v>
      </c>
      <c r="T499">
        <f t="shared" si="2"/>
        <v>6</v>
      </c>
      <c r="U499">
        <f t="shared" si="3"/>
        <v>1</v>
      </c>
      <c r="Z499" s="17">
        <v>44756.0</v>
      </c>
      <c r="AG499" s="15"/>
      <c r="AH499" s="16"/>
      <c r="AM499" s="15"/>
      <c r="AN499" s="16"/>
    </row>
    <row r="500">
      <c r="A500" s="13" t="s">
        <v>1108</v>
      </c>
      <c r="B500" s="10">
        <v>44348.0</v>
      </c>
      <c r="C500" s="11" t="s">
        <v>150</v>
      </c>
      <c r="D500" s="11" t="s">
        <v>77</v>
      </c>
      <c r="E500" s="11" t="s">
        <v>39</v>
      </c>
      <c r="F500" s="11" t="s">
        <v>64</v>
      </c>
      <c r="G500" s="11" t="s">
        <v>45</v>
      </c>
      <c r="H500" s="11" t="s">
        <v>109</v>
      </c>
      <c r="I500" s="11" t="s">
        <v>1109</v>
      </c>
      <c r="J500" s="11">
        <v>25.0</v>
      </c>
      <c r="K500" s="12">
        <v>44773.0</v>
      </c>
      <c r="L500" s="11">
        <f t="shared" si="51"/>
        <v>14</v>
      </c>
      <c r="M500" s="11">
        <v>656647.0</v>
      </c>
      <c r="N500" s="11" t="s">
        <v>1110</v>
      </c>
      <c r="O500" s="13"/>
      <c r="P500" s="11">
        <v>0.0</v>
      </c>
      <c r="Q500" s="14">
        <v>0.0</v>
      </c>
      <c r="R500" s="11">
        <v>1.0</v>
      </c>
      <c r="S500">
        <f t="shared" si="1"/>
        <v>2021</v>
      </c>
      <c r="T500">
        <f t="shared" si="2"/>
        <v>6</v>
      </c>
      <c r="U500">
        <f t="shared" si="3"/>
        <v>1</v>
      </c>
      <c r="Z500" s="17">
        <v>44744.0</v>
      </c>
      <c r="AG500" s="15"/>
      <c r="AH500" s="16"/>
      <c r="AM500" s="15"/>
      <c r="AN500" s="16"/>
    </row>
    <row r="501">
      <c r="A501" s="13" t="s">
        <v>1111</v>
      </c>
      <c r="B501" s="10">
        <v>44348.0</v>
      </c>
      <c r="C501" s="11" t="s">
        <v>175</v>
      </c>
      <c r="D501" s="11" t="s">
        <v>97</v>
      </c>
      <c r="E501" s="11" t="s">
        <v>39</v>
      </c>
      <c r="F501" s="11" t="s">
        <v>40</v>
      </c>
      <c r="G501" s="11" t="s">
        <v>53</v>
      </c>
      <c r="H501" s="11"/>
      <c r="I501" s="11"/>
      <c r="J501" s="11">
        <v>21.0</v>
      </c>
      <c r="K501" s="12"/>
      <c r="L501" s="11"/>
      <c r="M501" s="11">
        <v>677652.0</v>
      </c>
      <c r="N501" s="11" t="s">
        <v>1112</v>
      </c>
      <c r="O501" s="13"/>
      <c r="P501" s="11">
        <v>0.0</v>
      </c>
      <c r="Q501" s="14">
        <v>0.0</v>
      </c>
      <c r="R501" s="11">
        <v>0.0</v>
      </c>
      <c r="S501">
        <f t="shared" si="1"/>
        <v>2021</v>
      </c>
      <c r="T501">
        <f t="shared" si="2"/>
        <v>6</v>
      </c>
      <c r="U501">
        <f t="shared" si="3"/>
        <v>1</v>
      </c>
      <c r="Z501" s="17">
        <v>44782.0</v>
      </c>
      <c r="AG501" s="15"/>
      <c r="AH501" s="16"/>
      <c r="AM501" s="15"/>
      <c r="AN501" s="16"/>
    </row>
    <row r="502">
      <c r="A502" s="13" t="s">
        <v>1113</v>
      </c>
      <c r="B502" s="17">
        <v>44348.0</v>
      </c>
      <c r="C502" s="11" t="s">
        <v>175</v>
      </c>
      <c r="D502" s="11" t="s">
        <v>93</v>
      </c>
      <c r="E502" s="11" t="s">
        <v>39</v>
      </c>
      <c r="F502" s="11" t="s">
        <v>64</v>
      </c>
      <c r="G502" s="11" t="s">
        <v>45</v>
      </c>
      <c r="H502" s="11" t="s">
        <v>139</v>
      </c>
      <c r="I502" s="11" t="s">
        <v>1114</v>
      </c>
      <c r="J502" s="11">
        <v>20.0</v>
      </c>
      <c r="K502" s="12">
        <v>45057.0</v>
      </c>
      <c r="L502" s="11">
        <f t="shared" ref="L502:L509" si="52">ROUND(((K502-B502)/365)*12,0)</f>
        <v>23</v>
      </c>
      <c r="M502" s="11">
        <v>693685.0</v>
      </c>
      <c r="N502" s="11" t="s">
        <v>1115</v>
      </c>
      <c r="O502" s="13"/>
      <c r="P502" s="11">
        <v>0.0</v>
      </c>
      <c r="Q502" s="14">
        <v>0.0</v>
      </c>
      <c r="R502" s="11">
        <v>1.0</v>
      </c>
      <c r="S502">
        <f t="shared" si="1"/>
        <v>2021</v>
      </c>
      <c r="T502">
        <f t="shared" si="2"/>
        <v>6</v>
      </c>
      <c r="U502">
        <f t="shared" si="3"/>
        <v>1</v>
      </c>
      <c r="Z502" s="17">
        <v>45057.0</v>
      </c>
      <c r="AG502" s="15"/>
      <c r="AH502" s="16"/>
      <c r="AM502" s="15"/>
      <c r="AN502" s="16"/>
    </row>
    <row r="503">
      <c r="A503" s="13" t="s">
        <v>1116</v>
      </c>
      <c r="B503" s="10">
        <v>44348.0</v>
      </c>
      <c r="C503" s="11" t="s">
        <v>235</v>
      </c>
      <c r="D503" s="11" t="s">
        <v>58</v>
      </c>
      <c r="E503" s="11" t="s">
        <v>39</v>
      </c>
      <c r="F503" s="11" t="s">
        <v>40</v>
      </c>
      <c r="G503" s="11" t="s">
        <v>45</v>
      </c>
      <c r="H503" s="11" t="s">
        <v>67</v>
      </c>
      <c r="I503" s="11" t="s">
        <v>222</v>
      </c>
      <c r="J503" s="11">
        <v>26.0</v>
      </c>
      <c r="K503" s="12">
        <v>44790.0</v>
      </c>
      <c r="L503" s="11">
        <f t="shared" si="52"/>
        <v>15</v>
      </c>
      <c r="M503" s="11">
        <v>682448.0</v>
      </c>
      <c r="N503" s="11" t="s">
        <v>1117</v>
      </c>
      <c r="O503" s="13"/>
      <c r="P503" s="11">
        <v>0.0</v>
      </c>
      <c r="Q503" s="14">
        <v>0.0</v>
      </c>
      <c r="R503" s="11">
        <v>1.0</v>
      </c>
      <c r="S503">
        <f t="shared" si="1"/>
        <v>2021</v>
      </c>
      <c r="T503">
        <f t="shared" si="2"/>
        <v>6</v>
      </c>
      <c r="U503">
        <f t="shared" si="3"/>
        <v>1</v>
      </c>
      <c r="Z503" s="17">
        <v>44756.0</v>
      </c>
      <c r="AG503" s="15"/>
      <c r="AH503" s="16"/>
      <c r="AM503" s="15"/>
      <c r="AN503" s="16"/>
    </row>
    <row r="504">
      <c r="A504" s="13" t="s">
        <v>1118</v>
      </c>
      <c r="B504" s="10">
        <v>44343.0</v>
      </c>
      <c r="C504" s="11" t="s">
        <v>103</v>
      </c>
      <c r="D504" s="11" t="s">
        <v>93</v>
      </c>
      <c r="E504" s="11" t="s">
        <v>39</v>
      </c>
      <c r="F504" s="11" t="s">
        <v>64</v>
      </c>
      <c r="G504" s="11" t="s">
        <v>45</v>
      </c>
      <c r="H504" s="11" t="s">
        <v>957</v>
      </c>
      <c r="I504" s="11" t="s">
        <v>243</v>
      </c>
      <c r="J504" s="11">
        <v>20.0</v>
      </c>
      <c r="K504" s="12">
        <v>45024.0</v>
      </c>
      <c r="L504" s="11">
        <f t="shared" si="52"/>
        <v>22</v>
      </c>
      <c r="M504" s="11">
        <v>687570.0</v>
      </c>
      <c r="N504" s="11" t="s">
        <v>1119</v>
      </c>
      <c r="O504" s="13" t="s">
        <v>761</v>
      </c>
      <c r="P504" s="11">
        <v>0.0</v>
      </c>
      <c r="Q504" s="14">
        <v>0.0</v>
      </c>
      <c r="R504" s="11">
        <v>1.0</v>
      </c>
      <c r="S504">
        <f t="shared" si="1"/>
        <v>2021</v>
      </c>
      <c r="T504">
        <f t="shared" si="2"/>
        <v>5</v>
      </c>
      <c r="U504">
        <f t="shared" si="3"/>
        <v>27</v>
      </c>
      <c r="Z504" s="17">
        <v>45024.0</v>
      </c>
      <c r="AG504" s="15"/>
      <c r="AH504" s="16"/>
      <c r="AM504" s="15"/>
      <c r="AN504" s="16"/>
    </row>
    <row r="505">
      <c r="A505" s="13" t="s">
        <v>1120</v>
      </c>
      <c r="B505" s="10">
        <v>44342.0</v>
      </c>
      <c r="C505" s="11" t="s">
        <v>138</v>
      </c>
      <c r="D505" s="11" t="s">
        <v>88</v>
      </c>
      <c r="E505" s="11" t="s">
        <v>39</v>
      </c>
      <c r="F505" s="11" t="s">
        <v>40</v>
      </c>
      <c r="G505" s="11" t="s">
        <v>45</v>
      </c>
      <c r="H505" s="11" t="s">
        <v>46</v>
      </c>
      <c r="I505" s="11"/>
      <c r="J505" s="11">
        <v>23.0</v>
      </c>
      <c r="K505" s="12">
        <v>44750.0</v>
      </c>
      <c r="L505" s="11">
        <f t="shared" si="52"/>
        <v>13</v>
      </c>
      <c r="M505" s="11">
        <v>669724.0</v>
      </c>
      <c r="N505" s="11">
        <v>22304.0</v>
      </c>
      <c r="O505" s="13" t="s">
        <v>42</v>
      </c>
      <c r="P505" s="11">
        <v>0.0</v>
      </c>
      <c r="Q505" s="14">
        <v>0.0</v>
      </c>
      <c r="R505" s="11">
        <v>1.0</v>
      </c>
      <c r="S505">
        <f t="shared" si="1"/>
        <v>2021</v>
      </c>
      <c r="T505">
        <f t="shared" si="2"/>
        <v>5</v>
      </c>
      <c r="U505">
        <f t="shared" si="3"/>
        <v>26</v>
      </c>
      <c r="Z505" s="17">
        <v>44736.0</v>
      </c>
      <c r="AG505" s="15"/>
      <c r="AH505" s="16"/>
      <c r="AM505" s="15"/>
      <c r="AN505" s="16"/>
    </row>
    <row r="506">
      <c r="A506" s="13" t="s">
        <v>1121</v>
      </c>
      <c r="B506" s="10">
        <v>44342.0</v>
      </c>
      <c r="C506" s="11" t="s">
        <v>186</v>
      </c>
      <c r="D506" s="11" t="s">
        <v>97</v>
      </c>
      <c r="E506" s="11" t="s">
        <v>39</v>
      </c>
      <c r="F506" s="11" t="s">
        <v>40</v>
      </c>
      <c r="G506" s="11" t="s">
        <v>45</v>
      </c>
      <c r="H506" s="11" t="s">
        <v>56</v>
      </c>
      <c r="I506" s="11" t="s">
        <v>1122</v>
      </c>
      <c r="J506" s="11">
        <v>22.0</v>
      </c>
      <c r="K506" s="12">
        <v>44794.0</v>
      </c>
      <c r="L506" s="11">
        <f t="shared" si="52"/>
        <v>15</v>
      </c>
      <c r="M506" s="11">
        <v>686769.0</v>
      </c>
      <c r="N506" s="11" t="s">
        <v>1123</v>
      </c>
      <c r="O506" s="13"/>
      <c r="P506" s="11">
        <v>0.0</v>
      </c>
      <c r="Q506" s="14">
        <v>0.0</v>
      </c>
      <c r="R506" s="11">
        <v>1.0</v>
      </c>
      <c r="S506">
        <f t="shared" si="1"/>
        <v>2021</v>
      </c>
      <c r="T506">
        <f t="shared" si="2"/>
        <v>5</v>
      </c>
      <c r="U506">
        <f t="shared" si="3"/>
        <v>26</v>
      </c>
      <c r="Z506" s="17">
        <v>44758.0</v>
      </c>
      <c r="AG506" s="15"/>
      <c r="AH506" s="16"/>
      <c r="AM506" s="15"/>
      <c r="AN506" s="16"/>
    </row>
    <row r="507">
      <c r="A507" s="13" t="s">
        <v>1124</v>
      </c>
      <c r="B507" s="10">
        <v>44341.0</v>
      </c>
      <c r="C507" s="11" t="s">
        <v>150</v>
      </c>
      <c r="D507" s="11" t="s">
        <v>38</v>
      </c>
      <c r="E507" s="11" t="s">
        <v>39</v>
      </c>
      <c r="F507" s="11" t="s">
        <v>64</v>
      </c>
      <c r="G507" s="11" t="s">
        <v>45</v>
      </c>
      <c r="H507" s="11" t="s">
        <v>67</v>
      </c>
      <c r="I507" s="11" t="s">
        <v>1125</v>
      </c>
      <c r="J507" s="11">
        <v>24.0</v>
      </c>
      <c r="K507" s="12">
        <v>44758.0</v>
      </c>
      <c r="L507" s="11">
        <f t="shared" si="52"/>
        <v>14</v>
      </c>
      <c r="M507" s="11">
        <v>668941.0</v>
      </c>
      <c r="N507" s="11">
        <v>19574.0</v>
      </c>
      <c r="O507" s="13" t="s">
        <v>69</v>
      </c>
      <c r="P507" s="11">
        <v>0.0</v>
      </c>
      <c r="Q507" s="14">
        <v>0.0</v>
      </c>
      <c r="R507" s="11">
        <v>1.0</v>
      </c>
      <c r="S507">
        <f t="shared" si="1"/>
        <v>2021</v>
      </c>
      <c r="T507">
        <f t="shared" si="2"/>
        <v>5</v>
      </c>
      <c r="U507">
        <f t="shared" si="3"/>
        <v>25</v>
      </c>
      <c r="Z507" s="17">
        <v>44726.0</v>
      </c>
      <c r="AG507" s="15"/>
      <c r="AH507" s="16"/>
      <c r="AM507" s="15"/>
      <c r="AN507" s="16"/>
    </row>
    <row r="508">
      <c r="A508" s="13" t="s">
        <v>1126</v>
      </c>
      <c r="B508" s="10">
        <v>44341.0</v>
      </c>
      <c r="C508" s="11" t="s">
        <v>83</v>
      </c>
      <c r="D508" s="11" t="s">
        <v>88</v>
      </c>
      <c r="E508" s="11" t="s">
        <v>39</v>
      </c>
      <c r="F508" s="11" t="s">
        <v>40</v>
      </c>
      <c r="G508" s="11" t="s">
        <v>45</v>
      </c>
      <c r="H508" s="11" t="s">
        <v>735</v>
      </c>
      <c r="I508" s="11" t="s">
        <v>74</v>
      </c>
      <c r="J508" s="11">
        <v>21.0</v>
      </c>
      <c r="K508" s="12">
        <v>45024.0</v>
      </c>
      <c r="L508" s="11">
        <f t="shared" si="52"/>
        <v>22</v>
      </c>
      <c r="M508" s="11">
        <v>678016.0</v>
      </c>
      <c r="N508" s="11" t="s">
        <v>1127</v>
      </c>
      <c r="O508" s="13"/>
      <c r="P508" s="11">
        <v>0.0</v>
      </c>
      <c r="Q508" s="14">
        <v>0.0</v>
      </c>
      <c r="R508" s="11">
        <v>1.0</v>
      </c>
      <c r="S508">
        <f t="shared" si="1"/>
        <v>2021</v>
      </c>
      <c r="T508">
        <f t="shared" si="2"/>
        <v>5</v>
      </c>
      <c r="U508">
        <f t="shared" si="3"/>
        <v>25</v>
      </c>
      <c r="Z508" s="17">
        <v>44785.0</v>
      </c>
      <c r="AG508" s="15"/>
      <c r="AH508" s="16"/>
      <c r="AM508" s="15"/>
      <c r="AN508" s="16"/>
    </row>
    <row r="509">
      <c r="A509" s="13" t="s">
        <v>1128</v>
      </c>
      <c r="B509" s="10">
        <v>44336.0</v>
      </c>
      <c r="C509" s="11" t="s">
        <v>150</v>
      </c>
      <c r="D509" s="11" t="s">
        <v>97</v>
      </c>
      <c r="E509" s="11" t="s">
        <v>39</v>
      </c>
      <c r="F509" s="11" t="s">
        <v>40</v>
      </c>
      <c r="G509" s="11" t="s">
        <v>45</v>
      </c>
      <c r="H509" s="11" t="s">
        <v>112</v>
      </c>
      <c r="I509" s="11" t="s">
        <v>1129</v>
      </c>
      <c r="J509" s="11">
        <v>25.0</v>
      </c>
      <c r="K509" s="12">
        <v>44740.0</v>
      </c>
      <c r="L509" s="11">
        <f t="shared" si="52"/>
        <v>13</v>
      </c>
      <c r="M509" s="11">
        <v>673766.0</v>
      </c>
      <c r="N509" s="11" t="s">
        <v>1130</v>
      </c>
      <c r="O509" s="13"/>
      <c r="P509" s="11">
        <v>0.0</v>
      </c>
      <c r="Q509" s="14">
        <v>0.0</v>
      </c>
      <c r="R509" s="11">
        <v>1.0</v>
      </c>
      <c r="S509">
        <f t="shared" si="1"/>
        <v>2021</v>
      </c>
      <c r="T509">
        <f t="shared" si="2"/>
        <v>5</v>
      </c>
      <c r="U509">
        <f t="shared" si="3"/>
        <v>20</v>
      </c>
      <c r="Z509" s="17">
        <v>44719.0</v>
      </c>
      <c r="AG509" s="15"/>
      <c r="AH509" s="16"/>
      <c r="AM509" s="15"/>
      <c r="AN509" s="16"/>
    </row>
    <row r="510">
      <c r="A510" s="13" t="s">
        <v>1131</v>
      </c>
      <c r="B510" s="10">
        <v>44335.0</v>
      </c>
      <c r="C510" s="11" t="s">
        <v>175</v>
      </c>
      <c r="D510" s="11" t="s">
        <v>38</v>
      </c>
      <c r="E510" s="11" t="s">
        <v>39</v>
      </c>
      <c r="F510" s="11" t="s">
        <v>40</v>
      </c>
      <c r="G510" s="11" t="s">
        <v>45</v>
      </c>
      <c r="H510" s="11" t="s">
        <v>182</v>
      </c>
      <c r="I510" s="11" t="s">
        <v>1132</v>
      </c>
      <c r="J510" s="11">
        <v>28.0</v>
      </c>
      <c r="K510" s="12"/>
      <c r="L510" s="11"/>
      <c r="M510" s="11">
        <v>605309.0</v>
      </c>
      <c r="N510" s="11">
        <v>14696.0</v>
      </c>
      <c r="O510" s="13"/>
      <c r="P510" s="11">
        <v>0.0</v>
      </c>
      <c r="Q510" s="14">
        <v>0.0</v>
      </c>
      <c r="R510" s="11">
        <v>1.0</v>
      </c>
      <c r="S510">
        <f t="shared" si="1"/>
        <v>2021</v>
      </c>
      <c r="T510">
        <f t="shared" si="2"/>
        <v>5</v>
      </c>
      <c r="U510">
        <f t="shared" si="3"/>
        <v>19</v>
      </c>
      <c r="Z510" s="17">
        <v>44765.0</v>
      </c>
      <c r="AG510" s="15"/>
      <c r="AH510" s="16"/>
      <c r="AM510" s="15"/>
      <c r="AN510" s="16"/>
    </row>
    <row r="511">
      <c r="A511" s="13" t="s">
        <v>1133</v>
      </c>
      <c r="B511" s="17">
        <v>44334.0</v>
      </c>
      <c r="C511" s="11" t="s">
        <v>235</v>
      </c>
      <c r="D511" s="11" t="s">
        <v>93</v>
      </c>
      <c r="E511" s="11" t="s">
        <v>39</v>
      </c>
      <c r="F511" s="11" t="s">
        <v>40</v>
      </c>
      <c r="G511" s="11" t="s">
        <v>45</v>
      </c>
      <c r="H511" s="11" t="s">
        <v>84</v>
      </c>
      <c r="I511" s="11" t="s">
        <v>159</v>
      </c>
      <c r="J511" s="11">
        <v>21.0</v>
      </c>
      <c r="K511" s="12">
        <v>44765.0</v>
      </c>
      <c r="L511" s="11">
        <f t="shared" ref="L511:L515" si="53">ROUND(((K511-B511)/365)*12,0)</f>
        <v>14</v>
      </c>
      <c r="M511" s="11">
        <v>680684.0</v>
      </c>
      <c r="N511" s="11">
        <v>31318.0</v>
      </c>
      <c r="O511" s="13" t="s">
        <v>761</v>
      </c>
      <c r="P511" s="11">
        <v>0.0</v>
      </c>
      <c r="Q511" s="14">
        <v>0.0</v>
      </c>
      <c r="R511" s="11">
        <v>1.0</v>
      </c>
      <c r="S511">
        <f t="shared" si="1"/>
        <v>2021</v>
      </c>
      <c r="T511">
        <f t="shared" si="2"/>
        <v>5</v>
      </c>
      <c r="U511">
        <f t="shared" si="3"/>
        <v>18</v>
      </c>
      <c r="Z511" s="17">
        <v>44765.0</v>
      </c>
      <c r="AG511" s="15"/>
      <c r="AH511" s="16"/>
      <c r="AM511" s="15"/>
      <c r="AN511" s="16"/>
    </row>
    <row r="512">
      <c r="A512" s="13" t="s">
        <v>1134</v>
      </c>
      <c r="B512" s="10">
        <v>44328.0</v>
      </c>
      <c r="C512" s="11" t="s">
        <v>44</v>
      </c>
      <c r="D512" s="11" t="s">
        <v>97</v>
      </c>
      <c r="E512" s="11" t="s">
        <v>39</v>
      </c>
      <c r="F512" s="11" t="s">
        <v>40</v>
      </c>
      <c r="G512" s="11" t="s">
        <v>45</v>
      </c>
      <c r="H512" s="11" t="s">
        <v>163</v>
      </c>
      <c r="I512" s="11"/>
      <c r="J512" s="11">
        <v>21.0</v>
      </c>
      <c r="K512" s="12">
        <v>45052.0</v>
      </c>
      <c r="L512" s="11">
        <f t="shared" si="53"/>
        <v>24</v>
      </c>
      <c r="M512" s="11">
        <v>677945.0</v>
      </c>
      <c r="N512" s="11" t="s">
        <v>1135</v>
      </c>
      <c r="O512" s="13"/>
      <c r="P512" s="11">
        <v>0.0</v>
      </c>
      <c r="Q512" s="14">
        <v>0.0</v>
      </c>
      <c r="R512" s="11">
        <v>1.0</v>
      </c>
      <c r="S512">
        <f t="shared" si="1"/>
        <v>2021</v>
      </c>
      <c r="T512">
        <f t="shared" si="2"/>
        <v>5</v>
      </c>
      <c r="U512">
        <f t="shared" si="3"/>
        <v>12</v>
      </c>
      <c r="Z512" s="17">
        <v>44774.0</v>
      </c>
      <c r="AG512" s="15"/>
      <c r="AH512" s="16"/>
      <c r="AM512" s="15"/>
      <c r="AN512" s="16"/>
    </row>
    <row r="513">
      <c r="A513" s="13" t="s">
        <v>552</v>
      </c>
      <c r="B513" s="10">
        <v>44328.0</v>
      </c>
      <c r="C513" s="11" t="s">
        <v>126</v>
      </c>
      <c r="D513" s="11" t="s">
        <v>38</v>
      </c>
      <c r="E513" s="11" t="s">
        <v>39</v>
      </c>
      <c r="F513" s="11" t="s">
        <v>40</v>
      </c>
      <c r="G513" s="11" t="s">
        <v>45</v>
      </c>
      <c r="H513" s="11" t="s">
        <v>56</v>
      </c>
      <c r="I513" s="11"/>
      <c r="J513" s="11">
        <v>23.0</v>
      </c>
      <c r="K513" s="12">
        <v>44793.0</v>
      </c>
      <c r="L513" s="11">
        <f t="shared" si="53"/>
        <v>15</v>
      </c>
      <c r="M513" s="11">
        <v>669160.0</v>
      </c>
      <c r="N513" s="11">
        <v>19716.0</v>
      </c>
      <c r="O513" s="13" t="s">
        <v>69</v>
      </c>
      <c r="P513" s="11">
        <v>0.0</v>
      </c>
      <c r="Q513" s="14">
        <v>0.0</v>
      </c>
      <c r="R513" s="11">
        <v>1.0</v>
      </c>
      <c r="S513">
        <f t="shared" si="1"/>
        <v>2021</v>
      </c>
      <c r="T513">
        <f t="shared" si="2"/>
        <v>5</v>
      </c>
      <c r="U513">
        <f t="shared" si="3"/>
        <v>12</v>
      </c>
      <c r="V513" s="17">
        <v>44501.0</v>
      </c>
      <c r="Z513" s="17">
        <v>44758.0</v>
      </c>
      <c r="AG513" s="15"/>
      <c r="AH513" s="16"/>
      <c r="AM513" s="15"/>
      <c r="AN513" s="16"/>
    </row>
    <row r="514">
      <c r="A514" s="13" t="s">
        <v>1136</v>
      </c>
      <c r="B514" s="10">
        <v>44327.0</v>
      </c>
      <c r="C514" s="11" t="s">
        <v>167</v>
      </c>
      <c r="D514" s="11" t="s">
        <v>77</v>
      </c>
      <c r="E514" s="11" t="s">
        <v>39</v>
      </c>
      <c r="F514" s="11" t="s">
        <v>40</v>
      </c>
      <c r="G514" s="11" t="s">
        <v>45</v>
      </c>
      <c r="H514" s="11" t="s">
        <v>73</v>
      </c>
      <c r="I514" s="11" t="s">
        <v>1137</v>
      </c>
      <c r="J514" s="11">
        <v>26.0</v>
      </c>
      <c r="K514" s="12">
        <v>44770.0</v>
      </c>
      <c r="L514" s="11">
        <f t="shared" si="53"/>
        <v>15</v>
      </c>
      <c r="M514" s="11">
        <v>643357.0</v>
      </c>
      <c r="N514" s="11" t="s">
        <v>1138</v>
      </c>
      <c r="O514" s="13"/>
      <c r="P514" s="11">
        <v>0.0</v>
      </c>
      <c r="Q514" s="14">
        <v>0.0</v>
      </c>
      <c r="R514" s="11">
        <v>1.0</v>
      </c>
      <c r="S514">
        <f t="shared" si="1"/>
        <v>2021</v>
      </c>
      <c r="T514">
        <f t="shared" si="2"/>
        <v>5</v>
      </c>
      <c r="U514">
        <f t="shared" si="3"/>
        <v>11</v>
      </c>
      <c r="Z514" s="17">
        <v>44751.0</v>
      </c>
      <c r="AG514" s="15"/>
      <c r="AH514" s="16"/>
      <c r="AM514" s="15"/>
      <c r="AN514" s="16"/>
    </row>
    <row r="515">
      <c r="A515" s="13" t="s">
        <v>1139</v>
      </c>
      <c r="B515" s="17">
        <v>44326.0</v>
      </c>
      <c r="C515" s="11" t="s">
        <v>52</v>
      </c>
      <c r="D515" s="11" t="s">
        <v>93</v>
      </c>
      <c r="E515" s="11" t="s">
        <v>39</v>
      </c>
      <c r="F515" s="11" t="s">
        <v>64</v>
      </c>
      <c r="G515" s="11" t="s">
        <v>45</v>
      </c>
      <c r="H515" s="11" t="s">
        <v>84</v>
      </c>
      <c r="I515" s="11" t="s">
        <v>124</v>
      </c>
      <c r="J515" s="11">
        <v>22.0</v>
      </c>
      <c r="K515" s="12">
        <v>44725.0</v>
      </c>
      <c r="L515" s="11">
        <f t="shared" si="53"/>
        <v>13</v>
      </c>
      <c r="M515" s="11">
        <v>676467.0</v>
      </c>
      <c r="N515" s="11" t="s">
        <v>1140</v>
      </c>
      <c r="O515" s="13" t="s">
        <v>662</v>
      </c>
      <c r="P515" s="11">
        <v>0.0</v>
      </c>
      <c r="Q515" s="14">
        <v>0.0</v>
      </c>
      <c r="R515" s="11">
        <v>1.0</v>
      </c>
      <c r="S515">
        <f t="shared" si="1"/>
        <v>2021</v>
      </c>
      <c r="T515">
        <f t="shared" si="2"/>
        <v>5</v>
      </c>
      <c r="U515">
        <f t="shared" si="3"/>
        <v>10</v>
      </c>
      <c r="Z515" s="17">
        <v>44725.0</v>
      </c>
      <c r="AG515" s="15"/>
      <c r="AH515" s="16"/>
      <c r="AM515" s="15"/>
      <c r="AN515" s="16"/>
    </row>
    <row r="516">
      <c r="A516" s="13" t="s">
        <v>1141</v>
      </c>
      <c r="B516" s="17">
        <v>44322.0</v>
      </c>
      <c r="C516" s="11" t="s">
        <v>72</v>
      </c>
      <c r="D516" s="11" t="s">
        <v>93</v>
      </c>
      <c r="E516" s="11" t="s">
        <v>39</v>
      </c>
      <c r="F516" s="11" t="s">
        <v>40</v>
      </c>
      <c r="G516" s="11" t="s">
        <v>45</v>
      </c>
      <c r="H516" s="11" t="s">
        <v>258</v>
      </c>
      <c r="I516" s="11" t="s">
        <v>127</v>
      </c>
      <c r="J516" s="11">
        <v>19.0</v>
      </c>
      <c r="K516" s="12">
        <v>45160.0</v>
      </c>
      <c r="L516" s="11"/>
      <c r="M516" s="11">
        <v>690967.0</v>
      </c>
      <c r="N516" s="11" t="s">
        <v>1142</v>
      </c>
      <c r="O516" s="13"/>
      <c r="P516" s="11">
        <v>0.0</v>
      </c>
      <c r="Q516" s="14">
        <v>0.0</v>
      </c>
      <c r="R516" s="11">
        <v>1.0</v>
      </c>
      <c r="S516">
        <f t="shared" si="1"/>
        <v>2021</v>
      </c>
      <c r="T516">
        <f t="shared" si="2"/>
        <v>5</v>
      </c>
      <c r="U516">
        <f t="shared" si="3"/>
        <v>6</v>
      </c>
      <c r="Z516" s="17"/>
      <c r="AG516" s="15"/>
      <c r="AH516" s="16"/>
      <c r="AM516" s="15"/>
      <c r="AN516" s="16"/>
    </row>
    <row r="517">
      <c r="A517" s="13" t="s">
        <v>1143</v>
      </c>
      <c r="B517" s="10">
        <v>44317.0</v>
      </c>
      <c r="C517" s="11" t="s">
        <v>72</v>
      </c>
      <c r="D517" s="11" t="s">
        <v>709</v>
      </c>
      <c r="E517" s="11" t="s">
        <v>39</v>
      </c>
      <c r="F517" s="11" t="s">
        <v>40</v>
      </c>
      <c r="G517" s="11" t="s">
        <v>45</v>
      </c>
      <c r="H517" s="11" t="s">
        <v>317</v>
      </c>
      <c r="I517" s="11" t="s">
        <v>1144</v>
      </c>
      <c r="J517" s="11">
        <v>23.0</v>
      </c>
      <c r="K517" s="12">
        <v>45022.0</v>
      </c>
      <c r="L517" s="11">
        <f t="shared" ref="L517:L518" si="54">ROUND(((K517-B517)/365)*12,0)</f>
        <v>23</v>
      </c>
      <c r="M517" s="11">
        <v>687770.0</v>
      </c>
      <c r="N517" s="11" t="s">
        <v>1145</v>
      </c>
      <c r="O517" s="13"/>
      <c r="P517" s="11">
        <v>0.0</v>
      </c>
      <c r="Q517" s="14">
        <v>0.0</v>
      </c>
      <c r="R517" s="11">
        <v>1.0</v>
      </c>
      <c r="S517">
        <f t="shared" si="1"/>
        <v>2021</v>
      </c>
      <c r="T517">
        <f t="shared" si="2"/>
        <v>5</v>
      </c>
      <c r="U517">
        <f t="shared" si="3"/>
        <v>1</v>
      </c>
      <c r="Z517" s="17">
        <v>45022.0</v>
      </c>
      <c r="AG517" s="15"/>
      <c r="AH517" s="16"/>
      <c r="AM517" s="15"/>
      <c r="AN517" s="16"/>
    </row>
    <row r="518">
      <c r="A518" s="13" t="s">
        <v>1146</v>
      </c>
      <c r="B518" s="17">
        <v>44317.0</v>
      </c>
      <c r="C518" s="11" t="s">
        <v>44</v>
      </c>
      <c r="D518" s="11" t="s">
        <v>93</v>
      </c>
      <c r="E518" s="11" t="s">
        <v>39</v>
      </c>
      <c r="F518" s="11" t="s">
        <v>64</v>
      </c>
      <c r="G518" s="11" t="s">
        <v>45</v>
      </c>
      <c r="H518" s="11" t="s">
        <v>163</v>
      </c>
      <c r="I518" s="11" t="s">
        <v>163</v>
      </c>
      <c r="J518" s="11">
        <v>22.0</v>
      </c>
      <c r="K518" s="12">
        <v>44718.0</v>
      </c>
      <c r="L518" s="11">
        <f t="shared" si="54"/>
        <v>13</v>
      </c>
      <c r="M518" s="11">
        <v>669067.0</v>
      </c>
      <c r="N518" s="11" t="s">
        <v>1147</v>
      </c>
      <c r="O518" s="13"/>
      <c r="P518" s="11">
        <v>0.0</v>
      </c>
      <c r="Q518" s="14">
        <v>0.0</v>
      </c>
      <c r="R518" s="11">
        <v>1.0</v>
      </c>
      <c r="S518">
        <f t="shared" si="1"/>
        <v>2021</v>
      </c>
      <c r="T518">
        <f t="shared" si="2"/>
        <v>5</v>
      </c>
      <c r="U518">
        <f t="shared" si="3"/>
        <v>1</v>
      </c>
      <c r="W518" s="17">
        <v>44610.0</v>
      </c>
      <c r="Z518" s="17">
        <v>44718.0</v>
      </c>
      <c r="AG518" s="15"/>
      <c r="AH518" s="16"/>
      <c r="AM518" s="15"/>
      <c r="AN518" s="16"/>
    </row>
    <row r="519">
      <c r="A519" s="13" t="s">
        <v>1148</v>
      </c>
      <c r="B519" s="17">
        <v>44317.0</v>
      </c>
      <c r="C519" s="11" t="s">
        <v>192</v>
      </c>
      <c r="D519" s="11" t="s">
        <v>93</v>
      </c>
      <c r="E519" s="11" t="s">
        <v>39</v>
      </c>
      <c r="F519" s="11" t="s">
        <v>40</v>
      </c>
      <c r="G519" s="11" t="s">
        <v>45</v>
      </c>
      <c r="H519" s="11" t="s">
        <v>73</v>
      </c>
      <c r="I519" s="11" t="s">
        <v>173</v>
      </c>
      <c r="J519" s="11">
        <v>19.0</v>
      </c>
      <c r="K519" s="12">
        <v>45152.0</v>
      </c>
      <c r="L519" s="11"/>
      <c r="M519" s="11">
        <v>694968.0</v>
      </c>
      <c r="N519" s="11" t="s">
        <v>1149</v>
      </c>
      <c r="O519" s="13"/>
      <c r="P519" s="11">
        <v>0.0</v>
      </c>
      <c r="Q519" s="14">
        <v>0.0</v>
      </c>
      <c r="R519" s="11">
        <v>1.0</v>
      </c>
      <c r="S519">
        <f t="shared" si="1"/>
        <v>2021</v>
      </c>
      <c r="T519">
        <f t="shared" si="2"/>
        <v>5</v>
      </c>
      <c r="U519">
        <f t="shared" si="3"/>
        <v>1</v>
      </c>
      <c r="Z519" s="17"/>
      <c r="AA519" s="17"/>
      <c r="AB519" s="13"/>
      <c r="AG519" s="15"/>
      <c r="AH519" s="16"/>
      <c r="AM519" s="15"/>
      <c r="AN519" s="16"/>
    </row>
    <row r="520">
      <c r="A520" s="13" t="s">
        <v>1150</v>
      </c>
      <c r="B520" s="10">
        <v>44317.0</v>
      </c>
      <c r="C520" s="11" t="s">
        <v>346</v>
      </c>
      <c r="D520" s="11" t="s">
        <v>38</v>
      </c>
      <c r="E520" s="11" t="s">
        <v>270</v>
      </c>
      <c r="F520" s="11" t="s">
        <v>40</v>
      </c>
      <c r="G520" s="11" t="s">
        <v>53</v>
      </c>
      <c r="H520" s="11"/>
      <c r="I520" s="11"/>
      <c r="J520" s="11">
        <v>25.0</v>
      </c>
      <c r="K520" s="12"/>
      <c r="L520" s="11"/>
      <c r="M520" s="11">
        <v>620439.0</v>
      </c>
      <c r="N520" s="11">
        <v>15519.0</v>
      </c>
      <c r="O520" s="13"/>
      <c r="P520" s="11">
        <v>0.0</v>
      </c>
      <c r="Q520" s="14">
        <v>0.0</v>
      </c>
      <c r="R520" s="11">
        <v>1.0</v>
      </c>
      <c r="S520">
        <f t="shared" si="1"/>
        <v>2021</v>
      </c>
      <c r="T520">
        <f t="shared" si="2"/>
        <v>5</v>
      </c>
      <c r="U520">
        <f t="shared" si="3"/>
        <v>1</v>
      </c>
      <c r="Z520" s="17">
        <v>44656.0</v>
      </c>
      <c r="AG520" s="15"/>
      <c r="AH520" s="16"/>
      <c r="AM520" s="15"/>
      <c r="AN520" s="16"/>
    </row>
    <row r="521">
      <c r="A521" s="13" t="s">
        <v>1151</v>
      </c>
      <c r="B521" s="10">
        <v>44317.0</v>
      </c>
      <c r="C521" s="11" t="s">
        <v>126</v>
      </c>
      <c r="D521" s="11" t="s">
        <v>93</v>
      </c>
      <c r="E521" s="11" t="s">
        <v>39</v>
      </c>
      <c r="F521" s="11" t="s">
        <v>64</v>
      </c>
      <c r="G521" s="11" t="s">
        <v>45</v>
      </c>
      <c r="H521" s="11" t="s">
        <v>163</v>
      </c>
      <c r="I521" s="11" t="s">
        <v>1152</v>
      </c>
      <c r="J521" s="11">
        <v>20.0</v>
      </c>
      <c r="K521" s="12">
        <v>44729.0</v>
      </c>
      <c r="L521" s="11">
        <f t="shared" ref="L521:L524" si="55">ROUND(((K521-B521)/365)*12,0)</f>
        <v>14</v>
      </c>
      <c r="M521" s="11">
        <v>680736.0</v>
      </c>
      <c r="N521" s="11">
        <v>31204.0</v>
      </c>
      <c r="O521" s="13"/>
      <c r="P521" s="11">
        <v>0.0</v>
      </c>
      <c r="Q521" s="14">
        <v>0.0</v>
      </c>
      <c r="R521" s="11">
        <v>1.0</v>
      </c>
      <c r="S521">
        <f t="shared" si="1"/>
        <v>2021</v>
      </c>
      <c r="T521">
        <f t="shared" si="2"/>
        <v>5</v>
      </c>
      <c r="U521">
        <f t="shared" si="3"/>
        <v>1</v>
      </c>
      <c r="X521" s="17">
        <v>44629.0</v>
      </c>
      <c r="Z521" s="17">
        <v>44729.0</v>
      </c>
      <c r="AG521" s="15"/>
      <c r="AH521" s="16"/>
      <c r="AM521" s="15"/>
      <c r="AN521" s="16"/>
    </row>
    <row r="522">
      <c r="A522" s="13" t="s">
        <v>1153</v>
      </c>
      <c r="B522" s="10">
        <v>44317.0</v>
      </c>
      <c r="C522" s="11" t="s">
        <v>126</v>
      </c>
      <c r="D522" s="11" t="s">
        <v>38</v>
      </c>
      <c r="E522" s="11" t="s">
        <v>39</v>
      </c>
      <c r="F522" s="11" t="s">
        <v>40</v>
      </c>
      <c r="G522" s="11" t="s">
        <v>45</v>
      </c>
      <c r="H522" s="11" t="s">
        <v>73</v>
      </c>
      <c r="I522" s="11" t="s">
        <v>1154</v>
      </c>
      <c r="J522" s="11">
        <v>29.0</v>
      </c>
      <c r="K522" s="12">
        <v>45043.0</v>
      </c>
      <c r="L522" s="11">
        <f t="shared" si="55"/>
        <v>24</v>
      </c>
      <c r="M522" s="11">
        <v>592779.0</v>
      </c>
      <c r="N522" s="11">
        <v>16727.0</v>
      </c>
      <c r="O522" s="13"/>
      <c r="P522" s="11">
        <v>0.0</v>
      </c>
      <c r="Q522" s="14">
        <v>0.0</v>
      </c>
      <c r="R522" s="11">
        <v>1.0</v>
      </c>
      <c r="S522">
        <f t="shared" si="1"/>
        <v>2021</v>
      </c>
      <c r="T522">
        <f t="shared" si="2"/>
        <v>5</v>
      </c>
      <c r="U522">
        <f t="shared" si="3"/>
        <v>1</v>
      </c>
      <c r="Z522" s="17">
        <v>44796.0</v>
      </c>
      <c r="AG522" s="15"/>
      <c r="AH522" s="16"/>
      <c r="AM522" s="15"/>
      <c r="AN522" s="16"/>
    </row>
    <row r="523">
      <c r="A523" s="13" t="s">
        <v>708</v>
      </c>
      <c r="B523" s="10">
        <v>44317.0</v>
      </c>
      <c r="C523" s="11" t="s">
        <v>49</v>
      </c>
      <c r="D523" s="11" t="s">
        <v>709</v>
      </c>
      <c r="E523" s="11" t="s">
        <v>39</v>
      </c>
      <c r="F523" s="11" t="s">
        <v>40</v>
      </c>
      <c r="G523" s="11" t="s">
        <v>45</v>
      </c>
      <c r="H523" s="11" t="s">
        <v>84</v>
      </c>
      <c r="I523" s="11"/>
      <c r="J523" s="11">
        <v>20.0</v>
      </c>
      <c r="K523" s="12">
        <v>45753.0</v>
      </c>
      <c r="L523" s="11">
        <f t="shared" si="55"/>
        <v>47</v>
      </c>
      <c r="M523" s="11">
        <v>682929.0</v>
      </c>
      <c r="N523" s="11" t="s">
        <v>710</v>
      </c>
      <c r="O523" s="13"/>
      <c r="P523" s="11">
        <v>0.0</v>
      </c>
      <c r="Q523" s="14">
        <v>0.0</v>
      </c>
      <c r="R523" s="11">
        <v>1.0</v>
      </c>
      <c r="S523">
        <f t="shared" si="1"/>
        <v>2021</v>
      </c>
      <c r="T523">
        <f t="shared" si="2"/>
        <v>5</v>
      </c>
      <c r="U523">
        <f t="shared" si="3"/>
        <v>1</v>
      </c>
      <c r="Z523" s="17">
        <v>45753.0</v>
      </c>
      <c r="AA523" s="17">
        <v>44562.0</v>
      </c>
      <c r="AB523" s="13" t="s">
        <v>1155</v>
      </c>
      <c r="AG523" s="15"/>
      <c r="AH523" s="16"/>
      <c r="AM523" s="15"/>
      <c r="AN523" s="16"/>
    </row>
    <row r="524">
      <c r="A524" s="13" t="s">
        <v>1156</v>
      </c>
      <c r="B524" s="10">
        <v>44317.0</v>
      </c>
      <c r="C524" s="11" t="s">
        <v>49</v>
      </c>
      <c r="D524" s="11" t="s">
        <v>58</v>
      </c>
      <c r="E524" s="11" t="s">
        <v>39</v>
      </c>
      <c r="F524" s="11" t="s">
        <v>40</v>
      </c>
      <c r="G524" s="11" t="s">
        <v>41</v>
      </c>
      <c r="H524" s="11"/>
      <c r="I524" s="11"/>
      <c r="J524" s="11">
        <v>26.0</v>
      </c>
      <c r="K524" s="12">
        <v>44792.0</v>
      </c>
      <c r="L524" s="11">
        <f t="shared" si="55"/>
        <v>16</v>
      </c>
      <c r="M524" s="11">
        <v>656083.0</v>
      </c>
      <c r="N524" s="11" t="s">
        <v>1157</v>
      </c>
      <c r="O524" s="13"/>
      <c r="P524" s="11">
        <v>0.0</v>
      </c>
      <c r="Q524" s="14">
        <v>0.0</v>
      </c>
      <c r="R524" s="11">
        <v>1.0</v>
      </c>
      <c r="S524">
        <f t="shared" si="1"/>
        <v>2021</v>
      </c>
      <c r="T524">
        <f t="shared" si="2"/>
        <v>5</v>
      </c>
      <c r="U524">
        <f t="shared" si="3"/>
        <v>1</v>
      </c>
      <c r="Z524" s="17">
        <v>44764.0</v>
      </c>
      <c r="AG524" s="15"/>
      <c r="AH524" s="16"/>
      <c r="AM524" s="15"/>
      <c r="AN524" s="16"/>
    </row>
    <row r="525">
      <c r="A525" s="13" t="s">
        <v>1158</v>
      </c>
      <c r="B525" s="10">
        <v>44317.0</v>
      </c>
      <c r="C525" s="11" t="s">
        <v>108</v>
      </c>
      <c r="D525" s="11" t="s">
        <v>709</v>
      </c>
      <c r="E525" s="11" t="s">
        <v>39</v>
      </c>
      <c r="F525" s="11" t="s">
        <v>64</v>
      </c>
      <c r="G525" s="11" t="s">
        <v>45</v>
      </c>
      <c r="H525" s="11" t="s">
        <v>46</v>
      </c>
      <c r="I525" s="11" t="s">
        <v>1159</v>
      </c>
      <c r="J525" s="11">
        <v>23.0</v>
      </c>
      <c r="K525" s="12"/>
      <c r="L525" s="11"/>
      <c r="M525" s="11">
        <v>686481.0</v>
      </c>
      <c r="N525" s="11" t="s">
        <v>1160</v>
      </c>
      <c r="O525" s="13"/>
      <c r="P525" s="11">
        <v>0.0</v>
      </c>
      <c r="Q525" s="14">
        <v>0.0</v>
      </c>
      <c r="R525" s="11">
        <v>0.0</v>
      </c>
      <c r="S525">
        <f t="shared" si="1"/>
        <v>2021</v>
      </c>
      <c r="T525">
        <f t="shared" si="2"/>
        <v>5</v>
      </c>
      <c r="U525">
        <f t="shared" si="3"/>
        <v>1</v>
      </c>
      <c r="V525" s="17">
        <v>44489.0</v>
      </c>
      <c r="AG525" s="15"/>
      <c r="AH525" s="16"/>
      <c r="AM525" s="15"/>
      <c r="AN525" s="16"/>
    </row>
    <row r="526">
      <c r="A526" s="13" t="s">
        <v>1161</v>
      </c>
      <c r="B526" s="10">
        <v>44317.0</v>
      </c>
      <c r="C526" s="11" t="s">
        <v>150</v>
      </c>
      <c r="D526" s="11" t="s">
        <v>88</v>
      </c>
      <c r="E526" s="11" t="s">
        <v>39</v>
      </c>
      <c r="F526" s="11" t="s">
        <v>64</v>
      </c>
      <c r="G526" s="11" t="s">
        <v>45</v>
      </c>
      <c r="H526" s="11" t="s">
        <v>59</v>
      </c>
      <c r="I526" s="11"/>
      <c r="J526" s="11">
        <v>24.0</v>
      </c>
      <c r="K526" s="12"/>
      <c r="L526" s="11"/>
      <c r="M526" s="11">
        <v>665053.0</v>
      </c>
      <c r="N526" s="11" t="s">
        <v>1162</v>
      </c>
      <c r="O526" s="13"/>
      <c r="P526" s="11">
        <v>0.0</v>
      </c>
      <c r="Q526" s="14">
        <v>0.0</v>
      </c>
      <c r="R526" s="11">
        <v>0.0</v>
      </c>
      <c r="S526">
        <f t="shared" si="1"/>
        <v>2021</v>
      </c>
      <c r="T526">
        <f t="shared" si="2"/>
        <v>5</v>
      </c>
      <c r="U526">
        <f t="shared" si="3"/>
        <v>1</v>
      </c>
      <c r="AG526" s="15"/>
      <c r="AH526" s="16"/>
      <c r="AM526" s="15"/>
      <c r="AN526" s="16"/>
    </row>
    <row r="527">
      <c r="A527" s="19" t="s">
        <v>1163</v>
      </c>
      <c r="B527" s="29">
        <v>44317.0</v>
      </c>
      <c r="C527" s="21" t="s">
        <v>230</v>
      </c>
      <c r="D527" s="21" t="s">
        <v>38</v>
      </c>
      <c r="E527" s="21" t="s">
        <v>39</v>
      </c>
      <c r="F527" s="21" t="s">
        <v>40</v>
      </c>
      <c r="G527" s="21" t="s">
        <v>45</v>
      </c>
      <c r="H527" s="21" t="s">
        <v>566</v>
      </c>
      <c r="I527" s="21"/>
      <c r="J527" s="21">
        <v>24.0</v>
      </c>
      <c r="K527" s="35"/>
      <c r="L527" s="21"/>
      <c r="M527" s="21">
        <v>664714.0</v>
      </c>
      <c r="N527" s="21">
        <v>19942.0</v>
      </c>
      <c r="O527" s="19"/>
      <c r="P527" s="21">
        <v>0.0</v>
      </c>
      <c r="Q527" s="23">
        <v>0.0</v>
      </c>
      <c r="R527" s="18">
        <v>0.0</v>
      </c>
      <c r="S527" s="33">
        <f t="shared" si="1"/>
        <v>2021</v>
      </c>
      <c r="T527" s="33">
        <f t="shared" si="2"/>
        <v>5</v>
      </c>
      <c r="U527" s="33">
        <f t="shared" si="3"/>
        <v>1</v>
      </c>
      <c r="V527" s="24"/>
      <c r="W527" s="24"/>
      <c r="X527" s="24"/>
      <c r="Y527" s="24"/>
      <c r="Z527" s="34">
        <v>44747.0</v>
      </c>
      <c r="AA527" s="24"/>
      <c r="AB527" s="24"/>
      <c r="AC527" s="24"/>
      <c r="AD527" s="24"/>
      <c r="AE527" s="24"/>
      <c r="AF527" s="24"/>
      <c r="AG527" s="26"/>
      <c r="AH527" s="27"/>
      <c r="AI527" s="24"/>
      <c r="AJ527" s="24"/>
      <c r="AK527" s="24"/>
      <c r="AL527" s="24"/>
      <c r="AM527" s="26"/>
      <c r="AN527" s="27"/>
      <c r="AO527" s="24"/>
      <c r="AP527" s="24"/>
    </row>
    <row r="528">
      <c r="A528" s="13" t="s">
        <v>1164</v>
      </c>
      <c r="B528" s="10">
        <v>44314.0</v>
      </c>
      <c r="C528" s="11" t="s">
        <v>76</v>
      </c>
      <c r="D528" s="11" t="s">
        <v>38</v>
      </c>
      <c r="E528" s="11" t="s">
        <v>39</v>
      </c>
      <c r="F528" s="11" t="s">
        <v>64</v>
      </c>
      <c r="G528" s="11" t="s">
        <v>53</v>
      </c>
      <c r="H528" s="11"/>
      <c r="I528" s="11"/>
      <c r="J528" s="11">
        <v>31.0</v>
      </c>
      <c r="K528" s="12"/>
      <c r="L528" s="11"/>
      <c r="M528" s="11">
        <v>501593.0</v>
      </c>
      <c r="N528" s="11">
        <v>2882.0</v>
      </c>
      <c r="O528" s="13"/>
      <c r="P528" s="11">
        <v>0.0</v>
      </c>
      <c r="Q528" s="14">
        <v>0.0</v>
      </c>
      <c r="R528" s="11">
        <v>0.0</v>
      </c>
      <c r="S528">
        <f t="shared" si="1"/>
        <v>2021</v>
      </c>
      <c r="T528">
        <f t="shared" si="2"/>
        <v>4</v>
      </c>
      <c r="U528">
        <f t="shared" si="3"/>
        <v>28</v>
      </c>
      <c r="Z528" s="17">
        <v>44692.0</v>
      </c>
      <c r="AG528" s="15"/>
      <c r="AH528" s="16"/>
      <c r="AM528" s="15"/>
      <c r="AN528" s="16"/>
    </row>
    <row r="529">
      <c r="A529" s="13" t="s">
        <v>1165</v>
      </c>
      <c r="B529" s="17">
        <v>44306.0</v>
      </c>
      <c r="C529" s="11" t="s">
        <v>192</v>
      </c>
      <c r="D529" s="11" t="s">
        <v>93</v>
      </c>
      <c r="E529" s="11" t="s">
        <v>39</v>
      </c>
      <c r="F529" s="11" t="s">
        <v>40</v>
      </c>
      <c r="G529" s="11" t="s">
        <v>45</v>
      </c>
      <c r="H529" s="11" t="s">
        <v>669</v>
      </c>
      <c r="I529" s="11" t="s">
        <v>619</v>
      </c>
      <c r="J529" s="11">
        <v>21.0</v>
      </c>
      <c r="K529" s="12">
        <v>44754.0</v>
      </c>
      <c r="L529" s="11">
        <f t="shared" ref="L529:L536" si="56">ROUND(((K529-B529)/365)*12,0)</f>
        <v>15</v>
      </c>
      <c r="M529" s="11">
        <v>677955.0</v>
      </c>
      <c r="N529" s="11">
        <v>30250.0</v>
      </c>
      <c r="O529" s="13"/>
      <c r="P529" s="11">
        <v>0.0</v>
      </c>
      <c r="Q529" s="14">
        <v>0.0</v>
      </c>
      <c r="R529" s="11">
        <v>1.0</v>
      </c>
      <c r="S529">
        <f t="shared" si="1"/>
        <v>2021</v>
      </c>
      <c r="T529">
        <f t="shared" si="2"/>
        <v>4</v>
      </c>
      <c r="U529">
        <f t="shared" si="3"/>
        <v>20</v>
      </c>
      <c r="Z529" s="17">
        <v>44754.0</v>
      </c>
      <c r="AG529" s="15"/>
      <c r="AH529" s="16"/>
      <c r="AM529" s="15"/>
      <c r="AN529" s="16"/>
    </row>
    <row r="530">
      <c r="A530" s="13" t="s">
        <v>1166</v>
      </c>
      <c r="B530" s="17">
        <v>44306.0</v>
      </c>
      <c r="C530" s="11" t="s">
        <v>346</v>
      </c>
      <c r="D530" s="11" t="s">
        <v>93</v>
      </c>
      <c r="E530" s="11" t="s">
        <v>39</v>
      </c>
      <c r="F530" s="11" t="s">
        <v>64</v>
      </c>
      <c r="G530" s="11" t="s">
        <v>45</v>
      </c>
      <c r="H530" s="11" t="s">
        <v>84</v>
      </c>
      <c r="I530" s="11" t="s">
        <v>1167</v>
      </c>
      <c r="J530" s="11">
        <v>21.0</v>
      </c>
      <c r="K530" s="12">
        <v>45072.0</v>
      </c>
      <c r="L530" s="11">
        <f t="shared" si="56"/>
        <v>25</v>
      </c>
      <c r="M530" s="11">
        <v>695351.0</v>
      </c>
      <c r="N530" s="11" t="s">
        <v>1168</v>
      </c>
      <c r="O530" s="13"/>
      <c r="P530" s="11">
        <v>0.0</v>
      </c>
      <c r="Q530" s="14">
        <v>0.0</v>
      </c>
      <c r="R530" s="11">
        <v>1.0</v>
      </c>
      <c r="S530">
        <f t="shared" si="1"/>
        <v>2021</v>
      </c>
      <c r="T530">
        <f t="shared" si="2"/>
        <v>4</v>
      </c>
      <c r="U530">
        <f t="shared" si="3"/>
        <v>20</v>
      </c>
      <c r="Z530" s="17">
        <v>45072.0</v>
      </c>
      <c r="AG530" s="15"/>
      <c r="AH530" s="16"/>
      <c r="AM530" s="15"/>
      <c r="AN530" s="16"/>
    </row>
    <row r="531">
      <c r="A531" s="13" t="s">
        <v>1169</v>
      </c>
      <c r="B531" s="10">
        <v>44306.0</v>
      </c>
      <c r="C531" s="11" t="s">
        <v>175</v>
      </c>
      <c r="D531" s="11" t="s">
        <v>38</v>
      </c>
      <c r="E531" s="11" t="s">
        <v>39</v>
      </c>
      <c r="F531" s="11" t="s">
        <v>64</v>
      </c>
      <c r="G531" s="11" t="s">
        <v>483</v>
      </c>
      <c r="H531" s="11"/>
      <c r="I531" s="11"/>
      <c r="J531" s="11">
        <v>22.0</v>
      </c>
      <c r="K531" s="12">
        <v>44719.0</v>
      </c>
      <c r="L531" s="11">
        <f t="shared" si="56"/>
        <v>14</v>
      </c>
      <c r="M531" s="11">
        <v>670970.0</v>
      </c>
      <c r="N531" s="11">
        <v>20039.0</v>
      </c>
      <c r="O531" s="13" t="s">
        <v>69</v>
      </c>
      <c r="P531" s="11">
        <v>0.0</v>
      </c>
      <c r="Q531" s="14">
        <v>0.0</v>
      </c>
      <c r="R531" s="11">
        <v>1.0</v>
      </c>
      <c r="S531">
        <f t="shared" si="1"/>
        <v>2021</v>
      </c>
      <c r="T531">
        <f t="shared" si="2"/>
        <v>4</v>
      </c>
      <c r="U531">
        <f t="shared" si="3"/>
        <v>20</v>
      </c>
      <c r="Z531" s="17">
        <v>44691.0</v>
      </c>
      <c r="AG531" s="15"/>
      <c r="AH531" s="16"/>
      <c r="AM531" s="15"/>
      <c r="AN531" s="16"/>
    </row>
    <row r="532">
      <c r="A532" s="13" t="s">
        <v>1170</v>
      </c>
      <c r="B532" s="10">
        <v>44300.0</v>
      </c>
      <c r="C532" s="11" t="s">
        <v>230</v>
      </c>
      <c r="D532" s="11" t="s">
        <v>38</v>
      </c>
      <c r="E532" s="11" t="s">
        <v>39</v>
      </c>
      <c r="F532" s="11" t="s">
        <v>64</v>
      </c>
      <c r="G532" s="11" t="s">
        <v>194</v>
      </c>
      <c r="H532" s="11"/>
      <c r="I532" s="11"/>
      <c r="J532" s="11">
        <v>32.0</v>
      </c>
      <c r="K532" s="12">
        <v>45058.0</v>
      </c>
      <c r="L532" s="11">
        <f t="shared" si="56"/>
        <v>25</v>
      </c>
      <c r="M532" s="11">
        <v>572020.0</v>
      </c>
      <c r="N532" s="11">
        <v>11828.0</v>
      </c>
      <c r="O532" s="13" t="s">
        <v>69</v>
      </c>
      <c r="P532" s="11">
        <v>0.0</v>
      </c>
      <c r="Q532" s="14">
        <v>0.0</v>
      </c>
      <c r="R532" s="11">
        <v>1.0</v>
      </c>
      <c r="S532">
        <f t="shared" si="1"/>
        <v>2021</v>
      </c>
      <c r="T532">
        <f t="shared" si="2"/>
        <v>4</v>
      </c>
      <c r="U532">
        <f t="shared" si="3"/>
        <v>14</v>
      </c>
      <c r="V532" s="17">
        <v>44458.0</v>
      </c>
      <c r="X532" s="17">
        <v>44666.0</v>
      </c>
      <c r="Z532" s="17">
        <v>44791.0</v>
      </c>
      <c r="AA532" s="17">
        <v>44798.0</v>
      </c>
      <c r="AB532" s="13" t="s">
        <v>1171</v>
      </c>
      <c r="AG532" s="15"/>
      <c r="AH532" s="16"/>
      <c r="AM532" s="15"/>
      <c r="AN532" s="16"/>
    </row>
    <row r="533">
      <c r="A533" s="13" t="s">
        <v>1172</v>
      </c>
      <c r="B533" s="10">
        <v>44299.0</v>
      </c>
      <c r="C533" s="11" t="s">
        <v>72</v>
      </c>
      <c r="D533" s="11" t="s">
        <v>77</v>
      </c>
      <c r="E533" s="11" t="s">
        <v>39</v>
      </c>
      <c r="F533" s="11" t="s">
        <v>40</v>
      </c>
      <c r="G533" s="11" t="s">
        <v>53</v>
      </c>
      <c r="H533" s="11"/>
      <c r="I533" s="11"/>
      <c r="J533" s="11">
        <v>22.0</v>
      </c>
      <c r="K533" s="12">
        <v>44740.0</v>
      </c>
      <c r="L533" s="11">
        <f t="shared" si="56"/>
        <v>14</v>
      </c>
      <c r="M533" s="11">
        <v>667356.0</v>
      </c>
      <c r="N533" s="11" t="s">
        <v>1173</v>
      </c>
      <c r="O533" s="13" t="s">
        <v>69</v>
      </c>
      <c r="P533" s="11">
        <v>0.0</v>
      </c>
      <c r="Q533" s="14">
        <v>0.0</v>
      </c>
      <c r="R533" s="11">
        <v>1.0</v>
      </c>
      <c r="S533">
        <f t="shared" si="1"/>
        <v>2021</v>
      </c>
      <c r="T533">
        <f t="shared" si="2"/>
        <v>4</v>
      </c>
      <c r="U533">
        <f t="shared" si="3"/>
        <v>13</v>
      </c>
      <c r="Z533" s="17">
        <v>44716.0</v>
      </c>
      <c r="AG533" s="15"/>
      <c r="AH533" s="16"/>
      <c r="AM533" s="15"/>
      <c r="AN533" s="16"/>
    </row>
    <row r="534">
      <c r="A534" s="13" t="s">
        <v>1174</v>
      </c>
      <c r="B534" s="10">
        <v>44299.0</v>
      </c>
      <c r="C534" s="11" t="s">
        <v>230</v>
      </c>
      <c r="D534" s="11" t="s">
        <v>77</v>
      </c>
      <c r="E534" s="11" t="s">
        <v>39</v>
      </c>
      <c r="F534" s="11" t="s">
        <v>40</v>
      </c>
      <c r="G534" s="11" t="s">
        <v>45</v>
      </c>
      <c r="H534" s="11" t="s">
        <v>67</v>
      </c>
      <c r="I534" s="11" t="s">
        <v>1175</v>
      </c>
      <c r="J534" s="11">
        <v>26.0</v>
      </c>
      <c r="K534" s="12">
        <v>45141.0</v>
      </c>
      <c r="L534" s="11">
        <f t="shared" si="56"/>
        <v>28</v>
      </c>
      <c r="M534" s="11">
        <v>676845.0</v>
      </c>
      <c r="N534" s="11" t="s">
        <v>1176</v>
      </c>
      <c r="O534" s="13"/>
      <c r="P534" s="11">
        <v>0.0</v>
      </c>
      <c r="Q534" s="14">
        <v>0.0</v>
      </c>
      <c r="R534" s="11">
        <v>1.0</v>
      </c>
      <c r="S534">
        <f t="shared" si="1"/>
        <v>2021</v>
      </c>
      <c r="T534">
        <f t="shared" si="2"/>
        <v>4</v>
      </c>
      <c r="U534">
        <f t="shared" si="3"/>
        <v>13</v>
      </c>
      <c r="Z534" s="17">
        <v>44709.0</v>
      </c>
      <c r="AG534" s="15"/>
      <c r="AH534" s="16"/>
      <c r="AM534" s="15"/>
      <c r="AN534" s="16"/>
    </row>
    <row r="535">
      <c r="A535" s="13" t="s">
        <v>1177</v>
      </c>
      <c r="B535" s="10">
        <v>44299.0</v>
      </c>
      <c r="C535" s="11" t="s">
        <v>230</v>
      </c>
      <c r="D535" s="11" t="s">
        <v>93</v>
      </c>
      <c r="E535" s="11" t="s">
        <v>39</v>
      </c>
      <c r="F535" s="11" t="s">
        <v>40</v>
      </c>
      <c r="G535" s="11" t="s">
        <v>45</v>
      </c>
      <c r="H535" s="11" t="s">
        <v>127</v>
      </c>
      <c r="I535" s="11" t="s">
        <v>826</v>
      </c>
      <c r="J535" s="11">
        <v>24.0</v>
      </c>
      <c r="K535" s="12">
        <v>44789.0</v>
      </c>
      <c r="L535" s="11">
        <f t="shared" si="56"/>
        <v>16</v>
      </c>
      <c r="M535" s="11">
        <v>686654.0</v>
      </c>
      <c r="N535" s="11">
        <v>25651.0</v>
      </c>
      <c r="O535" s="13" t="s">
        <v>355</v>
      </c>
      <c r="P535" s="11">
        <v>0.0</v>
      </c>
      <c r="Q535" s="14">
        <v>0.0</v>
      </c>
      <c r="R535" s="11">
        <v>1.0</v>
      </c>
      <c r="S535">
        <f t="shared" si="1"/>
        <v>2021</v>
      </c>
      <c r="T535">
        <f t="shared" si="2"/>
        <v>4</v>
      </c>
      <c r="U535">
        <f t="shared" si="3"/>
        <v>13</v>
      </c>
      <c r="Z535" s="17">
        <v>44789.0</v>
      </c>
      <c r="AG535" s="15"/>
      <c r="AH535" s="16"/>
      <c r="AM535" s="15"/>
      <c r="AN535" s="16"/>
    </row>
    <row r="536">
      <c r="A536" s="13" t="s">
        <v>1178</v>
      </c>
      <c r="B536" s="10">
        <v>44298.0</v>
      </c>
      <c r="C536" s="11" t="s">
        <v>186</v>
      </c>
      <c r="D536" s="11" t="s">
        <v>38</v>
      </c>
      <c r="E536" s="11" t="s">
        <v>39</v>
      </c>
      <c r="F536" s="11" t="s">
        <v>40</v>
      </c>
      <c r="G536" s="11" t="s">
        <v>41</v>
      </c>
      <c r="H536" s="11"/>
      <c r="I536" s="11"/>
      <c r="J536" s="11">
        <v>24.0</v>
      </c>
      <c r="K536" s="12">
        <v>44758.0</v>
      </c>
      <c r="L536" s="11">
        <f t="shared" si="56"/>
        <v>15</v>
      </c>
      <c r="M536" s="11">
        <v>642546.0</v>
      </c>
      <c r="N536" s="11">
        <v>17464.0</v>
      </c>
      <c r="O536" s="13" t="s">
        <v>42</v>
      </c>
      <c r="P536" s="11">
        <v>0.0</v>
      </c>
      <c r="Q536" s="14">
        <v>0.0</v>
      </c>
      <c r="R536" s="11">
        <v>1.0</v>
      </c>
      <c r="S536">
        <f t="shared" si="1"/>
        <v>2021</v>
      </c>
      <c r="T536">
        <f t="shared" si="2"/>
        <v>4</v>
      </c>
      <c r="U536">
        <f t="shared" si="3"/>
        <v>12</v>
      </c>
      <c r="Z536" s="17">
        <v>44715.0</v>
      </c>
      <c r="AG536" s="15"/>
      <c r="AH536" s="16"/>
      <c r="AM536" s="15"/>
      <c r="AN536" s="16"/>
    </row>
    <row r="537">
      <c r="A537" s="13" t="s">
        <v>1179</v>
      </c>
      <c r="B537" s="10">
        <v>44293.0</v>
      </c>
      <c r="C537" s="11" t="s">
        <v>358</v>
      </c>
      <c r="D537" s="11" t="s">
        <v>97</v>
      </c>
      <c r="E537" s="11" t="s">
        <v>39</v>
      </c>
      <c r="F537" s="11" t="s">
        <v>40</v>
      </c>
      <c r="G537" s="11" t="s">
        <v>194</v>
      </c>
      <c r="H537" s="11"/>
      <c r="I537" s="11"/>
      <c r="J537" s="11">
        <v>25.0</v>
      </c>
      <c r="K537" s="12"/>
      <c r="L537" s="11"/>
      <c r="M537" s="11">
        <v>647282.0</v>
      </c>
      <c r="N537" s="11" t="s">
        <v>1180</v>
      </c>
      <c r="O537" s="13" t="s">
        <v>773</v>
      </c>
      <c r="P537" s="11">
        <v>0.0</v>
      </c>
      <c r="Q537" s="14">
        <v>0.0</v>
      </c>
      <c r="R537" s="11">
        <v>0.0</v>
      </c>
      <c r="S537">
        <f t="shared" si="1"/>
        <v>2021</v>
      </c>
      <c r="T537">
        <f t="shared" si="2"/>
        <v>4</v>
      </c>
      <c r="U537">
        <f t="shared" si="3"/>
        <v>7</v>
      </c>
      <c r="V537" s="17">
        <v>44453.0</v>
      </c>
      <c r="AG537" s="15"/>
      <c r="AH537" s="16"/>
      <c r="AM537" s="15"/>
      <c r="AN537" s="16"/>
    </row>
    <row r="538">
      <c r="A538" s="13" t="s">
        <v>1181</v>
      </c>
      <c r="B538" s="17">
        <v>44287.0</v>
      </c>
      <c r="C538" s="11" t="s">
        <v>358</v>
      </c>
      <c r="D538" s="11" t="s">
        <v>93</v>
      </c>
      <c r="E538" s="11" t="s">
        <v>39</v>
      </c>
      <c r="F538" s="11" t="s">
        <v>40</v>
      </c>
      <c r="G538" s="11" t="s">
        <v>45</v>
      </c>
      <c r="H538" s="11" t="s">
        <v>84</v>
      </c>
      <c r="I538" s="11" t="s">
        <v>391</v>
      </c>
      <c r="J538" s="11">
        <v>20.0</v>
      </c>
      <c r="K538" s="12">
        <v>45149.0</v>
      </c>
      <c r="L538" s="11"/>
      <c r="M538" s="11">
        <v>687393.0</v>
      </c>
      <c r="N538" s="11" t="s">
        <v>1182</v>
      </c>
      <c r="O538" s="13"/>
      <c r="P538" s="11">
        <v>0.0</v>
      </c>
      <c r="Q538" s="14">
        <v>0.0</v>
      </c>
      <c r="R538" s="11">
        <v>1.0</v>
      </c>
      <c r="S538">
        <f t="shared" si="1"/>
        <v>2021</v>
      </c>
      <c r="T538">
        <f t="shared" si="2"/>
        <v>4</v>
      </c>
      <c r="U538">
        <f t="shared" si="3"/>
        <v>1</v>
      </c>
      <c r="Z538" s="17"/>
      <c r="AG538" s="15"/>
      <c r="AH538" s="16"/>
      <c r="AM538" s="15"/>
      <c r="AN538" s="16"/>
    </row>
    <row r="539">
      <c r="A539" s="13" t="s">
        <v>1183</v>
      </c>
      <c r="B539" s="10">
        <v>44287.0</v>
      </c>
      <c r="C539" s="11" t="s">
        <v>126</v>
      </c>
      <c r="D539" s="11" t="s">
        <v>93</v>
      </c>
      <c r="E539" s="11" t="s">
        <v>39</v>
      </c>
      <c r="F539" s="11" t="s">
        <v>64</v>
      </c>
      <c r="G539" s="11" t="s">
        <v>45</v>
      </c>
      <c r="H539" s="11" t="s">
        <v>173</v>
      </c>
      <c r="I539" s="11" t="s">
        <v>1184</v>
      </c>
      <c r="J539" s="11">
        <v>21.0</v>
      </c>
      <c r="K539" s="12">
        <v>44796.0</v>
      </c>
      <c r="L539" s="11">
        <f t="shared" ref="L539:L546" si="57">ROUND(((K539-B539)/365)*12,0)</f>
        <v>17</v>
      </c>
      <c r="M539" s="11">
        <v>680729.0</v>
      </c>
      <c r="N539" s="11" t="s">
        <v>1185</v>
      </c>
      <c r="O539" s="13"/>
      <c r="P539" s="11">
        <v>0.0</v>
      </c>
      <c r="Q539" s="14">
        <v>0.0</v>
      </c>
      <c r="R539" s="11">
        <v>1.0</v>
      </c>
      <c r="S539">
        <f t="shared" si="1"/>
        <v>2021</v>
      </c>
      <c r="T539">
        <f t="shared" si="2"/>
        <v>4</v>
      </c>
      <c r="U539">
        <f t="shared" si="3"/>
        <v>1</v>
      </c>
      <c r="Z539" s="17">
        <v>44796.0</v>
      </c>
      <c r="AG539" s="15"/>
      <c r="AH539" s="16"/>
      <c r="AM539" s="15"/>
      <c r="AN539" s="16"/>
    </row>
    <row r="540">
      <c r="A540" s="13" t="s">
        <v>1186</v>
      </c>
      <c r="B540" s="10">
        <v>44287.0</v>
      </c>
      <c r="C540" s="11" t="s">
        <v>108</v>
      </c>
      <c r="D540" s="11" t="s">
        <v>88</v>
      </c>
      <c r="E540" s="11" t="s">
        <v>39</v>
      </c>
      <c r="F540" s="11" t="s">
        <v>40</v>
      </c>
      <c r="G540" s="11" t="s">
        <v>45</v>
      </c>
      <c r="H540" s="11" t="s">
        <v>46</v>
      </c>
      <c r="I540" s="11" t="s">
        <v>47</v>
      </c>
      <c r="J540" s="11">
        <v>26.0</v>
      </c>
      <c r="K540" s="12">
        <v>44770.0</v>
      </c>
      <c r="L540" s="11">
        <f t="shared" si="57"/>
        <v>16</v>
      </c>
      <c r="M540" s="11">
        <v>641849.0</v>
      </c>
      <c r="N540" s="11" t="s">
        <v>1187</v>
      </c>
      <c r="O540" s="13"/>
      <c r="P540" s="11">
        <v>0.0</v>
      </c>
      <c r="Q540" s="14">
        <v>0.0</v>
      </c>
      <c r="R540" s="11">
        <v>1.0</v>
      </c>
      <c r="S540">
        <f t="shared" si="1"/>
        <v>2021</v>
      </c>
      <c r="T540">
        <f t="shared" si="2"/>
        <v>4</v>
      </c>
      <c r="U540">
        <f t="shared" si="3"/>
        <v>1</v>
      </c>
      <c r="Z540" s="17">
        <v>44754.0</v>
      </c>
      <c r="AG540" s="15"/>
      <c r="AH540" s="16"/>
      <c r="AM540" s="15"/>
      <c r="AN540" s="16"/>
    </row>
    <row r="541">
      <c r="A541" s="13" t="s">
        <v>1188</v>
      </c>
      <c r="B541" s="10">
        <v>44285.0</v>
      </c>
      <c r="C541" s="11" t="s">
        <v>175</v>
      </c>
      <c r="D541" s="11" t="s">
        <v>38</v>
      </c>
      <c r="E541" s="11" t="s">
        <v>39</v>
      </c>
      <c r="F541" s="11" t="s">
        <v>40</v>
      </c>
      <c r="G541" s="11" t="s">
        <v>483</v>
      </c>
      <c r="H541" s="11"/>
      <c r="I541" s="11"/>
      <c r="J541" s="11">
        <v>25.0</v>
      </c>
      <c r="K541" s="12">
        <v>44772.0</v>
      </c>
      <c r="L541" s="11">
        <f t="shared" si="57"/>
        <v>16</v>
      </c>
      <c r="M541" s="11">
        <v>673258.0</v>
      </c>
      <c r="N541" s="11">
        <v>20100.0</v>
      </c>
      <c r="O541" s="13"/>
      <c r="P541" s="11">
        <v>0.0</v>
      </c>
      <c r="Q541" s="14">
        <v>0.0</v>
      </c>
      <c r="R541" s="11">
        <v>1.0</v>
      </c>
      <c r="S541">
        <f t="shared" si="1"/>
        <v>2021</v>
      </c>
      <c r="T541">
        <f t="shared" si="2"/>
        <v>3</v>
      </c>
      <c r="U541">
        <f t="shared" si="3"/>
        <v>30</v>
      </c>
      <c r="Z541" s="17">
        <v>44681.0</v>
      </c>
      <c r="AG541" s="15"/>
      <c r="AH541" s="16"/>
      <c r="AM541" s="15"/>
      <c r="AN541" s="16"/>
    </row>
    <row r="542">
      <c r="A542" s="13" t="s">
        <v>86</v>
      </c>
      <c r="B542" s="10">
        <v>44285.0</v>
      </c>
      <c r="C542" s="11" t="s">
        <v>62</v>
      </c>
      <c r="D542" s="11" t="s">
        <v>88</v>
      </c>
      <c r="E542" s="11" t="s">
        <v>39</v>
      </c>
      <c r="F542" s="11" t="s">
        <v>40</v>
      </c>
      <c r="G542" s="11" t="s">
        <v>41</v>
      </c>
      <c r="H542" s="11"/>
      <c r="I542" s="11"/>
      <c r="J542" s="11">
        <v>25.0</v>
      </c>
      <c r="K542" s="12">
        <v>44720.0</v>
      </c>
      <c r="L542" s="11">
        <f t="shared" si="57"/>
        <v>14</v>
      </c>
      <c r="M542" s="11">
        <v>673380.0</v>
      </c>
      <c r="N542" s="11">
        <v>23055.0</v>
      </c>
      <c r="O542" s="13" t="s">
        <v>69</v>
      </c>
      <c r="P542" s="11">
        <v>0.0</v>
      </c>
      <c r="Q542" s="14">
        <v>0.0</v>
      </c>
      <c r="R542" s="11">
        <v>1.0</v>
      </c>
      <c r="S542">
        <f t="shared" si="1"/>
        <v>2021</v>
      </c>
      <c r="T542">
        <f t="shared" si="2"/>
        <v>3</v>
      </c>
      <c r="U542">
        <f t="shared" si="3"/>
        <v>30</v>
      </c>
      <c r="Z542" s="17">
        <v>44709.0</v>
      </c>
      <c r="AG542" s="15"/>
      <c r="AH542" s="16"/>
      <c r="AM542" s="15"/>
      <c r="AN542" s="16"/>
    </row>
    <row r="543">
      <c r="A543" s="13" t="s">
        <v>1189</v>
      </c>
      <c r="B543" s="10">
        <v>44285.0</v>
      </c>
      <c r="C543" s="11" t="s">
        <v>186</v>
      </c>
      <c r="D543" s="11" t="s">
        <v>38</v>
      </c>
      <c r="E543" s="11" t="s">
        <v>39</v>
      </c>
      <c r="F543" s="11" t="s">
        <v>40</v>
      </c>
      <c r="G543" s="11" t="s">
        <v>41</v>
      </c>
      <c r="H543" s="11"/>
      <c r="I543" s="11"/>
      <c r="J543" s="11">
        <v>27.0</v>
      </c>
      <c r="K543" s="12">
        <v>44730.0</v>
      </c>
      <c r="L543" s="11">
        <f t="shared" si="57"/>
        <v>15</v>
      </c>
      <c r="M543" s="11">
        <v>600917.0</v>
      </c>
      <c r="N543" s="11">
        <v>14524.0</v>
      </c>
      <c r="O543" s="13" t="s">
        <v>42</v>
      </c>
      <c r="P543" s="11">
        <v>0.0</v>
      </c>
      <c r="Q543" s="14">
        <v>0.0</v>
      </c>
      <c r="R543" s="11">
        <v>1.0</v>
      </c>
      <c r="S543">
        <f t="shared" si="1"/>
        <v>2021</v>
      </c>
      <c r="T543">
        <f t="shared" si="2"/>
        <v>3</v>
      </c>
      <c r="U543">
        <f t="shared" si="3"/>
        <v>30</v>
      </c>
      <c r="Z543" s="17">
        <v>44706.0</v>
      </c>
      <c r="AG543" s="15"/>
      <c r="AH543" s="16"/>
      <c r="AM543" s="15"/>
      <c r="AN543" s="16"/>
    </row>
    <row r="544">
      <c r="A544" s="13" t="s">
        <v>1190</v>
      </c>
      <c r="B544" s="17">
        <v>44282.0</v>
      </c>
      <c r="C544" s="11" t="s">
        <v>62</v>
      </c>
      <c r="D544" s="11" t="s">
        <v>38</v>
      </c>
      <c r="E544" s="11" t="s">
        <v>39</v>
      </c>
      <c r="F544" s="11" t="s">
        <v>40</v>
      </c>
      <c r="G544" s="11" t="s">
        <v>45</v>
      </c>
      <c r="H544" s="11" t="s">
        <v>222</v>
      </c>
      <c r="I544" s="11" t="s">
        <v>1191</v>
      </c>
      <c r="J544" s="11">
        <v>27.0</v>
      </c>
      <c r="K544" s="12">
        <v>44725.0</v>
      </c>
      <c r="L544" s="11">
        <f t="shared" si="57"/>
        <v>15</v>
      </c>
      <c r="M544" s="11">
        <v>670329.0</v>
      </c>
      <c r="N544" s="11">
        <v>20023.0</v>
      </c>
      <c r="O544" s="13"/>
      <c r="P544" s="11">
        <v>0.0</v>
      </c>
      <c r="Q544" s="14">
        <v>0.0</v>
      </c>
      <c r="R544" s="11">
        <v>1.0</v>
      </c>
      <c r="S544">
        <f t="shared" si="1"/>
        <v>2021</v>
      </c>
      <c r="T544">
        <f t="shared" si="2"/>
        <v>3</v>
      </c>
      <c r="U544">
        <f t="shared" si="3"/>
        <v>27</v>
      </c>
      <c r="Z544" s="17">
        <v>44678.0</v>
      </c>
      <c r="AG544" s="15"/>
      <c r="AH544" s="16"/>
      <c r="AM544" s="15"/>
      <c r="AN544" s="16"/>
    </row>
    <row r="545">
      <c r="A545" s="13" t="s">
        <v>1192</v>
      </c>
      <c r="B545" s="10">
        <v>44279.0</v>
      </c>
      <c r="C545" s="11" t="s">
        <v>230</v>
      </c>
      <c r="D545" s="11" t="s">
        <v>38</v>
      </c>
      <c r="E545" s="11" t="s">
        <v>39</v>
      </c>
      <c r="F545" s="11" t="s">
        <v>64</v>
      </c>
      <c r="G545" s="11" t="s">
        <v>483</v>
      </c>
      <c r="H545" s="11"/>
      <c r="I545" s="11"/>
      <c r="J545" s="11">
        <v>32.0</v>
      </c>
      <c r="K545" s="12">
        <v>44697.0</v>
      </c>
      <c r="L545" s="11">
        <f t="shared" si="57"/>
        <v>14</v>
      </c>
      <c r="M545" s="11">
        <v>606273.0</v>
      </c>
      <c r="N545" s="11">
        <v>12673.0</v>
      </c>
      <c r="O545" s="13"/>
      <c r="P545" s="11">
        <v>0.0</v>
      </c>
      <c r="Q545" s="14">
        <v>0.0</v>
      </c>
      <c r="R545" s="11">
        <v>1.0</v>
      </c>
      <c r="S545">
        <f t="shared" si="1"/>
        <v>2021</v>
      </c>
      <c r="T545">
        <f t="shared" si="2"/>
        <v>3</v>
      </c>
      <c r="U545">
        <f t="shared" si="3"/>
        <v>24</v>
      </c>
      <c r="Z545" s="17">
        <v>44664.0</v>
      </c>
      <c r="AG545" s="15"/>
      <c r="AH545" s="16"/>
      <c r="AM545" s="15"/>
      <c r="AN545" s="16"/>
    </row>
    <row r="546">
      <c r="A546" s="13" t="s">
        <v>1193</v>
      </c>
      <c r="B546" s="10">
        <v>44279.0</v>
      </c>
      <c r="C546" s="11" t="s">
        <v>235</v>
      </c>
      <c r="D546" s="11" t="s">
        <v>38</v>
      </c>
      <c r="E546" s="11" t="s">
        <v>39</v>
      </c>
      <c r="F546" s="11" t="s">
        <v>40</v>
      </c>
      <c r="G546" s="11" t="s">
        <v>45</v>
      </c>
      <c r="H546" s="11" t="s">
        <v>222</v>
      </c>
      <c r="I546" s="11" t="s">
        <v>1194</v>
      </c>
      <c r="J546" s="11">
        <v>34.0</v>
      </c>
      <c r="K546" s="12">
        <v>44783.0</v>
      </c>
      <c r="L546" s="11">
        <f t="shared" si="57"/>
        <v>17</v>
      </c>
      <c r="M546" s="11">
        <v>489446.0</v>
      </c>
      <c r="N546" s="11">
        <v>9073.0</v>
      </c>
      <c r="O546" s="13"/>
      <c r="P546" s="11">
        <v>0.0</v>
      </c>
      <c r="Q546" s="14">
        <v>0.0</v>
      </c>
      <c r="R546" s="11">
        <v>1.0</v>
      </c>
      <c r="S546">
        <f t="shared" si="1"/>
        <v>2021</v>
      </c>
      <c r="T546">
        <f t="shared" si="2"/>
        <v>3</v>
      </c>
      <c r="U546">
        <f t="shared" si="3"/>
        <v>24</v>
      </c>
      <c r="Z546" s="17">
        <v>44758.0</v>
      </c>
      <c r="AG546" s="15"/>
      <c r="AH546" s="16"/>
      <c r="AM546" s="15"/>
      <c r="AN546" s="16"/>
    </row>
    <row r="547">
      <c r="A547" s="13" t="s">
        <v>1195</v>
      </c>
      <c r="B547" s="10">
        <v>44278.0</v>
      </c>
      <c r="C547" s="11" t="s">
        <v>362</v>
      </c>
      <c r="D547" s="11" t="s">
        <v>38</v>
      </c>
      <c r="E547" s="11" t="s">
        <v>39</v>
      </c>
      <c r="F547" s="11" t="s">
        <v>40</v>
      </c>
      <c r="G547" s="11" t="s">
        <v>45</v>
      </c>
      <c r="H547" s="11" t="s">
        <v>67</v>
      </c>
      <c r="I547" s="11" t="s">
        <v>1196</v>
      </c>
      <c r="J547" s="11">
        <v>25.0</v>
      </c>
      <c r="K547" s="12"/>
      <c r="L547" s="11"/>
      <c r="M547" s="11">
        <v>664977.0</v>
      </c>
      <c r="N547" s="11">
        <v>20344.0</v>
      </c>
      <c r="O547" s="13" t="s">
        <v>69</v>
      </c>
      <c r="P547" s="11">
        <v>0.0</v>
      </c>
      <c r="Q547" s="14">
        <v>0.0</v>
      </c>
      <c r="R547" s="11">
        <v>0.0</v>
      </c>
      <c r="S547">
        <f t="shared" si="1"/>
        <v>2021</v>
      </c>
      <c r="T547">
        <f t="shared" si="2"/>
        <v>3</v>
      </c>
      <c r="U547">
        <f t="shared" si="3"/>
        <v>23</v>
      </c>
      <c r="Z547" s="17">
        <v>45058.0</v>
      </c>
      <c r="AA547" s="17">
        <v>44774.0</v>
      </c>
      <c r="AB547" s="13" t="s">
        <v>1197</v>
      </c>
      <c r="AG547" s="15"/>
      <c r="AH547" s="16"/>
      <c r="AM547" s="15"/>
      <c r="AN547" s="16"/>
    </row>
    <row r="548">
      <c r="A548" s="13" t="s">
        <v>1198</v>
      </c>
      <c r="B548" s="10">
        <v>44273.0</v>
      </c>
      <c r="C548" s="11" t="s">
        <v>143</v>
      </c>
      <c r="D548" s="11" t="s">
        <v>38</v>
      </c>
      <c r="E548" s="11" t="s">
        <v>39</v>
      </c>
      <c r="F548" s="11" t="s">
        <v>40</v>
      </c>
      <c r="G548" s="11" t="s">
        <v>41</v>
      </c>
      <c r="H548" s="11"/>
      <c r="I548" s="11"/>
      <c r="J548" s="11">
        <v>29.0</v>
      </c>
      <c r="K548" s="12">
        <v>45017.0</v>
      </c>
      <c r="L548" s="11">
        <f t="shared" ref="L548:L553" si="58">ROUND(((K548-B548)/365)*12,0)</f>
        <v>24</v>
      </c>
      <c r="M548" s="11">
        <v>622772.0</v>
      </c>
      <c r="N548" s="11">
        <v>15690.0</v>
      </c>
      <c r="O548" s="13" t="s">
        <v>761</v>
      </c>
      <c r="P548" s="11">
        <v>0.0</v>
      </c>
      <c r="Q548" s="14">
        <v>0.0</v>
      </c>
      <c r="R548" s="11">
        <v>1.0</v>
      </c>
      <c r="S548">
        <f t="shared" si="1"/>
        <v>2021</v>
      </c>
      <c r="T548">
        <f t="shared" si="2"/>
        <v>3</v>
      </c>
      <c r="U548">
        <f t="shared" si="3"/>
        <v>18</v>
      </c>
      <c r="Z548" s="17">
        <v>44715.0</v>
      </c>
      <c r="AG548" s="15"/>
      <c r="AH548" s="16"/>
      <c r="AM548" s="15"/>
      <c r="AN548" s="16"/>
    </row>
    <row r="549">
      <c r="A549" s="13" t="s">
        <v>1199</v>
      </c>
      <c r="B549" s="10">
        <v>44273.0</v>
      </c>
      <c r="C549" s="11" t="s">
        <v>346</v>
      </c>
      <c r="D549" s="11" t="s">
        <v>38</v>
      </c>
      <c r="E549" s="11" t="s">
        <v>39</v>
      </c>
      <c r="F549" s="11" t="s">
        <v>40</v>
      </c>
      <c r="G549" s="11" t="s">
        <v>326</v>
      </c>
      <c r="H549" s="11"/>
      <c r="I549" s="11"/>
      <c r="J549" s="11">
        <v>28.0</v>
      </c>
      <c r="K549" s="12">
        <v>44799.0</v>
      </c>
      <c r="L549" s="11">
        <f t="shared" si="58"/>
        <v>17</v>
      </c>
      <c r="M549" s="11">
        <v>622103.0</v>
      </c>
      <c r="N549" s="11">
        <v>16306.0</v>
      </c>
      <c r="O549" s="13" t="s">
        <v>69</v>
      </c>
      <c r="P549" s="11">
        <v>0.0</v>
      </c>
      <c r="Q549" s="14">
        <v>0.0</v>
      </c>
      <c r="R549" s="11">
        <v>1.0</v>
      </c>
      <c r="S549">
        <f t="shared" si="1"/>
        <v>2021</v>
      </c>
      <c r="T549">
        <f t="shared" si="2"/>
        <v>3</v>
      </c>
      <c r="U549">
        <f t="shared" si="3"/>
        <v>18</v>
      </c>
      <c r="Z549" s="17">
        <v>44657.0</v>
      </c>
      <c r="AG549" s="15"/>
      <c r="AH549" s="16"/>
      <c r="AM549" s="15"/>
      <c r="AN549" s="16"/>
    </row>
    <row r="550">
      <c r="A550" s="13" t="s">
        <v>1200</v>
      </c>
      <c r="B550" s="10">
        <v>44272.0</v>
      </c>
      <c r="C550" s="11" t="s">
        <v>52</v>
      </c>
      <c r="D550" s="11" t="s">
        <v>77</v>
      </c>
      <c r="E550" s="11" t="s">
        <v>39</v>
      </c>
      <c r="F550" s="11" t="s">
        <v>40</v>
      </c>
      <c r="G550" s="11" t="s">
        <v>45</v>
      </c>
      <c r="H550" s="11" t="s">
        <v>56</v>
      </c>
      <c r="I550" s="11"/>
      <c r="J550" s="11">
        <v>23.0</v>
      </c>
      <c r="K550" s="12">
        <v>44746.0</v>
      </c>
      <c r="L550" s="11">
        <f t="shared" si="58"/>
        <v>16</v>
      </c>
      <c r="M550" s="11">
        <v>666215.0</v>
      </c>
      <c r="N550" s="11">
        <v>19586.0</v>
      </c>
      <c r="O550" s="13" t="s">
        <v>42</v>
      </c>
      <c r="P550" s="11">
        <v>0.0</v>
      </c>
      <c r="Q550" s="14">
        <v>0.0</v>
      </c>
      <c r="R550" s="11">
        <v>1.0</v>
      </c>
      <c r="S550">
        <f t="shared" si="1"/>
        <v>2021</v>
      </c>
      <c r="T550">
        <f t="shared" si="2"/>
        <v>3</v>
      </c>
      <c r="U550">
        <f t="shared" si="3"/>
        <v>17</v>
      </c>
      <c r="Z550" s="17">
        <v>44728.0</v>
      </c>
      <c r="AA550" s="17">
        <v>44752.0</v>
      </c>
      <c r="AB550" s="13" t="s">
        <v>1201</v>
      </c>
      <c r="AG550" s="15"/>
      <c r="AH550" s="16"/>
      <c r="AM550" s="15"/>
      <c r="AN550" s="16"/>
    </row>
    <row r="551">
      <c r="A551" s="13" t="s">
        <v>1202</v>
      </c>
      <c r="B551" s="17">
        <v>44271.0</v>
      </c>
      <c r="C551" s="11" t="s">
        <v>235</v>
      </c>
      <c r="D551" s="11" t="s">
        <v>93</v>
      </c>
      <c r="E551" s="11" t="s">
        <v>39</v>
      </c>
      <c r="F551" s="11" t="s">
        <v>64</v>
      </c>
      <c r="G551" s="11" t="s">
        <v>45</v>
      </c>
      <c r="H551" s="11" t="s">
        <v>67</v>
      </c>
      <c r="I551" s="11" t="s">
        <v>640</v>
      </c>
      <c r="J551" s="11">
        <v>20.0</v>
      </c>
      <c r="K551" s="12">
        <v>44726.0</v>
      </c>
      <c r="L551" s="11">
        <f t="shared" si="58"/>
        <v>15</v>
      </c>
      <c r="M551" s="11">
        <v>683148.0</v>
      </c>
      <c r="N551" s="11" t="s">
        <v>1203</v>
      </c>
      <c r="O551" s="13" t="s">
        <v>1204</v>
      </c>
      <c r="P551" s="11">
        <v>0.0</v>
      </c>
      <c r="Q551" s="14">
        <v>0.0</v>
      </c>
      <c r="R551" s="11">
        <v>1.0</v>
      </c>
      <c r="S551">
        <f t="shared" si="1"/>
        <v>2021</v>
      </c>
      <c r="T551">
        <f t="shared" si="2"/>
        <v>3</v>
      </c>
      <c r="U551">
        <f t="shared" si="3"/>
        <v>16</v>
      </c>
      <c r="Z551" s="17">
        <v>44726.0</v>
      </c>
      <c r="AG551" s="15"/>
      <c r="AH551" s="16"/>
      <c r="AM551" s="15"/>
      <c r="AN551" s="16"/>
    </row>
    <row r="552">
      <c r="A552" s="13" t="s">
        <v>1205</v>
      </c>
      <c r="B552" s="10">
        <v>44258.0</v>
      </c>
      <c r="C552" s="11" t="s">
        <v>55</v>
      </c>
      <c r="D552" s="11" t="s">
        <v>58</v>
      </c>
      <c r="E552" s="11" t="s">
        <v>39</v>
      </c>
      <c r="F552" s="11" t="s">
        <v>40</v>
      </c>
      <c r="G552" s="11" t="s">
        <v>45</v>
      </c>
      <c r="H552" s="11" t="s">
        <v>56</v>
      </c>
      <c r="I552" s="11"/>
      <c r="J552" s="11">
        <v>25.0</v>
      </c>
      <c r="K552" s="12">
        <v>45123.0</v>
      </c>
      <c r="L552" s="11">
        <f t="shared" si="58"/>
        <v>28</v>
      </c>
      <c r="M552" s="11">
        <v>657022.0</v>
      </c>
      <c r="N552" s="11" t="s">
        <v>1206</v>
      </c>
      <c r="O552" s="13"/>
      <c r="P552" s="11">
        <v>0.0</v>
      </c>
      <c r="Q552" s="14">
        <v>0.0</v>
      </c>
      <c r="R552" s="11">
        <v>1.0</v>
      </c>
      <c r="S552">
        <f t="shared" si="1"/>
        <v>2021</v>
      </c>
      <c r="T552">
        <f t="shared" si="2"/>
        <v>3</v>
      </c>
      <c r="U552">
        <f t="shared" si="3"/>
        <v>3</v>
      </c>
      <c r="Z552" s="17">
        <v>44796.0</v>
      </c>
      <c r="AG552" s="15"/>
      <c r="AH552" s="16"/>
      <c r="AM552" s="15"/>
      <c r="AN552" s="16"/>
    </row>
    <row r="553">
      <c r="A553" s="13" t="s">
        <v>1207</v>
      </c>
      <c r="B553" s="10">
        <v>44256.0</v>
      </c>
      <c r="C553" s="11" t="s">
        <v>44</v>
      </c>
      <c r="D553" s="11" t="s">
        <v>709</v>
      </c>
      <c r="E553" s="11" t="s">
        <v>39</v>
      </c>
      <c r="F553" s="11" t="s">
        <v>40</v>
      </c>
      <c r="G553" s="11" t="s">
        <v>45</v>
      </c>
      <c r="H553" s="11" t="s">
        <v>163</v>
      </c>
      <c r="I553" s="11" t="s">
        <v>666</v>
      </c>
      <c r="J553" s="11">
        <v>23.0</v>
      </c>
      <c r="K553" s="12">
        <v>44736.0</v>
      </c>
      <c r="L553" s="11">
        <f t="shared" si="58"/>
        <v>16</v>
      </c>
      <c r="M553" s="11">
        <v>681404.0</v>
      </c>
      <c r="N553" s="11" t="s">
        <v>1208</v>
      </c>
      <c r="O553" s="13"/>
      <c r="P553" s="11">
        <v>0.0</v>
      </c>
      <c r="Q553" s="14">
        <v>0.0</v>
      </c>
      <c r="R553" s="11">
        <v>1.0</v>
      </c>
      <c r="S553">
        <f t="shared" si="1"/>
        <v>2021</v>
      </c>
      <c r="T553">
        <f t="shared" si="2"/>
        <v>3</v>
      </c>
      <c r="U553">
        <f t="shared" si="3"/>
        <v>1</v>
      </c>
      <c r="Z553" s="17">
        <v>44719.0</v>
      </c>
      <c r="AG553" s="15"/>
      <c r="AH553" s="16"/>
      <c r="AM553" s="15"/>
      <c r="AN553" s="16"/>
    </row>
    <row r="554">
      <c r="A554" s="13" t="s">
        <v>1209</v>
      </c>
      <c r="B554" s="10">
        <v>44256.0</v>
      </c>
      <c r="C554" s="11" t="s">
        <v>346</v>
      </c>
      <c r="D554" s="11" t="s">
        <v>58</v>
      </c>
      <c r="E554" s="11" t="s">
        <v>39</v>
      </c>
      <c r="F554" s="11" t="s">
        <v>40</v>
      </c>
      <c r="G554" s="11" t="s">
        <v>45</v>
      </c>
      <c r="H554" s="11" t="s">
        <v>112</v>
      </c>
      <c r="I554" s="11" t="s">
        <v>379</v>
      </c>
      <c r="J554" s="11">
        <v>29.0</v>
      </c>
      <c r="K554" s="12"/>
      <c r="L554" s="11"/>
      <c r="M554" s="11">
        <v>657680.0</v>
      </c>
      <c r="N554" s="11" t="s">
        <v>1210</v>
      </c>
      <c r="O554" s="13"/>
      <c r="P554" s="11">
        <v>0.0</v>
      </c>
      <c r="Q554" s="14">
        <v>0.0</v>
      </c>
      <c r="R554" s="11">
        <v>0.0</v>
      </c>
      <c r="S554">
        <f t="shared" si="1"/>
        <v>2021</v>
      </c>
      <c r="T554">
        <f t="shared" si="2"/>
        <v>3</v>
      </c>
      <c r="U554">
        <f t="shared" si="3"/>
        <v>1</v>
      </c>
      <c r="AG554" s="15"/>
      <c r="AH554" s="16"/>
      <c r="AM554" s="15"/>
      <c r="AN554" s="16"/>
    </row>
    <row r="555">
      <c r="A555" s="13" t="s">
        <v>1211</v>
      </c>
      <c r="B555" s="17">
        <v>44256.0</v>
      </c>
      <c r="C555" s="11" t="s">
        <v>150</v>
      </c>
      <c r="D555" s="11" t="s">
        <v>213</v>
      </c>
      <c r="E555" s="11" t="s">
        <v>39</v>
      </c>
      <c r="F555" s="11" t="s">
        <v>40</v>
      </c>
      <c r="G555" s="11" t="s">
        <v>45</v>
      </c>
      <c r="H555" s="11" t="s">
        <v>957</v>
      </c>
      <c r="I555" s="11" t="s">
        <v>258</v>
      </c>
      <c r="J555" s="11">
        <v>19.0</v>
      </c>
      <c r="K555" s="12">
        <v>45388.0</v>
      </c>
      <c r="L555" s="11"/>
      <c r="M555" s="11">
        <v>691946.0</v>
      </c>
      <c r="N555" s="11" t="s">
        <v>1212</v>
      </c>
      <c r="O555" s="13"/>
      <c r="P555" s="11">
        <v>0.0</v>
      </c>
      <c r="Q555" s="14">
        <v>0.0</v>
      </c>
      <c r="R555" s="11">
        <v>1.0</v>
      </c>
      <c r="S555">
        <f t="shared" si="1"/>
        <v>2021</v>
      </c>
      <c r="T555">
        <f t="shared" si="2"/>
        <v>3</v>
      </c>
      <c r="U555">
        <f t="shared" si="3"/>
        <v>1</v>
      </c>
      <c r="Z555" s="17"/>
      <c r="AG555" s="15"/>
      <c r="AH555" s="16"/>
      <c r="AM555" s="15"/>
      <c r="AN555" s="16"/>
    </row>
    <row r="556">
      <c r="A556" s="13" t="s">
        <v>1213</v>
      </c>
      <c r="B556" s="10">
        <v>44256.0</v>
      </c>
      <c r="C556" s="11" t="s">
        <v>175</v>
      </c>
      <c r="D556" s="11" t="s">
        <v>58</v>
      </c>
      <c r="E556" s="11" t="s">
        <v>39</v>
      </c>
      <c r="F556" s="11" t="s">
        <v>40</v>
      </c>
      <c r="G556" s="11" t="s">
        <v>45</v>
      </c>
      <c r="H556" s="11" t="s">
        <v>84</v>
      </c>
      <c r="I556" s="11"/>
      <c r="J556" s="11">
        <v>25.0</v>
      </c>
      <c r="K556" s="12"/>
      <c r="L556" s="11"/>
      <c r="M556" s="11">
        <v>656798.0</v>
      </c>
      <c r="N556" s="11">
        <v>17775.0</v>
      </c>
      <c r="O556" s="13"/>
      <c r="P556" s="11">
        <v>0.0</v>
      </c>
      <c r="Q556" s="14">
        <v>0.0</v>
      </c>
      <c r="R556" s="11">
        <v>0.0</v>
      </c>
      <c r="S556">
        <f t="shared" si="1"/>
        <v>2021</v>
      </c>
      <c r="T556">
        <f t="shared" si="2"/>
        <v>3</v>
      </c>
      <c r="U556">
        <f t="shared" si="3"/>
        <v>1</v>
      </c>
      <c r="AG556" s="15"/>
      <c r="AH556" s="16"/>
      <c r="AM556" s="15"/>
      <c r="AN556" s="16"/>
    </row>
    <row r="557">
      <c r="A557" s="13" t="s">
        <v>1214</v>
      </c>
      <c r="B557" s="10">
        <v>44256.0</v>
      </c>
      <c r="C557" s="11" t="s">
        <v>175</v>
      </c>
      <c r="D557" s="11" t="s">
        <v>38</v>
      </c>
      <c r="E557" s="11" t="s">
        <v>39</v>
      </c>
      <c r="F557" s="11" t="s">
        <v>64</v>
      </c>
      <c r="G557" s="11" t="s">
        <v>53</v>
      </c>
      <c r="H557" s="11"/>
      <c r="I557" s="11"/>
      <c r="J557" s="11">
        <v>25.0</v>
      </c>
      <c r="K557" s="12">
        <v>44797.0</v>
      </c>
      <c r="L557" s="11">
        <f t="shared" ref="L557:L559" si="59">ROUND(((K557-B557)/365)*12,0)</f>
        <v>18</v>
      </c>
      <c r="M557" s="11">
        <v>620454.0</v>
      </c>
      <c r="N557" s="11">
        <v>17169.0</v>
      </c>
      <c r="O557" s="13"/>
      <c r="P557" s="11">
        <v>0.0</v>
      </c>
      <c r="Q557" s="14">
        <v>0.0</v>
      </c>
      <c r="R557" s="11">
        <v>1.0</v>
      </c>
      <c r="S557">
        <f t="shared" si="1"/>
        <v>2021</v>
      </c>
      <c r="T557">
        <f t="shared" si="2"/>
        <v>3</v>
      </c>
      <c r="U557">
        <f t="shared" si="3"/>
        <v>1</v>
      </c>
      <c r="Z557" s="17">
        <v>44673.0</v>
      </c>
      <c r="AG557" s="15"/>
      <c r="AH557" s="16"/>
      <c r="AM557" s="15"/>
      <c r="AN557" s="16"/>
    </row>
    <row r="558">
      <c r="A558" s="13" t="s">
        <v>1215</v>
      </c>
      <c r="B558" s="10">
        <v>44256.0</v>
      </c>
      <c r="C558" s="11" t="s">
        <v>156</v>
      </c>
      <c r="D558" s="11" t="s">
        <v>93</v>
      </c>
      <c r="E558" s="11" t="s">
        <v>39</v>
      </c>
      <c r="F558" s="11" t="s">
        <v>40</v>
      </c>
      <c r="G558" s="11" t="s">
        <v>45</v>
      </c>
      <c r="H558" s="11" t="s">
        <v>46</v>
      </c>
      <c r="I558" s="11" t="s">
        <v>1216</v>
      </c>
      <c r="J558" s="11">
        <v>22.0</v>
      </c>
      <c r="K558" s="12">
        <v>44719.0</v>
      </c>
      <c r="L558" s="11">
        <f t="shared" si="59"/>
        <v>15</v>
      </c>
      <c r="M558" s="11">
        <v>694674.0</v>
      </c>
      <c r="N558" s="11" t="s">
        <v>1217</v>
      </c>
      <c r="O558" s="13"/>
      <c r="P558" s="11">
        <v>0.0</v>
      </c>
      <c r="Q558" s="14">
        <v>0.0</v>
      </c>
      <c r="R558" s="11">
        <v>1.0</v>
      </c>
      <c r="S558">
        <f t="shared" si="1"/>
        <v>2021</v>
      </c>
      <c r="T558">
        <f t="shared" si="2"/>
        <v>3</v>
      </c>
      <c r="U558">
        <f t="shared" si="3"/>
        <v>1</v>
      </c>
      <c r="Z558" s="17">
        <v>44719.0</v>
      </c>
      <c r="AG558" s="15"/>
      <c r="AH558" s="16"/>
      <c r="AM558" s="15"/>
      <c r="AN558" s="16"/>
    </row>
    <row r="559">
      <c r="A559" s="13" t="s">
        <v>1218</v>
      </c>
      <c r="B559" s="10">
        <v>44256.0</v>
      </c>
      <c r="C559" s="11" t="s">
        <v>235</v>
      </c>
      <c r="D559" s="11" t="s">
        <v>221</v>
      </c>
      <c r="E559" s="11" t="s">
        <v>39</v>
      </c>
      <c r="F559" s="11" t="s">
        <v>64</v>
      </c>
      <c r="G559" s="11" t="s">
        <v>45</v>
      </c>
      <c r="H559" s="11" t="s">
        <v>84</v>
      </c>
      <c r="I559" s="11" t="s">
        <v>1219</v>
      </c>
      <c r="J559" s="11">
        <v>23.0</v>
      </c>
      <c r="K559" s="12">
        <v>44673.0</v>
      </c>
      <c r="L559" s="11">
        <f t="shared" si="59"/>
        <v>14</v>
      </c>
      <c r="M559" s="11">
        <v>687934.0</v>
      </c>
      <c r="N559" s="11" t="s">
        <v>1220</v>
      </c>
      <c r="O559" s="13"/>
      <c r="P559" s="11">
        <v>0.0</v>
      </c>
      <c r="Q559" s="14">
        <v>0.0</v>
      </c>
      <c r="R559" s="11">
        <v>1.0</v>
      </c>
      <c r="S559">
        <f t="shared" si="1"/>
        <v>2021</v>
      </c>
      <c r="T559">
        <f t="shared" si="2"/>
        <v>3</v>
      </c>
      <c r="U559">
        <f t="shared" si="3"/>
        <v>1</v>
      </c>
      <c r="Z559" s="17">
        <v>44673.0</v>
      </c>
      <c r="AG559" s="15"/>
      <c r="AH559" s="16"/>
      <c r="AM559" s="15"/>
      <c r="AN559" s="16"/>
    </row>
    <row r="560">
      <c r="A560" s="13" t="s">
        <v>1221</v>
      </c>
      <c r="B560" s="17">
        <v>44256.0</v>
      </c>
      <c r="C560" s="11" t="s">
        <v>76</v>
      </c>
      <c r="D560" s="11" t="s">
        <v>93</v>
      </c>
      <c r="E560" s="11" t="s">
        <v>39</v>
      </c>
      <c r="F560" s="11" t="s">
        <v>64</v>
      </c>
      <c r="G560" s="11" t="s">
        <v>45</v>
      </c>
      <c r="H560" s="11" t="s">
        <v>67</v>
      </c>
      <c r="I560" s="11" t="s">
        <v>640</v>
      </c>
      <c r="J560" s="11">
        <v>22.0</v>
      </c>
      <c r="K560" s="12">
        <v>45084.0</v>
      </c>
      <c r="L560" s="11"/>
      <c r="M560" s="11">
        <v>680899.0</v>
      </c>
      <c r="N560" s="11" t="s">
        <v>1222</v>
      </c>
      <c r="O560" s="13"/>
      <c r="P560" s="11">
        <v>0.0</v>
      </c>
      <c r="Q560" s="14">
        <v>0.0</v>
      </c>
      <c r="R560" s="11">
        <v>1.0</v>
      </c>
      <c r="S560">
        <f t="shared" si="1"/>
        <v>2021</v>
      </c>
      <c r="T560">
        <f t="shared" si="2"/>
        <v>3</v>
      </c>
      <c r="U560">
        <f t="shared" si="3"/>
        <v>1</v>
      </c>
      <c r="Z560" s="17">
        <v>45084.0</v>
      </c>
      <c r="AG560" s="15"/>
      <c r="AH560" s="16"/>
      <c r="AM560" s="15"/>
      <c r="AN560" s="16"/>
    </row>
    <row r="561">
      <c r="A561" s="13" t="s">
        <v>1223</v>
      </c>
      <c r="B561" s="10">
        <v>44253.0</v>
      </c>
      <c r="C561" s="11" t="s">
        <v>52</v>
      </c>
      <c r="D561" s="11" t="s">
        <v>38</v>
      </c>
      <c r="E561" s="11" t="s">
        <v>39</v>
      </c>
      <c r="F561" s="11" t="s">
        <v>40</v>
      </c>
      <c r="G561" s="11" t="s">
        <v>45</v>
      </c>
      <c r="H561" s="11" t="s">
        <v>652</v>
      </c>
      <c r="I561" s="11" t="s">
        <v>183</v>
      </c>
      <c r="J561" s="11">
        <v>26.0</v>
      </c>
      <c r="K561" s="12"/>
      <c r="L561" s="11"/>
      <c r="M561" s="11">
        <v>669064.0</v>
      </c>
      <c r="N561" s="11">
        <v>19582.0</v>
      </c>
      <c r="O561" s="13"/>
      <c r="P561" s="11">
        <v>0.0</v>
      </c>
      <c r="Q561" s="14">
        <v>0.0</v>
      </c>
      <c r="R561" s="11">
        <v>0.0</v>
      </c>
      <c r="S561">
        <f t="shared" si="1"/>
        <v>2021</v>
      </c>
      <c r="T561">
        <f t="shared" si="2"/>
        <v>2</v>
      </c>
      <c r="U561">
        <f t="shared" si="3"/>
        <v>26</v>
      </c>
      <c r="Z561" s="17">
        <v>45160.0</v>
      </c>
      <c r="AG561" s="15"/>
      <c r="AH561" s="16"/>
      <c r="AM561" s="15"/>
      <c r="AN561" s="16"/>
    </row>
    <row r="562">
      <c r="A562" s="13" t="s">
        <v>1224</v>
      </c>
      <c r="B562" s="10">
        <v>44228.0</v>
      </c>
      <c r="C562" s="11" t="s">
        <v>72</v>
      </c>
      <c r="D562" s="11" t="s">
        <v>93</v>
      </c>
      <c r="E562" s="11" t="s">
        <v>39</v>
      </c>
      <c r="F562" s="11" t="s">
        <v>40</v>
      </c>
      <c r="G562" s="11" t="s">
        <v>45</v>
      </c>
      <c r="H562" s="11" t="s">
        <v>56</v>
      </c>
      <c r="I562" s="11" t="s">
        <v>208</v>
      </c>
      <c r="J562" s="11">
        <v>21.0</v>
      </c>
      <c r="K562" s="12">
        <v>44717.0</v>
      </c>
      <c r="L562" s="11">
        <f t="shared" ref="L562:L564" si="60">ROUND(((K562-B562)/365)*12,0)</f>
        <v>16</v>
      </c>
      <c r="M562" s="11">
        <v>690928.0</v>
      </c>
      <c r="N562" s="11" t="s">
        <v>1225</v>
      </c>
      <c r="O562" s="13"/>
      <c r="P562" s="11">
        <v>0.0</v>
      </c>
      <c r="Q562" s="14">
        <v>0.0</v>
      </c>
      <c r="R562" s="11">
        <v>1.0</v>
      </c>
      <c r="S562">
        <f t="shared" si="1"/>
        <v>2021</v>
      </c>
      <c r="T562">
        <f t="shared" si="2"/>
        <v>2</v>
      </c>
      <c r="U562">
        <f t="shared" si="3"/>
        <v>1</v>
      </c>
      <c r="Z562" s="17">
        <v>44717.0</v>
      </c>
      <c r="AG562" s="15"/>
      <c r="AH562" s="16"/>
      <c r="AM562" s="15"/>
      <c r="AN562" s="16"/>
    </row>
    <row r="563">
      <c r="A563" s="13" t="s">
        <v>1226</v>
      </c>
      <c r="B563" s="10">
        <v>44228.0</v>
      </c>
      <c r="C563" s="11" t="s">
        <v>167</v>
      </c>
      <c r="D563" s="11" t="s">
        <v>213</v>
      </c>
      <c r="E563" s="11" t="s">
        <v>39</v>
      </c>
      <c r="F563" s="11" t="s">
        <v>40</v>
      </c>
      <c r="G563" s="11" t="s">
        <v>45</v>
      </c>
      <c r="H563" s="11" t="s">
        <v>112</v>
      </c>
      <c r="I563" s="11" t="s">
        <v>112</v>
      </c>
      <c r="J563" s="11">
        <v>19.0</v>
      </c>
      <c r="K563" s="12">
        <v>45028.0</v>
      </c>
      <c r="L563" s="11">
        <f t="shared" si="60"/>
        <v>26</v>
      </c>
      <c r="M563" s="11">
        <v>690990.0</v>
      </c>
      <c r="N563" s="11" t="s">
        <v>1227</v>
      </c>
      <c r="O563" s="13"/>
      <c r="P563" s="11">
        <v>0.0</v>
      </c>
      <c r="Q563" s="14">
        <v>0.0</v>
      </c>
      <c r="R563" s="11">
        <v>1.0</v>
      </c>
      <c r="S563">
        <f t="shared" si="1"/>
        <v>2021</v>
      </c>
      <c r="T563">
        <f t="shared" si="2"/>
        <v>2</v>
      </c>
      <c r="U563">
        <f t="shared" si="3"/>
        <v>1</v>
      </c>
      <c r="Z563" s="17">
        <v>45039.0</v>
      </c>
      <c r="AG563" s="15"/>
      <c r="AH563" s="16"/>
      <c r="AM563" s="15"/>
      <c r="AN563" s="16"/>
    </row>
    <row r="564">
      <c r="A564" s="13" t="s">
        <v>1228</v>
      </c>
      <c r="B564" s="10">
        <v>44228.0</v>
      </c>
      <c r="C564" s="11" t="s">
        <v>362</v>
      </c>
      <c r="D564" s="11" t="s">
        <v>88</v>
      </c>
      <c r="E564" s="11" t="s">
        <v>982</v>
      </c>
      <c r="F564" s="11" t="s">
        <v>40</v>
      </c>
      <c r="G564" s="11" t="s">
        <v>460</v>
      </c>
      <c r="H564" s="11"/>
      <c r="I564" s="11"/>
      <c r="J564" s="11">
        <v>25.0</v>
      </c>
      <c r="K564" s="12">
        <v>44659.0</v>
      </c>
      <c r="L564" s="11">
        <f t="shared" si="60"/>
        <v>14</v>
      </c>
      <c r="M564" s="11">
        <v>674671.0</v>
      </c>
      <c r="N564" s="11" t="s">
        <v>1229</v>
      </c>
      <c r="O564" s="13"/>
      <c r="P564" s="11">
        <v>0.0</v>
      </c>
      <c r="Q564" s="14">
        <v>0.0</v>
      </c>
      <c r="R564" s="11">
        <v>1.0</v>
      </c>
      <c r="S564">
        <f t="shared" si="1"/>
        <v>2021</v>
      </c>
      <c r="T564">
        <f t="shared" si="2"/>
        <v>2</v>
      </c>
      <c r="U564">
        <f t="shared" si="3"/>
        <v>1</v>
      </c>
      <c r="Z564" s="17">
        <v>44659.0</v>
      </c>
      <c r="AG564" s="15"/>
      <c r="AH564" s="16"/>
      <c r="AM564" s="15"/>
      <c r="AN564" s="16"/>
    </row>
    <row r="565">
      <c r="A565" s="13" t="s">
        <v>1230</v>
      </c>
      <c r="B565" s="10">
        <v>44197.0</v>
      </c>
      <c r="C565" s="11" t="s">
        <v>101</v>
      </c>
      <c r="D565" s="11" t="s">
        <v>709</v>
      </c>
      <c r="E565" s="11" t="s">
        <v>39</v>
      </c>
      <c r="F565" s="11" t="s">
        <v>64</v>
      </c>
      <c r="G565" s="11" t="s">
        <v>45</v>
      </c>
      <c r="H565" s="11" t="s">
        <v>412</v>
      </c>
      <c r="I565" s="11" t="s">
        <v>412</v>
      </c>
      <c r="J565" s="11">
        <v>23.0</v>
      </c>
      <c r="K565" s="12">
        <v>44661.0</v>
      </c>
      <c r="L565" s="11"/>
      <c r="M565" s="11">
        <v>685314.0</v>
      </c>
      <c r="N565" s="11">
        <v>26203.0</v>
      </c>
      <c r="O565" s="13"/>
      <c r="P565" s="11">
        <v>0.0</v>
      </c>
      <c r="Q565" s="14">
        <v>0.0</v>
      </c>
      <c r="R565" s="11">
        <v>1.0</v>
      </c>
      <c r="S565">
        <f t="shared" si="1"/>
        <v>2021</v>
      </c>
      <c r="T565">
        <f t="shared" si="2"/>
        <v>1</v>
      </c>
      <c r="U565">
        <f t="shared" si="3"/>
        <v>1</v>
      </c>
      <c r="Z565" s="17">
        <v>44661.0</v>
      </c>
      <c r="AG565" s="15"/>
      <c r="AH565" s="16"/>
      <c r="AM565" s="15"/>
      <c r="AN565" s="16"/>
    </row>
    <row r="566">
      <c r="A566" s="13" t="s">
        <v>1231</v>
      </c>
      <c r="B566" s="10">
        <v>44197.0</v>
      </c>
      <c r="C566" s="11" t="s">
        <v>101</v>
      </c>
      <c r="D566" s="11" t="s">
        <v>58</v>
      </c>
      <c r="E566" s="11" t="s">
        <v>39</v>
      </c>
      <c r="F566" s="11" t="s">
        <v>40</v>
      </c>
      <c r="G566" s="11" t="s">
        <v>45</v>
      </c>
      <c r="H566" s="11" t="s">
        <v>56</v>
      </c>
      <c r="I566" s="11" t="s">
        <v>259</v>
      </c>
      <c r="J566" s="11">
        <v>29.0</v>
      </c>
      <c r="K566" s="12">
        <v>44819.0</v>
      </c>
      <c r="L566" s="11"/>
      <c r="M566" s="11">
        <v>592233.0</v>
      </c>
      <c r="N566" s="11">
        <v>16058.0</v>
      </c>
      <c r="O566" s="13"/>
      <c r="P566" s="11">
        <v>0.0</v>
      </c>
      <c r="Q566" s="14">
        <v>0.0</v>
      </c>
      <c r="R566" s="11">
        <v>0.0</v>
      </c>
      <c r="S566">
        <f t="shared" si="1"/>
        <v>2021</v>
      </c>
      <c r="T566">
        <f t="shared" si="2"/>
        <v>1</v>
      </c>
      <c r="U566">
        <f t="shared" si="3"/>
        <v>1</v>
      </c>
      <c r="Z566" s="17">
        <v>44819.0</v>
      </c>
      <c r="AG566" s="15"/>
      <c r="AH566" s="16"/>
      <c r="AM566" s="15"/>
      <c r="AN566" s="16"/>
    </row>
    <row r="567">
      <c r="A567" s="13" t="s">
        <v>934</v>
      </c>
      <c r="B567" s="10">
        <v>44197.0</v>
      </c>
      <c r="C567" s="11" t="s">
        <v>167</v>
      </c>
      <c r="D567" s="11" t="s">
        <v>77</v>
      </c>
      <c r="E567" s="11" t="s">
        <v>39</v>
      </c>
      <c r="F567" s="11" t="s">
        <v>64</v>
      </c>
      <c r="G567" s="11" t="s">
        <v>45</v>
      </c>
      <c r="H567" s="11" t="s">
        <v>276</v>
      </c>
      <c r="I567" s="11" t="s">
        <v>405</v>
      </c>
      <c r="J567" s="11">
        <v>25.0</v>
      </c>
      <c r="K567" s="12"/>
      <c r="L567" s="11"/>
      <c r="M567" s="11">
        <v>682163.0</v>
      </c>
      <c r="N567" s="11" t="s">
        <v>935</v>
      </c>
      <c r="O567" s="13"/>
      <c r="P567" s="11">
        <v>0.0</v>
      </c>
      <c r="Q567" s="14">
        <v>0.0</v>
      </c>
      <c r="R567" s="11">
        <v>0.0</v>
      </c>
      <c r="S567">
        <f t="shared" si="1"/>
        <v>2021</v>
      </c>
      <c r="T567">
        <f t="shared" si="2"/>
        <v>1</v>
      </c>
      <c r="U567">
        <f t="shared" si="3"/>
        <v>1</v>
      </c>
      <c r="Z567" s="17">
        <v>45389.0</v>
      </c>
      <c r="AG567" s="15"/>
      <c r="AH567" s="16"/>
      <c r="AM567" s="15"/>
      <c r="AN567" s="16"/>
    </row>
    <row r="568">
      <c r="A568" s="13" t="s">
        <v>1232</v>
      </c>
      <c r="B568" s="10">
        <v>44197.0</v>
      </c>
      <c r="C568" s="11" t="s">
        <v>167</v>
      </c>
      <c r="D568" s="11" t="s">
        <v>38</v>
      </c>
      <c r="E568" s="11" t="s">
        <v>104</v>
      </c>
      <c r="F568" s="11" t="s">
        <v>40</v>
      </c>
      <c r="G568" s="11" t="s">
        <v>45</v>
      </c>
      <c r="H568" s="11" t="s">
        <v>276</v>
      </c>
      <c r="I568" s="11" t="s">
        <v>594</v>
      </c>
      <c r="J568" s="11">
        <v>28.0</v>
      </c>
      <c r="K568" s="12">
        <v>44703.0</v>
      </c>
      <c r="L568" s="11"/>
      <c r="M568" s="11">
        <v>664731.0</v>
      </c>
      <c r="N568" s="11">
        <v>18433.0</v>
      </c>
      <c r="O568" s="13"/>
      <c r="P568" s="11">
        <v>0.0</v>
      </c>
      <c r="Q568" s="14">
        <v>0.0</v>
      </c>
      <c r="R568" s="11">
        <v>1.0</v>
      </c>
      <c r="S568">
        <f t="shared" si="1"/>
        <v>2021</v>
      </c>
      <c r="T568">
        <f t="shared" si="2"/>
        <v>1</v>
      </c>
      <c r="U568">
        <f t="shared" si="3"/>
        <v>1</v>
      </c>
      <c r="Z568" s="17">
        <v>44656.0</v>
      </c>
      <c r="AG568" s="15"/>
      <c r="AH568" s="16"/>
      <c r="AM568" s="15"/>
      <c r="AN568" s="16"/>
    </row>
    <row r="569">
      <c r="A569" s="13" t="s">
        <v>1233</v>
      </c>
      <c r="B569" s="10">
        <v>44197.0</v>
      </c>
      <c r="C569" s="11" t="s">
        <v>162</v>
      </c>
      <c r="D569" s="11" t="s">
        <v>97</v>
      </c>
      <c r="E569" s="11" t="s">
        <v>270</v>
      </c>
      <c r="F569" s="11" t="s">
        <v>40</v>
      </c>
      <c r="G569" s="11" t="s">
        <v>45</v>
      </c>
      <c r="H569" s="11" t="s">
        <v>84</v>
      </c>
      <c r="I569" s="11"/>
      <c r="J569" s="11">
        <v>21.0</v>
      </c>
      <c r="K569" s="12">
        <v>44698.0</v>
      </c>
      <c r="L569" s="11"/>
      <c r="M569" s="11">
        <v>682997.0</v>
      </c>
      <c r="N569" s="11" t="s">
        <v>1234</v>
      </c>
      <c r="O569" s="13"/>
      <c r="P569" s="11">
        <v>0.0</v>
      </c>
      <c r="Q569" s="14">
        <v>0.0</v>
      </c>
      <c r="R569" s="11">
        <v>1.0</v>
      </c>
      <c r="S569">
        <f t="shared" si="1"/>
        <v>2021</v>
      </c>
      <c r="T569">
        <f t="shared" si="2"/>
        <v>1</v>
      </c>
      <c r="U569">
        <f t="shared" si="3"/>
        <v>1</v>
      </c>
      <c r="Z569" s="17">
        <v>44698.0</v>
      </c>
      <c r="AG569" s="15"/>
      <c r="AH569" s="16"/>
      <c r="AM569" s="15"/>
      <c r="AN569" s="16"/>
    </row>
    <row r="570">
      <c r="A570" s="13" t="s">
        <v>1235</v>
      </c>
      <c r="B570" s="10">
        <v>44197.0</v>
      </c>
      <c r="C570" s="11" t="s">
        <v>162</v>
      </c>
      <c r="D570" s="11" t="s">
        <v>88</v>
      </c>
      <c r="E570" s="11" t="s">
        <v>39</v>
      </c>
      <c r="F570" s="11" t="s">
        <v>40</v>
      </c>
      <c r="G570" s="11" t="s">
        <v>45</v>
      </c>
      <c r="H570" s="11" t="s">
        <v>84</v>
      </c>
      <c r="I570" s="11"/>
      <c r="J570" s="11">
        <v>21.0</v>
      </c>
      <c r="K570" s="12">
        <v>45041.0</v>
      </c>
      <c r="L570" s="11"/>
      <c r="M570" s="11">
        <v>680689.0</v>
      </c>
      <c r="N570" s="11">
        <v>24581.0</v>
      </c>
      <c r="O570" s="13"/>
      <c r="P570" s="11">
        <v>0.0</v>
      </c>
      <c r="Q570" s="14">
        <v>0.0</v>
      </c>
      <c r="R570" s="11">
        <v>1.0</v>
      </c>
      <c r="S570">
        <f t="shared" si="1"/>
        <v>2021</v>
      </c>
      <c r="T570">
        <f t="shared" si="2"/>
        <v>1</v>
      </c>
      <c r="U570">
        <f t="shared" si="3"/>
        <v>1</v>
      </c>
      <c r="Z570" s="17">
        <v>45023.0</v>
      </c>
      <c r="AG570" s="15"/>
      <c r="AH570" s="16"/>
      <c r="AM570" s="15"/>
      <c r="AN570" s="16"/>
    </row>
    <row r="571">
      <c r="A571" s="13" t="s">
        <v>1236</v>
      </c>
      <c r="B571" s="10">
        <v>44197.0</v>
      </c>
      <c r="C571" s="11" t="s">
        <v>44</v>
      </c>
      <c r="D571" s="11" t="s">
        <v>97</v>
      </c>
      <c r="E571" s="11" t="s">
        <v>39</v>
      </c>
      <c r="F571" s="11" t="s">
        <v>40</v>
      </c>
      <c r="G571" s="11" t="s">
        <v>41</v>
      </c>
      <c r="H571" s="11"/>
      <c r="I571" s="11"/>
      <c r="J571" s="11">
        <v>21.0</v>
      </c>
      <c r="K571" s="12">
        <v>44751.0</v>
      </c>
      <c r="L571" s="11"/>
      <c r="M571" s="11">
        <v>677124.0</v>
      </c>
      <c r="N571" s="11" t="s">
        <v>1237</v>
      </c>
      <c r="O571" s="13"/>
      <c r="P571" s="11">
        <v>0.0</v>
      </c>
      <c r="Q571" s="14">
        <v>0.0</v>
      </c>
      <c r="R571" s="11">
        <v>1.0</v>
      </c>
      <c r="S571">
        <f t="shared" si="1"/>
        <v>2021</v>
      </c>
      <c r="T571">
        <f t="shared" si="2"/>
        <v>1</v>
      </c>
      <c r="U571">
        <f t="shared" si="3"/>
        <v>1</v>
      </c>
      <c r="Z571" s="17">
        <v>44736.0</v>
      </c>
      <c r="AG571" s="15"/>
      <c r="AH571" s="16"/>
      <c r="AM571" s="15"/>
      <c r="AN571" s="16"/>
    </row>
    <row r="572">
      <c r="A572" s="13" t="s">
        <v>1238</v>
      </c>
      <c r="B572" s="10">
        <v>44197.0</v>
      </c>
      <c r="C572" s="11" t="s">
        <v>44</v>
      </c>
      <c r="D572" s="11" t="s">
        <v>97</v>
      </c>
      <c r="E572" s="11" t="s">
        <v>39</v>
      </c>
      <c r="F572" s="11" t="s">
        <v>40</v>
      </c>
      <c r="G572" s="11" t="s">
        <v>41</v>
      </c>
      <c r="H572" s="11"/>
      <c r="I572" s="11"/>
      <c r="J572" s="11">
        <v>21.0</v>
      </c>
      <c r="K572" s="12">
        <v>44746.0</v>
      </c>
      <c r="L572" s="11"/>
      <c r="M572" s="11">
        <v>678888.0</v>
      </c>
      <c r="N572" s="11" t="s">
        <v>1239</v>
      </c>
      <c r="O572" s="13"/>
      <c r="P572" s="11">
        <v>0.0</v>
      </c>
      <c r="Q572" s="14">
        <v>0.0</v>
      </c>
      <c r="R572" s="11">
        <v>1.0</v>
      </c>
      <c r="S572">
        <f t="shared" si="1"/>
        <v>2021</v>
      </c>
      <c r="T572">
        <f t="shared" si="2"/>
        <v>1</v>
      </c>
      <c r="U572">
        <f t="shared" si="3"/>
        <v>1</v>
      </c>
      <c r="Z572" s="17">
        <v>44733.0</v>
      </c>
      <c r="AG572" s="15"/>
      <c r="AH572" s="16"/>
      <c r="AM572" s="15"/>
      <c r="AN572" s="16"/>
    </row>
    <row r="573">
      <c r="A573" s="13" t="s">
        <v>1240</v>
      </c>
      <c r="B573" s="10">
        <v>44197.0</v>
      </c>
      <c r="C573" s="11" t="s">
        <v>44</v>
      </c>
      <c r="D573" s="11" t="s">
        <v>709</v>
      </c>
      <c r="E573" s="11" t="s">
        <v>39</v>
      </c>
      <c r="F573" s="11" t="s">
        <v>40</v>
      </c>
      <c r="G573" s="11" t="s">
        <v>41</v>
      </c>
      <c r="H573" s="11"/>
      <c r="I573" s="11"/>
      <c r="J573" s="11">
        <v>21.0</v>
      </c>
      <c r="K573" s="12">
        <v>44731.0</v>
      </c>
      <c r="L573" s="11"/>
      <c r="M573" s="11">
        <v>672841.0</v>
      </c>
      <c r="N573" s="11">
        <v>22915.0</v>
      </c>
      <c r="O573" s="13"/>
      <c r="P573" s="11">
        <v>0.0</v>
      </c>
      <c r="Q573" s="14">
        <v>0.0</v>
      </c>
      <c r="R573" s="11">
        <v>1.0</v>
      </c>
      <c r="S573">
        <f t="shared" si="1"/>
        <v>2021</v>
      </c>
      <c r="T573">
        <f t="shared" si="2"/>
        <v>1</v>
      </c>
      <c r="U573">
        <f t="shared" si="3"/>
        <v>1</v>
      </c>
      <c r="Z573" s="17">
        <v>44731.0</v>
      </c>
      <c r="AG573" s="15"/>
      <c r="AH573" s="16"/>
      <c r="AM573" s="15"/>
      <c r="AN573" s="16"/>
    </row>
    <row r="574">
      <c r="A574" s="13" t="s">
        <v>1241</v>
      </c>
      <c r="B574" s="10">
        <v>44197.0</v>
      </c>
      <c r="C574" s="11" t="s">
        <v>44</v>
      </c>
      <c r="D574" s="11" t="s">
        <v>88</v>
      </c>
      <c r="E574" s="11" t="s">
        <v>39</v>
      </c>
      <c r="F574" s="11" t="s">
        <v>40</v>
      </c>
      <c r="G574" s="11" t="s">
        <v>45</v>
      </c>
      <c r="H574" s="11" t="s">
        <v>127</v>
      </c>
      <c r="I574" s="11" t="s">
        <v>127</v>
      </c>
      <c r="J574" s="11">
        <v>24.0</v>
      </c>
      <c r="K574" s="12">
        <v>44822.0</v>
      </c>
      <c r="L574" s="11"/>
      <c r="M574" s="11">
        <v>681564.0</v>
      </c>
      <c r="N574" s="11" t="s">
        <v>1242</v>
      </c>
      <c r="O574" s="13"/>
      <c r="P574" s="11">
        <v>0.0</v>
      </c>
      <c r="Q574" s="14">
        <v>0.0</v>
      </c>
      <c r="R574" s="11">
        <v>1.0</v>
      </c>
      <c r="S574">
        <f t="shared" si="1"/>
        <v>2021</v>
      </c>
      <c r="T574">
        <f t="shared" si="2"/>
        <v>1</v>
      </c>
      <c r="U574">
        <f t="shared" si="3"/>
        <v>1</v>
      </c>
      <c r="Z574" s="17">
        <v>44822.0</v>
      </c>
      <c r="AG574" s="15"/>
      <c r="AH574" s="16"/>
      <c r="AM574" s="15"/>
      <c r="AN574" s="16"/>
    </row>
    <row r="575">
      <c r="A575" s="13" t="s">
        <v>1243</v>
      </c>
      <c r="B575" s="10">
        <v>44197.0</v>
      </c>
      <c r="C575" s="11" t="s">
        <v>44</v>
      </c>
      <c r="D575" s="11" t="s">
        <v>221</v>
      </c>
      <c r="E575" s="11" t="s">
        <v>39</v>
      </c>
      <c r="F575" s="11" t="s">
        <v>40</v>
      </c>
      <c r="G575" s="11" t="s">
        <v>41</v>
      </c>
      <c r="H575" s="11"/>
      <c r="I575" s="11"/>
      <c r="J575" s="11">
        <v>21.0</v>
      </c>
      <c r="K575" s="12">
        <v>44719.0</v>
      </c>
      <c r="L575" s="11"/>
      <c r="M575" s="11">
        <v>679024.0</v>
      </c>
      <c r="N575" s="11" t="s">
        <v>1244</v>
      </c>
      <c r="O575" s="13"/>
      <c r="P575" s="11">
        <v>0.0</v>
      </c>
      <c r="Q575" s="14">
        <v>0.0</v>
      </c>
      <c r="R575" s="11">
        <v>1.0</v>
      </c>
      <c r="S575">
        <f t="shared" si="1"/>
        <v>2021</v>
      </c>
      <c r="T575">
        <f t="shared" si="2"/>
        <v>1</v>
      </c>
      <c r="U575">
        <f t="shared" si="3"/>
        <v>1</v>
      </c>
      <c r="Z575" s="17">
        <v>44719.0</v>
      </c>
      <c r="AG575" s="15"/>
      <c r="AH575" s="16"/>
      <c r="AM575" s="15"/>
      <c r="AN575" s="16"/>
    </row>
    <row r="576">
      <c r="A576" s="13" t="s">
        <v>1245</v>
      </c>
      <c r="B576" s="10">
        <v>44197.0</v>
      </c>
      <c r="C576" s="11" t="s">
        <v>44</v>
      </c>
      <c r="D576" s="11" t="s">
        <v>221</v>
      </c>
      <c r="E576" s="11" t="s">
        <v>39</v>
      </c>
      <c r="F576" s="11" t="s">
        <v>64</v>
      </c>
      <c r="G576" s="11" t="s">
        <v>41</v>
      </c>
      <c r="H576" s="11"/>
      <c r="I576" s="11"/>
      <c r="J576" s="11">
        <v>20.0</v>
      </c>
      <c r="K576" s="12">
        <v>45082.0</v>
      </c>
      <c r="L576" s="11"/>
      <c r="M576" s="11">
        <v>692821.0</v>
      </c>
      <c r="N576" s="11" t="s">
        <v>1246</v>
      </c>
      <c r="O576" s="13"/>
      <c r="P576" s="11">
        <v>0.0</v>
      </c>
      <c r="Q576" s="14">
        <v>0.0</v>
      </c>
      <c r="R576" s="11">
        <v>1.0</v>
      </c>
      <c r="S576">
        <f t="shared" si="1"/>
        <v>2021</v>
      </c>
      <c r="T576">
        <f t="shared" si="2"/>
        <v>1</v>
      </c>
      <c r="U576">
        <f t="shared" si="3"/>
        <v>1</v>
      </c>
      <c r="Z576" s="17">
        <v>45082.0</v>
      </c>
      <c r="AG576" s="15"/>
      <c r="AH576" s="16"/>
      <c r="AM576" s="15"/>
      <c r="AN576" s="16"/>
    </row>
    <row r="577">
      <c r="A577" s="13" t="s">
        <v>1247</v>
      </c>
      <c r="B577" s="10">
        <v>44197.0</v>
      </c>
      <c r="C577" s="11" t="s">
        <v>52</v>
      </c>
      <c r="D577" s="11" t="s">
        <v>88</v>
      </c>
      <c r="E577" s="11" t="s">
        <v>39</v>
      </c>
      <c r="F577" s="11" t="s">
        <v>40</v>
      </c>
      <c r="G577" s="11" t="s">
        <v>45</v>
      </c>
      <c r="H577" s="11" t="s">
        <v>56</v>
      </c>
      <c r="I577" s="11" t="s">
        <v>56</v>
      </c>
      <c r="J577" s="11">
        <v>24.0</v>
      </c>
      <c r="K577" s="12">
        <v>45028.0</v>
      </c>
      <c r="L577" s="11"/>
      <c r="M577" s="11">
        <v>668874.0</v>
      </c>
      <c r="N577" s="11">
        <v>26190.0</v>
      </c>
      <c r="O577" s="13"/>
      <c r="P577" s="11">
        <v>0.0</v>
      </c>
      <c r="Q577" s="14">
        <v>0.0</v>
      </c>
      <c r="R577" s="11">
        <v>1.0</v>
      </c>
      <c r="S577">
        <f t="shared" si="1"/>
        <v>2021</v>
      </c>
      <c r="T577">
        <f t="shared" si="2"/>
        <v>1</v>
      </c>
      <c r="U577">
        <f t="shared" si="3"/>
        <v>1</v>
      </c>
      <c r="Z577" s="17">
        <v>45028.0</v>
      </c>
      <c r="AG577" s="15"/>
      <c r="AH577" s="16"/>
      <c r="AM577" s="15"/>
      <c r="AN577" s="16"/>
    </row>
    <row r="578">
      <c r="A578" s="13" t="s">
        <v>1248</v>
      </c>
      <c r="B578" s="17">
        <v>44197.0</v>
      </c>
      <c r="C578" s="11" t="s">
        <v>213</v>
      </c>
      <c r="D578" s="11" t="s">
        <v>93</v>
      </c>
      <c r="E578" s="11" t="s">
        <v>39</v>
      </c>
      <c r="F578" s="11" t="s">
        <v>64</v>
      </c>
      <c r="G578" s="11" t="s">
        <v>45</v>
      </c>
      <c r="H578" s="11" t="s">
        <v>84</v>
      </c>
      <c r="I578" s="11" t="s">
        <v>84</v>
      </c>
      <c r="J578" s="11">
        <v>18.0</v>
      </c>
      <c r="K578" s="12">
        <v>45510.0</v>
      </c>
      <c r="L578" s="11"/>
      <c r="M578" s="11">
        <v>695506.0</v>
      </c>
      <c r="N578" s="11" t="s">
        <v>1249</v>
      </c>
      <c r="O578" s="13"/>
      <c r="P578" s="11">
        <v>0.0</v>
      </c>
      <c r="Q578" s="14">
        <v>0.0</v>
      </c>
      <c r="R578" s="11">
        <v>1.0</v>
      </c>
      <c r="S578">
        <f t="shared" si="1"/>
        <v>2021</v>
      </c>
      <c r="T578">
        <f t="shared" si="2"/>
        <v>1</v>
      </c>
      <c r="U578">
        <f t="shared" si="3"/>
        <v>1</v>
      </c>
      <c r="Z578" s="17">
        <v>45510.0</v>
      </c>
      <c r="AG578" s="15"/>
      <c r="AH578" s="16"/>
      <c r="AM578" s="15"/>
      <c r="AN578" s="16"/>
    </row>
    <row r="579">
      <c r="A579" s="13" t="s">
        <v>1250</v>
      </c>
      <c r="B579" s="10">
        <v>44197.0</v>
      </c>
      <c r="C579" s="11" t="s">
        <v>346</v>
      </c>
      <c r="D579" s="11" t="s">
        <v>93</v>
      </c>
      <c r="E579" s="11" t="s">
        <v>660</v>
      </c>
      <c r="F579" s="11" t="s">
        <v>40</v>
      </c>
      <c r="G579" s="11" t="s">
        <v>45</v>
      </c>
      <c r="H579" s="11" t="s">
        <v>243</v>
      </c>
      <c r="I579" s="11" t="s">
        <v>1251</v>
      </c>
      <c r="J579" s="11">
        <v>21.0</v>
      </c>
      <c r="K579" s="12">
        <v>44772.0</v>
      </c>
      <c r="L579" s="11"/>
      <c r="M579" s="11">
        <v>800685.0</v>
      </c>
      <c r="N579" s="11" t="s">
        <v>1252</v>
      </c>
      <c r="O579" s="13"/>
      <c r="P579" s="11">
        <v>0.0</v>
      </c>
      <c r="Q579" s="14">
        <v>0.0</v>
      </c>
      <c r="R579" s="11">
        <v>1.0</v>
      </c>
      <c r="S579">
        <f t="shared" si="1"/>
        <v>2021</v>
      </c>
      <c r="T579">
        <f t="shared" si="2"/>
        <v>1</v>
      </c>
      <c r="U579">
        <f t="shared" si="3"/>
        <v>1</v>
      </c>
      <c r="Z579" s="17"/>
      <c r="AG579" s="15"/>
      <c r="AH579" s="16"/>
      <c r="AM579" s="15"/>
      <c r="AN579" s="16"/>
    </row>
    <row r="580">
      <c r="A580" s="13" t="s">
        <v>1253</v>
      </c>
      <c r="B580" s="10">
        <v>44197.0</v>
      </c>
      <c r="C580" s="11" t="s">
        <v>126</v>
      </c>
      <c r="D580" s="11" t="s">
        <v>88</v>
      </c>
      <c r="E580" s="11" t="s">
        <v>39</v>
      </c>
      <c r="F580" s="11" t="s">
        <v>40</v>
      </c>
      <c r="G580" s="11" t="s">
        <v>45</v>
      </c>
      <c r="H580" s="11" t="s">
        <v>301</v>
      </c>
      <c r="I580" s="11" t="s">
        <v>616</v>
      </c>
      <c r="J580" s="11">
        <v>23.0</v>
      </c>
      <c r="K580" s="12">
        <v>45023.0</v>
      </c>
      <c r="L580" s="11"/>
      <c r="M580" s="11">
        <v>669193.0</v>
      </c>
      <c r="N580" s="11" t="s">
        <v>1254</v>
      </c>
      <c r="O580" s="13"/>
      <c r="P580" s="11">
        <v>0.0</v>
      </c>
      <c r="Q580" s="14">
        <v>0.0</v>
      </c>
      <c r="R580" s="11">
        <v>1.0</v>
      </c>
      <c r="S580">
        <f t="shared" si="1"/>
        <v>2021</v>
      </c>
      <c r="T580">
        <f t="shared" si="2"/>
        <v>1</v>
      </c>
      <c r="U580">
        <f t="shared" si="3"/>
        <v>1</v>
      </c>
      <c r="Z580" s="17">
        <v>45023.0</v>
      </c>
      <c r="AG580" s="15"/>
      <c r="AH580" s="16"/>
      <c r="AM580" s="15"/>
      <c r="AN580" s="16"/>
    </row>
    <row r="581">
      <c r="A581" s="13" t="s">
        <v>1255</v>
      </c>
      <c r="B581" s="10">
        <v>44197.0</v>
      </c>
      <c r="C581" s="11" t="s">
        <v>126</v>
      </c>
      <c r="D581" s="11" t="s">
        <v>93</v>
      </c>
      <c r="E581" s="11" t="s">
        <v>39</v>
      </c>
      <c r="F581" s="11" t="s">
        <v>64</v>
      </c>
      <c r="G581" s="11" t="s">
        <v>45</v>
      </c>
      <c r="H581" s="11" t="s">
        <v>735</v>
      </c>
      <c r="I581" s="11" t="s">
        <v>735</v>
      </c>
      <c r="J581" s="11">
        <v>22.0</v>
      </c>
      <c r="K581" s="12">
        <v>44719.0</v>
      </c>
      <c r="L581" s="11"/>
      <c r="M581" s="11">
        <v>676263.0</v>
      </c>
      <c r="N581" s="11" t="s">
        <v>1256</v>
      </c>
      <c r="O581" s="13"/>
      <c r="P581" s="11">
        <v>0.0</v>
      </c>
      <c r="Q581" s="14">
        <v>0.0</v>
      </c>
      <c r="R581" s="11">
        <v>1.0</v>
      </c>
      <c r="S581">
        <f t="shared" si="1"/>
        <v>2021</v>
      </c>
      <c r="T581">
        <f t="shared" si="2"/>
        <v>1</v>
      </c>
      <c r="U581">
        <f t="shared" si="3"/>
        <v>1</v>
      </c>
      <c r="Z581" s="17">
        <v>44719.0</v>
      </c>
      <c r="AG581" s="15"/>
      <c r="AH581" s="16"/>
      <c r="AM581" s="15"/>
      <c r="AN581" s="16"/>
    </row>
    <row r="582">
      <c r="A582" s="13" t="s">
        <v>1257</v>
      </c>
      <c r="B582" s="10">
        <v>44197.0</v>
      </c>
      <c r="C582" s="11" t="s">
        <v>55</v>
      </c>
      <c r="D582" s="11" t="s">
        <v>97</v>
      </c>
      <c r="E582" s="11" t="s">
        <v>39</v>
      </c>
      <c r="F582" s="11" t="s">
        <v>40</v>
      </c>
      <c r="G582" s="11" t="s">
        <v>45</v>
      </c>
      <c r="H582" s="11" t="s">
        <v>84</v>
      </c>
      <c r="I582" s="11"/>
      <c r="J582" s="11">
        <v>22.0</v>
      </c>
      <c r="K582" s="12">
        <v>44661.0</v>
      </c>
      <c r="L582" s="11"/>
      <c r="M582" s="11">
        <v>676661.0</v>
      </c>
      <c r="N582" s="11">
        <v>23426.0</v>
      </c>
      <c r="O582" s="13"/>
      <c r="P582" s="11">
        <v>0.0</v>
      </c>
      <c r="Q582" s="14">
        <v>0.0</v>
      </c>
      <c r="R582" s="11">
        <v>1.0</v>
      </c>
      <c r="S582">
        <f t="shared" si="1"/>
        <v>2021</v>
      </c>
      <c r="T582">
        <f t="shared" si="2"/>
        <v>1</v>
      </c>
      <c r="U582">
        <f t="shared" si="3"/>
        <v>1</v>
      </c>
      <c r="Z582" s="17">
        <v>44661.0</v>
      </c>
      <c r="AG582" s="15"/>
      <c r="AH582" s="16"/>
      <c r="AM582" s="15"/>
      <c r="AN582" s="16"/>
    </row>
    <row r="583">
      <c r="A583" s="13" t="s">
        <v>1258</v>
      </c>
      <c r="B583" s="17">
        <v>44197.0</v>
      </c>
      <c r="C583" s="11" t="s">
        <v>55</v>
      </c>
      <c r="D583" s="11" t="s">
        <v>97</v>
      </c>
      <c r="E583" s="11" t="s">
        <v>39</v>
      </c>
      <c r="F583" s="11" t="s">
        <v>40</v>
      </c>
      <c r="G583" s="11" t="s">
        <v>41</v>
      </c>
      <c r="H583" s="11"/>
      <c r="I583" s="11"/>
      <c r="J583" s="11">
        <v>19.0</v>
      </c>
      <c r="K583" s="12"/>
      <c r="L583" s="11"/>
      <c r="M583" s="11">
        <v>681704.0</v>
      </c>
      <c r="N583" s="11" t="s">
        <v>1259</v>
      </c>
      <c r="O583" s="13"/>
      <c r="P583" s="11">
        <v>0.0</v>
      </c>
      <c r="Q583" s="14">
        <v>0.0</v>
      </c>
      <c r="R583" s="11">
        <v>0.0</v>
      </c>
      <c r="S583">
        <f t="shared" si="1"/>
        <v>2021</v>
      </c>
      <c r="T583">
        <f t="shared" si="2"/>
        <v>1</v>
      </c>
      <c r="U583">
        <f t="shared" si="3"/>
        <v>1</v>
      </c>
      <c r="AG583" s="15"/>
      <c r="AH583" s="16"/>
      <c r="AM583" s="15"/>
      <c r="AN583" s="16"/>
    </row>
    <row r="584">
      <c r="A584" s="13" t="s">
        <v>1260</v>
      </c>
      <c r="B584" s="17">
        <v>44197.0</v>
      </c>
      <c r="C584" s="11" t="s">
        <v>55</v>
      </c>
      <c r="D584" s="11" t="s">
        <v>93</v>
      </c>
      <c r="E584" s="11" t="s">
        <v>39</v>
      </c>
      <c r="F584" s="11" t="s">
        <v>40</v>
      </c>
      <c r="G584" s="11" t="s">
        <v>45</v>
      </c>
      <c r="H584" s="11" t="s">
        <v>729</v>
      </c>
      <c r="I584" s="11" t="s">
        <v>1216</v>
      </c>
      <c r="J584" s="11">
        <v>21.0</v>
      </c>
      <c r="K584" s="12">
        <v>44789.0</v>
      </c>
      <c r="L584" s="11"/>
      <c r="M584" s="11">
        <v>681343.0</v>
      </c>
      <c r="N584" s="11" t="s">
        <v>1261</v>
      </c>
      <c r="O584" s="13"/>
      <c r="P584" s="11">
        <v>0.0</v>
      </c>
      <c r="Q584" s="14">
        <v>0.0</v>
      </c>
      <c r="R584" s="11">
        <v>1.0</v>
      </c>
      <c r="S584">
        <f t="shared" si="1"/>
        <v>2021</v>
      </c>
      <c r="T584">
        <f t="shared" si="2"/>
        <v>1</v>
      </c>
      <c r="U584">
        <f t="shared" si="3"/>
        <v>1</v>
      </c>
      <c r="Z584" s="17">
        <v>44789.0</v>
      </c>
      <c r="AG584" s="15"/>
      <c r="AH584" s="16"/>
      <c r="AM584" s="15"/>
      <c r="AN584" s="16"/>
    </row>
    <row r="585">
      <c r="A585" s="13" t="s">
        <v>1262</v>
      </c>
      <c r="B585" s="17">
        <v>44197.0</v>
      </c>
      <c r="C585" s="11" t="s">
        <v>55</v>
      </c>
      <c r="D585" s="11" t="s">
        <v>213</v>
      </c>
      <c r="E585" s="11" t="s">
        <v>39</v>
      </c>
      <c r="F585" s="11" t="s">
        <v>64</v>
      </c>
      <c r="G585" s="11" t="s">
        <v>45</v>
      </c>
      <c r="H585" s="11" t="s">
        <v>236</v>
      </c>
      <c r="I585" s="11" t="s">
        <v>1263</v>
      </c>
      <c r="J585" s="11">
        <v>21.0</v>
      </c>
      <c r="K585" s="12">
        <v>45392.0</v>
      </c>
      <c r="L585" s="12"/>
      <c r="M585" s="11">
        <v>815081.0</v>
      </c>
      <c r="N585" s="11" t="s">
        <v>1264</v>
      </c>
      <c r="O585" s="13"/>
      <c r="P585" s="11">
        <v>0.0</v>
      </c>
      <c r="Q585" s="14">
        <v>0.0</v>
      </c>
      <c r="R585" s="11">
        <v>1.0</v>
      </c>
      <c r="S585">
        <f t="shared" si="1"/>
        <v>2021</v>
      </c>
      <c r="T585">
        <f t="shared" si="2"/>
        <v>1</v>
      </c>
      <c r="U585">
        <f t="shared" si="3"/>
        <v>1</v>
      </c>
      <c r="Z585" s="17"/>
      <c r="AG585" s="15"/>
      <c r="AH585" s="16"/>
      <c r="AM585" s="15"/>
      <c r="AN585" s="16"/>
    </row>
    <row r="586">
      <c r="A586" s="13" t="s">
        <v>1265</v>
      </c>
      <c r="B586" s="10">
        <v>44197.0</v>
      </c>
      <c r="C586" s="11" t="s">
        <v>103</v>
      </c>
      <c r="D586" s="11" t="s">
        <v>88</v>
      </c>
      <c r="E586" s="11" t="s">
        <v>39</v>
      </c>
      <c r="F586" s="11" t="s">
        <v>40</v>
      </c>
      <c r="G586" s="11" t="s">
        <v>45</v>
      </c>
      <c r="H586" s="11" t="s">
        <v>67</v>
      </c>
      <c r="I586" s="11" t="s">
        <v>190</v>
      </c>
      <c r="J586" s="11">
        <v>24.0</v>
      </c>
      <c r="K586" s="12">
        <v>44752.0</v>
      </c>
      <c r="L586" s="12"/>
      <c r="M586" s="11">
        <v>663537.0</v>
      </c>
      <c r="N586" s="11" t="s">
        <v>1266</v>
      </c>
      <c r="O586" s="13"/>
      <c r="P586" s="11">
        <v>0.0</v>
      </c>
      <c r="Q586" s="14">
        <v>0.0</v>
      </c>
      <c r="R586" s="11">
        <v>1.0</v>
      </c>
      <c r="S586">
        <f t="shared" si="1"/>
        <v>2021</v>
      </c>
      <c r="T586">
        <f t="shared" si="2"/>
        <v>1</v>
      </c>
      <c r="U586">
        <f t="shared" si="3"/>
        <v>1</v>
      </c>
      <c r="Z586" s="17">
        <v>44722.0</v>
      </c>
      <c r="AG586" s="15"/>
      <c r="AH586" s="16"/>
      <c r="AM586" s="15"/>
      <c r="AN586" s="16"/>
    </row>
    <row r="587">
      <c r="A587" s="13" t="s">
        <v>1267</v>
      </c>
      <c r="B587" s="17">
        <v>44197.0</v>
      </c>
      <c r="C587" s="11" t="s">
        <v>103</v>
      </c>
      <c r="D587" s="11" t="s">
        <v>213</v>
      </c>
      <c r="E587" s="11" t="s">
        <v>39</v>
      </c>
      <c r="F587" s="11" t="s">
        <v>40</v>
      </c>
      <c r="G587" s="11" t="s">
        <v>45</v>
      </c>
      <c r="H587" s="11" t="s">
        <v>67</v>
      </c>
      <c r="I587" s="11" t="s">
        <v>1268</v>
      </c>
      <c r="J587" s="11">
        <v>16.0</v>
      </c>
      <c r="K587" s="12"/>
      <c r="L587" s="11"/>
      <c r="M587" s="11">
        <v>805279.0</v>
      </c>
      <c r="N587" s="11" t="s">
        <v>1269</v>
      </c>
      <c r="O587" s="13"/>
      <c r="P587" s="11">
        <v>0.0</v>
      </c>
      <c r="Q587" s="14">
        <v>0.0</v>
      </c>
      <c r="R587" s="11">
        <v>1.0</v>
      </c>
      <c r="S587">
        <f t="shared" si="1"/>
        <v>2021</v>
      </c>
      <c r="T587">
        <f t="shared" si="2"/>
        <v>1</v>
      </c>
      <c r="U587">
        <f t="shared" si="3"/>
        <v>1</v>
      </c>
      <c r="AG587" s="15"/>
      <c r="AH587" s="16"/>
      <c r="AM587" s="15"/>
      <c r="AN587" s="16"/>
    </row>
    <row r="588">
      <c r="A588" s="13" t="s">
        <v>1270</v>
      </c>
      <c r="B588" s="10">
        <v>44197.0</v>
      </c>
      <c r="C588" s="11" t="s">
        <v>49</v>
      </c>
      <c r="D588" s="11" t="s">
        <v>97</v>
      </c>
      <c r="E588" s="11" t="s">
        <v>39</v>
      </c>
      <c r="F588" s="11" t="s">
        <v>40</v>
      </c>
      <c r="G588" s="11" t="s">
        <v>41</v>
      </c>
      <c r="H588" s="11"/>
      <c r="I588" s="11"/>
      <c r="J588" s="11">
        <v>22.0</v>
      </c>
      <c r="K588" s="12">
        <v>44664.0</v>
      </c>
      <c r="L588" s="11"/>
      <c r="M588" s="11">
        <v>670897.0</v>
      </c>
      <c r="N588" s="11" t="s">
        <v>1271</v>
      </c>
      <c r="O588" s="13"/>
      <c r="P588" s="11">
        <v>0.0</v>
      </c>
      <c r="Q588" s="14">
        <v>0.0</v>
      </c>
      <c r="R588" s="11">
        <v>1.0</v>
      </c>
      <c r="S588">
        <f t="shared" si="1"/>
        <v>2021</v>
      </c>
      <c r="T588">
        <f t="shared" si="2"/>
        <v>1</v>
      </c>
      <c r="U588">
        <f t="shared" si="3"/>
        <v>1</v>
      </c>
      <c r="AG588" s="15"/>
      <c r="AH588" s="16"/>
      <c r="AM588" s="15"/>
      <c r="AN588" s="16"/>
    </row>
    <row r="589">
      <c r="A589" s="13" t="s">
        <v>1272</v>
      </c>
      <c r="B589" s="10">
        <v>44197.0</v>
      </c>
      <c r="C589" s="11" t="s">
        <v>49</v>
      </c>
      <c r="D589" s="11" t="s">
        <v>38</v>
      </c>
      <c r="E589" s="11" t="s">
        <v>39</v>
      </c>
      <c r="F589" s="11" t="s">
        <v>40</v>
      </c>
      <c r="G589" s="11" t="s">
        <v>1002</v>
      </c>
      <c r="H589" s="11"/>
      <c r="I589" s="11"/>
      <c r="J589" s="11">
        <v>25.0</v>
      </c>
      <c r="K589" s="12"/>
      <c r="L589" s="11"/>
      <c r="M589" s="11">
        <v>642558.0</v>
      </c>
      <c r="N589" s="11">
        <v>17030.0</v>
      </c>
      <c r="O589" s="13"/>
      <c r="P589" s="11">
        <v>0.0</v>
      </c>
      <c r="Q589" s="14">
        <v>0.0</v>
      </c>
      <c r="R589" s="11">
        <v>1.0</v>
      </c>
      <c r="S589">
        <f t="shared" si="1"/>
        <v>2021</v>
      </c>
      <c r="T589">
        <f t="shared" si="2"/>
        <v>1</v>
      </c>
      <c r="U589">
        <f t="shared" si="3"/>
        <v>1</v>
      </c>
      <c r="Z589" s="17">
        <v>44717.0</v>
      </c>
      <c r="AG589" s="15"/>
      <c r="AH589" s="16"/>
      <c r="AM589" s="15"/>
      <c r="AN589" s="16"/>
    </row>
    <row r="590">
      <c r="A590" s="13" t="s">
        <v>1273</v>
      </c>
      <c r="B590" s="10">
        <v>44197.0</v>
      </c>
      <c r="C590" s="11" t="s">
        <v>49</v>
      </c>
      <c r="D590" s="11" t="s">
        <v>221</v>
      </c>
      <c r="E590" s="11" t="s">
        <v>39</v>
      </c>
      <c r="F590" s="11" t="s">
        <v>40</v>
      </c>
      <c r="G590" s="11" t="s">
        <v>41</v>
      </c>
      <c r="H590" s="11"/>
      <c r="I590" s="11"/>
      <c r="J590" s="11">
        <v>20.0</v>
      </c>
      <c r="K590" s="12">
        <v>44718.0</v>
      </c>
      <c r="L590" s="11"/>
      <c r="M590" s="11">
        <v>683094.0</v>
      </c>
      <c r="N590" s="11" t="s">
        <v>1274</v>
      </c>
      <c r="O590" s="13"/>
      <c r="P590" s="11">
        <v>0.0</v>
      </c>
      <c r="Q590" s="14">
        <v>0.0</v>
      </c>
      <c r="R590" s="11">
        <v>1.0</v>
      </c>
      <c r="S590">
        <f t="shared" si="1"/>
        <v>2021</v>
      </c>
      <c r="T590">
        <f t="shared" si="2"/>
        <v>1</v>
      </c>
      <c r="U590">
        <f t="shared" si="3"/>
        <v>1</v>
      </c>
      <c r="Z590" s="17">
        <v>44718.0</v>
      </c>
      <c r="AG590" s="15"/>
      <c r="AH590" s="16"/>
      <c r="AM590" s="15"/>
      <c r="AN590" s="16"/>
    </row>
    <row r="591">
      <c r="A591" s="13" t="s">
        <v>1275</v>
      </c>
      <c r="B591" s="10">
        <v>44197.0</v>
      </c>
      <c r="C591" s="11" t="s">
        <v>108</v>
      </c>
      <c r="D591" s="11" t="s">
        <v>58</v>
      </c>
      <c r="E591" s="11" t="s">
        <v>39</v>
      </c>
      <c r="F591" s="11" t="s">
        <v>64</v>
      </c>
      <c r="G591" s="11" t="s">
        <v>45</v>
      </c>
      <c r="H591" s="11" t="s">
        <v>182</v>
      </c>
      <c r="I591" s="11" t="s">
        <v>1276</v>
      </c>
      <c r="J591" s="11">
        <v>27.0</v>
      </c>
      <c r="K591" s="12">
        <v>44656.0</v>
      </c>
      <c r="L591" s="11"/>
      <c r="M591" s="11">
        <v>670065.0</v>
      </c>
      <c r="N591" s="11" t="s">
        <v>1277</v>
      </c>
      <c r="O591" s="13"/>
      <c r="P591" s="11">
        <v>0.0</v>
      </c>
      <c r="Q591" s="14">
        <v>0.0</v>
      </c>
      <c r="R591" s="11">
        <v>1.0</v>
      </c>
      <c r="S591">
        <f t="shared" si="1"/>
        <v>2021</v>
      </c>
      <c r="T591">
        <f t="shared" si="2"/>
        <v>1</v>
      </c>
      <c r="U591">
        <f t="shared" si="3"/>
        <v>1</v>
      </c>
      <c r="Z591" s="17">
        <v>44656.0</v>
      </c>
      <c r="AG591" s="15"/>
      <c r="AH591" s="16"/>
      <c r="AM591" s="15"/>
      <c r="AN591" s="16"/>
    </row>
    <row r="592">
      <c r="A592" s="13" t="s">
        <v>1278</v>
      </c>
      <c r="B592" s="10">
        <v>44197.0</v>
      </c>
      <c r="C592" s="11" t="s">
        <v>108</v>
      </c>
      <c r="D592" s="11" t="s">
        <v>93</v>
      </c>
      <c r="E592" s="11" t="s">
        <v>39</v>
      </c>
      <c r="F592" s="11" t="s">
        <v>40</v>
      </c>
      <c r="G592" s="11" t="s">
        <v>45</v>
      </c>
      <c r="H592" s="11" t="s">
        <v>67</v>
      </c>
      <c r="I592" s="11" t="s">
        <v>616</v>
      </c>
      <c r="J592" s="11">
        <v>22.0</v>
      </c>
      <c r="K592" s="12">
        <v>45089.0</v>
      </c>
      <c r="L592" s="11"/>
      <c r="M592" s="11">
        <v>694341.0</v>
      </c>
      <c r="N592" s="11" t="s">
        <v>1279</v>
      </c>
      <c r="O592" s="13"/>
      <c r="P592" s="11">
        <v>0.0</v>
      </c>
      <c r="Q592" s="14">
        <v>0.0</v>
      </c>
      <c r="R592" s="11">
        <v>1.0</v>
      </c>
      <c r="S592">
        <f t="shared" si="1"/>
        <v>2021</v>
      </c>
      <c r="T592">
        <f t="shared" si="2"/>
        <v>1</v>
      </c>
      <c r="U592">
        <f t="shared" si="3"/>
        <v>1</v>
      </c>
      <c r="Z592" s="17">
        <v>45089.0</v>
      </c>
      <c r="AG592" s="15"/>
      <c r="AH592" s="16"/>
      <c r="AM592" s="15"/>
      <c r="AN592" s="16"/>
    </row>
    <row r="593">
      <c r="A593" s="13" t="s">
        <v>1280</v>
      </c>
      <c r="B593" s="17">
        <v>44197.0</v>
      </c>
      <c r="C593" s="11" t="s">
        <v>108</v>
      </c>
      <c r="D593" s="11" t="s">
        <v>93</v>
      </c>
      <c r="E593" s="11" t="s">
        <v>39</v>
      </c>
      <c r="F593" s="11" t="s">
        <v>40</v>
      </c>
      <c r="G593" s="11" t="s">
        <v>45</v>
      </c>
      <c r="H593" s="11" t="s">
        <v>139</v>
      </c>
      <c r="I593" s="11" t="s">
        <v>1281</v>
      </c>
      <c r="J593" s="11">
        <v>21.0</v>
      </c>
      <c r="K593" s="12">
        <v>45394.0</v>
      </c>
      <c r="L593" s="11"/>
      <c r="M593" s="11">
        <v>809137.0</v>
      </c>
      <c r="N593" s="11" t="s">
        <v>1282</v>
      </c>
      <c r="O593" s="13"/>
      <c r="P593" s="11">
        <v>0.0</v>
      </c>
      <c r="Q593" s="14">
        <v>0.0</v>
      </c>
      <c r="R593" s="11">
        <v>1.0</v>
      </c>
      <c r="S593">
        <f t="shared" si="1"/>
        <v>2021</v>
      </c>
      <c r="T593">
        <f t="shared" si="2"/>
        <v>1</v>
      </c>
      <c r="U593">
        <f t="shared" si="3"/>
        <v>1</v>
      </c>
      <c r="Z593" s="17"/>
      <c r="AG593" s="15"/>
      <c r="AH593" s="16"/>
      <c r="AM593" s="15"/>
      <c r="AN593" s="16"/>
    </row>
    <row r="594">
      <c r="A594" s="13" t="s">
        <v>1283</v>
      </c>
      <c r="B594" s="10">
        <v>44197.0</v>
      </c>
      <c r="C594" s="11" t="s">
        <v>274</v>
      </c>
      <c r="D594" s="11" t="s">
        <v>88</v>
      </c>
      <c r="E594" s="11" t="s">
        <v>39</v>
      </c>
      <c r="F594" s="11" t="s">
        <v>40</v>
      </c>
      <c r="G594" s="11" t="s">
        <v>41</v>
      </c>
      <c r="H594" s="11"/>
      <c r="I594" s="11"/>
      <c r="J594" s="11">
        <v>24.0</v>
      </c>
      <c r="K594" s="12"/>
      <c r="L594" s="11"/>
      <c r="M594" s="11">
        <v>670908.0</v>
      </c>
      <c r="N594" s="11" t="s">
        <v>1284</v>
      </c>
      <c r="O594" s="13"/>
      <c r="P594" s="11">
        <v>0.0</v>
      </c>
      <c r="Q594" s="14">
        <v>0.0</v>
      </c>
      <c r="R594" s="11">
        <v>1.0</v>
      </c>
      <c r="S594">
        <f t="shared" si="1"/>
        <v>2021</v>
      </c>
      <c r="T594">
        <f t="shared" si="2"/>
        <v>1</v>
      </c>
      <c r="U594">
        <f t="shared" si="3"/>
        <v>1</v>
      </c>
      <c r="Z594" s="17">
        <v>44771.0</v>
      </c>
      <c r="AG594" s="15"/>
      <c r="AH594" s="16"/>
      <c r="AM594" s="15"/>
      <c r="AN594" s="16"/>
    </row>
    <row r="595">
      <c r="A595" s="13" t="s">
        <v>1285</v>
      </c>
      <c r="B595" s="17">
        <v>44197.0</v>
      </c>
      <c r="C595" s="11" t="s">
        <v>274</v>
      </c>
      <c r="D595" s="11" t="s">
        <v>93</v>
      </c>
      <c r="E595" s="11" t="s">
        <v>39</v>
      </c>
      <c r="F595" s="11" t="s">
        <v>64</v>
      </c>
      <c r="G595" s="11" t="s">
        <v>45</v>
      </c>
      <c r="H595" s="11" t="s">
        <v>163</v>
      </c>
      <c r="I595" s="11" t="s">
        <v>1286</v>
      </c>
      <c r="J595" s="11">
        <v>19.0</v>
      </c>
      <c r="K595" s="12"/>
      <c r="L595" s="11"/>
      <c r="M595" s="11">
        <v>691007.0</v>
      </c>
      <c r="N595" s="11" t="s">
        <v>1287</v>
      </c>
      <c r="O595" s="13"/>
      <c r="P595" s="11">
        <v>0.0</v>
      </c>
      <c r="Q595" s="14">
        <v>0.0</v>
      </c>
      <c r="R595" s="11">
        <v>1.0</v>
      </c>
      <c r="S595">
        <f t="shared" si="1"/>
        <v>2021</v>
      </c>
      <c r="T595">
        <f t="shared" si="2"/>
        <v>1</v>
      </c>
      <c r="U595">
        <f t="shared" si="3"/>
        <v>1</v>
      </c>
      <c r="Z595" s="17"/>
      <c r="AG595" s="15"/>
      <c r="AH595" s="16"/>
      <c r="AM595" s="15"/>
      <c r="AN595" s="16"/>
    </row>
    <row r="596">
      <c r="A596" s="13" t="s">
        <v>1288</v>
      </c>
      <c r="B596" s="10">
        <v>44197.0</v>
      </c>
      <c r="C596" s="11" t="s">
        <v>150</v>
      </c>
      <c r="D596" s="11" t="s">
        <v>97</v>
      </c>
      <c r="E596" s="11" t="s">
        <v>39</v>
      </c>
      <c r="F596" s="11" t="s">
        <v>40</v>
      </c>
      <c r="G596" s="11" t="s">
        <v>41</v>
      </c>
      <c r="H596" s="11"/>
      <c r="I596" s="11"/>
      <c r="J596" s="11">
        <v>19.0</v>
      </c>
      <c r="K596" s="12">
        <v>44746.0</v>
      </c>
      <c r="L596" s="11"/>
      <c r="M596" s="11">
        <v>682623.0</v>
      </c>
      <c r="N596" s="11" t="s">
        <v>1289</v>
      </c>
      <c r="O596" s="13"/>
      <c r="P596" s="11">
        <v>0.0</v>
      </c>
      <c r="Q596" s="14">
        <v>0.0</v>
      </c>
      <c r="R596" s="11">
        <v>1.0</v>
      </c>
      <c r="S596">
        <f t="shared" si="1"/>
        <v>2021</v>
      </c>
      <c r="T596">
        <f t="shared" si="2"/>
        <v>1</v>
      </c>
      <c r="U596">
        <f t="shared" si="3"/>
        <v>1</v>
      </c>
      <c r="Z596" s="17">
        <v>44721.0</v>
      </c>
      <c r="AG596" s="15"/>
      <c r="AH596" s="16"/>
      <c r="AM596" s="15"/>
      <c r="AN596" s="16"/>
    </row>
    <row r="597">
      <c r="A597" s="13" t="s">
        <v>1290</v>
      </c>
      <c r="B597" s="10">
        <v>44197.0</v>
      </c>
      <c r="C597" s="11" t="s">
        <v>150</v>
      </c>
      <c r="D597" s="11" t="s">
        <v>709</v>
      </c>
      <c r="E597" s="11" t="s">
        <v>39</v>
      </c>
      <c r="F597" s="11" t="s">
        <v>40</v>
      </c>
      <c r="G597" s="11" t="s">
        <v>45</v>
      </c>
      <c r="H597" s="11" t="s">
        <v>258</v>
      </c>
      <c r="I597" s="11" t="s">
        <v>258</v>
      </c>
      <c r="J597" s="11">
        <v>23.0</v>
      </c>
      <c r="K597" s="12">
        <v>44755.0</v>
      </c>
      <c r="L597" s="11"/>
      <c r="M597" s="11">
        <v>679630.0</v>
      </c>
      <c r="N597" s="11" t="s">
        <v>1291</v>
      </c>
      <c r="O597" s="13"/>
      <c r="P597" s="11">
        <v>0.0</v>
      </c>
      <c r="Q597" s="14">
        <v>0.0</v>
      </c>
      <c r="R597" s="11">
        <v>1.0</v>
      </c>
      <c r="S597">
        <f t="shared" si="1"/>
        <v>2021</v>
      </c>
      <c r="T597">
        <f t="shared" si="2"/>
        <v>1</v>
      </c>
      <c r="U597">
        <f t="shared" si="3"/>
        <v>1</v>
      </c>
      <c r="Z597" s="17">
        <v>44744.0</v>
      </c>
      <c r="AG597" s="15"/>
      <c r="AH597" s="16"/>
      <c r="AM597" s="15"/>
      <c r="AN597" s="16"/>
    </row>
    <row r="598">
      <c r="A598" s="13" t="s">
        <v>1292</v>
      </c>
      <c r="B598" s="10">
        <v>44197.0</v>
      </c>
      <c r="C598" s="11" t="s">
        <v>362</v>
      </c>
      <c r="D598" s="11" t="s">
        <v>88</v>
      </c>
      <c r="E598" s="11" t="s">
        <v>39</v>
      </c>
      <c r="F598" s="11" t="s">
        <v>40</v>
      </c>
      <c r="G598" s="11" t="s">
        <v>45</v>
      </c>
      <c r="H598" s="11" t="s">
        <v>67</v>
      </c>
      <c r="I598" s="11" t="s">
        <v>748</v>
      </c>
      <c r="J598" s="11">
        <v>24.0</v>
      </c>
      <c r="K598" s="12">
        <v>44736.0</v>
      </c>
      <c r="L598" s="11"/>
      <c r="M598" s="11">
        <v>663336.0</v>
      </c>
      <c r="N598" s="11" t="s">
        <v>1293</v>
      </c>
      <c r="O598" s="13"/>
      <c r="P598" s="11">
        <v>0.0</v>
      </c>
      <c r="Q598" s="14">
        <v>0.0</v>
      </c>
      <c r="R598" s="11">
        <v>1.0</v>
      </c>
      <c r="S598">
        <f t="shared" si="1"/>
        <v>2021</v>
      </c>
      <c r="T598">
        <f t="shared" si="2"/>
        <v>1</v>
      </c>
      <c r="U598">
        <f t="shared" si="3"/>
        <v>1</v>
      </c>
      <c r="Z598" s="17">
        <v>44719.0</v>
      </c>
      <c r="AG598" s="15"/>
      <c r="AH598" s="16"/>
      <c r="AM598" s="15"/>
      <c r="AN598" s="16"/>
    </row>
    <row r="599">
      <c r="A599" s="13" t="s">
        <v>1294</v>
      </c>
      <c r="B599" s="17">
        <v>44197.0</v>
      </c>
      <c r="C599" s="11" t="s">
        <v>362</v>
      </c>
      <c r="D599" s="11" t="s">
        <v>93</v>
      </c>
      <c r="E599" s="11" t="s">
        <v>39</v>
      </c>
      <c r="F599" s="11" t="s">
        <v>40</v>
      </c>
      <c r="G599" s="11" t="s">
        <v>45</v>
      </c>
      <c r="H599" s="11" t="s">
        <v>67</v>
      </c>
      <c r="I599" s="37" t="s">
        <v>301</v>
      </c>
      <c r="J599" s="11">
        <v>21.0</v>
      </c>
      <c r="K599" s="12">
        <v>44722.0</v>
      </c>
      <c r="L599" s="11"/>
      <c r="M599" s="11">
        <v>680714.0</v>
      </c>
      <c r="N599" s="11" t="s">
        <v>1295</v>
      </c>
      <c r="O599" s="13"/>
      <c r="P599" s="11">
        <v>0.0</v>
      </c>
      <c r="Q599" s="14">
        <v>0.0</v>
      </c>
      <c r="R599" s="11">
        <v>1.0</v>
      </c>
      <c r="S599">
        <f t="shared" si="1"/>
        <v>2021</v>
      </c>
      <c r="T599">
        <f t="shared" si="2"/>
        <v>1</v>
      </c>
      <c r="U599">
        <f t="shared" si="3"/>
        <v>1</v>
      </c>
      <c r="AG599" s="15"/>
      <c r="AH599" s="16"/>
      <c r="AM599" s="15"/>
      <c r="AN599" s="16"/>
    </row>
    <row r="600">
      <c r="A600" s="13" t="s">
        <v>1296</v>
      </c>
      <c r="B600" s="10">
        <v>44197.0</v>
      </c>
      <c r="C600" s="11" t="s">
        <v>362</v>
      </c>
      <c r="D600" s="11" t="s">
        <v>93</v>
      </c>
      <c r="E600" s="11" t="s">
        <v>39</v>
      </c>
      <c r="F600" s="11" t="s">
        <v>40</v>
      </c>
      <c r="G600" s="11" t="s">
        <v>45</v>
      </c>
      <c r="H600" s="11" t="s">
        <v>67</v>
      </c>
      <c r="I600" s="37" t="s">
        <v>1297</v>
      </c>
      <c r="J600" s="11">
        <v>21.0</v>
      </c>
      <c r="K600" s="12">
        <v>44786.0</v>
      </c>
      <c r="L600" s="11"/>
      <c r="M600" s="11">
        <v>677322.0</v>
      </c>
      <c r="N600" s="11" t="s">
        <v>1298</v>
      </c>
      <c r="O600" s="13"/>
      <c r="P600" s="11">
        <v>0.0</v>
      </c>
      <c r="Q600" s="14">
        <v>0.0</v>
      </c>
      <c r="R600" s="11">
        <v>1.0</v>
      </c>
      <c r="S600">
        <f t="shared" si="1"/>
        <v>2021</v>
      </c>
      <c r="T600">
        <f t="shared" si="2"/>
        <v>1</v>
      </c>
      <c r="U600">
        <f t="shared" si="3"/>
        <v>1</v>
      </c>
      <c r="Z600" s="17">
        <v>44786.0</v>
      </c>
      <c r="AG600" s="15"/>
      <c r="AH600" s="16"/>
      <c r="AM600" s="15"/>
      <c r="AN600" s="16"/>
    </row>
    <row r="601">
      <c r="A601" s="13" t="s">
        <v>1299</v>
      </c>
      <c r="B601" s="10">
        <v>44197.0</v>
      </c>
      <c r="C601" s="11" t="s">
        <v>175</v>
      </c>
      <c r="D601" s="11" t="s">
        <v>77</v>
      </c>
      <c r="E601" s="11" t="s">
        <v>39</v>
      </c>
      <c r="F601" s="11" t="s">
        <v>40</v>
      </c>
      <c r="G601" s="11" t="s">
        <v>45</v>
      </c>
      <c r="H601" s="11" t="s">
        <v>73</v>
      </c>
      <c r="I601" s="37" t="s">
        <v>957</v>
      </c>
      <c r="J601" s="11">
        <v>26.0</v>
      </c>
      <c r="K601" s="12">
        <v>44696.0</v>
      </c>
      <c r="L601" s="11"/>
      <c r="M601" s="11">
        <v>669199.0</v>
      </c>
      <c r="N601" s="11">
        <v>19222.0</v>
      </c>
      <c r="O601" s="13"/>
      <c r="P601" s="11">
        <v>0.0</v>
      </c>
      <c r="Q601" s="14">
        <v>0.0</v>
      </c>
      <c r="R601" s="11">
        <v>1.0</v>
      </c>
      <c r="S601">
        <f t="shared" si="1"/>
        <v>2021</v>
      </c>
      <c r="T601">
        <f t="shared" si="2"/>
        <v>1</v>
      </c>
      <c r="U601">
        <f t="shared" si="3"/>
        <v>1</v>
      </c>
      <c r="Z601" s="17">
        <v>44696.0</v>
      </c>
      <c r="AG601" s="15"/>
      <c r="AH601" s="16"/>
      <c r="AM601" s="15"/>
      <c r="AN601" s="16"/>
    </row>
    <row r="602">
      <c r="A602" s="13" t="s">
        <v>1300</v>
      </c>
      <c r="B602" s="10">
        <v>44197.0</v>
      </c>
      <c r="C602" s="11" t="s">
        <v>175</v>
      </c>
      <c r="D602" s="11" t="s">
        <v>213</v>
      </c>
      <c r="E602" s="11" t="s">
        <v>39</v>
      </c>
      <c r="F602" s="11" t="s">
        <v>64</v>
      </c>
      <c r="G602" s="11" t="s">
        <v>45</v>
      </c>
      <c r="H602" s="11" t="s">
        <v>127</v>
      </c>
      <c r="I602" s="37"/>
      <c r="J602" s="11">
        <v>18.0</v>
      </c>
      <c r="K602" s="12">
        <v>45030.0</v>
      </c>
      <c r="L602" s="11"/>
      <c r="M602" s="11">
        <v>695247.0</v>
      </c>
      <c r="N602" s="11" t="s">
        <v>1301</v>
      </c>
      <c r="O602" s="13"/>
      <c r="P602" s="11">
        <v>0.0</v>
      </c>
      <c r="Q602" s="14">
        <v>0.0</v>
      </c>
      <c r="R602" s="11">
        <v>1.0</v>
      </c>
      <c r="S602">
        <f t="shared" si="1"/>
        <v>2021</v>
      </c>
      <c r="T602">
        <f t="shared" si="2"/>
        <v>1</v>
      </c>
      <c r="U602">
        <f t="shared" si="3"/>
        <v>1</v>
      </c>
      <c r="Z602" s="17">
        <v>45030.0</v>
      </c>
      <c r="AG602" s="15"/>
      <c r="AH602" s="16"/>
      <c r="AM602" s="15"/>
      <c r="AN602" s="16"/>
    </row>
    <row r="603">
      <c r="A603" s="38" t="s">
        <v>1302</v>
      </c>
      <c r="B603" s="31">
        <v>44197.0</v>
      </c>
      <c r="C603" s="18" t="s">
        <v>230</v>
      </c>
      <c r="D603" s="18" t="s">
        <v>97</v>
      </c>
      <c r="E603" s="18" t="s">
        <v>39</v>
      </c>
      <c r="F603" s="18" t="s">
        <v>40</v>
      </c>
      <c r="G603" s="18" t="s">
        <v>45</v>
      </c>
      <c r="H603" s="18" t="s">
        <v>67</v>
      </c>
      <c r="I603" s="18" t="s">
        <v>1303</v>
      </c>
      <c r="J603" s="18">
        <v>23.0</v>
      </c>
      <c r="K603" s="12">
        <v>44743.0</v>
      </c>
      <c r="L603" s="21"/>
      <c r="M603" s="18">
        <v>686827.0</v>
      </c>
      <c r="N603" s="18" t="s">
        <v>1304</v>
      </c>
      <c r="O603" s="19"/>
      <c r="P603" s="18">
        <v>0.0</v>
      </c>
      <c r="Q603" s="36">
        <v>0.0</v>
      </c>
      <c r="R603" s="18">
        <v>1.0</v>
      </c>
      <c r="S603">
        <f t="shared" si="1"/>
        <v>2021</v>
      </c>
      <c r="T603">
        <f t="shared" si="2"/>
        <v>1</v>
      </c>
      <c r="U603">
        <f t="shared" si="3"/>
        <v>1</v>
      </c>
      <c r="V603" s="24"/>
      <c r="W603" s="24"/>
      <c r="X603" s="24"/>
      <c r="Y603" s="24"/>
      <c r="Z603" s="31">
        <v>44729.0</v>
      </c>
      <c r="AA603" s="24"/>
      <c r="AB603" s="24"/>
      <c r="AC603" s="24"/>
      <c r="AD603" s="24"/>
      <c r="AE603" s="24"/>
      <c r="AF603" s="24"/>
      <c r="AG603" s="26"/>
      <c r="AH603" s="27"/>
      <c r="AI603" s="24"/>
      <c r="AJ603" s="24"/>
      <c r="AK603" s="24"/>
      <c r="AL603" s="24"/>
      <c r="AM603" s="26"/>
      <c r="AN603" s="27"/>
      <c r="AO603" s="24"/>
      <c r="AP603" s="24"/>
    </row>
    <row r="604">
      <c r="A604" s="13" t="s">
        <v>1305</v>
      </c>
      <c r="B604" s="10">
        <v>44197.0</v>
      </c>
      <c r="C604" s="11" t="s">
        <v>62</v>
      </c>
      <c r="D604" s="11" t="s">
        <v>97</v>
      </c>
      <c r="E604" s="11" t="s">
        <v>39</v>
      </c>
      <c r="F604" s="11" t="s">
        <v>40</v>
      </c>
      <c r="G604" s="11" t="s">
        <v>45</v>
      </c>
      <c r="H604" s="11" t="s">
        <v>73</v>
      </c>
      <c r="I604" s="37" t="s">
        <v>1306</v>
      </c>
      <c r="J604" s="11">
        <v>23.0</v>
      </c>
      <c r="K604" s="12">
        <v>44659.0</v>
      </c>
      <c r="L604" s="11"/>
      <c r="M604" s="11">
        <v>676775.0</v>
      </c>
      <c r="N604" s="11">
        <v>23499.0</v>
      </c>
      <c r="O604" s="13"/>
      <c r="P604" s="11">
        <v>0.0</v>
      </c>
      <c r="Q604" s="14">
        <v>0.0</v>
      </c>
      <c r="R604" s="11">
        <v>1.0</v>
      </c>
      <c r="S604">
        <f t="shared" si="1"/>
        <v>2021</v>
      </c>
      <c r="T604">
        <f t="shared" si="2"/>
        <v>1</v>
      </c>
      <c r="U604">
        <f t="shared" si="3"/>
        <v>1</v>
      </c>
      <c r="AG604" s="15"/>
      <c r="AH604" s="16"/>
      <c r="AM604" s="15"/>
      <c r="AN604" s="16"/>
    </row>
    <row r="605">
      <c r="A605" s="19" t="s">
        <v>1307</v>
      </c>
      <c r="B605" s="31">
        <v>44197.0</v>
      </c>
      <c r="C605" s="21" t="s">
        <v>62</v>
      </c>
      <c r="D605" s="21" t="s">
        <v>88</v>
      </c>
      <c r="E605" s="21" t="s">
        <v>39</v>
      </c>
      <c r="F605" s="21" t="s">
        <v>64</v>
      </c>
      <c r="G605" s="21" t="s">
        <v>45</v>
      </c>
      <c r="H605" s="21" t="s">
        <v>67</v>
      </c>
      <c r="I605" s="21" t="s">
        <v>925</v>
      </c>
      <c r="J605" s="18">
        <v>25.0</v>
      </c>
      <c r="K605" s="12">
        <v>44782.0</v>
      </c>
      <c r="L605" s="21"/>
      <c r="M605" s="21">
        <v>656451.0</v>
      </c>
      <c r="N605" s="21" t="s">
        <v>1308</v>
      </c>
      <c r="O605" s="19"/>
      <c r="P605" s="21">
        <v>0.0</v>
      </c>
      <c r="Q605" s="23">
        <v>0.0</v>
      </c>
      <c r="R605" s="21">
        <v>1.0</v>
      </c>
      <c r="S605" s="33">
        <f t="shared" si="1"/>
        <v>2021</v>
      </c>
      <c r="T605" s="33">
        <f t="shared" si="2"/>
        <v>1</v>
      </c>
      <c r="U605" s="33">
        <f t="shared" si="3"/>
        <v>1</v>
      </c>
      <c r="V605" s="24"/>
      <c r="W605" s="24"/>
      <c r="X605" s="24"/>
      <c r="Y605" s="24"/>
      <c r="Z605" s="25">
        <v>44721.0</v>
      </c>
      <c r="AA605" s="24"/>
      <c r="AB605" s="24"/>
      <c r="AC605" s="24"/>
      <c r="AD605" s="24"/>
      <c r="AE605" s="24"/>
      <c r="AF605" s="24"/>
      <c r="AG605" s="26"/>
      <c r="AH605" s="27"/>
      <c r="AI605" s="24"/>
      <c r="AJ605" s="24"/>
      <c r="AK605" s="24"/>
      <c r="AL605" s="24"/>
      <c r="AM605" s="26"/>
      <c r="AN605" s="27"/>
      <c r="AO605" s="24"/>
      <c r="AP605" s="24"/>
    </row>
    <row r="606">
      <c r="A606" s="13" t="s">
        <v>1309</v>
      </c>
      <c r="B606" s="17">
        <v>44197.0</v>
      </c>
      <c r="C606" s="11" t="s">
        <v>62</v>
      </c>
      <c r="D606" s="11" t="s">
        <v>213</v>
      </c>
      <c r="E606" s="11" t="s">
        <v>39</v>
      </c>
      <c r="F606" s="11" t="s">
        <v>40</v>
      </c>
      <c r="G606" s="11" t="s">
        <v>45</v>
      </c>
      <c r="H606" s="11" t="s">
        <v>84</v>
      </c>
      <c r="I606" s="37" t="s">
        <v>84</v>
      </c>
      <c r="J606" s="11">
        <v>19.0</v>
      </c>
      <c r="K606" s="12">
        <v>776236.0</v>
      </c>
      <c r="L606" s="11"/>
      <c r="M606" s="11">
        <v>695421.0</v>
      </c>
      <c r="N606" s="11" t="s">
        <v>1310</v>
      </c>
      <c r="O606" s="13"/>
      <c r="P606" s="11">
        <v>0.0</v>
      </c>
      <c r="Q606" s="14">
        <v>0.0</v>
      </c>
      <c r="R606" s="11">
        <v>1.0</v>
      </c>
      <c r="S606" s="33">
        <f t="shared" si="1"/>
        <v>2021</v>
      </c>
      <c r="T606" s="33">
        <f t="shared" si="2"/>
        <v>1</v>
      </c>
      <c r="U606" s="33">
        <f t="shared" si="3"/>
        <v>1</v>
      </c>
      <c r="Z606" s="17">
        <v>45751.0</v>
      </c>
      <c r="AG606" s="15"/>
      <c r="AH606" s="16"/>
      <c r="AM606" s="15"/>
      <c r="AN606" s="16"/>
    </row>
    <row r="607">
      <c r="A607" s="13" t="s">
        <v>1311</v>
      </c>
      <c r="B607" s="17">
        <v>44197.0</v>
      </c>
      <c r="C607" s="11" t="s">
        <v>156</v>
      </c>
      <c r="D607" s="11" t="s">
        <v>77</v>
      </c>
      <c r="E607" s="11" t="s">
        <v>39</v>
      </c>
      <c r="F607" s="11" t="s">
        <v>64</v>
      </c>
      <c r="G607" s="11" t="s">
        <v>45</v>
      </c>
      <c r="H607" s="11" t="s">
        <v>67</v>
      </c>
      <c r="I607" s="37" t="s">
        <v>1312</v>
      </c>
      <c r="J607" s="11">
        <v>23.0</v>
      </c>
      <c r="K607" s="12">
        <v>45024.0</v>
      </c>
      <c r="L607" s="11"/>
      <c r="M607" s="11">
        <v>682052.0</v>
      </c>
      <c r="N607" s="11">
        <v>25098.0</v>
      </c>
      <c r="O607" s="13"/>
      <c r="P607" s="11">
        <v>0.0</v>
      </c>
      <c r="Q607" s="14">
        <v>0.0</v>
      </c>
      <c r="R607" s="11">
        <v>1.0</v>
      </c>
      <c r="S607" s="33">
        <f t="shared" si="1"/>
        <v>2021</v>
      </c>
      <c r="T607" s="33">
        <f t="shared" si="2"/>
        <v>1</v>
      </c>
      <c r="U607" s="33">
        <f t="shared" si="3"/>
        <v>1</v>
      </c>
      <c r="Z607" s="17">
        <v>45024.0</v>
      </c>
      <c r="AG607" s="15"/>
      <c r="AH607" s="16"/>
      <c r="AM607" s="15"/>
      <c r="AN607" s="16"/>
    </row>
    <row r="608">
      <c r="A608" s="13" t="s">
        <v>1313</v>
      </c>
      <c r="B608" s="17">
        <v>44197.0</v>
      </c>
      <c r="C608" s="11" t="s">
        <v>186</v>
      </c>
      <c r="D608" s="11" t="s">
        <v>213</v>
      </c>
      <c r="E608" s="11" t="s">
        <v>39</v>
      </c>
      <c r="F608" s="11" t="s">
        <v>64</v>
      </c>
      <c r="G608" s="11" t="s">
        <v>45</v>
      </c>
      <c r="H608" s="11" t="s">
        <v>127</v>
      </c>
      <c r="I608" s="11" t="s">
        <v>127</v>
      </c>
      <c r="J608" s="11">
        <v>18.0</v>
      </c>
      <c r="K608" s="39">
        <v>45751.0</v>
      </c>
      <c r="L608" s="11"/>
      <c r="M608" s="11">
        <v>701717.0</v>
      </c>
      <c r="N608" s="11" t="s">
        <v>1314</v>
      </c>
      <c r="O608" s="13"/>
      <c r="P608" s="11">
        <v>0.0</v>
      </c>
      <c r="Q608" s="14">
        <v>0.0</v>
      </c>
      <c r="R608" s="11">
        <v>1.0</v>
      </c>
      <c r="S608">
        <f t="shared" si="1"/>
        <v>2021</v>
      </c>
      <c r="T608">
        <f t="shared" si="2"/>
        <v>1</v>
      </c>
      <c r="U608">
        <f t="shared" si="3"/>
        <v>1</v>
      </c>
      <c r="Z608" s="17">
        <v>45751.0</v>
      </c>
      <c r="AG608" s="15"/>
      <c r="AH608" s="16"/>
      <c r="AM608" s="15"/>
      <c r="AN608" s="16"/>
    </row>
    <row r="609">
      <c r="A609" s="13" t="s">
        <v>1315</v>
      </c>
      <c r="B609" s="17">
        <v>44197.0</v>
      </c>
      <c r="C609" s="11" t="s">
        <v>186</v>
      </c>
      <c r="D609" s="11" t="s">
        <v>213</v>
      </c>
      <c r="E609" s="11" t="s">
        <v>39</v>
      </c>
      <c r="F609" s="11" t="s">
        <v>40</v>
      </c>
      <c r="G609" s="11" t="s">
        <v>45</v>
      </c>
      <c r="H609" s="11" t="s">
        <v>67</v>
      </c>
      <c r="I609" s="37"/>
      <c r="J609" s="11">
        <v>19.0</v>
      </c>
      <c r="K609" s="12">
        <v>45146.0</v>
      </c>
      <c r="L609" s="11"/>
      <c r="M609" s="11">
        <v>695008.0</v>
      </c>
      <c r="N609" s="11" t="s">
        <v>1316</v>
      </c>
      <c r="O609" s="13"/>
      <c r="P609" s="11">
        <v>0.0</v>
      </c>
      <c r="Q609" s="14">
        <v>0.0</v>
      </c>
      <c r="R609" s="11">
        <v>1.0</v>
      </c>
      <c r="S609">
        <f t="shared" si="1"/>
        <v>2021</v>
      </c>
      <c r="T609">
        <f t="shared" si="2"/>
        <v>1</v>
      </c>
      <c r="U609">
        <f t="shared" si="3"/>
        <v>1</v>
      </c>
      <c r="Z609" s="17">
        <v>45146.0</v>
      </c>
      <c r="AG609" s="15"/>
      <c r="AH609" s="16"/>
      <c r="AM609" s="15"/>
      <c r="AN609" s="16"/>
    </row>
    <row r="610">
      <c r="A610" s="13" t="s">
        <v>1317</v>
      </c>
      <c r="B610" s="10">
        <v>44197.0</v>
      </c>
      <c r="C610" s="11" t="s">
        <v>235</v>
      </c>
      <c r="D610" s="11" t="s">
        <v>88</v>
      </c>
      <c r="E610" s="11" t="s">
        <v>39</v>
      </c>
      <c r="F610" s="11" t="s">
        <v>40</v>
      </c>
      <c r="G610" s="11" t="s">
        <v>45</v>
      </c>
      <c r="H610" s="11" t="s">
        <v>46</v>
      </c>
      <c r="I610" s="37" t="s">
        <v>1318</v>
      </c>
      <c r="J610" s="11">
        <v>22.0</v>
      </c>
      <c r="K610" s="12">
        <v>44791.0</v>
      </c>
      <c r="L610" s="11"/>
      <c r="M610" s="11">
        <v>687857.0</v>
      </c>
      <c r="N610" s="11" t="s">
        <v>1319</v>
      </c>
      <c r="O610" s="13"/>
      <c r="P610" s="11">
        <v>0.0</v>
      </c>
      <c r="Q610" s="14">
        <v>0.0</v>
      </c>
      <c r="R610" s="11">
        <v>1.0</v>
      </c>
      <c r="S610">
        <f t="shared" si="1"/>
        <v>2021</v>
      </c>
      <c r="T610">
        <f t="shared" si="2"/>
        <v>1</v>
      </c>
      <c r="U610">
        <f t="shared" si="3"/>
        <v>1</v>
      </c>
      <c r="Z610" s="17">
        <v>44754.0</v>
      </c>
      <c r="AG610" s="15"/>
      <c r="AH610" s="16"/>
      <c r="AM610" s="15"/>
      <c r="AN610" s="16"/>
    </row>
    <row r="611">
      <c r="A611" s="13" t="s">
        <v>1320</v>
      </c>
      <c r="B611" s="10">
        <v>44197.0</v>
      </c>
      <c r="C611" s="11" t="s">
        <v>76</v>
      </c>
      <c r="D611" s="11" t="s">
        <v>221</v>
      </c>
      <c r="E611" s="11" t="s">
        <v>39</v>
      </c>
      <c r="F611" s="11" t="s">
        <v>40</v>
      </c>
      <c r="G611" s="11" t="s">
        <v>45</v>
      </c>
      <c r="H611" s="11" t="s">
        <v>84</v>
      </c>
      <c r="I611" s="37"/>
      <c r="J611" s="11">
        <v>21.0</v>
      </c>
      <c r="K611" s="12">
        <v>44706.0</v>
      </c>
      <c r="L611" s="11"/>
      <c r="M611" s="11">
        <v>669379.0</v>
      </c>
      <c r="N611" s="11" t="s">
        <v>1321</v>
      </c>
      <c r="O611" s="13"/>
      <c r="P611" s="11">
        <v>0.0</v>
      </c>
      <c r="Q611" s="14">
        <v>0.0</v>
      </c>
      <c r="R611" s="11">
        <v>1.0</v>
      </c>
      <c r="S611">
        <f t="shared" si="1"/>
        <v>2021</v>
      </c>
      <c r="T611">
        <f t="shared" si="2"/>
        <v>1</v>
      </c>
      <c r="U611">
        <f t="shared" si="3"/>
        <v>1</v>
      </c>
      <c r="Z611" s="17">
        <v>44706.0</v>
      </c>
      <c r="AG611" s="15"/>
      <c r="AH611" s="16"/>
      <c r="AM611" s="15"/>
      <c r="AN611" s="16"/>
    </row>
    <row r="612">
      <c r="A612" s="13" t="s">
        <v>1322</v>
      </c>
      <c r="B612" s="10">
        <v>44174.0</v>
      </c>
      <c r="C612" s="11" t="s">
        <v>362</v>
      </c>
      <c r="D612" s="11" t="s">
        <v>93</v>
      </c>
      <c r="E612" s="11" t="s">
        <v>39</v>
      </c>
      <c r="F612" s="11" t="s">
        <v>40</v>
      </c>
      <c r="G612" s="11" t="s">
        <v>45</v>
      </c>
      <c r="H612" s="11" t="s">
        <v>163</v>
      </c>
      <c r="I612" s="37" t="s">
        <v>613</v>
      </c>
      <c r="J612" s="11">
        <v>21.0</v>
      </c>
      <c r="K612" s="12">
        <v>44700.0</v>
      </c>
      <c r="L612" s="11">
        <f t="shared" ref="L612:L616" si="61">ROUND(((K612-B612)/365)*12,0)</f>
        <v>17</v>
      </c>
      <c r="M612" s="11">
        <v>689713.0</v>
      </c>
      <c r="N612" s="11" t="s">
        <v>1323</v>
      </c>
      <c r="O612" s="13"/>
      <c r="P612" s="11">
        <v>0.0</v>
      </c>
      <c r="Q612" s="14">
        <v>0.0</v>
      </c>
      <c r="R612" s="11">
        <v>1.0</v>
      </c>
      <c r="S612">
        <f t="shared" si="1"/>
        <v>2020</v>
      </c>
      <c r="T612">
        <f t="shared" si="2"/>
        <v>12</v>
      </c>
      <c r="U612">
        <f t="shared" si="3"/>
        <v>9</v>
      </c>
      <c r="Z612" s="17">
        <v>44700.0</v>
      </c>
      <c r="AG612" s="15"/>
      <c r="AH612" s="16"/>
      <c r="AM612" s="15"/>
      <c r="AN612" s="16"/>
    </row>
    <row r="613">
      <c r="A613" s="13" t="s">
        <v>1324</v>
      </c>
      <c r="B613" s="10">
        <v>44166.0</v>
      </c>
      <c r="C613" s="11" t="s">
        <v>111</v>
      </c>
      <c r="D613" s="11" t="s">
        <v>77</v>
      </c>
      <c r="E613" s="11" t="s">
        <v>39</v>
      </c>
      <c r="F613" s="11" t="s">
        <v>40</v>
      </c>
      <c r="G613" s="11" t="s">
        <v>45</v>
      </c>
      <c r="H613" s="11" t="s">
        <v>84</v>
      </c>
      <c r="I613" s="37" t="s">
        <v>84</v>
      </c>
      <c r="J613" s="11">
        <v>24.0</v>
      </c>
      <c r="K613" s="12">
        <v>44678.0</v>
      </c>
      <c r="L613" s="11">
        <f t="shared" si="61"/>
        <v>17</v>
      </c>
      <c r="M613" s="11">
        <v>656412.0</v>
      </c>
      <c r="N613" s="11">
        <v>19874.0</v>
      </c>
      <c r="O613" s="13"/>
      <c r="P613" s="11">
        <v>0.0</v>
      </c>
      <c r="Q613" s="14">
        <v>0.0</v>
      </c>
      <c r="R613" s="11">
        <v>1.0</v>
      </c>
      <c r="S613">
        <f t="shared" si="1"/>
        <v>2020</v>
      </c>
      <c r="T613">
        <f t="shared" si="2"/>
        <v>12</v>
      </c>
      <c r="U613">
        <f t="shared" si="3"/>
        <v>1</v>
      </c>
      <c r="X613" s="17">
        <v>44572.0</v>
      </c>
      <c r="Z613" s="17">
        <v>44640.0</v>
      </c>
      <c r="AG613" s="15"/>
      <c r="AH613" s="16"/>
      <c r="AM613" s="15"/>
      <c r="AN613" s="16"/>
    </row>
    <row r="614">
      <c r="A614" s="13" t="s">
        <v>1325</v>
      </c>
      <c r="B614" s="10">
        <v>44152.0</v>
      </c>
      <c r="C614" s="11" t="s">
        <v>175</v>
      </c>
      <c r="D614" s="11" t="s">
        <v>38</v>
      </c>
      <c r="E614" s="11" t="s">
        <v>39</v>
      </c>
      <c r="F614" s="11" t="s">
        <v>40</v>
      </c>
      <c r="G614" s="11" t="s">
        <v>45</v>
      </c>
      <c r="H614" s="11" t="s">
        <v>84</v>
      </c>
      <c r="I614" s="37" t="s">
        <v>1326</v>
      </c>
      <c r="J614" s="11">
        <v>29.0</v>
      </c>
      <c r="K614" s="12">
        <v>44685.0</v>
      </c>
      <c r="L614" s="11">
        <f t="shared" si="61"/>
        <v>18</v>
      </c>
      <c r="M614" s="11">
        <v>605182.0</v>
      </c>
      <c r="N614" s="11">
        <v>12808.0</v>
      </c>
      <c r="O614" s="13" t="s">
        <v>355</v>
      </c>
      <c r="P614" s="11">
        <v>0.0</v>
      </c>
      <c r="Q614" s="14">
        <v>0.0</v>
      </c>
      <c r="R614" s="11">
        <v>1.0</v>
      </c>
      <c r="S614">
        <f t="shared" si="1"/>
        <v>2020</v>
      </c>
      <c r="T614">
        <f t="shared" si="2"/>
        <v>11</v>
      </c>
      <c r="U614">
        <f t="shared" si="3"/>
        <v>17</v>
      </c>
      <c r="Z614" s="17">
        <v>44649.0</v>
      </c>
      <c r="AG614" s="15"/>
      <c r="AH614" s="16"/>
      <c r="AM614" s="15"/>
      <c r="AN614" s="16"/>
    </row>
    <row r="615">
      <c r="A615" s="13" t="s">
        <v>1327</v>
      </c>
      <c r="B615" s="10">
        <v>44136.0</v>
      </c>
      <c r="C615" s="11" t="s">
        <v>175</v>
      </c>
      <c r="D615" s="11" t="s">
        <v>97</v>
      </c>
      <c r="E615" s="11" t="s">
        <v>39</v>
      </c>
      <c r="F615" s="11" t="s">
        <v>40</v>
      </c>
      <c r="G615" s="11" t="s">
        <v>326</v>
      </c>
      <c r="H615" s="11"/>
      <c r="I615" s="37"/>
      <c r="J615" s="11">
        <v>20.0</v>
      </c>
      <c r="K615" s="12">
        <v>44687.0</v>
      </c>
      <c r="L615" s="11">
        <f t="shared" si="61"/>
        <v>18</v>
      </c>
      <c r="M615" s="11">
        <v>678713.0</v>
      </c>
      <c r="N615" s="11" t="s">
        <v>1328</v>
      </c>
      <c r="O615" s="13"/>
      <c r="P615" s="11">
        <v>0.0</v>
      </c>
      <c r="Q615" s="14">
        <v>0.0</v>
      </c>
      <c r="R615" s="11">
        <v>1.0</v>
      </c>
      <c r="S615">
        <f t="shared" si="1"/>
        <v>2020</v>
      </c>
      <c r="T615">
        <f t="shared" si="2"/>
        <v>11</v>
      </c>
      <c r="U615">
        <f t="shared" si="3"/>
        <v>1</v>
      </c>
      <c r="X615" s="17">
        <v>44687.0</v>
      </c>
      <c r="AG615" s="15"/>
      <c r="AH615" s="16"/>
      <c r="AM615" s="15"/>
      <c r="AN615" s="16"/>
    </row>
    <row r="616">
      <c r="A616" s="13" t="s">
        <v>1329</v>
      </c>
      <c r="B616" s="10">
        <v>44132.0</v>
      </c>
      <c r="C616" s="11" t="s">
        <v>138</v>
      </c>
      <c r="D616" s="11" t="s">
        <v>213</v>
      </c>
      <c r="E616" s="11" t="s">
        <v>39</v>
      </c>
      <c r="F616" s="11" t="s">
        <v>40</v>
      </c>
      <c r="G616" s="11" t="s">
        <v>45</v>
      </c>
      <c r="H616" s="11" t="s">
        <v>735</v>
      </c>
      <c r="I616" s="37" t="s">
        <v>735</v>
      </c>
      <c r="J616" s="11">
        <v>18.0</v>
      </c>
      <c r="K616" s="12">
        <v>44706.0</v>
      </c>
      <c r="L616" s="11">
        <f t="shared" si="61"/>
        <v>19</v>
      </c>
      <c r="M616" s="11">
        <v>691945.0</v>
      </c>
      <c r="N616" s="11" t="s">
        <v>1330</v>
      </c>
      <c r="O616" s="13" t="s">
        <v>42</v>
      </c>
      <c r="P616" s="11">
        <v>0.0</v>
      </c>
      <c r="Q616" s="14">
        <v>0.0</v>
      </c>
      <c r="R616" s="11">
        <v>1.0</v>
      </c>
      <c r="S616">
        <f t="shared" si="1"/>
        <v>2020</v>
      </c>
      <c r="T616">
        <f t="shared" si="2"/>
        <v>10</v>
      </c>
      <c r="U616">
        <f t="shared" si="3"/>
        <v>28</v>
      </c>
      <c r="Z616" s="17">
        <v>44706.0</v>
      </c>
      <c r="AG616" s="15"/>
      <c r="AH616" s="16"/>
      <c r="AM616" s="15"/>
      <c r="AN616" s="16"/>
    </row>
    <row r="617">
      <c r="A617" s="13" t="s">
        <v>1331</v>
      </c>
      <c r="B617" s="10">
        <v>44120.0</v>
      </c>
      <c r="C617" s="11" t="s">
        <v>83</v>
      </c>
      <c r="D617" s="11" t="s">
        <v>38</v>
      </c>
      <c r="E617" s="11" t="s">
        <v>39</v>
      </c>
      <c r="F617" s="11" t="s">
        <v>64</v>
      </c>
      <c r="G617" s="11" t="s">
        <v>53</v>
      </c>
      <c r="H617" s="11"/>
      <c r="I617" s="37"/>
      <c r="J617" s="11">
        <v>23.0</v>
      </c>
      <c r="K617" s="12"/>
      <c r="L617" s="11"/>
      <c r="M617" s="11">
        <v>645307.0</v>
      </c>
      <c r="N617" s="11">
        <v>17581.0</v>
      </c>
      <c r="O617" s="13" t="s">
        <v>1332</v>
      </c>
      <c r="P617" s="11">
        <v>0.0</v>
      </c>
      <c r="Q617" s="14">
        <v>0.0</v>
      </c>
      <c r="R617" s="11">
        <v>1.0</v>
      </c>
      <c r="S617">
        <f t="shared" si="1"/>
        <v>2020</v>
      </c>
      <c r="T617">
        <f t="shared" si="2"/>
        <v>10</v>
      </c>
      <c r="U617">
        <f t="shared" si="3"/>
        <v>16</v>
      </c>
      <c r="Z617" s="17">
        <v>44660.0</v>
      </c>
      <c r="AG617" s="15"/>
      <c r="AH617" s="16"/>
      <c r="AM617" s="15"/>
      <c r="AN617" s="16"/>
    </row>
    <row r="618">
      <c r="A618" s="13" t="s">
        <v>1333</v>
      </c>
      <c r="B618" s="10">
        <v>44118.0</v>
      </c>
      <c r="C618" s="11" t="s">
        <v>362</v>
      </c>
      <c r="D618" s="11" t="s">
        <v>38</v>
      </c>
      <c r="E618" s="11" t="s">
        <v>39</v>
      </c>
      <c r="F618" s="11" t="s">
        <v>40</v>
      </c>
      <c r="G618" s="11" t="s">
        <v>45</v>
      </c>
      <c r="H618" s="11" t="s">
        <v>73</v>
      </c>
      <c r="I618" s="37" t="s">
        <v>746</v>
      </c>
      <c r="J618" s="11">
        <v>27.0</v>
      </c>
      <c r="K618" s="12">
        <v>45062.0</v>
      </c>
      <c r="L618" s="11">
        <f t="shared" ref="L618:L620" si="62">ROUND(((K618-B618)/365)*12,0)</f>
        <v>31</v>
      </c>
      <c r="M618" s="11">
        <v>595897.0</v>
      </c>
      <c r="N618" s="11">
        <v>16074.0</v>
      </c>
      <c r="O618" s="13" t="s">
        <v>42</v>
      </c>
      <c r="P618" s="11">
        <v>0.0</v>
      </c>
      <c r="Q618" s="14">
        <v>0.0</v>
      </c>
      <c r="R618" s="11">
        <v>1.0</v>
      </c>
      <c r="S618">
        <f t="shared" si="1"/>
        <v>2020</v>
      </c>
      <c r="T618">
        <f t="shared" si="2"/>
        <v>10</v>
      </c>
      <c r="U618">
        <f t="shared" si="3"/>
        <v>14</v>
      </c>
      <c r="Z618" s="17">
        <v>45018.0</v>
      </c>
      <c r="AG618" s="15"/>
      <c r="AH618" s="16"/>
      <c r="AM618" s="15"/>
      <c r="AN618" s="16"/>
    </row>
    <row r="619">
      <c r="A619" s="13" t="s">
        <v>1334</v>
      </c>
      <c r="B619" s="10">
        <v>44112.0</v>
      </c>
      <c r="C619" s="11" t="s">
        <v>167</v>
      </c>
      <c r="D619" s="11" t="s">
        <v>93</v>
      </c>
      <c r="E619" s="11" t="s">
        <v>39</v>
      </c>
      <c r="F619" s="11" t="s">
        <v>40</v>
      </c>
      <c r="G619" s="11" t="s">
        <v>45</v>
      </c>
      <c r="H619" s="11" t="s">
        <v>163</v>
      </c>
      <c r="I619" s="37" t="s">
        <v>163</v>
      </c>
      <c r="J619" s="11">
        <v>20.0</v>
      </c>
      <c r="K619" s="12">
        <v>45153.0</v>
      </c>
      <c r="L619" s="11">
        <f t="shared" si="62"/>
        <v>34</v>
      </c>
      <c r="M619" s="11">
        <v>681173.0</v>
      </c>
      <c r="N619" s="11" t="s">
        <v>1335</v>
      </c>
      <c r="O619" s="13"/>
      <c r="P619" s="11">
        <v>0.0</v>
      </c>
      <c r="Q619" s="14">
        <v>0.0</v>
      </c>
      <c r="R619" s="11">
        <v>1.0</v>
      </c>
      <c r="S619">
        <f t="shared" si="1"/>
        <v>2020</v>
      </c>
      <c r="T619">
        <f t="shared" si="2"/>
        <v>10</v>
      </c>
      <c r="U619">
        <f t="shared" si="3"/>
        <v>8</v>
      </c>
      <c r="Z619" s="17">
        <v>45153.0</v>
      </c>
      <c r="AG619" s="15"/>
      <c r="AH619" s="16"/>
      <c r="AM619" s="15"/>
      <c r="AN619" s="16"/>
    </row>
    <row r="620">
      <c r="A620" s="13" t="s">
        <v>1336</v>
      </c>
      <c r="B620" s="10">
        <v>44105.0</v>
      </c>
      <c r="C620" s="11" t="s">
        <v>111</v>
      </c>
      <c r="D620" s="11" t="s">
        <v>97</v>
      </c>
      <c r="E620" s="11" t="s">
        <v>39</v>
      </c>
      <c r="F620" s="11" t="s">
        <v>40</v>
      </c>
      <c r="G620" s="11" t="s">
        <v>53</v>
      </c>
      <c r="H620" s="11"/>
      <c r="I620" s="37"/>
      <c r="J620" s="11">
        <v>21.0</v>
      </c>
      <c r="K620" s="12">
        <v>44661.0</v>
      </c>
      <c r="L620" s="11">
        <f t="shared" si="62"/>
        <v>18</v>
      </c>
      <c r="M620" s="11">
        <v>665859.0</v>
      </c>
      <c r="N620" s="11" t="s">
        <v>1337</v>
      </c>
      <c r="O620" s="13"/>
      <c r="P620" s="11">
        <v>0.0</v>
      </c>
      <c r="Q620" s="14">
        <v>0.0</v>
      </c>
      <c r="R620" s="11">
        <v>1.0</v>
      </c>
      <c r="S620">
        <f t="shared" si="1"/>
        <v>2020</v>
      </c>
      <c r="T620">
        <f t="shared" si="2"/>
        <v>10</v>
      </c>
      <c r="U620">
        <f t="shared" si="3"/>
        <v>1</v>
      </c>
      <c r="Z620" s="17">
        <v>44661.0</v>
      </c>
      <c r="AG620" s="15"/>
      <c r="AH620" s="16"/>
      <c r="AM620" s="15"/>
      <c r="AN620" s="16"/>
    </row>
    <row r="621">
      <c r="A621" s="13" t="s">
        <v>1338</v>
      </c>
      <c r="B621" s="10">
        <v>44105.0</v>
      </c>
      <c r="C621" s="11" t="s">
        <v>358</v>
      </c>
      <c r="D621" s="11" t="s">
        <v>38</v>
      </c>
      <c r="E621" s="11" t="s">
        <v>39</v>
      </c>
      <c r="F621" s="11" t="s">
        <v>40</v>
      </c>
      <c r="G621" s="11" t="s">
        <v>45</v>
      </c>
      <c r="H621" s="11" t="s">
        <v>317</v>
      </c>
      <c r="I621" s="37" t="s">
        <v>294</v>
      </c>
      <c r="J621" s="11">
        <v>25.0</v>
      </c>
      <c r="K621" s="12"/>
      <c r="L621" s="11"/>
      <c r="M621" s="11">
        <v>664856.0</v>
      </c>
      <c r="N621" s="11">
        <v>18135.0</v>
      </c>
      <c r="O621" s="13"/>
      <c r="P621" s="11">
        <v>0.0</v>
      </c>
      <c r="Q621" s="14">
        <v>0.0</v>
      </c>
      <c r="R621" s="11">
        <v>0.0</v>
      </c>
      <c r="S621">
        <f t="shared" si="1"/>
        <v>2020</v>
      </c>
      <c r="T621">
        <f t="shared" si="2"/>
        <v>10</v>
      </c>
      <c r="U621">
        <f t="shared" si="3"/>
        <v>1</v>
      </c>
      <c r="Z621" s="17">
        <v>44442.0</v>
      </c>
      <c r="AG621" s="15"/>
      <c r="AH621" s="16"/>
      <c r="AM621" s="15"/>
      <c r="AN621" s="16"/>
    </row>
    <row r="622">
      <c r="A622" s="13" t="s">
        <v>1339</v>
      </c>
      <c r="B622" s="10">
        <v>44105.0</v>
      </c>
      <c r="C622" s="11" t="s">
        <v>346</v>
      </c>
      <c r="D622" s="11" t="s">
        <v>93</v>
      </c>
      <c r="E622" s="11" t="s">
        <v>39</v>
      </c>
      <c r="F622" s="11" t="s">
        <v>40</v>
      </c>
      <c r="G622" s="11" t="s">
        <v>45</v>
      </c>
      <c r="H622" s="11" t="s">
        <v>929</v>
      </c>
      <c r="I622" s="37" t="s">
        <v>262</v>
      </c>
      <c r="J622" s="11">
        <v>19.0</v>
      </c>
      <c r="K622" s="12">
        <v>44779.0</v>
      </c>
      <c r="L622" s="11"/>
      <c r="M622" s="11">
        <v>690829.0</v>
      </c>
      <c r="N622" s="11">
        <v>31461.0</v>
      </c>
      <c r="O622" s="13"/>
      <c r="P622" s="11">
        <v>0.0</v>
      </c>
      <c r="Q622" s="14">
        <v>0.0</v>
      </c>
      <c r="R622" s="11">
        <v>1.0</v>
      </c>
      <c r="S622">
        <f t="shared" si="1"/>
        <v>2020</v>
      </c>
      <c r="T622">
        <f t="shared" si="2"/>
        <v>10</v>
      </c>
      <c r="U622">
        <f t="shared" si="3"/>
        <v>1</v>
      </c>
      <c r="Z622" s="17">
        <v>44779.0</v>
      </c>
      <c r="AG622" s="15"/>
      <c r="AH622" s="16"/>
      <c r="AM622" s="15"/>
      <c r="AN622" s="16"/>
    </row>
    <row r="623">
      <c r="A623" s="13" t="s">
        <v>1340</v>
      </c>
      <c r="B623" s="10">
        <v>44105.0</v>
      </c>
      <c r="C623" s="11" t="s">
        <v>103</v>
      </c>
      <c r="D623" s="11" t="s">
        <v>221</v>
      </c>
      <c r="E623" s="11" t="s">
        <v>982</v>
      </c>
      <c r="F623" s="11" t="s">
        <v>40</v>
      </c>
      <c r="G623" s="11" t="s">
        <v>41</v>
      </c>
      <c r="H623" s="11"/>
      <c r="I623" s="37"/>
      <c r="J623" s="11">
        <v>21.0</v>
      </c>
      <c r="K623" s="12">
        <v>44375.0</v>
      </c>
      <c r="L623" s="11">
        <f>ROUND(((K623-B623)/365)*12,0)</f>
        <v>9</v>
      </c>
      <c r="M623" s="11">
        <v>672719.0</v>
      </c>
      <c r="N623" s="11" t="s">
        <v>1341</v>
      </c>
      <c r="O623" s="13"/>
      <c r="P623" s="11">
        <v>0.0</v>
      </c>
      <c r="Q623" s="14">
        <v>0.0</v>
      </c>
      <c r="R623" s="11">
        <v>1.0</v>
      </c>
      <c r="S623">
        <f t="shared" si="1"/>
        <v>2020</v>
      </c>
      <c r="T623">
        <f t="shared" si="2"/>
        <v>10</v>
      </c>
      <c r="U623">
        <f t="shared" si="3"/>
        <v>1</v>
      </c>
      <c r="V623" s="17"/>
      <c r="Z623" s="17">
        <v>44375.0</v>
      </c>
      <c r="AG623" s="15"/>
      <c r="AH623" s="16"/>
      <c r="AM623" s="15"/>
      <c r="AN623" s="16"/>
    </row>
    <row r="624">
      <c r="A624" s="13" t="s">
        <v>1342</v>
      </c>
      <c r="B624" s="17">
        <v>44105.0</v>
      </c>
      <c r="C624" s="11" t="s">
        <v>108</v>
      </c>
      <c r="D624" s="11" t="s">
        <v>213</v>
      </c>
      <c r="E624" s="11" t="s">
        <v>39</v>
      </c>
      <c r="F624" s="11" t="s">
        <v>64</v>
      </c>
      <c r="G624" s="11" t="s">
        <v>45</v>
      </c>
      <c r="H624" s="11" t="s">
        <v>67</v>
      </c>
      <c r="I624" s="37" t="s">
        <v>1343</v>
      </c>
      <c r="J624" s="11">
        <v>18.0</v>
      </c>
      <c r="K624" s="12">
        <v>45388.0</v>
      </c>
      <c r="L624" s="11"/>
      <c r="M624" s="11">
        <v>694805.0</v>
      </c>
      <c r="N624" s="11" t="s">
        <v>1344</v>
      </c>
      <c r="O624" s="13"/>
      <c r="P624" s="11">
        <v>0.0</v>
      </c>
      <c r="Q624" s="14">
        <v>0.0</v>
      </c>
      <c r="R624" s="11">
        <v>1.0</v>
      </c>
      <c r="S624">
        <f t="shared" si="1"/>
        <v>2020</v>
      </c>
      <c r="T624">
        <f t="shared" si="2"/>
        <v>10</v>
      </c>
      <c r="U624">
        <f t="shared" si="3"/>
        <v>1</v>
      </c>
      <c r="Z624" s="17"/>
      <c r="AG624" s="15"/>
      <c r="AH624" s="16"/>
      <c r="AM624" s="15"/>
      <c r="AN624" s="16"/>
    </row>
    <row r="625">
      <c r="A625" s="13" t="s">
        <v>1345</v>
      </c>
      <c r="B625" s="10">
        <v>44105.0</v>
      </c>
      <c r="C625" s="11" t="s">
        <v>175</v>
      </c>
      <c r="D625" s="11" t="s">
        <v>38</v>
      </c>
      <c r="E625" s="11" t="s">
        <v>39</v>
      </c>
      <c r="F625" s="11" t="s">
        <v>40</v>
      </c>
      <c r="G625" s="11" t="s">
        <v>41</v>
      </c>
      <c r="H625" s="11"/>
      <c r="I625" s="37"/>
      <c r="J625" s="11">
        <v>27.0</v>
      </c>
      <c r="K625" s="12">
        <v>44688.0</v>
      </c>
      <c r="L625" s="11">
        <f t="shared" ref="L625:L635" si="63">ROUND(((K625-B625)/365)*12,0)</f>
        <v>19</v>
      </c>
      <c r="M625" s="11">
        <v>606131.0</v>
      </c>
      <c r="N625" s="11">
        <v>14682.0</v>
      </c>
      <c r="O625" s="13" t="s">
        <v>42</v>
      </c>
      <c r="P625" s="11">
        <v>0.0</v>
      </c>
      <c r="Q625" s="14">
        <v>0.0</v>
      </c>
      <c r="R625" s="11">
        <v>1.0</v>
      </c>
      <c r="S625">
        <f t="shared" si="1"/>
        <v>2020</v>
      </c>
      <c r="T625">
        <f t="shared" si="2"/>
        <v>10</v>
      </c>
      <c r="U625">
        <f t="shared" si="3"/>
        <v>1</v>
      </c>
      <c r="Z625" s="17">
        <v>44659.0</v>
      </c>
      <c r="AG625" s="15"/>
      <c r="AH625" s="16"/>
      <c r="AM625" s="15"/>
      <c r="AN625" s="16"/>
    </row>
    <row r="626">
      <c r="A626" s="13" t="s">
        <v>1346</v>
      </c>
      <c r="B626" s="10">
        <v>44105.0</v>
      </c>
      <c r="C626" s="11" t="s">
        <v>76</v>
      </c>
      <c r="D626" s="11" t="s">
        <v>97</v>
      </c>
      <c r="E626" s="11" t="s">
        <v>39</v>
      </c>
      <c r="F626" s="11" t="s">
        <v>40</v>
      </c>
      <c r="G626" s="11" t="s">
        <v>45</v>
      </c>
      <c r="H626" s="11" t="s">
        <v>258</v>
      </c>
      <c r="I626" s="37" t="s">
        <v>112</v>
      </c>
      <c r="J626" s="11">
        <v>23.0</v>
      </c>
      <c r="K626" s="12">
        <v>44661.0</v>
      </c>
      <c r="L626" s="11">
        <f t="shared" si="63"/>
        <v>18</v>
      </c>
      <c r="M626" s="11">
        <v>663623.0</v>
      </c>
      <c r="N626" s="11">
        <v>21504.0</v>
      </c>
      <c r="O626" s="13"/>
      <c r="P626" s="11">
        <v>0.0</v>
      </c>
      <c r="Q626" s="14">
        <v>0.0</v>
      </c>
      <c r="R626" s="11">
        <v>1.0</v>
      </c>
      <c r="S626">
        <f t="shared" si="1"/>
        <v>2020</v>
      </c>
      <c r="T626">
        <f t="shared" si="2"/>
        <v>10</v>
      </c>
      <c r="U626">
        <f t="shared" si="3"/>
        <v>1</v>
      </c>
      <c r="Z626" s="17">
        <v>44661.0</v>
      </c>
      <c r="AG626" s="15"/>
      <c r="AH626" s="16"/>
      <c r="AM626" s="15"/>
      <c r="AN626" s="16"/>
    </row>
    <row r="627">
      <c r="A627" s="13" t="s">
        <v>1347</v>
      </c>
      <c r="B627" s="10">
        <v>44104.0</v>
      </c>
      <c r="C627" s="11" t="s">
        <v>52</v>
      </c>
      <c r="D627" s="11" t="s">
        <v>38</v>
      </c>
      <c r="E627" s="11" t="s">
        <v>39</v>
      </c>
      <c r="F627" s="11" t="s">
        <v>40</v>
      </c>
      <c r="G627" s="11" t="s">
        <v>45</v>
      </c>
      <c r="H627" s="11" t="s">
        <v>46</v>
      </c>
      <c r="I627" s="37" t="s">
        <v>594</v>
      </c>
      <c r="J627" s="11">
        <v>37.0</v>
      </c>
      <c r="K627" s="12">
        <v>44660.0</v>
      </c>
      <c r="L627" s="11">
        <f t="shared" si="63"/>
        <v>18</v>
      </c>
      <c r="M627" s="11">
        <v>434378.0</v>
      </c>
      <c r="N627" s="11">
        <v>8700.0</v>
      </c>
      <c r="O627" s="13" t="s">
        <v>42</v>
      </c>
      <c r="P627" s="11">
        <v>0.0</v>
      </c>
      <c r="Q627" s="14">
        <v>0.0</v>
      </c>
      <c r="R627" s="11">
        <v>1.0</v>
      </c>
      <c r="S627">
        <f t="shared" si="1"/>
        <v>2020</v>
      </c>
      <c r="T627">
        <f t="shared" si="2"/>
        <v>9</v>
      </c>
      <c r="U627">
        <f t="shared" si="3"/>
        <v>30</v>
      </c>
      <c r="V627" s="17">
        <v>44272.0</v>
      </c>
      <c r="Z627" s="17">
        <v>44638.0</v>
      </c>
      <c r="AG627" s="15"/>
      <c r="AH627" s="16"/>
      <c r="AM627" s="15"/>
      <c r="AN627" s="16"/>
    </row>
    <row r="628">
      <c r="A628" s="13" t="s">
        <v>1348</v>
      </c>
      <c r="B628" s="10">
        <v>44104.0</v>
      </c>
      <c r="C628" s="11" t="s">
        <v>235</v>
      </c>
      <c r="D628" s="11" t="s">
        <v>38</v>
      </c>
      <c r="E628" s="11" t="s">
        <v>39</v>
      </c>
      <c r="F628" s="11" t="s">
        <v>40</v>
      </c>
      <c r="G628" s="11" t="s">
        <v>45</v>
      </c>
      <c r="H628" s="11" t="s">
        <v>265</v>
      </c>
      <c r="I628" s="37" t="s">
        <v>1194</v>
      </c>
      <c r="J628" s="11">
        <v>29.0</v>
      </c>
      <c r="K628" s="12">
        <v>44733.0</v>
      </c>
      <c r="L628" s="11">
        <f t="shared" si="63"/>
        <v>21</v>
      </c>
      <c r="M628" s="11">
        <v>571704.0</v>
      </c>
      <c r="N628" s="11">
        <v>12910.0</v>
      </c>
      <c r="O628" s="13" t="s">
        <v>42</v>
      </c>
      <c r="P628" s="11">
        <v>0.0</v>
      </c>
      <c r="Q628" s="14">
        <v>0.0</v>
      </c>
      <c r="R628" s="11">
        <v>1.0</v>
      </c>
      <c r="S628">
        <f t="shared" si="1"/>
        <v>2020</v>
      </c>
      <c r="T628">
        <f t="shared" si="2"/>
        <v>9</v>
      </c>
      <c r="U628">
        <f t="shared" si="3"/>
        <v>30</v>
      </c>
      <c r="Z628" s="17">
        <v>44710.0</v>
      </c>
      <c r="AG628" s="15"/>
      <c r="AH628" s="16"/>
      <c r="AM628" s="15"/>
      <c r="AN628" s="16"/>
    </row>
    <row r="629">
      <c r="A629" s="13" t="s">
        <v>1349</v>
      </c>
      <c r="B629" s="10">
        <v>44102.0</v>
      </c>
      <c r="C629" s="11" t="s">
        <v>83</v>
      </c>
      <c r="D629" s="11" t="s">
        <v>38</v>
      </c>
      <c r="E629" s="11" t="s">
        <v>39</v>
      </c>
      <c r="F629" s="11" t="s">
        <v>40</v>
      </c>
      <c r="G629" s="11" t="s">
        <v>45</v>
      </c>
      <c r="H629" s="11" t="s">
        <v>262</v>
      </c>
      <c r="I629" s="37" t="s">
        <v>637</v>
      </c>
      <c r="J629" s="11">
        <v>25.0</v>
      </c>
      <c r="K629" s="12">
        <v>44463.0</v>
      </c>
      <c r="L629" s="11">
        <f t="shared" si="63"/>
        <v>12</v>
      </c>
      <c r="M629" s="11">
        <v>641712.0</v>
      </c>
      <c r="N629" s="11">
        <v>19206.0</v>
      </c>
      <c r="O629" s="13" t="s">
        <v>1332</v>
      </c>
      <c r="P629" s="11">
        <v>0.0</v>
      </c>
      <c r="Q629" s="14">
        <v>0.0</v>
      </c>
      <c r="R629" s="11">
        <v>1.0</v>
      </c>
      <c r="S629">
        <f t="shared" si="1"/>
        <v>2020</v>
      </c>
      <c r="T629">
        <f t="shared" si="2"/>
        <v>9</v>
      </c>
      <c r="U629">
        <f t="shared" si="3"/>
        <v>28</v>
      </c>
      <c r="Z629" s="17">
        <v>44436.0</v>
      </c>
      <c r="AG629" s="15"/>
      <c r="AH629" s="16"/>
      <c r="AM629" s="15"/>
      <c r="AN629" s="16"/>
    </row>
    <row r="630">
      <c r="A630" s="13" t="s">
        <v>1350</v>
      </c>
      <c r="B630" s="10">
        <v>44096.0</v>
      </c>
      <c r="C630" s="11" t="s">
        <v>126</v>
      </c>
      <c r="D630" s="11" t="s">
        <v>38</v>
      </c>
      <c r="E630" s="11" t="s">
        <v>39</v>
      </c>
      <c r="F630" s="11" t="s">
        <v>64</v>
      </c>
      <c r="G630" s="11" t="s">
        <v>45</v>
      </c>
      <c r="H630" s="11" t="s">
        <v>236</v>
      </c>
      <c r="I630" s="37"/>
      <c r="J630" s="11">
        <v>23.0</v>
      </c>
      <c r="K630" s="12">
        <v>44697.0</v>
      </c>
      <c r="L630" s="11">
        <f t="shared" si="63"/>
        <v>20</v>
      </c>
      <c r="M630" s="11">
        <v>657571.0</v>
      </c>
      <c r="N630" s="11">
        <v>19349.0</v>
      </c>
      <c r="O630" s="13" t="s">
        <v>69</v>
      </c>
      <c r="P630" s="11">
        <v>0.0</v>
      </c>
      <c r="Q630" s="14">
        <v>0.0</v>
      </c>
      <c r="R630" s="11">
        <v>1.0</v>
      </c>
      <c r="S630">
        <f t="shared" si="1"/>
        <v>2020</v>
      </c>
      <c r="T630">
        <f t="shared" si="2"/>
        <v>9</v>
      </c>
      <c r="U630">
        <f t="shared" si="3"/>
        <v>22</v>
      </c>
      <c r="Z630" s="17">
        <v>44641.0</v>
      </c>
      <c r="AG630" s="15"/>
      <c r="AH630" s="16"/>
      <c r="AM630" s="15"/>
      <c r="AN630" s="16"/>
    </row>
    <row r="631">
      <c r="A631" s="13" t="s">
        <v>1351</v>
      </c>
      <c r="B631" s="10">
        <v>44095.0</v>
      </c>
      <c r="C631" s="11" t="s">
        <v>186</v>
      </c>
      <c r="D631" s="11" t="s">
        <v>97</v>
      </c>
      <c r="E631" s="11" t="s">
        <v>39</v>
      </c>
      <c r="F631" s="11" t="s">
        <v>40</v>
      </c>
      <c r="G631" s="11" t="s">
        <v>45</v>
      </c>
      <c r="H631" s="11" t="s">
        <v>84</v>
      </c>
      <c r="I631" s="37"/>
      <c r="J631" s="11">
        <v>21.0</v>
      </c>
      <c r="K631" s="12">
        <v>44663.0</v>
      </c>
      <c r="L631" s="11">
        <f t="shared" si="63"/>
        <v>19</v>
      </c>
      <c r="M631" s="11">
        <v>676568.0</v>
      </c>
      <c r="N631" s="11">
        <v>23391.0</v>
      </c>
      <c r="O631" s="13" t="s">
        <v>42</v>
      </c>
      <c r="P631" s="11">
        <v>0.0</v>
      </c>
      <c r="Q631" s="14">
        <v>0.0</v>
      </c>
      <c r="R631" s="11">
        <v>1.0</v>
      </c>
      <c r="S631">
        <f t="shared" si="1"/>
        <v>2020</v>
      </c>
      <c r="T631">
        <f t="shared" si="2"/>
        <v>9</v>
      </c>
      <c r="U631">
        <f t="shared" si="3"/>
        <v>21</v>
      </c>
      <c r="Z631" s="17">
        <v>44663.0</v>
      </c>
      <c r="AG631" s="15"/>
      <c r="AH631" s="16"/>
      <c r="AM631" s="15"/>
      <c r="AN631" s="16"/>
    </row>
    <row r="632">
      <c r="A632" s="13" t="s">
        <v>1352</v>
      </c>
      <c r="B632" s="10">
        <v>44092.0</v>
      </c>
      <c r="C632" s="11" t="s">
        <v>162</v>
      </c>
      <c r="D632" s="11" t="s">
        <v>38</v>
      </c>
      <c r="E632" s="11" t="s">
        <v>39</v>
      </c>
      <c r="F632" s="11" t="s">
        <v>40</v>
      </c>
      <c r="G632" s="11" t="s">
        <v>45</v>
      </c>
      <c r="H632" s="11" t="s">
        <v>163</v>
      </c>
      <c r="I632" s="37" t="s">
        <v>1353</v>
      </c>
      <c r="J632" s="11">
        <v>31.0</v>
      </c>
      <c r="K632" s="12">
        <v>44658.0</v>
      </c>
      <c r="L632" s="11">
        <f t="shared" si="63"/>
        <v>19</v>
      </c>
      <c r="M632" s="11">
        <v>592804.0</v>
      </c>
      <c r="N632" s="11">
        <v>10688.0</v>
      </c>
      <c r="O632" s="13"/>
      <c r="P632" s="11">
        <v>0.0</v>
      </c>
      <c r="Q632" s="14">
        <v>0.0</v>
      </c>
      <c r="R632" s="11">
        <v>1.0</v>
      </c>
      <c r="S632">
        <f t="shared" si="1"/>
        <v>2020</v>
      </c>
      <c r="T632">
        <f t="shared" si="2"/>
        <v>9</v>
      </c>
      <c r="U632">
        <f t="shared" si="3"/>
        <v>18</v>
      </c>
      <c r="Z632" s="17">
        <v>44658.0</v>
      </c>
      <c r="AG632" s="15"/>
      <c r="AH632" s="16"/>
      <c r="AM632" s="15"/>
      <c r="AN632" s="16"/>
    </row>
    <row r="633">
      <c r="A633" s="13" t="s">
        <v>1354</v>
      </c>
      <c r="B633" s="10">
        <v>44076.0</v>
      </c>
      <c r="C633" s="11" t="s">
        <v>156</v>
      </c>
      <c r="D633" s="11" t="s">
        <v>38</v>
      </c>
      <c r="E633" s="11" t="s">
        <v>39</v>
      </c>
      <c r="F633" s="11" t="s">
        <v>64</v>
      </c>
      <c r="G633" s="11" t="s">
        <v>45</v>
      </c>
      <c r="H633" s="11" t="s">
        <v>669</v>
      </c>
      <c r="I633" s="37" t="s">
        <v>669</v>
      </c>
      <c r="J633" s="11">
        <v>26.0</v>
      </c>
      <c r="K633" s="12">
        <v>44661.0</v>
      </c>
      <c r="L633" s="11">
        <f t="shared" si="63"/>
        <v>19</v>
      </c>
      <c r="M633" s="11">
        <v>656222.0</v>
      </c>
      <c r="N633" s="11">
        <v>17192.0</v>
      </c>
      <c r="O633" s="13" t="s">
        <v>42</v>
      </c>
      <c r="P633" s="11">
        <v>0.0</v>
      </c>
      <c r="Q633" s="14">
        <v>0.0</v>
      </c>
      <c r="R633" s="11">
        <v>1.0</v>
      </c>
      <c r="S633">
        <f t="shared" si="1"/>
        <v>2020</v>
      </c>
      <c r="T633">
        <f t="shared" si="2"/>
        <v>9</v>
      </c>
      <c r="U633">
        <f t="shared" si="3"/>
        <v>2</v>
      </c>
      <c r="Z633" s="17">
        <v>44641.0</v>
      </c>
      <c r="AG633" s="15"/>
      <c r="AH633" s="16"/>
      <c r="AM633" s="15"/>
      <c r="AN633" s="16"/>
    </row>
    <row r="634">
      <c r="A634" s="13" t="s">
        <v>1355</v>
      </c>
      <c r="B634" s="10">
        <v>44075.0</v>
      </c>
      <c r="C634" s="11" t="s">
        <v>162</v>
      </c>
      <c r="D634" s="11" t="s">
        <v>38</v>
      </c>
      <c r="E634" s="11" t="s">
        <v>39</v>
      </c>
      <c r="F634" s="11" t="s">
        <v>40</v>
      </c>
      <c r="G634" s="11" t="s">
        <v>45</v>
      </c>
      <c r="H634" s="11" t="s">
        <v>46</v>
      </c>
      <c r="I634" s="37" t="s">
        <v>1356</v>
      </c>
      <c r="J634" s="11">
        <v>29.0</v>
      </c>
      <c r="K634" s="12">
        <v>45181.0</v>
      </c>
      <c r="L634" s="11">
        <f t="shared" si="63"/>
        <v>36</v>
      </c>
      <c r="M634" s="11">
        <v>621199.0</v>
      </c>
      <c r="N634" s="11">
        <v>13528.0</v>
      </c>
      <c r="O634" s="13"/>
      <c r="P634" s="11">
        <v>0.0</v>
      </c>
      <c r="Q634" s="14">
        <v>0.0</v>
      </c>
      <c r="R634" s="11">
        <v>1.0</v>
      </c>
      <c r="S634">
        <f t="shared" si="1"/>
        <v>2020</v>
      </c>
      <c r="T634">
        <f t="shared" si="2"/>
        <v>9</v>
      </c>
      <c r="U634">
        <f t="shared" si="3"/>
        <v>1</v>
      </c>
      <c r="Z634" s="17">
        <v>45016.0</v>
      </c>
      <c r="AG634" s="15"/>
      <c r="AH634" s="16"/>
      <c r="AM634" s="15"/>
      <c r="AN634" s="16"/>
    </row>
    <row r="635">
      <c r="A635" s="13" t="s">
        <v>1357</v>
      </c>
      <c r="B635" s="10">
        <v>44075.0</v>
      </c>
      <c r="C635" s="11" t="s">
        <v>44</v>
      </c>
      <c r="D635" s="11" t="s">
        <v>213</v>
      </c>
      <c r="E635" s="11" t="s">
        <v>1358</v>
      </c>
      <c r="F635" s="11" t="s">
        <v>64</v>
      </c>
      <c r="G635" s="11" t="s">
        <v>1002</v>
      </c>
      <c r="H635" s="11"/>
      <c r="I635" s="37"/>
      <c r="J635" s="11">
        <v>17.0</v>
      </c>
      <c r="K635" s="12">
        <v>44376.0</v>
      </c>
      <c r="L635" s="11">
        <f t="shared" si="63"/>
        <v>10</v>
      </c>
      <c r="M635" s="11">
        <v>691411.0</v>
      </c>
      <c r="N635" s="11" t="s">
        <v>1359</v>
      </c>
      <c r="O635" s="13"/>
      <c r="P635" s="11">
        <v>0.0</v>
      </c>
      <c r="Q635" s="14">
        <v>0.0</v>
      </c>
      <c r="R635" s="11">
        <v>1.0</v>
      </c>
      <c r="S635">
        <f t="shared" si="1"/>
        <v>2020</v>
      </c>
      <c r="T635">
        <f t="shared" si="2"/>
        <v>9</v>
      </c>
      <c r="U635">
        <f t="shared" si="3"/>
        <v>1</v>
      </c>
      <c r="AG635" s="15"/>
      <c r="AH635" s="16"/>
      <c r="AM635" s="15"/>
      <c r="AN635" s="16"/>
    </row>
    <row r="636">
      <c r="A636" s="13" t="s">
        <v>1360</v>
      </c>
      <c r="B636" s="17">
        <v>44075.0</v>
      </c>
      <c r="C636" s="11" t="s">
        <v>37</v>
      </c>
      <c r="D636" s="11" t="s">
        <v>213</v>
      </c>
      <c r="E636" s="11" t="s">
        <v>39</v>
      </c>
      <c r="F636" s="11" t="s">
        <v>40</v>
      </c>
      <c r="G636" s="11" t="s">
        <v>45</v>
      </c>
      <c r="H636" s="11"/>
      <c r="I636" s="37" t="s">
        <v>1361</v>
      </c>
      <c r="J636" s="11">
        <v>17.0</v>
      </c>
      <c r="K636" s="12"/>
      <c r="L636" s="11"/>
      <c r="M636" s="11">
        <v>801995.0</v>
      </c>
      <c r="N636" s="11" t="s">
        <v>1362</v>
      </c>
      <c r="O636" s="13"/>
      <c r="P636" s="11">
        <v>0.0</v>
      </c>
      <c r="Q636" s="14">
        <v>0.0</v>
      </c>
      <c r="R636" s="11">
        <v>1.0</v>
      </c>
      <c r="S636">
        <f t="shared" si="1"/>
        <v>2020</v>
      </c>
      <c r="T636">
        <f t="shared" si="2"/>
        <v>9</v>
      </c>
      <c r="U636">
        <f t="shared" si="3"/>
        <v>1</v>
      </c>
      <c r="Z636" s="17"/>
      <c r="AA636" s="17"/>
      <c r="AB636" s="13"/>
      <c r="AG636" s="15"/>
      <c r="AH636" s="16"/>
      <c r="AM636" s="15"/>
      <c r="AN636" s="16"/>
    </row>
    <row r="637">
      <c r="A637" s="13" t="s">
        <v>1363</v>
      </c>
      <c r="B637" s="17">
        <v>44075.0</v>
      </c>
      <c r="C637" s="11" t="s">
        <v>76</v>
      </c>
      <c r="D637" s="11" t="s">
        <v>213</v>
      </c>
      <c r="E637" s="11" t="s">
        <v>39</v>
      </c>
      <c r="F637" s="11" t="s">
        <v>64</v>
      </c>
      <c r="G637" s="11" t="s">
        <v>45</v>
      </c>
      <c r="H637" s="11" t="s">
        <v>729</v>
      </c>
      <c r="I637" s="37" t="s">
        <v>1364</v>
      </c>
      <c r="J637" s="11">
        <v>18.0</v>
      </c>
      <c r="K637" s="12"/>
      <c r="L637" s="11"/>
      <c r="M637" s="11"/>
      <c r="N637" s="11"/>
      <c r="O637" s="13"/>
      <c r="P637" s="11">
        <v>0.0</v>
      </c>
      <c r="Q637" s="14">
        <v>0.0</v>
      </c>
      <c r="R637" s="11">
        <v>1.0</v>
      </c>
      <c r="S637">
        <f t="shared" si="1"/>
        <v>2020</v>
      </c>
      <c r="T637">
        <f t="shared" si="2"/>
        <v>9</v>
      </c>
      <c r="U637">
        <f t="shared" si="3"/>
        <v>1</v>
      </c>
      <c r="Z637" s="17"/>
      <c r="AA637" s="17"/>
      <c r="AB637" s="13"/>
      <c r="AG637" s="15"/>
      <c r="AH637" s="16"/>
      <c r="AM637" s="15"/>
      <c r="AN637" s="16"/>
    </row>
    <row r="638">
      <c r="A638" s="13" t="s">
        <v>1365</v>
      </c>
      <c r="B638" s="10">
        <v>44068.0</v>
      </c>
      <c r="C638" s="11" t="s">
        <v>156</v>
      </c>
      <c r="D638" s="11" t="s">
        <v>38</v>
      </c>
      <c r="E638" s="11" t="s">
        <v>39</v>
      </c>
      <c r="F638" s="11" t="s">
        <v>40</v>
      </c>
      <c r="G638" s="11" t="s">
        <v>53</v>
      </c>
      <c r="H638" s="11"/>
      <c r="I638" s="37"/>
      <c r="J638" s="11">
        <v>26.0</v>
      </c>
      <c r="K638" s="12">
        <v>44811.0</v>
      </c>
      <c r="L638" s="11">
        <f t="shared" ref="L638:L639" si="64">ROUND(((K638-B638)/365)*12,0)</f>
        <v>24</v>
      </c>
      <c r="M638" s="11">
        <v>630023.0</v>
      </c>
      <c r="N638" s="11">
        <v>16401.0</v>
      </c>
      <c r="O638" s="13" t="s">
        <v>761</v>
      </c>
      <c r="P638" s="11">
        <v>0.0</v>
      </c>
      <c r="Q638" s="14">
        <v>0.0</v>
      </c>
      <c r="R638" s="11">
        <v>1.0</v>
      </c>
      <c r="S638">
        <f t="shared" si="1"/>
        <v>2020</v>
      </c>
      <c r="T638">
        <f t="shared" si="2"/>
        <v>8</v>
      </c>
      <c r="U638">
        <f t="shared" si="3"/>
        <v>25</v>
      </c>
      <c r="Z638" s="17">
        <v>44758.0</v>
      </c>
      <c r="AA638" s="17">
        <v>44469.0</v>
      </c>
      <c r="AB638" s="13" t="s">
        <v>1366</v>
      </c>
      <c r="AG638" s="15"/>
      <c r="AH638" s="16"/>
      <c r="AM638" s="15"/>
      <c r="AN638" s="16"/>
    </row>
    <row r="639">
      <c r="A639" s="13" t="s">
        <v>1367</v>
      </c>
      <c r="B639" s="10">
        <v>44067.0</v>
      </c>
      <c r="C639" s="11" t="s">
        <v>44</v>
      </c>
      <c r="D639" s="11" t="s">
        <v>221</v>
      </c>
      <c r="E639" s="11" t="s">
        <v>39</v>
      </c>
      <c r="F639" s="11" t="s">
        <v>40</v>
      </c>
      <c r="G639" s="11" t="s">
        <v>41</v>
      </c>
      <c r="H639" s="11"/>
      <c r="I639" s="37"/>
      <c r="J639" s="11">
        <v>20.0</v>
      </c>
      <c r="K639" s="12">
        <v>44721.0</v>
      </c>
      <c r="L639" s="11">
        <f t="shared" si="64"/>
        <v>22</v>
      </c>
      <c r="M639" s="11">
        <v>680857.0</v>
      </c>
      <c r="N639" s="11" t="s">
        <v>1368</v>
      </c>
      <c r="O639" s="13"/>
      <c r="P639" s="11">
        <v>0.0</v>
      </c>
      <c r="Q639" s="14">
        <v>0.0</v>
      </c>
      <c r="R639" s="11">
        <v>1.0</v>
      </c>
      <c r="S639">
        <f t="shared" si="1"/>
        <v>2020</v>
      </c>
      <c r="T639">
        <f t="shared" si="2"/>
        <v>8</v>
      </c>
      <c r="U639">
        <f t="shared" si="3"/>
        <v>24</v>
      </c>
      <c r="Z639" s="17">
        <v>44721.0</v>
      </c>
      <c r="AG639" s="15"/>
      <c r="AH639" s="16"/>
      <c r="AM639" s="15"/>
      <c r="AN639" s="16"/>
    </row>
    <row r="640">
      <c r="A640" s="13" t="s">
        <v>1369</v>
      </c>
      <c r="B640" s="10">
        <v>44062.0</v>
      </c>
      <c r="C640" s="11" t="s">
        <v>76</v>
      </c>
      <c r="D640" s="11" t="s">
        <v>38</v>
      </c>
      <c r="E640" s="11" t="s">
        <v>39</v>
      </c>
      <c r="F640" s="11" t="s">
        <v>64</v>
      </c>
      <c r="G640" s="30" t="s">
        <v>45</v>
      </c>
      <c r="H640" s="11" t="s">
        <v>56</v>
      </c>
      <c r="I640" s="11" t="s">
        <v>1370</v>
      </c>
      <c r="J640" s="11">
        <v>23.0</v>
      </c>
      <c r="K640" s="12"/>
      <c r="L640" s="11"/>
      <c r="M640" s="11">
        <v>518693.0</v>
      </c>
      <c r="N640" s="11">
        <v>6832.0</v>
      </c>
      <c r="O640" s="13"/>
      <c r="P640" s="11">
        <v>0.0</v>
      </c>
      <c r="Q640" s="14">
        <v>0.0</v>
      </c>
      <c r="R640" s="11">
        <v>0.0</v>
      </c>
      <c r="S640">
        <f t="shared" si="1"/>
        <v>2020</v>
      </c>
      <c r="T640">
        <f t="shared" si="2"/>
        <v>8</v>
      </c>
      <c r="U640">
        <f t="shared" si="3"/>
        <v>19</v>
      </c>
      <c r="Z640" s="17">
        <v>44656.0</v>
      </c>
      <c r="AG640" s="15"/>
      <c r="AH640" s="16"/>
      <c r="AM640" s="15"/>
      <c r="AN640" s="16"/>
    </row>
    <row r="641">
      <c r="A641" s="13" t="s">
        <v>1371</v>
      </c>
      <c r="B641" s="10">
        <v>44054.0</v>
      </c>
      <c r="C641" s="11" t="s">
        <v>358</v>
      </c>
      <c r="D641" s="11" t="s">
        <v>38</v>
      </c>
      <c r="E641" s="11" t="s">
        <v>39</v>
      </c>
      <c r="F641" s="11" t="s">
        <v>64</v>
      </c>
      <c r="G641" s="11" t="s">
        <v>45</v>
      </c>
      <c r="H641" s="11" t="s">
        <v>84</v>
      </c>
      <c r="I641" s="37"/>
      <c r="J641" s="11">
        <v>24.0</v>
      </c>
      <c r="K641" s="12">
        <v>44701.0</v>
      </c>
      <c r="L641" s="11">
        <f t="shared" ref="L641:L642" si="65">ROUND(((K641-B641)/365)*12,0)</f>
        <v>21</v>
      </c>
      <c r="M641" s="11">
        <v>656492.0</v>
      </c>
      <c r="N641" s="11">
        <v>16432.0</v>
      </c>
      <c r="O641" s="13" t="s">
        <v>69</v>
      </c>
      <c r="P641" s="11">
        <v>0.0</v>
      </c>
      <c r="Q641" s="14">
        <v>0.0</v>
      </c>
      <c r="R641" s="11">
        <v>1.0</v>
      </c>
      <c r="S641">
        <f t="shared" si="1"/>
        <v>2020</v>
      </c>
      <c r="T641">
        <f t="shared" si="2"/>
        <v>8</v>
      </c>
      <c r="U641">
        <f t="shared" si="3"/>
        <v>11</v>
      </c>
      <c r="Z641" s="17">
        <v>44376.0</v>
      </c>
      <c r="AG641" s="15"/>
      <c r="AH641" s="16"/>
      <c r="AM641" s="15"/>
      <c r="AN641" s="16"/>
    </row>
    <row r="642">
      <c r="A642" s="13" t="s">
        <v>1372</v>
      </c>
      <c r="B642" s="10">
        <v>44047.0</v>
      </c>
      <c r="C642" s="11" t="s">
        <v>108</v>
      </c>
      <c r="D642" s="11" t="s">
        <v>38</v>
      </c>
      <c r="E642" s="11" t="s">
        <v>39</v>
      </c>
      <c r="F642" s="11" t="s">
        <v>40</v>
      </c>
      <c r="G642" s="11" t="s">
        <v>45</v>
      </c>
      <c r="H642" s="11" t="s">
        <v>59</v>
      </c>
      <c r="I642" s="37" t="s">
        <v>1373</v>
      </c>
      <c r="J642" s="11">
        <v>30.0</v>
      </c>
      <c r="K642" s="12">
        <v>44682.0</v>
      </c>
      <c r="L642" s="11">
        <f t="shared" si="65"/>
        <v>21</v>
      </c>
      <c r="M642" s="11">
        <v>592454.0</v>
      </c>
      <c r="N642" s="11">
        <v>11384.0</v>
      </c>
      <c r="O642" s="13" t="s">
        <v>494</v>
      </c>
      <c r="P642" s="11">
        <v>0.0</v>
      </c>
      <c r="Q642" s="14">
        <v>0.0</v>
      </c>
      <c r="R642" s="11">
        <v>1.0</v>
      </c>
      <c r="S642">
        <f t="shared" si="1"/>
        <v>2020</v>
      </c>
      <c r="T642">
        <f t="shared" si="2"/>
        <v>8</v>
      </c>
      <c r="U642">
        <f t="shared" si="3"/>
        <v>4</v>
      </c>
      <c r="Z642" s="17">
        <v>44660.0</v>
      </c>
      <c r="AG642" s="15"/>
      <c r="AH642" s="16"/>
      <c r="AM642" s="15"/>
      <c r="AN642" s="16"/>
    </row>
    <row r="643">
      <c r="A643" s="13" t="s">
        <v>1374</v>
      </c>
      <c r="B643" s="17">
        <v>44044.0</v>
      </c>
      <c r="C643" s="11" t="s">
        <v>358</v>
      </c>
      <c r="D643" s="11" t="s">
        <v>93</v>
      </c>
      <c r="E643" s="11" t="s">
        <v>39</v>
      </c>
      <c r="F643" s="11" t="s">
        <v>64</v>
      </c>
      <c r="G643" s="11" t="s">
        <v>45</v>
      </c>
      <c r="H643" s="11" t="s">
        <v>74</v>
      </c>
      <c r="I643" s="37" t="s">
        <v>1375</v>
      </c>
      <c r="J643" s="11">
        <v>20.0</v>
      </c>
      <c r="K643" s="12">
        <v>44659.0</v>
      </c>
      <c r="L643" s="11"/>
      <c r="M643" s="11">
        <v>702070.0</v>
      </c>
      <c r="N643" s="11" t="s">
        <v>1376</v>
      </c>
      <c r="O643" s="13"/>
      <c r="P643" s="11">
        <v>0.0</v>
      </c>
      <c r="Q643" s="14">
        <v>0.0</v>
      </c>
      <c r="R643" s="11">
        <v>1.0</v>
      </c>
      <c r="S643">
        <f t="shared" si="1"/>
        <v>2020</v>
      </c>
      <c r="T643">
        <f t="shared" si="2"/>
        <v>8</v>
      </c>
      <c r="U643">
        <f t="shared" si="3"/>
        <v>1</v>
      </c>
      <c r="AG643" s="15"/>
      <c r="AH643" s="16"/>
      <c r="AM643" s="15"/>
      <c r="AN643" s="16"/>
    </row>
    <row r="644">
      <c r="A644" s="13" t="s">
        <v>1377</v>
      </c>
      <c r="B644" s="10">
        <v>44044.0</v>
      </c>
      <c r="C644" s="11" t="s">
        <v>76</v>
      </c>
      <c r="D644" s="11" t="s">
        <v>77</v>
      </c>
      <c r="E644" s="11" t="s">
        <v>39</v>
      </c>
      <c r="F644" s="11" t="s">
        <v>40</v>
      </c>
      <c r="G644" s="11" t="s">
        <v>45</v>
      </c>
      <c r="H644" s="11" t="s">
        <v>56</v>
      </c>
      <c r="I644" s="37" t="s">
        <v>1378</v>
      </c>
      <c r="J644" s="11">
        <v>27.0</v>
      </c>
      <c r="K644" s="12"/>
      <c r="L644" s="11"/>
      <c r="M644" s="11">
        <v>657117.0</v>
      </c>
      <c r="N644" s="11">
        <v>16309.0</v>
      </c>
      <c r="O644" s="13" t="s">
        <v>42</v>
      </c>
      <c r="P644" s="11">
        <v>0.0</v>
      </c>
      <c r="Q644" s="14">
        <v>0.0</v>
      </c>
      <c r="R644" s="11">
        <v>0.0</v>
      </c>
      <c r="S644">
        <f t="shared" si="1"/>
        <v>2020</v>
      </c>
      <c r="T644">
        <f t="shared" si="2"/>
        <v>8</v>
      </c>
      <c r="U644">
        <f t="shared" si="3"/>
        <v>1</v>
      </c>
      <c r="AG644" s="15"/>
      <c r="AH644" s="16"/>
      <c r="AM644" s="15"/>
      <c r="AN644" s="16"/>
    </row>
    <row r="645">
      <c r="A645" s="13" t="s">
        <v>1379</v>
      </c>
      <c r="B645" s="10">
        <v>44042.0</v>
      </c>
      <c r="C645" s="11" t="s">
        <v>150</v>
      </c>
      <c r="D645" s="11" t="s">
        <v>38</v>
      </c>
      <c r="E645" s="11" t="s">
        <v>39</v>
      </c>
      <c r="F645" s="11" t="s">
        <v>40</v>
      </c>
      <c r="G645" s="11" t="s">
        <v>41</v>
      </c>
      <c r="H645" s="11"/>
      <c r="I645" s="37"/>
      <c r="J645" s="11">
        <v>25.0</v>
      </c>
      <c r="K645" s="12">
        <v>44472.0</v>
      </c>
      <c r="L645" s="11">
        <f t="shared" ref="L645:L647" si="66">ROUND(((K645-B645)/365)*12,0)</f>
        <v>14</v>
      </c>
      <c r="M645" s="11">
        <v>622554.0</v>
      </c>
      <c r="N645" s="11">
        <v>19249.0</v>
      </c>
      <c r="O645" s="13" t="s">
        <v>761</v>
      </c>
      <c r="P645" s="11">
        <v>0.0</v>
      </c>
      <c r="Q645" s="14">
        <v>0.0</v>
      </c>
      <c r="R645" s="11">
        <v>1.0</v>
      </c>
      <c r="S645">
        <f t="shared" si="1"/>
        <v>2020</v>
      </c>
      <c r="T645">
        <f t="shared" si="2"/>
        <v>7</v>
      </c>
      <c r="U645">
        <f t="shared" si="3"/>
        <v>30</v>
      </c>
      <c r="Z645" s="17">
        <v>44411.0</v>
      </c>
      <c r="AG645" s="15"/>
      <c r="AH645" s="16"/>
      <c r="AM645" s="15"/>
      <c r="AN645" s="16"/>
    </row>
    <row r="646">
      <c r="A646" s="13" t="s">
        <v>1380</v>
      </c>
      <c r="B646" s="10">
        <v>44041.0</v>
      </c>
      <c r="C646" s="11" t="s">
        <v>358</v>
      </c>
      <c r="D646" s="11" t="s">
        <v>77</v>
      </c>
      <c r="E646" s="11" t="s">
        <v>39</v>
      </c>
      <c r="F646" s="11" t="s">
        <v>64</v>
      </c>
      <c r="G646" s="11" t="s">
        <v>45</v>
      </c>
      <c r="H646" s="11" t="s">
        <v>735</v>
      </c>
      <c r="I646" s="37" t="s">
        <v>1381</v>
      </c>
      <c r="J646" s="11">
        <v>24.0</v>
      </c>
      <c r="K646" s="12">
        <v>44391.0</v>
      </c>
      <c r="L646" s="11">
        <f t="shared" si="66"/>
        <v>12</v>
      </c>
      <c r="M646" s="11">
        <v>664700.0</v>
      </c>
      <c r="N646" s="11" t="s">
        <v>1382</v>
      </c>
      <c r="O646" s="13"/>
      <c r="P646" s="11">
        <v>0.0</v>
      </c>
      <c r="Q646" s="14">
        <v>0.0</v>
      </c>
      <c r="R646" s="11">
        <v>1.0</v>
      </c>
      <c r="S646">
        <f t="shared" si="1"/>
        <v>2020</v>
      </c>
      <c r="T646">
        <f t="shared" si="2"/>
        <v>7</v>
      </c>
      <c r="U646">
        <f t="shared" si="3"/>
        <v>29</v>
      </c>
      <c r="V646" s="17">
        <v>44200.0</v>
      </c>
      <c r="Z646" s="17">
        <v>44376.0</v>
      </c>
      <c r="AG646" s="15"/>
      <c r="AH646" s="16"/>
      <c r="AM646" s="15"/>
      <c r="AN646" s="16"/>
    </row>
    <row r="647">
      <c r="A647" s="13" t="s">
        <v>1383</v>
      </c>
      <c r="B647" s="10">
        <v>44041.0</v>
      </c>
      <c r="C647" s="11" t="s">
        <v>156</v>
      </c>
      <c r="D647" s="11" t="s">
        <v>38</v>
      </c>
      <c r="E647" s="11" t="s">
        <v>39</v>
      </c>
      <c r="F647" s="11" t="s">
        <v>64</v>
      </c>
      <c r="G647" s="11" t="s">
        <v>45</v>
      </c>
      <c r="H647" s="11" t="s">
        <v>56</v>
      </c>
      <c r="I647" s="37" t="s">
        <v>1384</v>
      </c>
      <c r="J647" s="11">
        <v>26.0</v>
      </c>
      <c r="K647" s="12">
        <v>44673.0</v>
      </c>
      <c r="L647" s="11">
        <f t="shared" si="66"/>
        <v>21</v>
      </c>
      <c r="M647" s="11">
        <v>621363.0</v>
      </c>
      <c r="N647" s="11">
        <v>19403.0</v>
      </c>
      <c r="O647" s="13" t="s">
        <v>42</v>
      </c>
      <c r="P647" s="11">
        <v>0.0</v>
      </c>
      <c r="Q647" s="14">
        <v>0.0</v>
      </c>
      <c r="R647" s="11">
        <v>1.0</v>
      </c>
      <c r="S647">
        <f t="shared" si="1"/>
        <v>2020</v>
      </c>
      <c r="T647">
        <f t="shared" si="2"/>
        <v>7</v>
      </c>
      <c r="U647">
        <f t="shared" si="3"/>
        <v>29</v>
      </c>
      <c r="V647" s="17">
        <v>44278.0</v>
      </c>
      <c r="Z647" s="17">
        <v>44658.0</v>
      </c>
      <c r="AG647" s="15"/>
      <c r="AH647" s="16"/>
      <c r="AM647" s="15"/>
      <c r="AN647" s="16"/>
    </row>
    <row r="648">
      <c r="A648" s="13" t="s">
        <v>1385</v>
      </c>
      <c r="B648" s="10">
        <v>44040.0</v>
      </c>
      <c r="C648" s="11" t="s">
        <v>192</v>
      </c>
      <c r="D648" s="11" t="s">
        <v>93</v>
      </c>
      <c r="E648" s="11" t="s">
        <v>39</v>
      </c>
      <c r="F648" s="11" t="s">
        <v>40</v>
      </c>
      <c r="G648" s="11" t="s">
        <v>45</v>
      </c>
      <c r="H648" s="11" t="s">
        <v>236</v>
      </c>
      <c r="I648" s="37" t="s">
        <v>1386</v>
      </c>
      <c r="J648" s="11">
        <v>20.0</v>
      </c>
      <c r="K648" s="12">
        <v>44789.0</v>
      </c>
      <c r="L648" s="11"/>
      <c r="M648" s="11">
        <v>678014.0</v>
      </c>
      <c r="N648" s="11" t="s">
        <v>1387</v>
      </c>
      <c r="O648" s="13" t="s">
        <v>761</v>
      </c>
      <c r="P648" s="11">
        <v>0.0</v>
      </c>
      <c r="Q648" s="14">
        <v>0.0</v>
      </c>
      <c r="R648" s="11">
        <v>1.0</v>
      </c>
      <c r="S648">
        <f t="shared" si="1"/>
        <v>2020</v>
      </c>
      <c r="T648">
        <f t="shared" si="2"/>
        <v>7</v>
      </c>
      <c r="U648">
        <f t="shared" si="3"/>
        <v>28</v>
      </c>
      <c r="Z648" s="17">
        <v>44789.0</v>
      </c>
      <c r="AG648" s="15"/>
      <c r="AH648" s="16"/>
      <c r="AM648" s="15"/>
      <c r="AN648" s="16"/>
    </row>
    <row r="649">
      <c r="A649" s="13" t="s">
        <v>1388</v>
      </c>
      <c r="B649" s="10">
        <v>44034.0</v>
      </c>
      <c r="C649" s="11" t="s">
        <v>346</v>
      </c>
      <c r="D649" s="11" t="s">
        <v>38</v>
      </c>
      <c r="E649" s="11" t="s">
        <v>39</v>
      </c>
      <c r="F649" s="11" t="s">
        <v>40</v>
      </c>
      <c r="G649" s="11" t="s">
        <v>45</v>
      </c>
      <c r="H649" s="11" t="s">
        <v>56</v>
      </c>
      <c r="I649" s="37" t="s">
        <v>1389</v>
      </c>
      <c r="J649" s="11">
        <v>27.0</v>
      </c>
      <c r="K649" s="12">
        <v>45394.0</v>
      </c>
      <c r="L649" s="11">
        <f t="shared" ref="L649:L652" si="67">ROUND(((K649-B649)/365)*12,0)</f>
        <v>45</v>
      </c>
      <c r="M649" s="11">
        <v>605121.0</v>
      </c>
      <c r="N649" s="11">
        <v>16201.0</v>
      </c>
      <c r="O649" s="13" t="s">
        <v>42</v>
      </c>
      <c r="P649" s="11">
        <v>0.0</v>
      </c>
      <c r="Q649" s="14">
        <v>0.0</v>
      </c>
      <c r="R649" s="11">
        <v>1.0</v>
      </c>
      <c r="S649">
        <f t="shared" si="1"/>
        <v>2020</v>
      </c>
      <c r="T649">
        <f t="shared" si="2"/>
        <v>7</v>
      </c>
      <c r="U649">
        <f t="shared" si="3"/>
        <v>22</v>
      </c>
      <c r="Z649" s="17">
        <v>44428.0</v>
      </c>
      <c r="AG649" s="15"/>
      <c r="AH649" s="16"/>
      <c r="AM649" s="15"/>
      <c r="AN649" s="16"/>
    </row>
    <row r="650">
      <c r="A650" s="13" t="s">
        <v>1390</v>
      </c>
      <c r="B650" s="10">
        <v>44033.0</v>
      </c>
      <c r="C650" s="11" t="s">
        <v>192</v>
      </c>
      <c r="D650" s="11" t="s">
        <v>38</v>
      </c>
      <c r="E650" s="11" t="s">
        <v>39</v>
      </c>
      <c r="F650" s="11" t="s">
        <v>40</v>
      </c>
      <c r="G650" s="11" t="s">
        <v>45</v>
      </c>
      <c r="H650" s="11" t="s">
        <v>67</v>
      </c>
      <c r="I650" s="11"/>
      <c r="J650" s="11">
        <v>23.0</v>
      </c>
      <c r="K650" s="12">
        <v>44463.0</v>
      </c>
      <c r="L650" s="11">
        <f t="shared" si="67"/>
        <v>14</v>
      </c>
      <c r="M650" s="11">
        <v>663567.0</v>
      </c>
      <c r="N650" s="11">
        <v>17969.0</v>
      </c>
      <c r="O650" s="13" t="s">
        <v>69</v>
      </c>
      <c r="P650" s="11">
        <v>0.0</v>
      </c>
      <c r="Q650" s="14">
        <v>0.0</v>
      </c>
      <c r="R650" s="11">
        <v>1.0</v>
      </c>
      <c r="S650">
        <f t="shared" si="1"/>
        <v>2020</v>
      </c>
      <c r="T650">
        <f t="shared" si="2"/>
        <v>7</v>
      </c>
      <c r="U650">
        <f t="shared" si="3"/>
        <v>21</v>
      </c>
      <c r="X650" s="17">
        <v>44338.0</v>
      </c>
      <c r="Y650" s="17">
        <v>44400.0</v>
      </c>
      <c r="Z650" s="17">
        <v>44426.0</v>
      </c>
      <c r="AG650" s="15"/>
      <c r="AH650" s="16"/>
      <c r="AM650" s="15"/>
      <c r="AN650" s="16"/>
    </row>
    <row r="651">
      <c r="A651" s="13" t="s">
        <v>1391</v>
      </c>
      <c r="B651" s="10">
        <v>44029.0</v>
      </c>
      <c r="C651" s="11" t="s">
        <v>175</v>
      </c>
      <c r="D651" s="11" t="s">
        <v>38</v>
      </c>
      <c r="E651" s="11" t="s">
        <v>39</v>
      </c>
      <c r="F651" s="11" t="s">
        <v>40</v>
      </c>
      <c r="G651" s="11" t="s">
        <v>45</v>
      </c>
      <c r="H651" s="11" t="s">
        <v>243</v>
      </c>
      <c r="I651" s="11" t="s">
        <v>654</v>
      </c>
      <c r="J651" s="11">
        <v>26.0</v>
      </c>
      <c r="K651" s="12">
        <v>45017.0</v>
      </c>
      <c r="L651" s="11">
        <f t="shared" si="67"/>
        <v>32</v>
      </c>
      <c r="M651" s="11">
        <v>622259.0</v>
      </c>
      <c r="N651" s="11">
        <v>17793.0</v>
      </c>
      <c r="O651" s="13" t="s">
        <v>42</v>
      </c>
      <c r="P651" s="11">
        <v>0.0</v>
      </c>
      <c r="Q651" s="14">
        <v>0.0</v>
      </c>
      <c r="R651" s="11">
        <v>1.0</v>
      </c>
      <c r="S651">
        <f t="shared" si="1"/>
        <v>2020</v>
      </c>
      <c r="T651">
        <f t="shared" si="2"/>
        <v>7</v>
      </c>
      <c r="U651">
        <f t="shared" si="3"/>
        <v>17</v>
      </c>
      <c r="Z651" s="17">
        <v>44422.0</v>
      </c>
      <c r="AG651" s="15"/>
      <c r="AH651" s="16"/>
      <c r="AM651" s="15"/>
      <c r="AN651" s="16"/>
    </row>
    <row r="652">
      <c r="A652" s="13" t="s">
        <v>1392</v>
      </c>
      <c r="B652" s="10">
        <v>44027.0</v>
      </c>
      <c r="C652" s="11" t="s">
        <v>138</v>
      </c>
      <c r="D652" s="11" t="s">
        <v>38</v>
      </c>
      <c r="E652" s="11" t="s">
        <v>39</v>
      </c>
      <c r="F652" s="11" t="s">
        <v>64</v>
      </c>
      <c r="G652" s="11" t="s">
        <v>45</v>
      </c>
      <c r="H652" s="11" t="s">
        <v>652</v>
      </c>
      <c r="I652" s="11" t="s">
        <v>1393</v>
      </c>
      <c r="J652" s="11">
        <v>29.0</v>
      </c>
      <c r="K652" s="12">
        <v>44661.0</v>
      </c>
      <c r="L652" s="11">
        <f t="shared" si="67"/>
        <v>21</v>
      </c>
      <c r="M652" s="11">
        <v>621389.0</v>
      </c>
      <c r="N652" s="11">
        <v>14361.0</v>
      </c>
      <c r="O652" s="13"/>
      <c r="P652" s="11">
        <v>0.0</v>
      </c>
      <c r="Q652" s="14">
        <v>0.0</v>
      </c>
      <c r="R652" s="11">
        <v>1.0</v>
      </c>
      <c r="S652">
        <f t="shared" si="1"/>
        <v>2020</v>
      </c>
      <c r="T652">
        <f t="shared" si="2"/>
        <v>7</v>
      </c>
      <c r="U652">
        <f t="shared" si="3"/>
        <v>15</v>
      </c>
      <c r="Z652" s="17">
        <v>44392.0</v>
      </c>
      <c r="AG652" s="15"/>
      <c r="AH652" s="16"/>
      <c r="AM652" s="15"/>
      <c r="AN652" s="16"/>
    </row>
    <row r="653">
      <c r="A653" s="13" t="s">
        <v>1394</v>
      </c>
      <c r="B653" s="10">
        <v>44013.0</v>
      </c>
      <c r="C653" s="11" t="s">
        <v>108</v>
      </c>
      <c r="D653" s="11" t="s">
        <v>93</v>
      </c>
      <c r="E653" s="11" t="s">
        <v>118</v>
      </c>
      <c r="F653" s="11" t="s">
        <v>64</v>
      </c>
      <c r="G653" s="11" t="s">
        <v>45</v>
      </c>
      <c r="H653" s="11" t="s">
        <v>67</v>
      </c>
      <c r="I653" s="11" t="s">
        <v>140</v>
      </c>
      <c r="J653" s="11">
        <v>19.0</v>
      </c>
      <c r="K653" s="12">
        <v>44777.0</v>
      </c>
      <c r="L653" s="11"/>
      <c r="M653" s="11">
        <v>682987.0</v>
      </c>
      <c r="N653" s="11" t="s">
        <v>1395</v>
      </c>
      <c r="O653" s="13"/>
      <c r="P653" s="11">
        <v>0.0</v>
      </c>
      <c r="Q653" s="14">
        <v>0.0</v>
      </c>
      <c r="R653" s="11">
        <v>1.0</v>
      </c>
      <c r="S653">
        <f t="shared" si="1"/>
        <v>2020</v>
      </c>
      <c r="T653">
        <f t="shared" si="2"/>
        <v>7</v>
      </c>
      <c r="U653">
        <f t="shared" si="3"/>
        <v>1</v>
      </c>
      <c r="Z653" s="17">
        <v>44777.0</v>
      </c>
      <c r="AG653" s="15"/>
      <c r="AH653" s="16"/>
      <c r="AM653" s="15"/>
      <c r="AN653" s="16"/>
    </row>
    <row r="654">
      <c r="A654" s="13" t="s">
        <v>1396</v>
      </c>
      <c r="B654" s="17">
        <v>44013.0</v>
      </c>
      <c r="C654" s="11" t="s">
        <v>362</v>
      </c>
      <c r="D654" s="11" t="s">
        <v>213</v>
      </c>
      <c r="E654" s="11" t="s">
        <v>39</v>
      </c>
      <c r="F654" s="11" t="s">
        <v>64</v>
      </c>
      <c r="G654" s="11" t="s">
        <v>45</v>
      </c>
      <c r="H654" s="11" t="s">
        <v>73</v>
      </c>
      <c r="I654" s="11" t="s">
        <v>1397</v>
      </c>
      <c r="J654" s="11">
        <v>18.0</v>
      </c>
      <c r="K654" s="12">
        <v>45528.0</v>
      </c>
      <c r="L654" s="11"/>
      <c r="M654" s="11">
        <v>805266.0</v>
      </c>
      <c r="N654" s="11" t="s">
        <v>1398</v>
      </c>
      <c r="O654" s="13"/>
      <c r="P654" s="11">
        <v>0.0</v>
      </c>
      <c r="Q654" s="14">
        <v>0.0</v>
      </c>
      <c r="R654" s="11">
        <v>1.0</v>
      </c>
      <c r="S654">
        <f t="shared" si="1"/>
        <v>2020</v>
      </c>
      <c r="T654">
        <f t="shared" si="2"/>
        <v>7</v>
      </c>
      <c r="U654">
        <f t="shared" si="3"/>
        <v>1</v>
      </c>
      <c r="Z654" s="17">
        <v>45528.0</v>
      </c>
      <c r="AG654" s="15"/>
      <c r="AH654" s="16"/>
      <c r="AM654" s="15"/>
      <c r="AN654" s="16"/>
    </row>
    <row r="655">
      <c r="A655" s="13" t="s">
        <v>1399</v>
      </c>
      <c r="B655" s="10">
        <v>44005.0</v>
      </c>
      <c r="C655" s="11" t="s">
        <v>49</v>
      </c>
      <c r="D655" s="11" t="s">
        <v>88</v>
      </c>
      <c r="E655" s="11" t="s">
        <v>39</v>
      </c>
      <c r="F655" s="11" t="s">
        <v>40</v>
      </c>
      <c r="G655" s="11" t="s">
        <v>45</v>
      </c>
      <c r="H655" s="11" t="s">
        <v>84</v>
      </c>
      <c r="I655" s="11" t="s">
        <v>517</v>
      </c>
      <c r="J655" s="11">
        <v>24.0</v>
      </c>
      <c r="K655" s="12">
        <v>44402.0</v>
      </c>
      <c r="L655" s="11">
        <f t="shared" ref="L655:L659" si="68">ROUND(((K655-B655)/365)*12,0)</f>
        <v>13</v>
      </c>
      <c r="M655" s="11">
        <v>676860.0</v>
      </c>
      <c r="N655" s="11" t="s">
        <v>1400</v>
      </c>
      <c r="O655" s="13"/>
      <c r="P655" s="11">
        <v>0.0</v>
      </c>
      <c r="Q655" s="14">
        <v>0.0</v>
      </c>
      <c r="R655" s="11">
        <v>1.0</v>
      </c>
      <c r="S655">
        <f t="shared" si="1"/>
        <v>2020</v>
      </c>
      <c r="T655">
        <f t="shared" si="2"/>
        <v>6</v>
      </c>
      <c r="U655">
        <f t="shared" si="3"/>
        <v>23</v>
      </c>
      <c r="Z655" s="17">
        <v>44383.0</v>
      </c>
      <c r="AG655" s="15"/>
      <c r="AH655" s="16"/>
      <c r="AM655" s="15"/>
      <c r="AN655" s="16"/>
    </row>
    <row r="656">
      <c r="A656" s="13" t="s">
        <v>1401</v>
      </c>
      <c r="B656" s="10">
        <v>43990.0</v>
      </c>
      <c r="C656" s="11" t="s">
        <v>83</v>
      </c>
      <c r="D656" s="11" t="s">
        <v>38</v>
      </c>
      <c r="E656" s="11" t="s">
        <v>39</v>
      </c>
      <c r="F656" s="11" t="s">
        <v>40</v>
      </c>
      <c r="G656" s="11" t="s">
        <v>45</v>
      </c>
      <c r="H656" s="11" t="s">
        <v>84</v>
      </c>
      <c r="I656" s="11" t="s">
        <v>826</v>
      </c>
      <c r="J656" s="11">
        <v>30.0</v>
      </c>
      <c r="K656" s="12">
        <v>44367.0</v>
      </c>
      <c r="L656" s="11">
        <f t="shared" si="68"/>
        <v>12</v>
      </c>
      <c r="M656" s="11">
        <v>605154.0</v>
      </c>
      <c r="N656" s="11">
        <v>12777.0</v>
      </c>
      <c r="O656" s="13" t="s">
        <v>1332</v>
      </c>
      <c r="P656" s="11">
        <v>0.0</v>
      </c>
      <c r="Q656" s="14">
        <v>0.0</v>
      </c>
      <c r="R656" s="11">
        <v>1.0</v>
      </c>
      <c r="S656">
        <f t="shared" si="1"/>
        <v>2020</v>
      </c>
      <c r="T656">
        <f t="shared" si="2"/>
        <v>6</v>
      </c>
      <c r="U656">
        <f t="shared" si="3"/>
        <v>8</v>
      </c>
      <c r="Z656" s="17">
        <v>44343.0</v>
      </c>
      <c r="AG656" s="15"/>
      <c r="AH656" s="16"/>
      <c r="AM656" s="15"/>
      <c r="AN656" s="16"/>
    </row>
    <row r="657">
      <c r="A657" s="13" t="s">
        <v>1402</v>
      </c>
      <c r="B657" s="17">
        <v>43952.0</v>
      </c>
      <c r="C657" s="11" t="s">
        <v>143</v>
      </c>
      <c r="D657" s="11" t="s">
        <v>93</v>
      </c>
      <c r="E657" s="11" t="s">
        <v>39</v>
      </c>
      <c r="F657" s="11" t="s">
        <v>40</v>
      </c>
      <c r="G657" s="11" t="s">
        <v>45</v>
      </c>
      <c r="H657" s="11" t="s">
        <v>451</v>
      </c>
      <c r="I657" s="11" t="s">
        <v>1403</v>
      </c>
      <c r="J657" s="11">
        <v>22.0</v>
      </c>
      <c r="K657" s="12">
        <v>44785.0</v>
      </c>
      <c r="L657" s="11">
        <f t="shared" si="68"/>
        <v>27</v>
      </c>
      <c r="M657" s="11">
        <v>686978.0</v>
      </c>
      <c r="N657" s="11" t="s">
        <v>1404</v>
      </c>
      <c r="O657" s="13"/>
      <c r="P657" s="11">
        <v>0.0</v>
      </c>
      <c r="Q657" s="14">
        <v>0.0</v>
      </c>
      <c r="R657" s="11">
        <v>1.0</v>
      </c>
      <c r="S657">
        <f t="shared" si="1"/>
        <v>2020</v>
      </c>
      <c r="T657">
        <f t="shared" si="2"/>
        <v>5</v>
      </c>
      <c r="U657">
        <f t="shared" si="3"/>
        <v>1</v>
      </c>
      <c r="Z657" s="17">
        <v>44785.0</v>
      </c>
      <c r="AG657" s="15"/>
      <c r="AH657" s="16"/>
      <c r="AM657" s="15"/>
      <c r="AN657" s="16"/>
    </row>
    <row r="658">
      <c r="A658" s="13" t="s">
        <v>1405</v>
      </c>
      <c r="B658" s="10">
        <v>43920.0</v>
      </c>
      <c r="C658" s="11" t="s">
        <v>72</v>
      </c>
      <c r="D658" s="11" t="s">
        <v>38</v>
      </c>
      <c r="E658" s="11" t="s">
        <v>39</v>
      </c>
      <c r="F658" s="11" t="s">
        <v>64</v>
      </c>
      <c r="G658" s="11" t="s">
        <v>45</v>
      </c>
      <c r="H658" s="11" t="s">
        <v>84</v>
      </c>
      <c r="I658" s="11" t="s">
        <v>218</v>
      </c>
      <c r="J658" s="11">
        <v>31.0</v>
      </c>
      <c r="K658" s="12">
        <v>44422.0</v>
      </c>
      <c r="L658" s="11">
        <f t="shared" si="68"/>
        <v>17</v>
      </c>
      <c r="M658" s="11">
        <v>519242.0</v>
      </c>
      <c r="N658" s="11">
        <v>10603.0</v>
      </c>
      <c r="O658" s="13" t="s">
        <v>69</v>
      </c>
      <c r="P658" s="11">
        <v>0.0</v>
      </c>
      <c r="Q658" s="14">
        <v>0.0</v>
      </c>
      <c r="R658" s="11">
        <v>1.0</v>
      </c>
      <c r="S658">
        <f t="shared" si="1"/>
        <v>2020</v>
      </c>
      <c r="T658">
        <f t="shared" si="2"/>
        <v>3</v>
      </c>
      <c r="U658">
        <f t="shared" si="3"/>
        <v>30</v>
      </c>
      <c r="W658" s="17">
        <v>44320.0</v>
      </c>
      <c r="X658" s="17">
        <v>44355.0</v>
      </c>
      <c r="Y658" s="17">
        <v>44373.0</v>
      </c>
      <c r="Z658" s="17">
        <v>44392.0</v>
      </c>
      <c r="AG658" s="15"/>
      <c r="AH658" s="16"/>
      <c r="AM658" s="15"/>
      <c r="AN658" s="16"/>
    </row>
    <row r="659">
      <c r="A659" s="13" t="s">
        <v>1406</v>
      </c>
      <c r="B659" s="10">
        <v>43916.0</v>
      </c>
      <c r="C659" s="11" t="s">
        <v>49</v>
      </c>
      <c r="D659" s="11" t="s">
        <v>38</v>
      </c>
      <c r="E659" s="11" t="s">
        <v>39</v>
      </c>
      <c r="F659" s="11" t="s">
        <v>40</v>
      </c>
      <c r="G659" s="11" t="s">
        <v>45</v>
      </c>
      <c r="H659" s="11" t="s">
        <v>56</v>
      </c>
      <c r="I659" s="11"/>
      <c r="J659" s="11">
        <v>27.0</v>
      </c>
      <c r="K659" s="12">
        <v>44467.0</v>
      </c>
      <c r="L659" s="11">
        <f t="shared" si="68"/>
        <v>18</v>
      </c>
      <c r="M659" s="11">
        <v>592789.0</v>
      </c>
      <c r="N659" s="11">
        <v>11762.0</v>
      </c>
      <c r="O659" s="13" t="s">
        <v>1407</v>
      </c>
      <c r="P659" s="11">
        <v>0.0</v>
      </c>
      <c r="Q659" s="14">
        <v>0.0</v>
      </c>
      <c r="R659" s="11">
        <v>1.0</v>
      </c>
      <c r="S659">
        <f t="shared" si="1"/>
        <v>2020</v>
      </c>
      <c r="T659">
        <f t="shared" si="2"/>
        <v>3</v>
      </c>
      <c r="U659">
        <f t="shared" si="3"/>
        <v>26</v>
      </c>
      <c r="V659" s="17">
        <v>44043.0</v>
      </c>
      <c r="Y659" s="17">
        <v>44310.0</v>
      </c>
      <c r="Z659" s="17">
        <v>44335.0</v>
      </c>
      <c r="AG659" s="15"/>
      <c r="AH659" s="16"/>
      <c r="AM659" s="15"/>
      <c r="AN659" s="16"/>
    </row>
    <row r="660">
      <c r="A660" s="13" t="s">
        <v>1408</v>
      </c>
      <c r="B660" s="17">
        <v>43915.0</v>
      </c>
      <c r="C660" s="11" t="s">
        <v>108</v>
      </c>
      <c r="D660" s="11" t="s">
        <v>93</v>
      </c>
      <c r="E660" s="11" t="s">
        <v>39</v>
      </c>
      <c r="F660" s="11" t="s">
        <v>40</v>
      </c>
      <c r="G660" s="11" t="s">
        <v>45</v>
      </c>
      <c r="H660" s="11" t="s">
        <v>67</v>
      </c>
      <c r="I660" s="11" t="s">
        <v>1409</v>
      </c>
      <c r="J660" s="11">
        <v>19.0</v>
      </c>
      <c r="K660" s="12">
        <v>44795.0</v>
      </c>
      <c r="L660" s="11"/>
      <c r="M660" s="11">
        <v>801432.0</v>
      </c>
      <c r="N660" s="11" t="s">
        <v>1410</v>
      </c>
      <c r="O660" s="13"/>
      <c r="P660" s="11">
        <v>0.0</v>
      </c>
      <c r="Q660" s="14">
        <v>0.0</v>
      </c>
      <c r="R660" s="11">
        <v>1.0</v>
      </c>
      <c r="S660">
        <f t="shared" si="1"/>
        <v>2020</v>
      </c>
      <c r="T660">
        <f t="shared" si="2"/>
        <v>3</v>
      </c>
      <c r="U660">
        <f t="shared" si="3"/>
        <v>25</v>
      </c>
      <c r="Z660" s="17">
        <v>44795.0</v>
      </c>
      <c r="AG660" s="15"/>
      <c r="AH660" s="16"/>
      <c r="AM660" s="15"/>
      <c r="AN660" s="16"/>
    </row>
    <row r="661">
      <c r="A661" s="13" t="s">
        <v>1411</v>
      </c>
      <c r="B661" s="10">
        <v>43910.0</v>
      </c>
      <c r="C661" s="11" t="s">
        <v>103</v>
      </c>
      <c r="D661" s="11" t="s">
        <v>38</v>
      </c>
      <c r="E661" s="11" t="s">
        <v>39</v>
      </c>
      <c r="F661" s="11" t="s">
        <v>64</v>
      </c>
      <c r="G661" s="11" t="s">
        <v>45</v>
      </c>
      <c r="H661" s="11" t="s">
        <v>182</v>
      </c>
      <c r="I661" s="11" t="s">
        <v>1412</v>
      </c>
      <c r="J661" s="11">
        <v>33.0</v>
      </c>
      <c r="K661" s="12">
        <v>44411.0</v>
      </c>
      <c r="L661" s="11">
        <f t="shared" ref="L661:L668" si="69">ROUND(((K661-B661)/365)*12,0)</f>
        <v>16</v>
      </c>
      <c r="M661" s="11">
        <v>543278.0</v>
      </c>
      <c r="N661" s="11">
        <v>6499.0</v>
      </c>
      <c r="O661" s="13" t="s">
        <v>106</v>
      </c>
      <c r="P661" s="11">
        <v>0.0</v>
      </c>
      <c r="Q661" s="14">
        <v>0.0</v>
      </c>
      <c r="R661" s="11">
        <v>1.0</v>
      </c>
      <c r="S661">
        <f t="shared" si="1"/>
        <v>2020</v>
      </c>
      <c r="T661">
        <f t="shared" si="2"/>
        <v>3</v>
      </c>
      <c r="U661">
        <f t="shared" si="3"/>
        <v>20</v>
      </c>
      <c r="Z661" s="17">
        <v>44323.0</v>
      </c>
      <c r="AG661" s="15"/>
      <c r="AH661" s="16"/>
      <c r="AM661" s="15"/>
      <c r="AN661" s="16"/>
    </row>
    <row r="662">
      <c r="A662" s="13" t="s">
        <v>1413</v>
      </c>
      <c r="B662" s="10">
        <v>43910.0</v>
      </c>
      <c r="C662" s="11" t="s">
        <v>175</v>
      </c>
      <c r="D662" s="11" t="s">
        <v>77</v>
      </c>
      <c r="E662" s="11" t="s">
        <v>39</v>
      </c>
      <c r="F662" s="11" t="s">
        <v>40</v>
      </c>
      <c r="G662" s="11" t="s">
        <v>45</v>
      </c>
      <c r="H662" s="11" t="s">
        <v>67</v>
      </c>
      <c r="I662" s="11"/>
      <c r="J662" s="11">
        <v>22.0</v>
      </c>
      <c r="K662" s="12">
        <v>44356.0</v>
      </c>
      <c r="L662" s="11">
        <f t="shared" si="69"/>
        <v>15</v>
      </c>
      <c r="M662" s="11">
        <v>666156.0</v>
      </c>
      <c r="N662" s="11" t="s">
        <v>1414</v>
      </c>
      <c r="O662" s="13"/>
      <c r="P662" s="11">
        <v>0.0</v>
      </c>
      <c r="Q662" s="14">
        <v>0.0</v>
      </c>
      <c r="R662" s="11">
        <v>0.0</v>
      </c>
      <c r="S662">
        <f t="shared" si="1"/>
        <v>2020</v>
      </c>
      <c r="T662">
        <f t="shared" si="2"/>
        <v>3</v>
      </c>
      <c r="U662">
        <f t="shared" si="3"/>
        <v>20</v>
      </c>
      <c r="Z662" s="17">
        <v>44356.0</v>
      </c>
      <c r="AG662" s="15"/>
      <c r="AH662" s="16"/>
      <c r="AM662" s="15"/>
      <c r="AN662" s="16"/>
    </row>
    <row r="663">
      <c r="A663" s="13" t="s">
        <v>1415</v>
      </c>
      <c r="B663" s="10">
        <v>43910.0</v>
      </c>
      <c r="C663" s="11" t="s">
        <v>175</v>
      </c>
      <c r="D663" s="11" t="s">
        <v>38</v>
      </c>
      <c r="E663" s="11" t="s">
        <v>39</v>
      </c>
      <c r="F663" s="11" t="s">
        <v>40</v>
      </c>
      <c r="G663" s="11" t="s">
        <v>326</v>
      </c>
      <c r="H663" s="11"/>
      <c r="I663" s="11"/>
      <c r="J663" s="11">
        <v>21.0</v>
      </c>
      <c r="K663" s="12">
        <v>44472.0</v>
      </c>
      <c r="L663" s="11">
        <f t="shared" si="69"/>
        <v>18</v>
      </c>
      <c r="M663" s="11">
        <v>662253.0</v>
      </c>
      <c r="N663" s="11">
        <v>20373.0</v>
      </c>
      <c r="O663" s="13"/>
      <c r="P663" s="11">
        <v>0.0</v>
      </c>
      <c r="Q663" s="14">
        <v>0.0</v>
      </c>
      <c r="R663" s="11">
        <v>1.0</v>
      </c>
      <c r="S663">
        <f t="shared" si="1"/>
        <v>2020</v>
      </c>
      <c r="T663">
        <f t="shared" si="2"/>
        <v>3</v>
      </c>
      <c r="U663">
        <f t="shared" si="3"/>
        <v>20</v>
      </c>
      <c r="V663" s="17">
        <v>44076.0</v>
      </c>
      <c r="AG663" s="15"/>
      <c r="AH663" s="16"/>
      <c r="AM663" s="15"/>
      <c r="AN663" s="16"/>
    </row>
    <row r="664">
      <c r="A664" s="13" t="s">
        <v>1416</v>
      </c>
      <c r="B664" s="10">
        <v>43910.0</v>
      </c>
      <c r="C664" s="11" t="s">
        <v>62</v>
      </c>
      <c r="D664" s="11" t="s">
        <v>38</v>
      </c>
      <c r="E664" s="11" t="s">
        <v>39</v>
      </c>
      <c r="F664" s="11" t="s">
        <v>40</v>
      </c>
      <c r="G664" s="11" t="s">
        <v>45</v>
      </c>
      <c r="H664" s="11" t="s">
        <v>729</v>
      </c>
      <c r="I664" s="11" t="s">
        <v>140</v>
      </c>
      <c r="J664" s="11">
        <v>27.0</v>
      </c>
      <c r="K664" s="12">
        <v>44387.0</v>
      </c>
      <c r="L664" s="11">
        <f t="shared" si="69"/>
        <v>16</v>
      </c>
      <c r="M664" s="11">
        <v>595881.0</v>
      </c>
      <c r="N664" s="11">
        <v>16981.0</v>
      </c>
      <c r="O664" s="13" t="s">
        <v>42</v>
      </c>
      <c r="P664" s="11">
        <v>0.0</v>
      </c>
      <c r="Q664" s="14">
        <v>0.0</v>
      </c>
      <c r="R664" s="11">
        <v>1.0</v>
      </c>
      <c r="S664">
        <f t="shared" si="1"/>
        <v>2020</v>
      </c>
      <c r="T664">
        <f t="shared" si="2"/>
        <v>3</v>
      </c>
      <c r="U664">
        <f t="shared" si="3"/>
        <v>20</v>
      </c>
      <c r="V664" s="17">
        <v>44088.0</v>
      </c>
      <c r="Z664" s="17">
        <v>44322.0</v>
      </c>
      <c r="AG664" s="15"/>
      <c r="AH664" s="16"/>
      <c r="AM664" s="15"/>
      <c r="AN664" s="16"/>
    </row>
    <row r="665">
      <c r="A665" s="13" t="s">
        <v>1417</v>
      </c>
      <c r="B665" s="10">
        <v>43907.0</v>
      </c>
      <c r="C665" s="11" t="s">
        <v>111</v>
      </c>
      <c r="D665" s="11" t="s">
        <v>77</v>
      </c>
      <c r="E665" s="11" t="s">
        <v>39</v>
      </c>
      <c r="F665" s="11" t="s">
        <v>64</v>
      </c>
      <c r="G665" s="11" t="s">
        <v>45</v>
      </c>
      <c r="H665" s="11" t="s">
        <v>119</v>
      </c>
      <c r="I665" s="11"/>
      <c r="J665" s="11">
        <v>22.0</v>
      </c>
      <c r="K665" s="12">
        <v>44370.0</v>
      </c>
      <c r="L665" s="11">
        <f t="shared" si="69"/>
        <v>15</v>
      </c>
      <c r="M665" s="11">
        <v>666214.0</v>
      </c>
      <c r="N665" s="11">
        <v>19962.0</v>
      </c>
      <c r="O665" s="13" t="s">
        <v>1407</v>
      </c>
      <c r="P665" s="11">
        <v>0.0</v>
      </c>
      <c r="Q665" s="14">
        <v>0.0</v>
      </c>
      <c r="R665" s="11">
        <v>1.0</v>
      </c>
      <c r="S665">
        <f t="shared" si="1"/>
        <v>2020</v>
      </c>
      <c r="T665">
        <f t="shared" si="2"/>
        <v>3</v>
      </c>
      <c r="U665">
        <f t="shared" si="3"/>
        <v>17</v>
      </c>
      <c r="W665" s="17">
        <v>44246.0</v>
      </c>
      <c r="Z665" s="17">
        <v>44341.0</v>
      </c>
      <c r="AG665" s="15"/>
      <c r="AH665" s="16"/>
      <c r="AM665" s="15"/>
      <c r="AN665" s="16"/>
    </row>
    <row r="666">
      <c r="A666" s="13" t="s">
        <v>1418</v>
      </c>
      <c r="B666" s="10">
        <v>43900.0</v>
      </c>
      <c r="C666" s="11" t="s">
        <v>49</v>
      </c>
      <c r="D666" s="11" t="s">
        <v>88</v>
      </c>
      <c r="E666" s="11" t="s">
        <v>39</v>
      </c>
      <c r="F666" s="11" t="s">
        <v>40</v>
      </c>
      <c r="G666" s="11" t="s">
        <v>45</v>
      </c>
      <c r="H666" s="11" t="s">
        <v>182</v>
      </c>
      <c r="I666" s="11" t="s">
        <v>1419</v>
      </c>
      <c r="J666" s="11">
        <v>25.0</v>
      </c>
      <c r="K666" s="12">
        <v>44367.0</v>
      </c>
      <c r="L666" s="11">
        <f t="shared" si="69"/>
        <v>15</v>
      </c>
      <c r="M666" s="11">
        <v>670304.0</v>
      </c>
      <c r="N666" s="11" t="s">
        <v>1420</v>
      </c>
      <c r="O666" s="13"/>
      <c r="P666" s="11">
        <v>0.0</v>
      </c>
      <c r="Q666" s="14">
        <v>0.0</v>
      </c>
      <c r="R666" s="11">
        <v>1.0</v>
      </c>
      <c r="S666">
        <f t="shared" si="1"/>
        <v>2020</v>
      </c>
      <c r="T666">
        <f t="shared" si="2"/>
        <v>3</v>
      </c>
      <c r="U666">
        <f t="shared" si="3"/>
        <v>10</v>
      </c>
      <c r="Z666" s="17">
        <v>44367.0</v>
      </c>
      <c r="AG666" s="15"/>
      <c r="AH666" s="16"/>
      <c r="AM666" s="15"/>
      <c r="AN666" s="16"/>
    </row>
    <row r="667">
      <c r="A667" s="13" t="s">
        <v>1421</v>
      </c>
      <c r="B667" s="10">
        <v>43899.0</v>
      </c>
      <c r="C667" s="11" t="s">
        <v>62</v>
      </c>
      <c r="D667" s="11" t="s">
        <v>58</v>
      </c>
      <c r="E667" s="11" t="s">
        <v>39</v>
      </c>
      <c r="F667" s="11" t="s">
        <v>40</v>
      </c>
      <c r="G667" s="11" t="s">
        <v>45</v>
      </c>
      <c r="H667" s="11" t="s">
        <v>276</v>
      </c>
      <c r="I667" s="11" t="s">
        <v>851</v>
      </c>
      <c r="J667" s="11">
        <v>28.0</v>
      </c>
      <c r="K667" s="12">
        <v>44656.0</v>
      </c>
      <c r="L667" s="11">
        <f t="shared" si="69"/>
        <v>25</v>
      </c>
      <c r="M667" s="11">
        <v>571539.0</v>
      </c>
      <c r="N667" s="11">
        <v>13276.0</v>
      </c>
      <c r="O667" s="13" t="s">
        <v>1422</v>
      </c>
      <c r="P667" s="11">
        <v>0.0</v>
      </c>
      <c r="Q667" s="14">
        <v>0.0</v>
      </c>
      <c r="R667" s="11">
        <v>1.0</v>
      </c>
      <c r="S667">
        <f t="shared" si="1"/>
        <v>2020</v>
      </c>
      <c r="T667">
        <f t="shared" si="2"/>
        <v>3</v>
      </c>
      <c r="U667">
        <f t="shared" si="3"/>
        <v>9</v>
      </c>
      <c r="Z667" s="17">
        <v>44656.0</v>
      </c>
      <c r="AG667" s="15"/>
      <c r="AH667" s="16"/>
      <c r="AM667" s="15"/>
      <c r="AN667" s="16"/>
    </row>
    <row r="668">
      <c r="A668" s="13" t="s">
        <v>1423</v>
      </c>
      <c r="B668" s="10">
        <v>43895.0</v>
      </c>
      <c r="C668" s="11" t="s">
        <v>230</v>
      </c>
      <c r="D668" s="11" t="s">
        <v>58</v>
      </c>
      <c r="E668" s="11" t="s">
        <v>39</v>
      </c>
      <c r="F668" s="11" t="s">
        <v>40</v>
      </c>
      <c r="G668" s="11" t="s">
        <v>45</v>
      </c>
      <c r="H668" s="11" t="s">
        <v>59</v>
      </c>
      <c r="I668" s="11" t="s">
        <v>1424</v>
      </c>
      <c r="J668" s="11">
        <v>27.0</v>
      </c>
      <c r="K668" s="12">
        <v>44406.0</v>
      </c>
      <c r="L668" s="11">
        <f t="shared" si="69"/>
        <v>17</v>
      </c>
      <c r="M668" s="11">
        <v>670036.0</v>
      </c>
      <c r="N668" s="11">
        <v>19330.0</v>
      </c>
      <c r="O668" s="13" t="s">
        <v>1407</v>
      </c>
      <c r="P668" s="11">
        <v>0.0</v>
      </c>
      <c r="Q668" s="14">
        <v>0.0</v>
      </c>
      <c r="R668" s="11">
        <v>1.0</v>
      </c>
      <c r="S668">
        <f t="shared" si="1"/>
        <v>2020</v>
      </c>
      <c r="T668">
        <f t="shared" si="2"/>
        <v>3</v>
      </c>
      <c r="U668">
        <f t="shared" si="3"/>
        <v>5</v>
      </c>
      <c r="Z668" s="17">
        <v>44392.0</v>
      </c>
      <c r="AG668" s="15"/>
      <c r="AH668" s="16"/>
      <c r="AM668" s="15"/>
      <c r="AN668" s="16"/>
    </row>
    <row r="669">
      <c r="A669" s="13" t="s">
        <v>1425</v>
      </c>
      <c r="B669" s="17">
        <v>43891.0</v>
      </c>
      <c r="C669" s="11" t="s">
        <v>37</v>
      </c>
      <c r="D669" s="11" t="s">
        <v>93</v>
      </c>
      <c r="E669" s="11" t="s">
        <v>39</v>
      </c>
      <c r="F669" s="11" t="s">
        <v>40</v>
      </c>
      <c r="G669" s="11" t="s">
        <v>45</v>
      </c>
      <c r="H669" s="11" t="s">
        <v>67</v>
      </c>
      <c r="I669" s="11" t="s">
        <v>616</v>
      </c>
      <c r="J669" s="11">
        <v>20.0</v>
      </c>
      <c r="K669" s="12">
        <v>44785.0</v>
      </c>
      <c r="L669" s="11"/>
      <c r="M669" s="11">
        <v>677354.0</v>
      </c>
      <c r="N669" s="11" t="s">
        <v>1426</v>
      </c>
      <c r="O669" s="13"/>
      <c r="P669" s="11">
        <v>0.0</v>
      </c>
      <c r="Q669" s="14">
        <v>0.0</v>
      </c>
      <c r="R669" s="11">
        <v>1.0</v>
      </c>
      <c r="S669">
        <f t="shared" si="1"/>
        <v>2020</v>
      </c>
      <c r="T669">
        <f t="shared" si="2"/>
        <v>3</v>
      </c>
      <c r="U669">
        <f t="shared" si="3"/>
        <v>1</v>
      </c>
      <c r="V669" s="17"/>
      <c r="Z669" s="17">
        <v>44785.0</v>
      </c>
      <c r="AG669" s="15"/>
      <c r="AH669" s="16"/>
      <c r="AM669" s="15"/>
      <c r="AN669" s="16"/>
    </row>
    <row r="670">
      <c r="A670" s="13" t="s">
        <v>1427</v>
      </c>
      <c r="B670" s="10">
        <v>43891.0</v>
      </c>
      <c r="C670" s="11" t="s">
        <v>49</v>
      </c>
      <c r="D670" s="11" t="s">
        <v>93</v>
      </c>
      <c r="E670" s="11" t="s">
        <v>39</v>
      </c>
      <c r="F670" s="11" t="s">
        <v>40</v>
      </c>
      <c r="G670" s="11" t="s">
        <v>45</v>
      </c>
      <c r="H670" s="11" t="s">
        <v>159</v>
      </c>
      <c r="I670" s="11" t="s">
        <v>637</v>
      </c>
      <c r="J670" s="11">
        <v>21.0</v>
      </c>
      <c r="K670" s="12">
        <v>44350.0</v>
      </c>
      <c r="L670" s="11">
        <f t="shared" ref="L670:L676" si="70">ROUND(((K670-B670)/365)*12,0)</f>
        <v>15</v>
      </c>
      <c r="M670" s="11">
        <v>669372.0</v>
      </c>
      <c r="N670" s="11">
        <v>27889.0</v>
      </c>
      <c r="O670" s="13"/>
      <c r="P670" s="11">
        <v>0.0</v>
      </c>
      <c r="Q670" s="14">
        <v>0.0</v>
      </c>
      <c r="R670" s="11">
        <v>1.0</v>
      </c>
      <c r="S670">
        <f t="shared" si="1"/>
        <v>2020</v>
      </c>
      <c r="T670">
        <f t="shared" si="2"/>
        <v>3</v>
      </c>
      <c r="U670">
        <f t="shared" si="3"/>
        <v>1</v>
      </c>
      <c r="V670" s="17">
        <v>44043.0</v>
      </c>
      <c r="AG670" s="15"/>
      <c r="AH670" s="16"/>
      <c r="AM670" s="15"/>
      <c r="AN670" s="16"/>
    </row>
    <row r="671">
      <c r="A671" s="13" t="s">
        <v>1428</v>
      </c>
      <c r="B671" s="10">
        <v>43891.0</v>
      </c>
      <c r="C671" s="11" t="s">
        <v>186</v>
      </c>
      <c r="D671" s="11" t="s">
        <v>709</v>
      </c>
      <c r="E671" s="11" t="s">
        <v>39</v>
      </c>
      <c r="F671" s="11" t="s">
        <v>40</v>
      </c>
      <c r="G671" s="11" t="s">
        <v>45</v>
      </c>
      <c r="H671" s="11" t="s">
        <v>67</v>
      </c>
      <c r="I671" s="11" t="s">
        <v>190</v>
      </c>
      <c r="J671" s="11">
        <v>22.0</v>
      </c>
      <c r="K671" s="12">
        <v>44715.0</v>
      </c>
      <c r="L671" s="11">
        <f t="shared" si="70"/>
        <v>27</v>
      </c>
      <c r="M671" s="11">
        <v>674114.0</v>
      </c>
      <c r="N671" s="11" t="s">
        <v>1429</v>
      </c>
      <c r="O671" s="13"/>
      <c r="P671" s="11">
        <v>0.0</v>
      </c>
      <c r="Q671" s="14">
        <v>0.0</v>
      </c>
      <c r="R671" s="11">
        <v>1.0</v>
      </c>
      <c r="S671">
        <f t="shared" si="1"/>
        <v>2020</v>
      </c>
      <c r="T671">
        <f t="shared" si="2"/>
        <v>3</v>
      </c>
      <c r="U671">
        <f t="shared" si="3"/>
        <v>1</v>
      </c>
      <c r="Z671" s="17">
        <v>44715.0</v>
      </c>
      <c r="AG671" s="15"/>
      <c r="AH671" s="16"/>
      <c r="AM671" s="15"/>
      <c r="AN671" s="16"/>
    </row>
    <row r="672">
      <c r="A672" s="13" t="s">
        <v>1430</v>
      </c>
      <c r="B672" s="10">
        <v>43888.0</v>
      </c>
      <c r="C672" s="11" t="s">
        <v>108</v>
      </c>
      <c r="D672" s="11" t="s">
        <v>38</v>
      </c>
      <c r="E672" s="11" t="s">
        <v>39</v>
      </c>
      <c r="F672" s="11" t="s">
        <v>40</v>
      </c>
      <c r="G672" s="11" t="s">
        <v>41</v>
      </c>
      <c r="H672" s="11"/>
      <c r="I672" s="11"/>
      <c r="J672" s="11">
        <v>26.0</v>
      </c>
      <c r="K672" s="12">
        <v>44460.0</v>
      </c>
      <c r="L672" s="11">
        <f t="shared" si="70"/>
        <v>19</v>
      </c>
      <c r="M672" s="11">
        <v>622663.0</v>
      </c>
      <c r="N672" s="11">
        <v>15890.0</v>
      </c>
      <c r="O672" s="13" t="s">
        <v>1407</v>
      </c>
      <c r="P672" s="11">
        <v>0.0</v>
      </c>
      <c r="Q672" s="14">
        <v>0.0</v>
      </c>
      <c r="R672" s="11">
        <v>1.0</v>
      </c>
      <c r="S672">
        <f t="shared" si="1"/>
        <v>2020</v>
      </c>
      <c r="T672">
        <f t="shared" si="2"/>
        <v>2</v>
      </c>
      <c r="U672">
        <f t="shared" si="3"/>
        <v>27</v>
      </c>
      <c r="W672" s="17">
        <v>44264.0</v>
      </c>
      <c r="Y672" s="17">
        <v>44329.0</v>
      </c>
      <c r="Z672" s="17">
        <v>44353.0</v>
      </c>
      <c r="AG672" s="15"/>
      <c r="AH672" s="16"/>
      <c r="AM672" s="15"/>
      <c r="AN672" s="16"/>
    </row>
    <row r="673">
      <c r="A673" s="13" t="s">
        <v>1431</v>
      </c>
      <c r="B673" s="10">
        <v>43881.0</v>
      </c>
      <c r="C673" s="11" t="s">
        <v>143</v>
      </c>
      <c r="D673" s="11" t="s">
        <v>58</v>
      </c>
      <c r="E673" s="11" t="s">
        <v>39</v>
      </c>
      <c r="F673" s="11" t="s">
        <v>64</v>
      </c>
      <c r="G673" s="11" t="s">
        <v>45</v>
      </c>
      <c r="H673" s="11" t="s">
        <v>109</v>
      </c>
      <c r="I673" s="11" t="s">
        <v>1432</v>
      </c>
      <c r="J673" s="11">
        <v>25.0</v>
      </c>
      <c r="K673" s="12">
        <v>44320.0</v>
      </c>
      <c r="L673" s="11">
        <f t="shared" si="70"/>
        <v>14</v>
      </c>
      <c r="M673" s="11">
        <v>676607.0</v>
      </c>
      <c r="N673" s="11" t="s">
        <v>1433</v>
      </c>
      <c r="O673" s="13"/>
      <c r="P673" s="11">
        <v>0.0</v>
      </c>
      <c r="Q673" s="14">
        <v>0.0</v>
      </c>
      <c r="R673" s="11">
        <v>1.0</v>
      </c>
      <c r="S673">
        <f t="shared" si="1"/>
        <v>2020</v>
      </c>
      <c r="T673">
        <f t="shared" si="2"/>
        <v>2</v>
      </c>
      <c r="U673">
        <f t="shared" si="3"/>
        <v>20</v>
      </c>
      <c r="Z673" s="17">
        <v>44320.0</v>
      </c>
      <c r="AG673" s="15"/>
      <c r="AH673" s="16"/>
      <c r="AM673" s="15"/>
      <c r="AN673" s="16"/>
    </row>
    <row r="674">
      <c r="A674" s="13" t="s">
        <v>1434</v>
      </c>
      <c r="B674" s="10">
        <v>43872.0</v>
      </c>
      <c r="C674" s="11" t="s">
        <v>235</v>
      </c>
      <c r="D674" s="11" t="s">
        <v>97</v>
      </c>
      <c r="E674" s="11" t="s">
        <v>39</v>
      </c>
      <c r="F674" s="11" t="s">
        <v>40</v>
      </c>
      <c r="G674" s="11" t="s">
        <v>199</v>
      </c>
      <c r="H674" s="11"/>
      <c r="I674" s="11"/>
      <c r="J674" s="11">
        <v>19.0</v>
      </c>
      <c r="K674" s="12">
        <v>44741.0</v>
      </c>
      <c r="L674" s="11">
        <f t="shared" si="70"/>
        <v>29</v>
      </c>
      <c r="M674" s="11">
        <v>672078.0</v>
      </c>
      <c r="N674" s="11" t="s">
        <v>1435</v>
      </c>
      <c r="O674" s="13"/>
      <c r="P674" s="11">
        <v>0.0</v>
      </c>
      <c r="Q674" s="14">
        <v>0.0</v>
      </c>
      <c r="R674" s="11">
        <v>1.0</v>
      </c>
      <c r="S674">
        <f t="shared" si="1"/>
        <v>2020</v>
      </c>
      <c r="T674">
        <f t="shared" si="2"/>
        <v>2</v>
      </c>
      <c r="U674">
        <f t="shared" si="3"/>
        <v>11</v>
      </c>
      <c r="Z674" s="17">
        <v>44379.0</v>
      </c>
      <c r="AG674" s="15"/>
      <c r="AH674" s="16"/>
      <c r="AM674" s="15"/>
      <c r="AN674" s="16"/>
    </row>
    <row r="675">
      <c r="A675" s="13" t="s">
        <v>1095</v>
      </c>
      <c r="B675" s="10">
        <v>43862.0</v>
      </c>
      <c r="C675" s="11" t="s">
        <v>346</v>
      </c>
      <c r="D675" s="11" t="s">
        <v>97</v>
      </c>
      <c r="E675" s="11" t="s">
        <v>39</v>
      </c>
      <c r="F675" s="11" t="s">
        <v>40</v>
      </c>
      <c r="G675" s="11" t="s">
        <v>41</v>
      </c>
      <c r="H675" s="11"/>
      <c r="I675" s="11"/>
      <c r="J675" s="11">
        <v>21.0</v>
      </c>
      <c r="K675" s="12">
        <v>44336.0</v>
      </c>
      <c r="L675" s="11">
        <f t="shared" si="70"/>
        <v>16</v>
      </c>
      <c r="M675" s="11">
        <v>667755.0</v>
      </c>
      <c r="N675" s="11">
        <v>22100.0</v>
      </c>
      <c r="O675" s="13"/>
      <c r="P675" s="11">
        <v>0.0</v>
      </c>
      <c r="Q675" s="14">
        <v>0.0</v>
      </c>
      <c r="R675" s="11">
        <v>1.0</v>
      </c>
      <c r="S675">
        <f t="shared" si="1"/>
        <v>2020</v>
      </c>
      <c r="T675">
        <f t="shared" si="2"/>
        <v>2</v>
      </c>
      <c r="U675">
        <f t="shared" si="3"/>
        <v>1</v>
      </c>
      <c r="Z675" s="17">
        <v>44336.0</v>
      </c>
      <c r="AG675" s="15"/>
      <c r="AH675" s="16"/>
      <c r="AM675" s="15"/>
      <c r="AN675" s="16"/>
    </row>
    <row r="676">
      <c r="A676" s="13" t="s">
        <v>1436</v>
      </c>
      <c r="B676" s="17">
        <v>43862.0</v>
      </c>
      <c r="C676" s="11" t="s">
        <v>186</v>
      </c>
      <c r="D676" s="11" t="s">
        <v>97</v>
      </c>
      <c r="E676" s="11" t="s">
        <v>39</v>
      </c>
      <c r="F676" s="11" t="s">
        <v>40</v>
      </c>
      <c r="G676" s="11" t="s">
        <v>45</v>
      </c>
      <c r="H676" s="11" t="s">
        <v>84</v>
      </c>
      <c r="I676" s="11" t="s">
        <v>1437</v>
      </c>
      <c r="J676" s="11">
        <v>24.0</v>
      </c>
      <c r="K676" s="12">
        <v>44320.0</v>
      </c>
      <c r="L676" s="11">
        <f t="shared" si="70"/>
        <v>15</v>
      </c>
      <c r="M676" s="11">
        <v>676766.0</v>
      </c>
      <c r="N676" s="11">
        <v>23493.0</v>
      </c>
      <c r="O676" s="13"/>
      <c r="P676" s="11">
        <v>0.0</v>
      </c>
      <c r="Q676" s="14">
        <v>0.0</v>
      </c>
      <c r="R676" s="11">
        <v>1.0</v>
      </c>
      <c r="S676">
        <f t="shared" si="1"/>
        <v>2020</v>
      </c>
      <c r="T676">
        <f t="shared" si="2"/>
        <v>2</v>
      </c>
      <c r="U676">
        <f t="shared" si="3"/>
        <v>1</v>
      </c>
      <c r="Z676" s="17">
        <v>44320.0</v>
      </c>
      <c r="AG676" s="15"/>
      <c r="AH676" s="16"/>
      <c r="AM676" s="15"/>
      <c r="AN676" s="16"/>
    </row>
    <row r="677">
      <c r="A677" s="13" t="s">
        <v>1438</v>
      </c>
      <c r="B677" s="17">
        <v>43845.0</v>
      </c>
      <c r="C677" s="11" t="s">
        <v>235</v>
      </c>
      <c r="D677" s="11" t="s">
        <v>213</v>
      </c>
      <c r="E677" s="11" t="s">
        <v>39</v>
      </c>
      <c r="F677" s="11" t="s">
        <v>64</v>
      </c>
      <c r="G677" s="11" t="s">
        <v>45</v>
      </c>
      <c r="H677" s="11" t="s">
        <v>67</v>
      </c>
      <c r="I677" s="11" t="s">
        <v>1439</v>
      </c>
      <c r="J677" s="11">
        <v>18.0</v>
      </c>
      <c r="K677" s="12">
        <v>45388.0</v>
      </c>
      <c r="L677" s="11"/>
      <c r="M677" s="11">
        <v>815322.0</v>
      </c>
      <c r="N677" s="11" t="s">
        <v>1440</v>
      </c>
      <c r="O677" s="13"/>
      <c r="P677" s="11">
        <v>0.0</v>
      </c>
      <c r="Q677" s="14">
        <v>0.0</v>
      </c>
      <c r="R677" s="11">
        <v>1.0</v>
      </c>
      <c r="S677">
        <f t="shared" si="1"/>
        <v>2020</v>
      </c>
      <c r="T677">
        <f t="shared" si="2"/>
        <v>1</v>
      </c>
      <c r="U677">
        <f t="shared" si="3"/>
        <v>15</v>
      </c>
      <c r="Z677" s="17"/>
      <c r="AG677" s="15"/>
      <c r="AH677" s="16"/>
      <c r="AM677" s="15"/>
      <c r="AN677" s="16"/>
    </row>
    <row r="678">
      <c r="A678" s="13" t="s">
        <v>87</v>
      </c>
      <c r="B678" s="17">
        <v>43831.0</v>
      </c>
      <c r="C678" s="11" t="s">
        <v>72</v>
      </c>
      <c r="D678" s="11" t="s">
        <v>93</v>
      </c>
      <c r="E678" s="11" t="s">
        <v>39</v>
      </c>
      <c r="F678" s="11" t="s">
        <v>40</v>
      </c>
      <c r="G678" s="11" t="s">
        <v>45</v>
      </c>
      <c r="H678" s="11" t="s">
        <v>89</v>
      </c>
      <c r="I678" s="11" t="s">
        <v>90</v>
      </c>
      <c r="J678" s="11">
        <v>19.0</v>
      </c>
      <c r="K678" s="12">
        <v>45160.0</v>
      </c>
      <c r="L678" s="11"/>
      <c r="M678" s="11">
        <v>808820.0</v>
      </c>
      <c r="N678" s="11" t="s">
        <v>91</v>
      </c>
      <c r="O678" s="13"/>
      <c r="P678" s="11">
        <v>0.0</v>
      </c>
      <c r="Q678" s="14">
        <v>0.0</v>
      </c>
      <c r="R678" s="11">
        <v>1.0</v>
      </c>
      <c r="S678">
        <f t="shared" si="1"/>
        <v>2020</v>
      </c>
      <c r="T678">
        <f t="shared" si="2"/>
        <v>1</v>
      </c>
      <c r="U678">
        <f t="shared" si="3"/>
        <v>1</v>
      </c>
      <c r="Z678" s="17"/>
      <c r="AG678" s="15"/>
      <c r="AH678" s="16"/>
      <c r="AM678" s="15"/>
      <c r="AN678" s="16"/>
    </row>
    <row r="679">
      <c r="A679" s="13" t="s">
        <v>1441</v>
      </c>
      <c r="B679" s="17">
        <v>43831.0</v>
      </c>
      <c r="C679" s="11" t="s">
        <v>72</v>
      </c>
      <c r="D679" s="11" t="s">
        <v>213</v>
      </c>
      <c r="E679" s="11" t="s">
        <v>39</v>
      </c>
      <c r="F679" s="11" t="s">
        <v>64</v>
      </c>
      <c r="G679" s="11" t="s">
        <v>45</v>
      </c>
      <c r="H679" s="11" t="s">
        <v>46</v>
      </c>
      <c r="I679" s="11" t="s">
        <v>1442</v>
      </c>
      <c r="J679" s="11">
        <v>17.0</v>
      </c>
      <c r="K679" s="12">
        <v>45757.0</v>
      </c>
      <c r="L679" s="11"/>
      <c r="M679" s="11">
        <v>700251.0</v>
      </c>
      <c r="N679" s="11" t="s">
        <v>1443</v>
      </c>
      <c r="O679" s="13"/>
      <c r="P679" s="11">
        <v>0.0</v>
      </c>
      <c r="Q679" s="14">
        <v>0.0</v>
      </c>
      <c r="R679" s="11">
        <v>1.0</v>
      </c>
      <c r="S679">
        <f t="shared" si="1"/>
        <v>2020</v>
      </c>
      <c r="T679">
        <f t="shared" si="2"/>
        <v>1</v>
      </c>
      <c r="U679">
        <f t="shared" si="3"/>
        <v>1</v>
      </c>
      <c r="Z679" s="17">
        <v>45757.0</v>
      </c>
      <c r="AG679" s="15"/>
      <c r="AH679" s="16"/>
      <c r="AM679" s="15"/>
      <c r="AN679" s="16"/>
    </row>
    <row r="680">
      <c r="A680" s="13" t="s">
        <v>1444</v>
      </c>
      <c r="B680" s="17">
        <v>43831.0</v>
      </c>
      <c r="C680" s="11" t="s">
        <v>167</v>
      </c>
      <c r="D680" s="11" t="s">
        <v>213</v>
      </c>
      <c r="E680" s="11" t="s">
        <v>39</v>
      </c>
      <c r="F680" s="11" t="s">
        <v>64</v>
      </c>
      <c r="G680" s="11" t="s">
        <v>45</v>
      </c>
      <c r="H680" s="11" t="s">
        <v>67</v>
      </c>
      <c r="I680" s="11" t="s">
        <v>190</v>
      </c>
      <c r="J680" s="11">
        <v>18.0</v>
      </c>
      <c r="K680" s="12"/>
      <c r="L680" s="11"/>
      <c r="M680" s="11"/>
      <c r="N680" s="11"/>
      <c r="O680" s="13"/>
      <c r="P680" s="11">
        <v>0.0</v>
      </c>
      <c r="Q680" s="14">
        <v>0.0</v>
      </c>
      <c r="R680" s="11">
        <v>1.0</v>
      </c>
      <c r="S680">
        <f t="shared" si="1"/>
        <v>2020</v>
      </c>
      <c r="T680">
        <f t="shared" si="2"/>
        <v>1</v>
      </c>
      <c r="U680">
        <f t="shared" si="3"/>
        <v>1</v>
      </c>
      <c r="Z680" s="17"/>
      <c r="AG680" s="15"/>
      <c r="AH680" s="16"/>
      <c r="AM680" s="15"/>
      <c r="AN680" s="16"/>
    </row>
    <row r="681">
      <c r="A681" s="13" t="s">
        <v>1445</v>
      </c>
      <c r="B681" s="17">
        <v>43831.0</v>
      </c>
      <c r="C681" s="11" t="s">
        <v>143</v>
      </c>
      <c r="D681" s="11" t="s">
        <v>213</v>
      </c>
      <c r="E681" s="11" t="s">
        <v>104</v>
      </c>
      <c r="F681" s="11" t="s">
        <v>40</v>
      </c>
      <c r="G681" s="11" t="s">
        <v>45</v>
      </c>
      <c r="H681" s="11" t="s">
        <v>735</v>
      </c>
      <c r="I681" s="11" t="s">
        <v>159</v>
      </c>
      <c r="J681" s="11">
        <v>18.0</v>
      </c>
      <c r="K681" s="12">
        <v>45131.0</v>
      </c>
      <c r="L681" s="11"/>
      <c r="M681" s="11">
        <v>691941.0</v>
      </c>
      <c r="N681" s="11" t="s">
        <v>1446</v>
      </c>
      <c r="O681" s="13"/>
      <c r="P681" s="11">
        <v>0.0</v>
      </c>
      <c r="Q681" s="14">
        <v>0.0</v>
      </c>
      <c r="R681" s="11">
        <v>1.0</v>
      </c>
      <c r="S681">
        <f t="shared" si="1"/>
        <v>2020</v>
      </c>
      <c r="T681">
        <f t="shared" si="2"/>
        <v>1</v>
      </c>
      <c r="U681">
        <f t="shared" si="3"/>
        <v>1</v>
      </c>
      <c r="Z681" s="17"/>
      <c r="AG681" s="15"/>
      <c r="AH681" s="16"/>
      <c r="AM681" s="15"/>
      <c r="AN681" s="16"/>
    </row>
    <row r="682">
      <c r="A682" s="13" t="s">
        <v>1447</v>
      </c>
      <c r="B682" s="17">
        <v>43831.0</v>
      </c>
      <c r="C682" s="11" t="s">
        <v>162</v>
      </c>
      <c r="D682" s="11" t="s">
        <v>88</v>
      </c>
      <c r="E682" s="11" t="s">
        <v>39</v>
      </c>
      <c r="F682" s="11" t="s">
        <v>40</v>
      </c>
      <c r="G682" s="11" t="s">
        <v>45</v>
      </c>
      <c r="H682" s="11" t="s">
        <v>109</v>
      </c>
      <c r="I682" s="11" t="s">
        <v>1448</v>
      </c>
      <c r="J682" s="11">
        <v>23.0</v>
      </c>
      <c r="K682" s="12">
        <v>44661.0</v>
      </c>
      <c r="L682" s="11"/>
      <c r="M682" s="11">
        <v>676660.0</v>
      </c>
      <c r="N682" s="11">
        <v>23425.0</v>
      </c>
      <c r="O682" s="13"/>
      <c r="P682" s="11">
        <v>0.0</v>
      </c>
      <c r="Q682" s="14">
        <v>0.0</v>
      </c>
      <c r="R682" s="11">
        <v>1.0</v>
      </c>
      <c r="S682">
        <f t="shared" si="1"/>
        <v>2020</v>
      </c>
      <c r="T682">
        <f t="shared" si="2"/>
        <v>1</v>
      </c>
      <c r="U682">
        <f t="shared" si="3"/>
        <v>1</v>
      </c>
      <c r="Z682" s="17">
        <v>44661.0</v>
      </c>
      <c r="AG682" s="15"/>
      <c r="AH682" s="16"/>
      <c r="AM682" s="15"/>
      <c r="AN682" s="16"/>
    </row>
    <row r="683">
      <c r="A683" s="13" t="s">
        <v>1449</v>
      </c>
      <c r="B683" s="17">
        <v>43831.0</v>
      </c>
      <c r="C683" s="11" t="s">
        <v>162</v>
      </c>
      <c r="D683" s="11" t="s">
        <v>213</v>
      </c>
      <c r="E683" s="11" t="s">
        <v>39</v>
      </c>
      <c r="F683" s="11" t="s">
        <v>40</v>
      </c>
      <c r="G683" s="11" t="s">
        <v>45</v>
      </c>
      <c r="H683" s="11" t="s">
        <v>67</v>
      </c>
      <c r="I683" s="11"/>
      <c r="J683" s="11">
        <v>16.0</v>
      </c>
      <c r="K683" s="12"/>
      <c r="L683" s="11"/>
      <c r="M683" s="11"/>
      <c r="N683" s="11"/>
      <c r="O683" s="13"/>
      <c r="P683" s="11">
        <v>0.0</v>
      </c>
      <c r="Q683" s="14">
        <v>0.0</v>
      </c>
      <c r="R683" s="11">
        <v>1.0</v>
      </c>
      <c r="S683">
        <f t="shared" si="1"/>
        <v>2020</v>
      </c>
      <c r="T683">
        <f t="shared" si="2"/>
        <v>1</v>
      </c>
      <c r="U683">
        <f t="shared" si="3"/>
        <v>1</v>
      </c>
      <c r="Z683" s="17"/>
      <c r="AG683" s="15"/>
      <c r="AH683" s="16"/>
      <c r="AM683" s="15"/>
      <c r="AN683" s="16"/>
    </row>
    <row r="684">
      <c r="A684" s="13" t="s">
        <v>947</v>
      </c>
      <c r="B684" s="17">
        <v>43831.0</v>
      </c>
      <c r="C684" s="11" t="s">
        <v>44</v>
      </c>
      <c r="D684" s="11" t="s">
        <v>213</v>
      </c>
      <c r="E684" s="11" t="s">
        <v>39</v>
      </c>
      <c r="F684" s="11" t="s">
        <v>64</v>
      </c>
      <c r="G684" s="11" t="s">
        <v>45</v>
      </c>
      <c r="H684" s="11" t="s">
        <v>139</v>
      </c>
      <c r="I684" s="11" t="s">
        <v>948</v>
      </c>
      <c r="J684" s="11">
        <v>16.0</v>
      </c>
      <c r="K684" s="12">
        <v>45514.0</v>
      </c>
      <c r="L684" s="11"/>
      <c r="M684" s="11">
        <v>805124.0</v>
      </c>
      <c r="N684" s="11" t="s">
        <v>949</v>
      </c>
      <c r="P684" s="11">
        <v>0.0</v>
      </c>
      <c r="Q684" s="14">
        <v>0.0</v>
      </c>
      <c r="R684" s="11">
        <v>1.0</v>
      </c>
      <c r="S684">
        <f t="shared" si="1"/>
        <v>2020</v>
      </c>
      <c r="T684">
        <f t="shared" si="2"/>
        <v>1</v>
      </c>
      <c r="U684">
        <f t="shared" si="3"/>
        <v>1</v>
      </c>
      <c r="Z684" s="17">
        <v>45514.0</v>
      </c>
      <c r="AG684" s="15"/>
      <c r="AH684" s="16"/>
      <c r="AM684" s="15"/>
      <c r="AN684" s="16"/>
    </row>
    <row r="685">
      <c r="A685" s="13" t="s">
        <v>1450</v>
      </c>
      <c r="B685" s="17">
        <v>43831.0</v>
      </c>
      <c r="C685" s="11" t="s">
        <v>111</v>
      </c>
      <c r="D685" s="11" t="s">
        <v>93</v>
      </c>
      <c r="E685" s="11" t="s">
        <v>39</v>
      </c>
      <c r="F685" s="11" t="s">
        <v>64</v>
      </c>
      <c r="G685" s="11" t="s">
        <v>45</v>
      </c>
      <c r="H685" s="11" t="s">
        <v>109</v>
      </c>
      <c r="I685" s="11" t="s">
        <v>476</v>
      </c>
      <c r="J685" s="11">
        <v>20.0</v>
      </c>
      <c r="K685" s="12">
        <v>45111.0</v>
      </c>
      <c r="L685" s="11"/>
      <c r="M685" s="11">
        <v>701564.0</v>
      </c>
      <c r="N685" s="11" t="s">
        <v>1451</v>
      </c>
      <c r="O685" s="13"/>
      <c r="P685" s="11">
        <v>0.0</v>
      </c>
      <c r="Q685" s="14">
        <v>0.0</v>
      </c>
      <c r="R685" s="11">
        <v>1.0</v>
      </c>
      <c r="S685">
        <f t="shared" si="1"/>
        <v>2020</v>
      </c>
      <c r="T685">
        <f t="shared" si="2"/>
        <v>1</v>
      </c>
      <c r="U685">
        <f t="shared" si="3"/>
        <v>1</v>
      </c>
      <c r="Z685" s="17">
        <v>45111.0</v>
      </c>
      <c r="AG685" s="15"/>
      <c r="AH685" s="16"/>
      <c r="AM685" s="15"/>
      <c r="AN685" s="16"/>
    </row>
    <row r="686">
      <c r="A686" s="13" t="s">
        <v>1452</v>
      </c>
      <c r="B686" s="17">
        <v>43831.0</v>
      </c>
      <c r="C686" s="11" t="s">
        <v>52</v>
      </c>
      <c r="D686" s="11" t="s">
        <v>88</v>
      </c>
      <c r="E686" s="11" t="s">
        <v>39</v>
      </c>
      <c r="F686" s="11" t="s">
        <v>40</v>
      </c>
      <c r="G686" s="11" t="s">
        <v>45</v>
      </c>
      <c r="H686" s="11" t="s">
        <v>67</v>
      </c>
      <c r="I686" s="11" t="s">
        <v>317</v>
      </c>
      <c r="J686" s="11">
        <v>23.0</v>
      </c>
      <c r="K686" s="12">
        <v>44425.0</v>
      </c>
      <c r="L686" s="11"/>
      <c r="M686" s="11">
        <v>663686.0</v>
      </c>
      <c r="N686" s="11" t="s">
        <v>1453</v>
      </c>
      <c r="O686" s="13"/>
      <c r="P686" s="11">
        <v>0.0</v>
      </c>
      <c r="Q686" s="14">
        <v>0.0</v>
      </c>
      <c r="R686" s="11">
        <v>1.0</v>
      </c>
      <c r="S686">
        <f t="shared" si="1"/>
        <v>2020</v>
      </c>
      <c r="T686">
        <f t="shared" si="2"/>
        <v>1</v>
      </c>
      <c r="U686">
        <f t="shared" si="3"/>
        <v>1</v>
      </c>
      <c r="Z686" s="17">
        <v>44400.0</v>
      </c>
      <c r="AG686" s="15"/>
      <c r="AH686" s="16"/>
      <c r="AM686" s="15"/>
      <c r="AN686" s="16"/>
    </row>
    <row r="687">
      <c r="A687" s="13" t="s">
        <v>1454</v>
      </c>
      <c r="B687" s="17">
        <v>43831.0</v>
      </c>
      <c r="C687" s="11" t="s">
        <v>52</v>
      </c>
      <c r="D687" s="11" t="s">
        <v>93</v>
      </c>
      <c r="E687" s="11" t="s">
        <v>39</v>
      </c>
      <c r="F687" s="11" t="s">
        <v>40</v>
      </c>
      <c r="G687" s="11" t="s">
        <v>45</v>
      </c>
      <c r="H687" s="11" t="s">
        <v>112</v>
      </c>
      <c r="I687" s="11" t="s">
        <v>112</v>
      </c>
      <c r="J687" s="11">
        <v>21.0</v>
      </c>
      <c r="K687" s="12">
        <v>44446.0</v>
      </c>
      <c r="L687" s="11"/>
      <c r="M687" s="11">
        <v>686248.0</v>
      </c>
      <c r="N687" s="11" t="s">
        <v>1455</v>
      </c>
      <c r="O687" s="13"/>
      <c r="P687" s="11">
        <v>0.0</v>
      </c>
      <c r="Q687" s="14">
        <v>0.0</v>
      </c>
      <c r="R687" s="11">
        <v>1.0</v>
      </c>
      <c r="S687">
        <f t="shared" si="1"/>
        <v>2020</v>
      </c>
      <c r="T687">
        <f t="shared" si="2"/>
        <v>1</v>
      </c>
      <c r="U687">
        <f t="shared" si="3"/>
        <v>1</v>
      </c>
      <c r="AG687" s="15"/>
      <c r="AH687" s="16"/>
      <c r="AM687" s="15"/>
      <c r="AN687" s="16"/>
    </row>
    <row r="688">
      <c r="A688" s="13" t="s">
        <v>1456</v>
      </c>
      <c r="B688" s="17">
        <v>43831.0</v>
      </c>
      <c r="C688" s="11" t="s">
        <v>358</v>
      </c>
      <c r="D688" s="11" t="s">
        <v>213</v>
      </c>
      <c r="E688" s="11" t="s">
        <v>39</v>
      </c>
      <c r="F688" s="11" t="s">
        <v>64</v>
      </c>
      <c r="G688" s="11" t="s">
        <v>45</v>
      </c>
      <c r="H688" s="11" t="s">
        <v>240</v>
      </c>
      <c r="I688" s="11" t="s">
        <v>559</v>
      </c>
      <c r="J688" s="11">
        <v>15.0</v>
      </c>
      <c r="K688" s="12">
        <v>45869.0</v>
      </c>
      <c r="L688" s="11"/>
      <c r="M688" s="11">
        <v>834408.0</v>
      </c>
      <c r="N688" s="11" t="s">
        <v>1457</v>
      </c>
      <c r="O688" s="13"/>
      <c r="P688" s="11">
        <v>0.0</v>
      </c>
      <c r="Q688" s="14">
        <v>0.0</v>
      </c>
      <c r="R688" s="11">
        <v>1.0</v>
      </c>
      <c r="S688">
        <f t="shared" si="1"/>
        <v>2020</v>
      </c>
      <c r="T688">
        <f t="shared" si="2"/>
        <v>1</v>
      </c>
      <c r="U688">
        <f t="shared" si="3"/>
        <v>1</v>
      </c>
      <c r="Z688" s="17"/>
      <c r="AG688" s="15"/>
      <c r="AH688" s="16"/>
      <c r="AM688" s="15"/>
      <c r="AN688" s="16"/>
    </row>
    <row r="689">
      <c r="A689" s="13" t="s">
        <v>1458</v>
      </c>
      <c r="B689" s="17">
        <v>43831.0</v>
      </c>
      <c r="C689" s="11" t="s">
        <v>346</v>
      </c>
      <c r="D689" s="11" t="s">
        <v>77</v>
      </c>
      <c r="E689" s="11" t="s">
        <v>39</v>
      </c>
      <c r="F689" s="11" t="s">
        <v>40</v>
      </c>
      <c r="G689" s="11" t="s">
        <v>45</v>
      </c>
      <c r="H689" s="11" t="s">
        <v>46</v>
      </c>
      <c r="I689" s="11" t="s">
        <v>1459</v>
      </c>
      <c r="J689" s="11">
        <v>25.0</v>
      </c>
      <c r="K689" s="12">
        <v>44323.0</v>
      </c>
      <c r="L689" s="11"/>
      <c r="M689" s="11">
        <v>677161.0</v>
      </c>
      <c r="N689" s="11">
        <v>20349.0</v>
      </c>
      <c r="O689" s="13"/>
      <c r="P689" s="11">
        <v>0.0</v>
      </c>
      <c r="Q689" s="14">
        <v>0.0</v>
      </c>
      <c r="R689" s="11">
        <v>1.0</v>
      </c>
      <c r="S689">
        <f t="shared" si="1"/>
        <v>2020</v>
      </c>
      <c r="T689">
        <f t="shared" si="2"/>
        <v>1</v>
      </c>
      <c r="U689">
        <f t="shared" si="3"/>
        <v>1</v>
      </c>
      <c r="Z689" s="17">
        <v>44323.0</v>
      </c>
      <c r="AG689" s="15"/>
      <c r="AH689" s="16"/>
      <c r="AM689" s="15"/>
      <c r="AN689" s="16"/>
    </row>
    <row r="690">
      <c r="A690" s="13" t="s">
        <v>1460</v>
      </c>
      <c r="B690" s="17">
        <v>43831.0</v>
      </c>
      <c r="C690" s="11" t="s">
        <v>346</v>
      </c>
      <c r="D690" s="11" t="s">
        <v>213</v>
      </c>
      <c r="E690" s="11" t="s">
        <v>39</v>
      </c>
      <c r="F690" s="11" t="s">
        <v>40</v>
      </c>
      <c r="G690" s="11" t="s">
        <v>45</v>
      </c>
      <c r="H690" s="11" t="s">
        <v>84</v>
      </c>
      <c r="I690" s="11" t="s">
        <v>1461</v>
      </c>
      <c r="J690" s="11">
        <v>18.0</v>
      </c>
      <c r="K690" s="12">
        <v>45028.0</v>
      </c>
      <c r="L690" s="11"/>
      <c r="M690" s="11">
        <v>802409.0</v>
      </c>
      <c r="N690" s="11" t="s">
        <v>1462</v>
      </c>
      <c r="O690" s="13"/>
      <c r="P690" s="11">
        <v>0.0</v>
      </c>
      <c r="Q690" s="14">
        <v>0.0</v>
      </c>
      <c r="R690" s="11">
        <v>1.0</v>
      </c>
      <c r="S690">
        <f t="shared" si="1"/>
        <v>2020</v>
      </c>
      <c r="T690">
        <f t="shared" si="2"/>
        <v>1</v>
      </c>
      <c r="U690">
        <f t="shared" si="3"/>
        <v>1</v>
      </c>
      <c r="Z690" s="17">
        <v>45028.0</v>
      </c>
      <c r="AG690" s="15"/>
      <c r="AH690" s="16"/>
      <c r="AM690" s="15"/>
      <c r="AN690" s="16"/>
    </row>
    <row r="691">
      <c r="A691" s="13" t="s">
        <v>1463</v>
      </c>
      <c r="B691" s="17">
        <v>43831.0</v>
      </c>
      <c r="C691" s="11" t="s">
        <v>346</v>
      </c>
      <c r="D691" s="11" t="s">
        <v>221</v>
      </c>
      <c r="E691" s="11" t="s">
        <v>39</v>
      </c>
      <c r="F691" s="11" t="s">
        <v>40</v>
      </c>
      <c r="G691" s="11" t="s">
        <v>1002</v>
      </c>
      <c r="H691" s="11"/>
      <c r="I691" s="11"/>
      <c r="J691" s="11">
        <v>20.0</v>
      </c>
      <c r="K691" s="12">
        <v>45062.0</v>
      </c>
      <c r="L691" s="11"/>
      <c r="M691" s="11">
        <v>677614.0</v>
      </c>
      <c r="N691" s="11" t="s">
        <v>1464</v>
      </c>
      <c r="O691" s="13"/>
      <c r="P691" s="11">
        <v>0.0</v>
      </c>
      <c r="Q691" s="14">
        <v>0.0</v>
      </c>
      <c r="R691" s="11">
        <v>1.0</v>
      </c>
      <c r="S691">
        <f t="shared" si="1"/>
        <v>2020</v>
      </c>
      <c r="T691">
        <f t="shared" si="2"/>
        <v>1</v>
      </c>
      <c r="U691">
        <f t="shared" si="3"/>
        <v>1</v>
      </c>
      <c r="Z691" s="17">
        <v>45062.0</v>
      </c>
      <c r="AG691" s="15"/>
      <c r="AH691" s="16"/>
      <c r="AM691" s="15"/>
      <c r="AN691" s="16"/>
    </row>
    <row r="692">
      <c r="A692" s="13" t="s">
        <v>1465</v>
      </c>
      <c r="B692" s="17">
        <v>43831.0</v>
      </c>
      <c r="C692" s="11" t="s">
        <v>346</v>
      </c>
      <c r="D692" s="11" t="s">
        <v>213</v>
      </c>
      <c r="E692" s="11" t="s">
        <v>39</v>
      </c>
      <c r="F692" s="11" t="s">
        <v>64</v>
      </c>
      <c r="G692" s="11" t="s">
        <v>45</v>
      </c>
      <c r="H692" s="11" t="s">
        <v>159</v>
      </c>
      <c r="I692" s="11"/>
      <c r="J692" s="11">
        <v>14.0</v>
      </c>
      <c r="K692" s="12"/>
      <c r="L692" s="11"/>
      <c r="M692" s="11">
        <v>813989.0</v>
      </c>
      <c r="N692" s="11"/>
      <c r="O692" s="13"/>
      <c r="P692" s="11">
        <v>0.0</v>
      </c>
      <c r="Q692" s="14">
        <v>0.0</v>
      </c>
      <c r="R692" s="11">
        <v>1.0</v>
      </c>
      <c r="S692">
        <f t="shared" si="1"/>
        <v>2020</v>
      </c>
      <c r="T692">
        <f t="shared" si="2"/>
        <v>1</v>
      </c>
      <c r="U692">
        <f t="shared" si="3"/>
        <v>1</v>
      </c>
      <c r="Z692" s="17"/>
      <c r="AG692" s="15"/>
      <c r="AH692" s="16"/>
      <c r="AM692" s="15"/>
      <c r="AN692" s="16"/>
    </row>
    <row r="693">
      <c r="A693" s="13" t="s">
        <v>1466</v>
      </c>
      <c r="B693" s="10">
        <v>43831.0</v>
      </c>
      <c r="C693" s="11" t="s">
        <v>126</v>
      </c>
      <c r="D693" s="11" t="s">
        <v>93</v>
      </c>
      <c r="E693" s="11" t="s">
        <v>39</v>
      </c>
      <c r="F693" s="11" t="s">
        <v>40</v>
      </c>
      <c r="G693" s="11" t="s">
        <v>45</v>
      </c>
      <c r="H693" s="11" t="s">
        <v>67</v>
      </c>
      <c r="I693" s="11" t="s">
        <v>114</v>
      </c>
      <c r="J693" s="11">
        <v>20.0</v>
      </c>
      <c r="K693" s="12">
        <v>44424.0</v>
      </c>
      <c r="L693" s="11"/>
      <c r="M693" s="11">
        <v>669419.0</v>
      </c>
      <c r="N693" s="11" t="s">
        <v>1467</v>
      </c>
      <c r="O693" s="13"/>
      <c r="P693" s="11">
        <v>0.0</v>
      </c>
      <c r="Q693" s="14">
        <v>0.0</v>
      </c>
      <c r="R693" s="11">
        <v>1.0</v>
      </c>
      <c r="S693">
        <f t="shared" si="1"/>
        <v>2020</v>
      </c>
      <c r="T693">
        <f t="shared" si="2"/>
        <v>1</v>
      </c>
      <c r="U693">
        <f t="shared" si="3"/>
        <v>1</v>
      </c>
      <c r="Z693" s="17"/>
      <c r="AG693" s="15"/>
      <c r="AH693" s="16"/>
      <c r="AM693" s="15"/>
      <c r="AN693" s="16"/>
    </row>
    <row r="694">
      <c r="A694" s="13" t="s">
        <v>977</v>
      </c>
      <c r="B694" s="10">
        <v>43831.0</v>
      </c>
      <c r="C694" s="11" t="s">
        <v>55</v>
      </c>
      <c r="D694" s="11" t="s">
        <v>93</v>
      </c>
      <c r="E694" s="11" t="s">
        <v>39</v>
      </c>
      <c r="F694" s="11" t="s">
        <v>40</v>
      </c>
      <c r="G694" s="11" t="s">
        <v>45</v>
      </c>
      <c r="H694" s="11" t="s">
        <v>163</v>
      </c>
      <c r="I694" s="11" t="s">
        <v>163</v>
      </c>
      <c r="J694" s="11">
        <v>19.0</v>
      </c>
      <c r="K694" s="12">
        <v>45084.0</v>
      </c>
      <c r="L694" s="11"/>
      <c r="M694" s="11">
        <v>682999.0</v>
      </c>
      <c r="N694" s="11" t="s">
        <v>978</v>
      </c>
      <c r="O694" s="13"/>
      <c r="P694" s="11">
        <v>0.0</v>
      </c>
      <c r="Q694" s="14">
        <v>0.0</v>
      </c>
      <c r="R694" s="11">
        <v>1.0</v>
      </c>
      <c r="S694">
        <f t="shared" si="1"/>
        <v>2020</v>
      </c>
      <c r="T694">
        <f t="shared" si="2"/>
        <v>1</v>
      </c>
      <c r="U694">
        <f t="shared" si="3"/>
        <v>1</v>
      </c>
      <c r="Z694" s="17">
        <v>45084.0</v>
      </c>
      <c r="AG694" s="15"/>
      <c r="AH694" s="16"/>
      <c r="AM694" s="15"/>
      <c r="AN694" s="16"/>
    </row>
    <row r="695">
      <c r="A695" s="13" t="s">
        <v>1468</v>
      </c>
      <c r="B695" s="17">
        <v>43831.0</v>
      </c>
      <c r="C695" s="11" t="s">
        <v>103</v>
      </c>
      <c r="D695" s="11" t="s">
        <v>213</v>
      </c>
      <c r="E695" s="11" t="s">
        <v>270</v>
      </c>
      <c r="F695" s="11" t="s">
        <v>40</v>
      </c>
      <c r="G695" s="11" t="s">
        <v>225</v>
      </c>
      <c r="H695" s="11"/>
      <c r="I695" s="11"/>
      <c r="J695" s="11">
        <v>19.0</v>
      </c>
      <c r="K695" s="12">
        <v>44779.0</v>
      </c>
      <c r="L695" s="11"/>
      <c r="M695" s="11">
        <v>687567.0</v>
      </c>
      <c r="N695" s="11" t="s">
        <v>1469</v>
      </c>
      <c r="O695" s="13"/>
      <c r="P695" s="11">
        <v>0.0</v>
      </c>
      <c r="Q695" s="14">
        <v>0.0</v>
      </c>
      <c r="R695" s="11">
        <v>1.0</v>
      </c>
      <c r="S695">
        <f t="shared" si="1"/>
        <v>2020</v>
      </c>
      <c r="T695">
        <f t="shared" si="2"/>
        <v>1</v>
      </c>
      <c r="U695">
        <f t="shared" si="3"/>
        <v>1</v>
      </c>
      <c r="Z695" s="17">
        <v>44779.0</v>
      </c>
      <c r="AG695" s="15"/>
      <c r="AH695" s="16"/>
      <c r="AM695" s="15"/>
      <c r="AN695" s="16"/>
    </row>
    <row r="696">
      <c r="A696" s="13" t="s">
        <v>1470</v>
      </c>
      <c r="B696" s="17">
        <v>43831.0</v>
      </c>
      <c r="C696" s="11" t="s">
        <v>274</v>
      </c>
      <c r="D696" s="11" t="s">
        <v>88</v>
      </c>
      <c r="E696" s="11" t="s">
        <v>39</v>
      </c>
      <c r="F696" s="11" t="s">
        <v>40</v>
      </c>
      <c r="G696" s="11" t="s">
        <v>45</v>
      </c>
      <c r="H696" s="11" t="s">
        <v>240</v>
      </c>
      <c r="I696" s="11" t="s">
        <v>240</v>
      </c>
      <c r="J696" s="11">
        <v>23.0</v>
      </c>
      <c r="K696" s="12">
        <v>44675.0</v>
      </c>
      <c r="L696" s="11"/>
      <c r="M696" s="11">
        <v>663687.0</v>
      </c>
      <c r="N696" s="11">
        <v>21520.0</v>
      </c>
      <c r="O696" s="13"/>
      <c r="P696" s="11">
        <v>0.0</v>
      </c>
      <c r="Q696" s="14">
        <v>0.0</v>
      </c>
      <c r="R696" s="11">
        <v>1.0</v>
      </c>
      <c r="S696">
        <f t="shared" si="1"/>
        <v>2020</v>
      </c>
      <c r="T696">
        <f t="shared" si="2"/>
        <v>1</v>
      </c>
      <c r="U696">
        <f t="shared" si="3"/>
        <v>1</v>
      </c>
      <c r="Z696" s="17">
        <v>44675.0</v>
      </c>
      <c r="AG696" s="15"/>
      <c r="AH696" s="16"/>
      <c r="AM696" s="15"/>
      <c r="AN696" s="16"/>
    </row>
    <row r="697">
      <c r="A697" s="13" t="s">
        <v>1471</v>
      </c>
      <c r="B697" s="17">
        <v>43831.0</v>
      </c>
      <c r="C697" s="11" t="s">
        <v>150</v>
      </c>
      <c r="D697" s="11" t="s">
        <v>221</v>
      </c>
      <c r="E697" s="11" t="s">
        <v>39</v>
      </c>
      <c r="F697" s="11" t="s">
        <v>40</v>
      </c>
      <c r="G697" s="11" t="s">
        <v>41</v>
      </c>
      <c r="H697" s="11"/>
      <c r="I697" s="37"/>
      <c r="J697" s="11">
        <v>20.0</v>
      </c>
      <c r="K697" s="12">
        <v>44740.0</v>
      </c>
      <c r="L697" s="11"/>
      <c r="M697" s="11">
        <v>680882.0</v>
      </c>
      <c r="N697" s="11" t="s">
        <v>1472</v>
      </c>
      <c r="O697" s="13"/>
      <c r="P697" s="11">
        <v>0.0</v>
      </c>
      <c r="Q697" s="14">
        <v>0.0</v>
      </c>
      <c r="R697" s="11">
        <v>1.0</v>
      </c>
      <c r="S697">
        <f t="shared" si="1"/>
        <v>2020</v>
      </c>
      <c r="T697">
        <f t="shared" si="2"/>
        <v>1</v>
      </c>
      <c r="U697">
        <f t="shared" si="3"/>
        <v>1</v>
      </c>
      <c r="Z697" s="17">
        <v>44740.0</v>
      </c>
      <c r="AG697" s="15"/>
      <c r="AH697" s="16"/>
      <c r="AM697" s="15"/>
      <c r="AN697" s="16"/>
    </row>
    <row r="698">
      <c r="A698" s="13" t="s">
        <v>1473</v>
      </c>
      <c r="B698" s="17">
        <v>43831.0</v>
      </c>
      <c r="C698" s="11" t="s">
        <v>175</v>
      </c>
      <c r="D698" s="11" t="s">
        <v>93</v>
      </c>
      <c r="E698" s="11" t="s">
        <v>39</v>
      </c>
      <c r="F698" s="11" t="s">
        <v>40</v>
      </c>
      <c r="G698" s="11" t="s">
        <v>45</v>
      </c>
      <c r="H698" s="11" t="s">
        <v>236</v>
      </c>
      <c r="I698" s="37" t="s">
        <v>320</v>
      </c>
      <c r="J698" s="11">
        <v>20.0</v>
      </c>
      <c r="K698" s="12">
        <v>44421.0</v>
      </c>
      <c r="L698" s="11"/>
      <c r="M698" s="11">
        <v>686701.0</v>
      </c>
      <c r="N698" s="11" t="s">
        <v>1474</v>
      </c>
      <c r="O698" s="13"/>
      <c r="P698" s="11">
        <v>0.0</v>
      </c>
      <c r="Q698" s="14">
        <v>0.0</v>
      </c>
      <c r="R698" s="11">
        <v>1.0</v>
      </c>
      <c r="S698">
        <f t="shared" si="1"/>
        <v>2020</v>
      </c>
      <c r="T698">
        <f t="shared" si="2"/>
        <v>1</v>
      </c>
      <c r="U698">
        <f t="shared" si="3"/>
        <v>1</v>
      </c>
      <c r="AG698" s="15"/>
      <c r="AH698" s="16"/>
      <c r="AM698" s="15"/>
      <c r="AN698" s="16"/>
    </row>
    <row r="699">
      <c r="A699" s="13" t="s">
        <v>1307</v>
      </c>
      <c r="B699" s="17">
        <v>43831.0</v>
      </c>
      <c r="C699" s="11" t="s">
        <v>62</v>
      </c>
      <c r="D699" s="11" t="s">
        <v>88</v>
      </c>
      <c r="E699" s="11" t="s">
        <v>39</v>
      </c>
      <c r="F699" s="11" t="s">
        <v>64</v>
      </c>
      <c r="G699" s="11" t="s">
        <v>45</v>
      </c>
      <c r="H699" s="11" t="s">
        <v>67</v>
      </c>
      <c r="I699" s="11" t="s">
        <v>925</v>
      </c>
      <c r="J699" s="11">
        <v>24.0</v>
      </c>
      <c r="K699" s="12">
        <v>44782.0</v>
      </c>
      <c r="L699" s="11"/>
      <c r="M699" s="11">
        <v>656451.0</v>
      </c>
      <c r="N699" s="11" t="s">
        <v>1308</v>
      </c>
      <c r="O699" s="13"/>
      <c r="P699" s="11">
        <v>0.0</v>
      </c>
      <c r="Q699" s="14">
        <v>0.0</v>
      </c>
      <c r="R699" s="11">
        <v>1.0</v>
      </c>
      <c r="S699">
        <f t="shared" si="1"/>
        <v>2020</v>
      </c>
      <c r="T699">
        <f t="shared" si="2"/>
        <v>1</v>
      </c>
      <c r="U699">
        <f t="shared" si="3"/>
        <v>1</v>
      </c>
      <c r="Z699" s="17">
        <v>44721.0</v>
      </c>
      <c r="AG699" s="15"/>
      <c r="AH699" s="16"/>
      <c r="AM699" s="15"/>
      <c r="AN699" s="16"/>
    </row>
    <row r="700">
      <c r="A700" s="13" t="s">
        <v>1475</v>
      </c>
      <c r="B700" s="17">
        <v>43831.0</v>
      </c>
      <c r="C700" s="11" t="s">
        <v>62</v>
      </c>
      <c r="D700" s="11" t="s">
        <v>88</v>
      </c>
      <c r="E700" s="11" t="s">
        <v>39</v>
      </c>
      <c r="F700" s="11" t="s">
        <v>40</v>
      </c>
      <c r="G700" s="11" t="s">
        <v>45</v>
      </c>
      <c r="H700" s="11" t="s">
        <v>317</v>
      </c>
      <c r="I700" s="11" t="s">
        <v>467</v>
      </c>
      <c r="J700" s="11">
        <v>22.0</v>
      </c>
      <c r="K700" s="12">
        <v>44660.0</v>
      </c>
      <c r="L700" s="11"/>
      <c r="M700" s="11">
        <v>673858.0</v>
      </c>
      <c r="N700" s="11">
        <v>23095.0</v>
      </c>
      <c r="O700" s="13"/>
      <c r="P700" s="11">
        <v>0.0</v>
      </c>
      <c r="Q700" s="14">
        <v>0.0</v>
      </c>
      <c r="R700" s="11">
        <v>1.0</v>
      </c>
      <c r="S700">
        <f t="shared" si="1"/>
        <v>2020</v>
      </c>
      <c r="T700">
        <f t="shared" si="2"/>
        <v>1</v>
      </c>
      <c r="U700">
        <f t="shared" si="3"/>
        <v>1</v>
      </c>
      <c r="Z700" s="17">
        <v>44660.0</v>
      </c>
      <c r="AG700" s="15"/>
      <c r="AH700" s="16"/>
      <c r="AM700" s="15"/>
      <c r="AN700" s="16"/>
    </row>
    <row r="701">
      <c r="A701" s="13" t="s">
        <v>1476</v>
      </c>
      <c r="B701" s="10">
        <v>43800.0</v>
      </c>
      <c r="C701" s="11" t="s">
        <v>103</v>
      </c>
      <c r="D701" s="11" t="s">
        <v>93</v>
      </c>
      <c r="E701" s="11" t="s">
        <v>104</v>
      </c>
      <c r="F701" s="11" t="s">
        <v>40</v>
      </c>
      <c r="G701" s="11" t="s">
        <v>45</v>
      </c>
      <c r="H701" s="11" t="s">
        <v>276</v>
      </c>
      <c r="I701" s="11" t="s">
        <v>276</v>
      </c>
      <c r="J701" s="11">
        <v>19.0</v>
      </c>
      <c r="K701" s="12">
        <v>44425.0</v>
      </c>
      <c r="L701" s="11"/>
      <c r="M701" s="11">
        <v>680868.0</v>
      </c>
      <c r="N701" s="11" t="s">
        <v>1477</v>
      </c>
      <c r="O701" s="13"/>
      <c r="P701" s="11">
        <v>0.0</v>
      </c>
      <c r="Q701" s="14">
        <v>0.0</v>
      </c>
      <c r="R701" s="11">
        <v>1.0</v>
      </c>
      <c r="S701">
        <f t="shared" si="1"/>
        <v>2019</v>
      </c>
      <c r="T701">
        <f t="shared" si="2"/>
        <v>12</v>
      </c>
      <c r="U701">
        <f t="shared" si="3"/>
        <v>1</v>
      </c>
      <c r="AG701" s="15"/>
      <c r="AH701" s="16"/>
      <c r="AM701" s="15"/>
      <c r="AN701" s="16"/>
    </row>
    <row r="702">
      <c r="A702" s="13" t="s">
        <v>1478</v>
      </c>
      <c r="B702" s="17">
        <v>43800.0</v>
      </c>
      <c r="C702" s="11" t="s">
        <v>150</v>
      </c>
      <c r="D702" s="11" t="s">
        <v>93</v>
      </c>
      <c r="E702" s="11" t="s">
        <v>39</v>
      </c>
      <c r="F702" s="11" t="s">
        <v>40</v>
      </c>
      <c r="G702" s="11" t="s">
        <v>45</v>
      </c>
      <c r="H702" s="11" t="s">
        <v>84</v>
      </c>
      <c r="I702" s="11" t="s">
        <v>730</v>
      </c>
      <c r="J702" s="11">
        <v>20.0</v>
      </c>
      <c r="K702" s="12">
        <v>44660.0</v>
      </c>
      <c r="L702" s="11"/>
      <c r="M702" s="11">
        <v>685807.0</v>
      </c>
      <c r="N702" s="11" t="s">
        <v>1479</v>
      </c>
      <c r="O702" s="13"/>
      <c r="P702" s="11">
        <v>0.0</v>
      </c>
      <c r="Q702" s="14">
        <v>0.0</v>
      </c>
      <c r="R702" s="11">
        <v>1.0</v>
      </c>
      <c r="S702">
        <f t="shared" si="1"/>
        <v>2019</v>
      </c>
      <c r="T702">
        <f t="shared" si="2"/>
        <v>12</v>
      </c>
      <c r="U702">
        <f t="shared" si="3"/>
        <v>1</v>
      </c>
      <c r="AG702" s="15"/>
      <c r="AH702" s="16"/>
      <c r="AM702" s="15"/>
      <c r="AN702" s="16"/>
    </row>
    <row r="703">
      <c r="A703" s="13" t="s">
        <v>1480</v>
      </c>
      <c r="B703" s="10">
        <v>43776.0</v>
      </c>
      <c r="C703" s="11" t="s">
        <v>143</v>
      </c>
      <c r="D703" s="11" t="s">
        <v>213</v>
      </c>
      <c r="E703" s="11" t="s">
        <v>39</v>
      </c>
      <c r="F703" s="11" t="s">
        <v>40</v>
      </c>
      <c r="G703" s="11" t="s">
        <v>45</v>
      </c>
      <c r="H703" s="11" t="s">
        <v>729</v>
      </c>
      <c r="I703" s="11" t="s">
        <v>999</v>
      </c>
      <c r="J703" s="11">
        <v>19.0</v>
      </c>
      <c r="K703" s="12">
        <v>44784.0</v>
      </c>
      <c r="L703" s="11"/>
      <c r="M703" s="11">
        <v>687225.0</v>
      </c>
      <c r="N703" s="11" t="s">
        <v>1481</v>
      </c>
      <c r="O703" s="13" t="s">
        <v>761</v>
      </c>
      <c r="P703" s="11">
        <v>0.0</v>
      </c>
      <c r="Q703" s="14">
        <v>0.0</v>
      </c>
      <c r="R703" s="11">
        <v>1.0</v>
      </c>
      <c r="S703">
        <f t="shared" si="1"/>
        <v>2019</v>
      </c>
      <c r="T703">
        <f t="shared" si="2"/>
        <v>11</v>
      </c>
      <c r="U703">
        <f t="shared" si="3"/>
        <v>7</v>
      </c>
      <c r="Z703" s="17">
        <v>44784.0</v>
      </c>
      <c r="AG703" s="15"/>
      <c r="AH703" s="16"/>
      <c r="AM703" s="15"/>
      <c r="AN703" s="16"/>
    </row>
    <row r="704">
      <c r="A704" s="13" t="s">
        <v>1482</v>
      </c>
      <c r="B704" s="10">
        <v>43776.0</v>
      </c>
      <c r="C704" s="11" t="s">
        <v>55</v>
      </c>
      <c r="D704" s="11" t="s">
        <v>221</v>
      </c>
      <c r="E704" s="11" t="s">
        <v>39</v>
      </c>
      <c r="F704" s="11" t="s">
        <v>40</v>
      </c>
      <c r="G704" s="11" t="s">
        <v>41</v>
      </c>
      <c r="H704" s="11"/>
      <c r="I704" s="11"/>
      <c r="J704" s="11">
        <v>22.0</v>
      </c>
      <c r="K704" s="12"/>
      <c r="L704" s="11"/>
      <c r="M704" s="11">
        <v>667319.0</v>
      </c>
      <c r="N704" s="11" t="s">
        <v>1483</v>
      </c>
      <c r="O704" s="13"/>
      <c r="P704" s="11">
        <v>0.0</v>
      </c>
      <c r="Q704" s="14">
        <v>0.0</v>
      </c>
      <c r="R704" s="11">
        <v>0.0</v>
      </c>
      <c r="S704">
        <f t="shared" si="1"/>
        <v>2019</v>
      </c>
      <c r="T704">
        <f t="shared" si="2"/>
        <v>11</v>
      </c>
      <c r="U704">
        <f t="shared" si="3"/>
        <v>7</v>
      </c>
      <c r="AG704" s="15"/>
      <c r="AH704" s="16"/>
      <c r="AM704" s="15"/>
      <c r="AN704" s="16"/>
    </row>
    <row r="705">
      <c r="A705" s="13" t="s">
        <v>1484</v>
      </c>
      <c r="B705" s="10">
        <v>43768.0</v>
      </c>
      <c r="C705" s="11" t="s">
        <v>108</v>
      </c>
      <c r="D705" s="11" t="s">
        <v>38</v>
      </c>
      <c r="E705" s="11" t="s">
        <v>118</v>
      </c>
      <c r="F705" s="11" t="s">
        <v>40</v>
      </c>
      <c r="G705" s="11" t="s">
        <v>45</v>
      </c>
      <c r="H705" s="11" t="s">
        <v>67</v>
      </c>
      <c r="I705" s="11"/>
      <c r="J705" s="11">
        <v>29.0</v>
      </c>
      <c r="K705" s="12">
        <v>44035.0</v>
      </c>
      <c r="L705" s="11">
        <f t="shared" ref="L705:L707" si="71">ROUND(((K705-B705)/365)*12,0)</f>
        <v>9</v>
      </c>
      <c r="M705" s="11">
        <v>543305.0</v>
      </c>
      <c r="N705" s="11">
        <v>5297.0</v>
      </c>
      <c r="O705" s="13" t="s">
        <v>69</v>
      </c>
      <c r="P705" s="11">
        <v>0.0</v>
      </c>
      <c r="Q705" s="14">
        <v>0.0</v>
      </c>
      <c r="R705" s="11">
        <v>1.0</v>
      </c>
      <c r="S705">
        <f t="shared" si="1"/>
        <v>2019</v>
      </c>
      <c r="T705">
        <f t="shared" si="2"/>
        <v>10</v>
      </c>
      <c r="U705">
        <f t="shared" si="3"/>
        <v>30</v>
      </c>
      <c r="AG705" s="15"/>
      <c r="AH705" s="16"/>
      <c r="AM705" s="15"/>
      <c r="AN705" s="16"/>
    </row>
    <row r="706">
      <c r="A706" s="13" t="s">
        <v>1485</v>
      </c>
      <c r="B706" s="10">
        <v>43767.0</v>
      </c>
      <c r="C706" s="11" t="s">
        <v>72</v>
      </c>
      <c r="D706" s="11" t="s">
        <v>77</v>
      </c>
      <c r="E706" s="11" t="s">
        <v>39</v>
      </c>
      <c r="F706" s="11" t="s">
        <v>40</v>
      </c>
      <c r="G706" s="11" t="s">
        <v>45</v>
      </c>
      <c r="H706" s="11" t="s">
        <v>84</v>
      </c>
      <c r="I706" s="11" t="s">
        <v>218</v>
      </c>
      <c r="J706" s="11">
        <v>23.0</v>
      </c>
      <c r="K706" s="12">
        <v>44324.0</v>
      </c>
      <c r="L706" s="11">
        <f t="shared" si="71"/>
        <v>18</v>
      </c>
      <c r="M706" s="11">
        <v>676710.0</v>
      </c>
      <c r="N706" s="11">
        <v>20531.0</v>
      </c>
      <c r="O706" s="13"/>
      <c r="P706" s="11">
        <v>0.0</v>
      </c>
      <c r="Q706" s="14">
        <v>0.0</v>
      </c>
      <c r="R706" s="11">
        <v>1.0</v>
      </c>
      <c r="S706">
        <f t="shared" si="1"/>
        <v>2019</v>
      </c>
      <c r="T706">
        <f t="shared" si="2"/>
        <v>10</v>
      </c>
      <c r="U706">
        <f t="shared" si="3"/>
        <v>29</v>
      </c>
      <c r="V706" s="17">
        <v>43922.0</v>
      </c>
      <c r="Z706" s="17">
        <v>44324.0</v>
      </c>
      <c r="AG706" s="15"/>
      <c r="AH706" s="16"/>
      <c r="AM706" s="15"/>
      <c r="AN706" s="16"/>
    </row>
    <row r="707">
      <c r="A707" s="13" t="s">
        <v>1486</v>
      </c>
      <c r="B707" s="10">
        <v>43767.0</v>
      </c>
      <c r="C707" s="11" t="s">
        <v>55</v>
      </c>
      <c r="D707" s="11" t="s">
        <v>221</v>
      </c>
      <c r="E707" s="11" t="s">
        <v>39</v>
      </c>
      <c r="F707" s="11" t="s">
        <v>40</v>
      </c>
      <c r="G707" s="11" t="s">
        <v>1487</v>
      </c>
      <c r="H707" s="11"/>
      <c r="I707" s="11"/>
      <c r="J707" s="11">
        <v>17.0</v>
      </c>
      <c r="K707" s="12">
        <v>44432.0</v>
      </c>
      <c r="L707" s="11">
        <f t="shared" si="71"/>
        <v>22</v>
      </c>
      <c r="M707" s="11">
        <v>683137.0</v>
      </c>
      <c r="N707" s="11" t="s">
        <v>1488</v>
      </c>
      <c r="O707" s="13"/>
      <c r="P707" s="11">
        <v>0.0</v>
      </c>
      <c r="Q707" s="14">
        <v>0.0</v>
      </c>
      <c r="R707" s="11">
        <v>0.0</v>
      </c>
      <c r="S707">
        <f t="shared" si="1"/>
        <v>2019</v>
      </c>
      <c r="T707">
        <f t="shared" si="2"/>
        <v>10</v>
      </c>
      <c r="U707">
        <f t="shared" si="3"/>
        <v>29</v>
      </c>
      <c r="AG707" s="15"/>
      <c r="AH707" s="16"/>
      <c r="AM707" s="15"/>
      <c r="AN707" s="16"/>
    </row>
    <row r="708">
      <c r="A708" s="13" t="s">
        <v>1489</v>
      </c>
      <c r="B708" s="10">
        <v>43760.0</v>
      </c>
      <c r="C708" s="11" t="s">
        <v>72</v>
      </c>
      <c r="D708" s="11" t="s">
        <v>38</v>
      </c>
      <c r="E708" s="11" t="s">
        <v>39</v>
      </c>
      <c r="F708" s="11" t="s">
        <v>40</v>
      </c>
      <c r="G708" s="11" t="s">
        <v>45</v>
      </c>
      <c r="H708" s="11" t="s">
        <v>67</v>
      </c>
      <c r="I708" s="11" t="s">
        <v>222</v>
      </c>
      <c r="J708" s="11">
        <v>34.0</v>
      </c>
      <c r="K708" s="12"/>
      <c r="L708" s="11"/>
      <c r="M708" s="11">
        <v>453214.0</v>
      </c>
      <c r="N708" s="11">
        <v>8185.0</v>
      </c>
      <c r="O708" s="13" t="s">
        <v>761</v>
      </c>
      <c r="P708" s="11">
        <v>0.0</v>
      </c>
      <c r="Q708" s="14">
        <v>0.0</v>
      </c>
      <c r="R708" s="11">
        <v>0.0</v>
      </c>
      <c r="S708">
        <f t="shared" si="1"/>
        <v>2019</v>
      </c>
      <c r="T708">
        <f t="shared" si="2"/>
        <v>10</v>
      </c>
      <c r="U708">
        <f t="shared" si="3"/>
        <v>22</v>
      </c>
      <c r="V708" s="17">
        <v>43885.0</v>
      </c>
      <c r="Z708" s="17">
        <v>44325.0</v>
      </c>
      <c r="AG708" s="15"/>
      <c r="AH708" s="16"/>
      <c r="AM708" s="15"/>
      <c r="AN708" s="16"/>
    </row>
    <row r="709">
      <c r="A709" s="19" t="s">
        <v>1490</v>
      </c>
      <c r="B709" s="25">
        <v>43741.0</v>
      </c>
      <c r="C709" s="21" t="s">
        <v>230</v>
      </c>
      <c r="D709" s="21" t="s">
        <v>38</v>
      </c>
      <c r="E709" s="21" t="s">
        <v>39</v>
      </c>
      <c r="F709" s="21" t="s">
        <v>40</v>
      </c>
      <c r="G709" s="21" t="s">
        <v>45</v>
      </c>
      <c r="H709" s="21" t="s">
        <v>73</v>
      </c>
      <c r="I709" s="21" t="s">
        <v>1491</v>
      </c>
      <c r="J709" s="21">
        <v>27.0</v>
      </c>
      <c r="K709" s="12">
        <v>44759.0</v>
      </c>
      <c r="L709" s="11">
        <f>ROUND(((K709-B709)/365)*12,0)</f>
        <v>33</v>
      </c>
      <c r="M709" s="21">
        <v>592712.0</v>
      </c>
      <c r="N709" s="21">
        <v>13483.0</v>
      </c>
      <c r="O709" s="19"/>
      <c r="P709" s="21">
        <v>0.0</v>
      </c>
      <c r="Q709" s="23">
        <v>0.0</v>
      </c>
      <c r="R709" s="21">
        <v>1.0</v>
      </c>
      <c r="S709" s="33">
        <f t="shared" si="1"/>
        <v>2019</v>
      </c>
      <c r="T709" s="33">
        <f t="shared" si="2"/>
        <v>10</v>
      </c>
      <c r="U709" s="33">
        <f t="shared" si="3"/>
        <v>3</v>
      </c>
      <c r="V709" s="40"/>
      <c r="W709" s="24"/>
      <c r="X709" s="24"/>
      <c r="Y709" s="24"/>
      <c r="Z709" s="34">
        <v>44259.0</v>
      </c>
      <c r="AA709" s="24"/>
      <c r="AB709" s="24"/>
      <c r="AC709" s="24"/>
      <c r="AD709" s="24"/>
      <c r="AE709" s="24"/>
      <c r="AF709" s="24"/>
      <c r="AG709" s="26"/>
      <c r="AH709" s="27"/>
      <c r="AI709" s="24"/>
      <c r="AJ709" s="24"/>
      <c r="AK709" s="24"/>
      <c r="AL709" s="24"/>
      <c r="AM709" s="26"/>
      <c r="AN709" s="27"/>
      <c r="AO709" s="24"/>
      <c r="AP709" s="24"/>
    </row>
    <row r="710">
      <c r="A710" s="13" t="s">
        <v>1492</v>
      </c>
      <c r="B710" s="10">
        <v>43739.0</v>
      </c>
      <c r="C710" s="11" t="s">
        <v>143</v>
      </c>
      <c r="D710" s="11" t="s">
        <v>213</v>
      </c>
      <c r="E710" s="11" t="s">
        <v>39</v>
      </c>
      <c r="F710" s="11" t="s">
        <v>64</v>
      </c>
      <c r="G710" s="11" t="s">
        <v>45</v>
      </c>
      <c r="H710" s="11" t="s">
        <v>56</v>
      </c>
      <c r="I710" s="11" t="s">
        <v>669</v>
      </c>
      <c r="J710" s="11">
        <v>15.0</v>
      </c>
      <c r="K710" s="12">
        <v>45528.0</v>
      </c>
      <c r="L710" s="11"/>
      <c r="M710" s="11">
        <v>696146.0</v>
      </c>
      <c r="N710" s="11" t="s">
        <v>1493</v>
      </c>
      <c r="O710" s="13"/>
      <c r="P710" s="11">
        <v>0.0</v>
      </c>
      <c r="Q710" s="14">
        <v>0.0</v>
      </c>
      <c r="R710" s="11">
        <v>1.0</v>
      </c>
      <c r="S710" s="33">
        <f t="shared" si="1"/>
        <v>2019</v>
      </c>
      <c r="T710" s="33">
        <f t="shared" si="2"/>
        <v>10</v>
      </c>
      <c r="U710" s="33">
        <f t="shared" si="3"/>
        <v>1</v>
      </c>
      <c r="Z710" s="17">
        <v>45528.0</v>
      </c>
      <c r="AG710" s="15"/>
      <c r="AH710" s="16"/>
      <c r="AM710" s="15"/>
      <c r="AN710" s="16"/>
    </row>
    <row r="711">
      <c r="A711" s="13" t="s">
        <v>1494</v>
      </c>
      <c r="B711" s="10">
        <v>43739.0</v>
      </c>
      <c r="C711" s="11" t="s">
        <v>111</v>
      </c>
      <c r="D711" s="11" t="s">
        <v>97</v>
      </c>
      <c r="E711" s="11" t="s">
        <v>39</v>
      </c>
      <c r="F711" s="11" t="s">
        <v>64</v>
      </c>
      <c r="G711" s="11" t="s">
        <v>45</v>
      </c>
      <c r="H711" s="11" t="s">
        <v>236</v>
      </c>
      <c r="I711" s="11" t="s">
        <v>746</v>
      </c>
      <c r="J711" s="11">
        <v>22.0</v>
      </c>
      <c r="K711" s="12">
        <v>44321.0</v>
      </c>
      <c r="L711" s="11">
        <f>ROUND(((K711-B711)/365)*12,0)</f>
        <v>19</v>
      </c>
      <c r="M711" s="11">
        <v>663684.0</v>
      </c>
      <c r="N711" s="11" t="s">
        <v>1495</v>
      </c>
      <c r="O711" s="13"/>
      <c r="P711" s="11">
        <v>0.0</v>
      </c>
      <c r="Q711" s="14">
        <v>0.0</v>
      </c>
      <c r="R711" s="11">
        <v>1.0</v>
      </c>
      <c r="S711" s="33">
        <f t="shared" si="1"/>
        <v>2019</v>
      </c>
      <c r="T711" s="33">
        <f t="shared" si="2"/>
        <v>10</v>
      </c>
      <c r="U711" s="33">
        <f t="shared" si="3"/>
        <v>1</v>
      </c>
      <c r="Z711" s="17">
        <v>44321.0</v>
      </c>
      <c r="AG711" s="15"/>
      <c r="AH711" s="16"/>
      <c r="AM711" s="15"/>
      <c r="AN711" s="16"/>
    </row>
    <row r="712">
      <c r="A712" s="13" t="s">
        <v>1496</v>
      </c>
      <c r="B712" s="10">
        <v>43734.0</v>
      </c>
      <c r="C712" s="11" t="s">
        <v>55</v>
      </c>
      <c r="D712" s="11" t="s">
        <v>221</v>
      </c>
      <c r="E712" s="11" t="s">
        <v>39</v>
      </c>
      <c r="F712" s="11" t="s">
        <v>64</v>
      </c>
      <c r="G712" s="11" t="s">
        <v>225</v>
      </c>
      <c r="H712" s="11"/>
      <c r="I712" s="11"/>
      <c r="J712" s="11">
        <v>21.0</v>
      </c>
      <c r="K712" s="12"/>
      <c r="L712" s="11"/>
      <c r="M712" s="11">
        <v>671185.0</v>
      </c>
      <c r="N712" s="11" t="s">
        <v>1497</v>
      </c>
      <c r="O712" s="13"/>
      <c r="P712" s="11">
        <v>0.0</v>
      </c>
      <c r="Q712" s="14">
        <v>0.0</v>
      </c>
      <c r="R712" s="11">
        <v>0.0</v>
      </c>
      <c r="S712" s="33">
        <f t="shared" si="1"/>
        <v>2019</v>
      </c>
      <c r="T712" s="33">
        <f t="shared" si="2"/>
        <v>9</v>
      </c>
      <c r="U712" s="33">
        <f t="shared" si="3"/>
        <v>26</v>
      </c>
      <c r="AG712" s="15"/>
      <c r="AH712" s="16"/>
      <c r="AM712" s="15"/>
      <c r="AN712" s="16"/>
    </row>
    <row r="713">
      <c r="A713" s="13" t="s">
        <v>1498</v>
      </c>
      <c r="B713" s="10">
        <v>43726.0</v>
      </c>
      <c r="C713" s="11" t="s">
        <v>235</v>
      </c>
      <c r="D713" s="11" t="s">
        <v>38</v>
      </c>
      <c r="E713" s="11" t="s">
        <v>39</v>
      </c>
      <c r="F713" s="11" t="s">
        <v>64</v>
      </c>
      <c r="G713" s="11" t="s">
        <v>45</v>
      </c>
      <c r="H713" s="11" t="s">
        <v>109</v>
      </c>
      <c r="I713" s="11" t="s">
        <v>1499</v>
      </c>
      <c r="J713" s="11">
        <v>27.0</v>
      </c>
      <c r="K713" s="12">
        <v>44289.0</v>
      </c>
      <c r="L713" s="11">
        <f t="shared" ref="L713:L716" si="72">ROUND(((K713-B713)/365)*12,0)</f>
        <v>19</v>
      </c>
      <c r="M713" s="11">
        <v>641835.0</v>
      </c>
      <c r="N713" s="11">
        <v>15042.0</v>
      </c>
      <c r="O713" s="13" t="s">
        <v>42</v>
      </c>
      <c r="P713" s="11">
        <v>0.0</v>
      </c>
      <c r="Q713" s="14">
        <v>0.0</v>
      </c>
      <c r="R713" s="11">
        <v>1.0</v>
      </c>
      <c r="S713">
        <f t="shared" si="1"/>
        <v>2019</v>
      </c>
      <c r="T713">
        <f t="shared" si="2"/>
        <v>9</v>
      </c>
      <c r="U713">
        <f t="shared" si="3"/>
        <v>18</v>
      </c>
      <c r="Z713" s="17">
        <v>44257.0</v>
      </c>
      <c r="AG713" s="15"/>
      <c r="AH713" s="16"/>
      <c r="AM713" s="15"/>
      <c r="AN713" s="16"/>
    </row>
    <row r="714">
      <c r="A714" s="13" t="s">
        <v>1500</v>
      </c>
      <c r="B714" s="10">
        <v>43712.0</v>
      </c>
      <c r="C714" s="11" t="s">
        <v>62</v>
      </c>
      <c r="D714" s="11" t="s">
        <v>38</v>
      </c>
      <c r="E714" s="11" t="s">
        <v>279</v>
      </c>
      <c r="F714" s="11" t="s">
        <v>40</v>
      </c>
      <c r="G714" s="11" t="s">
        <v>53</v>
      </c>
      <c r="H714" s="11"/>
      <c r="I714" s="11"/>
      <c r="J714" s="11">
        <v>32.0</v>
      </c>
      <c r="K714" s="12">
        <v>44035.0</v>
      </c>
      <c r="L714" s="11">
        <f t="shared" si="72"/>
        <v>11</v>
      </c>
      <c r="M714" s="11">
        <v>467055.0</v>
      </c>
      <c r="N714" s="11">
        <v>5409.0</v>
      </c>
      <c r="O714" s="13" t="s">
        <v>69</v>
      </c>
      <c r="P714" s="11">
        <v>0.0</v>
      </c>
      <c r="Q714" s="14">
        <v>0.0</v>
      </c>
      <c r="R714" s="11">
        <v>1.0</v>
      </c>
      <c r="S714">
        <f t="shared" si="1"/>
        <v>2019</v>
      </c>
      <c r="T714">
        <f t="shared" si="2"/>
        <v>9</v>
      </c>
      <c r="U714">
        <f t="shared" si="3"/>
        <v>4</v>
      </c>
      <c r="Z714" s="17"/>
      <c r="AG714" s="15"/>
      <c r="AH714" s="16"/>
      <c r="AM714" s="15"/>
      <c r="AN714" s="16"/>
    </row>
    <row r="715">
      <c r="A715" s="13" t="s">
        <v>1501</v>
      </c>
      <c r="B715" s="10">
        <v>43709.0</v>
      </c>
      <c r="C715" s="11" t="s">
        <v>346</v>
      </c>
      <c r="D715" s="11" t="s">
        <v>221</v>
      </c>
      <c r="E715" s="11" t="s">
        <v>39</v>
      </c>
      <c r="F715" s="11" t="s">
        <v>40</v>
      </c>
      <c r="G715" s="11" t="s">
        <v>45</v>
      </c>
      <c r="H715" s="11" t="s">
        <v>735</v>
      </c>
      <c r="I715" s="11"/>
      <c r="J715" s="11">
        <v>19.0</v>
      </c>
      <c r="K715" s="12">
        <v>44376.0</v>
      </c>
      <c r="L715" s="11">
        <f t="shared" si="72"/>
        <v>22</v>
      </c>
      <c r="M715" s="11">
        <v>681854.0</v>
      </c>
      <c r="N715" s="11" t="s">
        <v>1502</v>
      </c>
      <c r="O715" s="13"/>
      <c r="P715" s="11">
        <v>0.0</v>
      </c>
      <c r="Q715" s="14">
        <v>0.0</v>
      </c>
      <c r="R715" s="11">
        <v>1.0</v>
      </c>
      <c r="S715">
        <f t="shared" si="1"/>
        <v>2019</v>
      </c>
      <c r="T715">
        <f t="shared" si="2"/>
        <v>9</v>
      </c>
      <c r="U715">
        <f t="shared" si="3"/>
        <v>1</v>
      </c>
      <c r="Z715" s="17">
        <v>44376.0</v>
      </c>
      <c r="AG715" s="15"/>
      <c r="AH715" s="16"/>
      <c r="AM715" s="15"/>
      <c r="AN715" s="16"/>
    </row>
    <row r="716">
      <c r="A716" s="13" t="s">
        <v>571</v>
      </c>
      <c r="B716" s="10">
        <v>43709.0</v>
      </c>
      <c r="C716" s="11" t="s">
        <v>37</v>
      </c>
      <c r="D716" s="11" t="s">
        <v>213</v>
      </c>
      <c r="E716" s="11" t="s">
        <v>39</v>
      </c>
      <c r="F716" s="11" t="s">
        <v>64</v>
      </c>
      <c r="G716" s="11" t="s">
        <v>45</v>
      </c>
      <c r="H716" s="11" t="s">
        <v>112</v>
      </c>
      <c r="I716" s="11"/>
      <c r="J716" s="11">
        <v>17.0</v>
      </c>
      <c r="K716" s="12">
        <v>44321.0</v>
      </c>
      <c r="L716" s="11">
        <f t="shared" si="72"/>
        <v>20</v>
      </c>
      <c r="M716" s="11">
        <v>690978.0</v>
      </c>
      <c r="N716" s="11" t="s">
        <v>572</v>
      </c>
      <c r="O716" s="13"/>
      <c r="P716" s="11">
        <v>0.0</v>
      </c>
      <c r="Q716" s="14">
        <v>0.0</v>
      </c>
      <c r="R716" s="11">
        <v>1.0</v>
      </c>
      <c r="S716">
        <f t="shared" si="1"/>
        <v>2019</v>
      </c>
      <c r="T716">
        <f t="shared" si="2"/>
        <v>9</v>
      </c>
      <c r="U716">
        <f t="shared" si="3"/>
        <v>1</v>
      </c>
      <c r="Z716" s="17">
        <v>44321.0</v>
      </c>
      <c r="AG716" s="15"/>
      <c r="AH716" s="16"/>
      <c r="AM716" s="15"/>
      <c r="AN716" s="16"/>
    </row>
    <row r="717">
      <c r="A717" s="13" t="s">
        <v>1503</v>
      </c>
      <c r="B717" s="10">
        <v>43709.0</v>
      </c>
      <c r="C717" s="11" t="s">
        <v>55</v>
      </c>
      <c r="D717" s="11" t="s">
        <v>93</v>
      </c>
      <c r="E717" s="11" t="s">
        <v>39</v>
      </c>
      <c r="F717" s="11" t="s">
        <v>64</v>
      </c>
      <c r="G717" s="11" t="s">
        <v>45</v>
      </c>
      <c r="H717" s="11" t="s">
        <v>59</v>
      </c>
      <c r="I717" s="11" t="s">
        <v>1504</v>
      </c>
      <c r="J717" s="11">
        <v>21.0</v>
      </c>
      <c r="K717" s="12">
        <v>45389.0</v>
      </c>
      <c r="L717" s="11"/>
      <c r="M717" s="11">
        <v>688024.0</v>
      </c>
      <c r="N717" s="11" t="s">
        <v>1505</v>
      </c>
      <c r="O717" s="13"/>
      <c r="P717" s="11">
        <v>0.0</v>
      </c>
      <c r="Q717" s="14">
        <v>0.0</v>
      </c>
      <c r="R717" s="11">
        <v>1.0</v>
      </c>
      <c r="S717">
        <f t="shared" si="1"/>
        <v>2019</v>
      </c>
      <c r="T717">
        <f t="shared" si="2"/>
        <v>9</v>
      </c>
      <c r="U717">
        <f t="shared" si="3"/>
        <v>1</v>
      </c>
      <c r="Z717" s="17"/>
      <c r="AG717" s="15"/>
      <c r="AH717" s="16"/>
      <c r="AM717" s="15"/>
      <c r="AN717" s="16"/>
    </row>
    <row r="718">
      <c r="A718" s="13" t="s">
        <v>1506</v>
      </c>
      <c r="B718" s="10">
        <v>43709.0</v>
      </c>
      <c r="C718" s="11" t="s">
        <v>103</v>
      </c>
      <c r="D718" s="11" t="s">
        <v>93</v>
      </c>
      <c r="E718" s="11" t="s">
        <v>270</v>
      </c>
      <c r="F718" s="11" t="s">
        <v>40</v>
      </c>
      <c r="G718" s="11" t="s">
        <v>194</v>
      </c>
      <c r="H718" s="11"/>
      <c r="I718" s="11"/>
      <c r="J718" s="11">
        <v>20.0</v>
      </c>
      <c r="K718" s="12">
        <v>44320.0</v>
      </c>
      <c r="L718" s="11"/>
      <c r="M718" s="11">
        <v>666397.0</v>
      </c>
      <c r="N718" s="11">
        <v>27534.0</v>
      </c>
      <c r="O718" s="13" t="s">
        <v>761</v>
      </c>
      <c r="P718" s="11">
        <v>0.0</v>
      </c>
      <c r="Q718" s="14">
        <v>0.0</v>
      </c>
      <c r="R718" s="11">
        <v>1.0</v>
      </c>
      <c r="S718">
        <f t="shared" si="1"/>
        <v>2019</v>
      </c>
      <c r="T718">
        <f t="shared" si="2"/>
        <v>9</v>
      </c>
      <c r="U718">
        <f t="shared" si="3"/>
        <v>1</v>
      </c>
      <c r="AG718" s="15"/>
      <c r="AH718" s="16"/>
      <c r="AM718" s="15"/>
      <c r="AN718" s="16"/>
    </row>
    <row r="719">
      <c r="A719" s="13" t="s">
        <v>1507</v>
      </c>
      <c r="B719" s="10">
        <v>43709.0</v>
      </c>
      <c r="C719" s="11" t="s">
        <v>175</v>
      </c>
      <c r="D719" s="11" t="s">
        <v>77</v>
      </c>
      <c r="E719" s="11" t="s">
        <v>39</v>
      </c>
      <c r="F719" s="11" t="s">
        <v>40</v>
      </c>
      <c r="G719" s="11" t="s">
        <v>53</v>
      </c>
      <c r="H719" s="11"/>
      <c r="I719" s="11"/>
      <c r="J719" s="11">
        <v>22.0</v>
      </c>
      <c r="K719" s="12">
        <v>44320.0</v>
      </c>
      <c r="L719" s="11">
        <f>ROUND(((K719-B719)/365)*12,0)</f>
        <v>20</v>
      </c>
      <c r="M719" s="11">
        <v>658648.0</v>
      </c>
      <c r="N719" s="11">
        <v>18864.0</v>
      </c>
      <c r="O719" s="13"/>
      <c r="P719" s="11">
        <v>0.0</v>
      </c>
      <c r="Q719" s="14">
        <v>0.0</v>
      </c>
      <c r="R719" s="11">
        <v>1.0</v>
      </c>
      <c r="S719">
        <f t="shared" si="1"/>
        <v>2019</v>
      </c>
      <c r="T719">
        <f t="shared" si="2"/>
        <v>9</v>
      </c>
      <c r="U719">
        <f t="shared" si="3"/>
        <v>1</v>
      </c>
      <c r="Z719" s="17">
        <v>44320.0</v>
      </c>
      <c r="AG719" s="15"/>
      <c r="AH719" s="16"/>
      <c r="AM719" s="15"/>
      <c r="AN719" s="16"/>
    </row>
    <row r="720">
      <c r="A720" s="13" t="s">
        <v>1508</v>
      </c>
      <c r="B720" s="10">
        <v>43709.0</v>
      </c>
      <c r="C720" s="11" t="s">
        <v>175</v>
      </c>
      <c r="D720" s="11" t="s">
        <v>38</v>
      </c>
      <c r="E720" s="11" t="s">
        <v>39</v>
      </c>
      <c r="F720" s="11" t="s">
        <v>40</v>
      </c>
      <c r="G720" s="11" t="s">
        <v>45</v>
      </c>
      <c r="H720" s="11" t="s">
        <v>127</v>
      </c>
      <c r="I720" s="11" t="s">
        <v>127</v>
      </c>
      <c r="J720" s="11">
        <v>31.0</v>
      </c>
      <c r="K720" s="12"/>
      <c r="L720" s="11"/>
      <c r="M720" s="11">
        <v>476589.0</v>
      </c>
      <c r="N720" s="11">
        <v>9029.0</v>
      </c>
      <c r="O720" s="13"/>
      <c r="P720" s="11">
        <v>0.0</v>
      </c>
      <c r="Q720" s="14">
        <v>0.0</v>
      </c>
      <c r="R720" s="11">
        <v>0.0</v>
      </c>
      <c r="S720">
        <f t="shared" si="1"/>
        <v>2019</v>
      </c>
      <c r="T720">
        <f t="shared" si="2"/>
        <v>9</v>
      </c>
      <c r="U720">
        <f t="shared" si="3"/>
        <v>1</v>
      </c>
      <c r="Z720" s="17">
        <v>44255.0</v>
      </c>
      <c r="AG720" s="15"/>
      <c r="AH720" s="16"/>
      <c r="AM720" s="15"/>
      <c r="AN720" s="16"/>
    </row>
    <row r="721">
      <c r="A721" s="13" t="s">
        <v>1509</v>
      </c>
      <c r="B721" s="10">
        <v>43709.0</v>
      </c>
      <c r="C721" s="11" t="s">
        <v>175</v>
      </c>
      <c r="D721" s="11" t="s">
        <v>221</v>
      </c>
      <c r="E721" s="11" t="s">
        <v>39</v>
      </c>
      <c r="F721" s="11" t="s">
        <v>64</v>
      </c>
      <c r="G721" s="11" t="s">
        <v>45</v>
      </c>
      <c r="H721" s="11" t="s">
        <v>59</v>
      </c>
      <c r="I721" s="11" t="s">
        <v>1510</v>
      </c>
      <c r="J721" s="11">
        <v>23.0</v>
      </c>
      <c r="K721" s="12">
        <v>44320.0</v>
      </c>
      <c r="L721" s="11"/>
      <c r="M721" s="11">
        <v>676680.0</v>
      </c>
      <c r="N721" s="11">
        <v>23443.0</v>
      </c>
      <c r="O721" s="13"/>
      <c r="P721" s="11">
        <v>0.0</v>
      </c>
      <c r="Q721" s="14">
        <v>0.0</v>
      </c>
      <c r="R721" s="11">
        <v>1.0</v>
      </c>
      <c r="S721">
        <f t="shared" si="1"/>
        <v>2019</v>
      </c>
      <c r="T721">
        <f t="shared" si="2"/>
        <v>9</v>
      </c>
      <c r="U721">
        <f t="shared" si="3"/>
        <v>1</v>
      </c>
      <c r="Z721" s="17">
        <v>44320.0</v>
      </c>
      <c r="AG721" s="15"/>
      <c r="AH721" s="16"/>
      <c r="AM721" s="15"/>
      <c r="AN721" s="16"/>
    </row>
    <row r="722">
      <c r="A722" s="13" t="s">
        <v>1511</v>
      </c>
      <c r="B722" s="10">
        <v>43700.0</v>
      </c>
      <c r="C722" s="11" t="s">
        <v>167</v>
      </c>
      <c r="D722" s="11" t="s">
        <v>709</v>
      </c>
      <c r="E722" s="11" t="s">
        <v>39</v>
      </c>
      <c r="F722" s="11" t="s">
        <v>40</v>
      </c>
      <c r="G722" s="11" t="s">
        <v>45</v>
      </c>
      <c r="H722" s="11" t="s">
        <v>67</v>
      </c>
      <c r="I722" s="11"/>
      <c r="J722" s="11">
        <v>20.0</v>
      </c>
      <c r="K722" s="12">
        <v>44349.0</v>
      </c>
      <c r="L722" s="11">
        <f t="shared" ref="L722:L724" si="73">ROUND(((K722-B722)/365)*12,0)</f>
        <v>21</v>
      </c>
      <c r="M722" s="11">
        <v>669093.0</v>
      </c>
      <c r="N722" s="11">
        <v>22210.0</v>
      </c>
      <c r="O722" s="13" t="s">
        <v>282</v>
      </c>
      <c r="P722" s="11">
        <v>0.0</v>
      </c>
      <c r="Q722" s="14">
        <v>0.0</v>
      </c>
      <c r="R722" s="11">
        <v>1.0</v>
      </c>
      <c r="S722">
        <f t="shared" si="1"/>
        <v>2019</v>
      </c>
      <c r="T722">
        <f t="shared" si="2"/>
        <v>8</v>
      </c>
      <c r="U722">
        <f t="shared" si="3"/>
        <v>23</v>
      </c>
      <c r="X722" s="17">
        <v>43976.0</v>
      </c>
      <c r="Z722" s="17">
        <v>44349.0</v>
      </c>
      <c r="AG722" s="15"/>
      <c r="AH722" s="16"/>
      <c r="AM722" s="15"/>
      <c r="AN722" s="16"/>
    </row>
    <row r="723">
      <c r="A723" s="13" t="s">
        <v>1512</v>
      </c>
      <c r="B723" s="10">
        <v>43696.0</v>
      </c>
      <c r="C723" s="11" t="s">
        <v>230</v>
      </c>
      <c r="D723" s="11" t="s">
        <v>221</v>
      </c>
      <c r="E723" s="11" t="s">
        <v>39</v>
      </c>
      <c r="F723" s="11" t="s">
        <v>64</v>
      </c>
      <c r="G723" s="11" t="s">
        <v>460</v>
      </c>
      <c r="H723" s="11"/>
      <c r="I723" s="11"/>
      <c r="J723" s="11">
        <v>18.0</v>
      </c>
      <c r="K723" s="12">
        <v>44338.0</v>
      </c>
      <c r="L723" s="11">
        <f t="shared" si="73"/>
        <v>21</v>
      </c>
      <c r="M723" s="11">
        <v>678620.0</v>
      </c>
      <c r="N723" s="11" t="s">
        <v>1513</v>
      </c>
      <c r="O723" s="13"/>
      <c r="P723" s="11">
        <v>0.0</v>
      </c>
      <c r="Q723" s="14">
        <v>0.0</v>
      </c>
      <c r="R723" s="11">
        <v>1.0</v>
      </c>
      <c r="S723">
        <f t="shared" si="1"/>
        <v>2019</v>
      </c>
      <c r="T723">
        <f t="shared" si="2"/>
        <v>8</v>
      </c>
      <c r="U723">
        <f t="shared" si="3"/>
        <v>19</v>
      </c>
      <c r="Z723" s="17">
        <v>44338.0</v>
      </c>
      <c r="AG723" s="15"/>
      <c r="AH723" s="16"/>
      <c r="AM723" s="15"/>
      <c r="AN723" s="16"/>
    </row>
    <row r="724">
      <c r="A724" s="13" t="s">
        <v>1514</v>
      </c>
      <c r="B724" s="10">
        <v>43692.0</v>
      </c>
      <c r="C724" s="11" t="s">
        <v>150</v>
      </c>
      <c r="D724" s="11" t="s">
        <v>38</v>
      </c>
      <c r="E724" s="11" t="s">
        <v>39</v>
      </c>
      <c r="F724" s="11" t="s">
        <v>40</v>
      </c>
      <c r="G724" s="11" t="s">
        <v>45</v>
      </c>
      <c r="H724" s="11" t="s">
        <v>243</v>
      </c>
      <c r="I724" s="11" t="s">
        <v>243</v>
      </c>
      <c r="J724" s="11">
        <v>34.0</v>
      </c>
      <c r="K724" s="12">
        <v>44440.0</v>
      </c>
      <c r="L724" s="11">
        <f t="shared" si="73"/>
        <v>25</v>
      </c>
      <c r="M724" s="11">
        <v>502085.0</v>
      </c>
      <c r="N724" s="11">
        <v>8241.0</v>
      </c>
      <c r="O724" s="13" t="s">
        <v>761</v>
      </c>
      <c r="P724" s="11">
        <v>0.0</v>
      </c>
      <c r="Q724" s="14">
        <v>0.0</v>
      </c>
      <c r="R724" s="11">
        <v>1.0</v>
      </c>
      <c r="S724">
        <f t="shared" si="1"/>
        <v>2019</v>
      </c>
      <c r="T724">
        <f t="shared" si="2"/>
        <v>8</v>
      </c>
      <c r="U724">
        <f t="shared" si="3"/>
        <v>15</v>
      </c>
      <c r="Z724" s="17">
        <v>44426.0</v>
      </c>
      <c r="AG724" s="15"/>
      <c r="AH724" s="16"/>
      <c r="AM724" s="15"/>
      <c r="AN724" s="16"/>
    </row>
    <row r="725">
      <c r="A725" s="13" t="s">
        <v>1515</v>
      </c>
      <c r="B725" s="10">
        <v>43692.0</v>
      </c>
      <c r="C725" s="11" t="s">
        <v>230</v>
      </c>
      <c r="D725" s="11" t="s">
        <v>38</v>
      </c>
      <c r="E725" s="11" t="s">
        <v>39</v>
      </c>
      <c r="F725" s="11" t="s">
        <v>40</v>
      </c>
      <c r="G725" s="11" t="s">
        <v>45</v>
      </c>
      <c r="H725" s="11" t="s">
        <v>301</v>
      </c>
      <c r="I725" s="11" t="s">
        <v>124</v>
      </c>
      <c r="J725" s="11">
        <v>29.0</v>
      </c>
      <c r="K725" s="12"/>
      <c r="L725" s="11"/>
      <c r="M725" s="11">
        <v>607473.0</v>
      </c>
      <c r="N725" s="11">
        <v>12452.0</v>
      </c>
      <c r="O725" s="13"/>
      <c r="P725" s="11">
        <v>0.0</v>
      </c>
      <c r="Q725" s="14">
        <v>0.0</v>
      </c>
      <c r="R725" s="11">
        <v>0.0</v>
      </c>
      <c r="S725">
        <f t="shared" si="1"/>
        <v>2019</v>
      </c>
      <c r="T725">
        <f t="shared" si="2"/>
        <v>8</v>
      </c>
      <c r="U725">
        <f t="shared" si="3"/>
        <v>15</v>
      </c>
      <c r="Z725" s="17">
        <v>44321.0</v>
      </c>
      <c r="AG725" s="15"/>
      <c r="AH725" s="16"/>
      <c r="AM725" s="15"/>
      <c r="AN725" s="16"/>
    </row>
    <row r="726">
      <c r="A726" s="13" t="s">
        <v>1516</v>
      </c>
      <c r="B726" s="10">
        <v>43690.0</v>
      </c>
      <c r="C726" s="11" t="s">
        <v>362</v>
      </c>
      <c r="D726" s="11" t="s">
        <v>38</v>
      </c>
      <c r="E726" s="30" t="s">
        <v>39</v>
      </c>
      <c r="F726" s="11" t="s">
        <v>40</v>
      </c>
      <c r="G726" s="30" t="s">
        <v>45</v>
      </c>
      <c r="H726" s="11" t="s">
        <v>56</v>
      </c>
      <c r="I726" s="11"/>
      <c r="J726" s="11">
        <v>27.0</v>
      </c>
      <c r="K726" s="12">
        <v>44293.0</v>
      </c>
      <c r="L726" s="11">
        <f>ROUND(((K726-B726)/365)*12,0)</f>
        <v>20</v>
      </c>
      <c r="M726" s="11">
        <v>592791.0</v>
      </c>
      <c r="N726" s="11">
        <v>11674.0</v>
      </c>
      <c r="O726" s="13" t="s">
        <v>1407</v>
      </c>
      <c r="P726" s="11">
        <v>0.0</v>
      </c>
      <c r="Q726" s="14">
        <v>0.0</v>
      </c>
      <c r="R726" s="11">
        <v>1.0</v>
      </c>
      <c r="S726">
        <f t="shared" si="1"/>
        <v>2019</v>
      </c>
      <c r="T726">
        <f t="shared" si="2"/>
        <v>8</v>
      </c>
      <c r="U726">
        <f t="shared" si="3"/>
        <v>13</v>
      </c>
      <c r="V726" s="17">
        <v>43850.0</v>
      </c>
      <c r="Z726" s="17">
        <v>44256.0</v>
      </c>
      <c r="AG726" s="15"/>
      <c r="AH726" s="16"/>
      <c r="AM726" s="15"/>
      <c r="AN726" s="16"/>
    </row>
    <row r="727">
      <c r="A727" s="13" t="s">
        <v>1517</v>
      </c>
      <c r="B727" s="10">
        <v>43678.0</v>
      </c>
      <c r="C727" s="11" t="s">
        <v>103</v>
      </c>
      <c r="D727" s="11" t="s">
        <v>93</v>
      </c>
      <c r="E727" s="11" t="s">
        <v>39</v>
      </c>
      <c r="F727" s="11" t="s">
        <v>40</v>
      </c>
      <c r="G727" s="11" t="s">
        <v>45</v>
      </c>
      <c r="H727" s="11" t="s">
        <v>317</v>
      </c>
      <c r="I727" s="11" t="s">
        <v>183</v>
      </c>
      <c r="J727" s="11">
        <v>22.0</v>
      </c>
      <c r="K727" s="12">
        <v>44321.0</v>
      </c>
      <c r="L727" s="11"/>
      <c r="M727" s="11">
        <v>668984.0</v>
      </c>
      <c r="N727" s="11">
        <v>25921.0</v>
      </c>
      <c r="O727" s="13"/>
      <c r="P727" s="11">
        <v>0.0</v>
      </c>
      <c r="Q727" s="14">
        <v>0.0</v>
      </c>
      <c r="R727" s="11">
        <v>1.0</v>
      </c>
      <c r="S727">
        <f t="shared" si="1"/>
        <v>2019</v>
      </c>
      <c r="T727">
        <f t="shared" si="2"/>
        <v>8</v>
      </c>
      <c r="U727">
        <f t="shared" si="3"/>
        <v>1</v>
      </c>
      <c r="AG727" s="15"/>
      <c r="AH727" s="16"/>
      <c r="AM727" s="15"/>
      <c r="AN727" s="16"/>
    </row>
    <row r="728">
      <c r="A728" s="13" t="s">
        <v>1518</v>
      </c>
      <c r="B728" s="10">
        <v>43678.0</v>
      </c>
      <c r="C728" s="11" t="s">
        <v>274</v>
      </c>
      <c r="D728" s="11" t="s">
        <v>88</v>
      </c>
      <c r="E728" s="11" t="s">
        <v>39</v>
      </c>
      <c r="F728" s="11" t="s">
        <v>40</v>
      </c>
      <c r="G728" s="11" t="s">
        <v>45</v>
      </c>
      <c r="H728" s="11" t="s">
        <v>258</v>
      </c>
      <c r="I728" s="11" t="s">
        <v>1519</v>
      </c>
      <c r="J728" s="11">
        <v>22.0</v>
      </c>
      <c r="K728" s="12">
        <v>44323.0</v>
      </c>
      <c r="L728" s="11">
        <f t="shared" ref="L728:L729" si="74">ROUND(((K728-B728)/365)*12,0)</f>
        <v>21</v>
      </c>
      <c r="M728" s="11">
        <v>681402.0</v>
      </c>
      <c r="N728" s="11">
        <v>24737.0</v>
      </c>
      <c r="O728" s="13"/>
      <c r="P728" s="11">
        <v>0.0</v>
      </c>
      <c r="Q728" s="14">
        <v>0.0</v>
      </c>
      <c r="R728" s="11">
        <v>1.0</v>
      </c>
      <c r="S728">
        <f t="shared" si="1"/>
        <v>2019</v>
      </c>
      <c r="T728">
        <f t="shared" si="2"/>
        <v>8</v>
      </c>
      <c r="U728">
        <f t="shared" si="3"/>
        <v>1</v>
      </c>
      <c r="Z728" s="17">
        <v>44323.0</v>
      </c>
      <c r="AG728" s="15"/>
      <c r="AH728" s="16"/>
      <c r="AM728" s="15"/>
      <c r="AN728" s="16"/>
    </row>
    <row r="729">
      <c r="A729" s="13" t="s">
        <v>1520</v>
      </c>
      <c r="B729" s="10">
        <v>43678.0</v>
      </c>
      <c r="C729" s="11" t="s">
        <v>83</v>
      </c>
      <c r="D729" s="11" t="s">
        <v>221</v>
      </c>
      <c r="E729" s="11" t="s">
        <v>39</v>
      </c>
      <c r="F729" s="11" t="s">
        <v>40</v>
      </c>
      <c r="G729" s="11" t="s">
        <v>45</v>
      </c>
      <c r="H729" s="11" t="s">
        <v>84</v>
      </c>
      <c r="I729" s="11" t="s">
        <v>1521</v>
      </c>
      <c r="J729" s="11">
        <v>23.0</v>
      </c>
      <c r="K729" s="12">
        <v>44322.0</v>
      </c>
      <c r="L729" s="11">
        <f t="shared" si="74"/>
        <v>21</v>
      </c>
      <c r="M729" s="11">
        <v>673904.0</v>
      </c>
      <c r="N729" s="11">
        <v>20227.0</v>
      </c>
      <c r="O729" s="13"/>
      <c r="P729" s="11">
        <v>0.0</v>
      </c>
      <c r="Q729" s="14">
        <v>0.0</v>
      </c>
      <c r="R729" s="11">
        <v>1.0</v>
      </c>
      <c r="S729">
        <f t="shared" si="1"/>
        <v>2019</v>
      </c>
      <c r="T729">
        <f t="shared" si="2"/>
        <v>8</v>
      </c>
      <c r="U729">
        <f t="shared" si="3"/>
        <v>1</v>
      </c>
      <c r="Z729" s="17">
        <v>44322.0</v>
      </c>
      <c r="AG729" s="15"/>
      <c r="AH729" s="16"/>
      <c r="AM729" s="15"/>
      <c r="AN729" s="16"/>
    </row>
    <row r="730">
      <c r="A730" s="13" t="s">
        <v>1522</v>
      </c>
      <c r="B730" s="10">
        <v>43671.0</v>
      </c>
      <c r="C730" s="11" t="s">
        <v>55</v>
      </c>
      <c r="D730" s="11" t="s">
        <v>221</v>
      </c>
      <c r="E730" s="11" t="s">
        <v>39</v>
      </c>
      <c r="F730" s="11" t="s">
        <v>40</v>
      </c>
      <c r="G730" s="11" t="s">
        <v>53</v>
      </c>
      <c r="H730" s="11"/>
      <c r="I730" s="11"/>
      <c r="J730" s="11">
        <v>18.0</v>
      </c>
      <c r="K730" s="12"/>
      <c r="L730" s="11"/>
      <c r="M730" s="11">
        <v>678615.0</v>
      </c>
      <c r="N730" s="11" t="s">
        <v>1523</v>
      </c>
      <c r="O730" s="13"/>
      <c r="P730" s="11">
        <v>0.0</v>
      </c>
      <c r="Q730" s="14">
        <v>0.0</v>
      </c>
      <c r="R730" s="11">
        <v>0.0</v>
      </c>
      <c r="S730">
        <f t="shared" si="1"/>
        <v>2019</v>
      </c>
      <c r="T730">
        <f t="shared" si="2"/>
        <v>7</v>
      </c>
      <c r="U730">
        <f t="shared" si="3"/>
        <v>25</v>
      </c>
      <c r="AG730" s="15"/>
      <c r="AH730" s="16"/>
      <c r="AM730" s="15"/>
      <c r="AN730" s="16"/>
    </row>
    <row r="731">
      <c r="A731" s="13" t="s">
        <v>1524</v>
      </c>
      <c r="B731" s="10">
        <v>43671.0</v>
      </c>
      <c r="C731" s="11" t="s">
        <v>108</v>
      </c>
      <c r="D731" s="11" t="s">
        <v>58</v>
      </c>
      <c r="E731" s="11" t="s">
        <v>39</v>
      </c>
      <c r="F731" s="11" t="s">
        <v>40</v>
      </c>
      <c r="G731" s="11" t="s">
        <v>41</v>
      </c>
      <c r="H731" s="11"/>
      <c r="I731" s="11"/>
      <c r="J731" s="11">
        <v>27.0</v>
      </c>
      <c r="K731" s="12">
        <v>44321.0</v>
      </c>
      <c r="L731" s="11">
        <f t="shared" ref="L731:L732" si="75">ROUND(((K731-B731)/365)*12,0)</f>
        <v>21</v>
      </c>
      <c r="M731" s="11">
        <v>642659.0</v>
      </c>
      <c r="N731" s="11">
        <v>19516.0</v>
      </c>
      <c r="O731" s="13"/>
      <c r="P731" s="11">
        <v>0.0</v>
      </c>
      <c r="Q731" s="14">
        <v>0.0</v>
      </c>
      <c r="R731" s="11">
        <v>1.0</v>
      </c>
      <c r="S731">
        <f t="shared" si="1"/>
        <v>2019</v>
      </c>
      <c r="T731">
        <f t="shared" si="2"/>
        <v>7</v>
      </c>
      <c r="U731">
        <f t="shared" si="3"/>
        <v>25</v>
      </c>
      <c r="Z731" s="17">
        <v>44321.0</v>
      </c>
      <c r="AG731" s="15"/>
      <c r="AH731" s="16"/>
      <c r="AM731" s="15"/>
      <c r="AN731" s="16"/>
    </row>
    <row r="732">
      <c r="A732" s="13" t="s">
        <v>1525</v>
      </c>
      <c r="B732" s="10">
        <v>43669.0</v>
      </c>
      <c r="C732" s="11" t="s">
        <v>162</v>
      </c>
      <c r="D732" s="11" t="s">
        <v>221</v>
      </c>
      <c r="E732" s="11" t="s">
        <v>39</v>
      </c>
      <c r="F732" s="11" t="s">
        <v>40</v>
      </c>
      <c r="G732" s="11" t="s">
        <v>45</v>
      </c>
      <c r="H732" s="11" t="s">
        <v>129</v>
      </c>
      <c r="I732" s="11" t="s">
        <v>1526</v>
      </c>
      <c r="J732" s="11">
        <v>21.0</v>
      </c>
      <c r="K732" s="12">
        <v>44321.0</v>
      </c>
      <c r="L732" s="11">
        <f t="shared" si="75"/>
        <v>21</v>
      </c>
      <c r="M732" s="11">
        <v>676689.0</v>
      </c>
      <c r="N732" s="11">
        <v>23449.0</v>
      </c>
      <c r="O732" s="13" t="s">
        <v>355</v>
      </c>
      <c r="P732" s="11">
        <v>0.0</v>
      </c>
      <c r="Q732" s="14">
        <v>0.0</v>
      </c>
      <c r="R732" s="11">
        <v>1.0</v>
      </c>
      <c r="S732">
        <f t="shared" si="1"/>
        <v>2019</v>
      </c>
      <c r="T732">
        <f t="shared" si="2"/>
        <v>7</v>
      </c>
      <c r="U732">
        <f t="shared" si="3"/>
        <v>23</v>
      </c>
      <c r="Z732" s="17">
        <v>44321.0</v>
      </c>
      <c r="AG732" s="15"/>
      <c r="AH732" s="16"/>
      <c r="AM732" s="15"/>
      <c r="AN732" s="16"/>
    </row>
    <row r="733">
      <c r="A733" s="13" t="s">
        <v>1527</v>
      </c>
      <c r="B733" s="10">
        <v>43664.0</v>
      </c>
      <c r="C733" s="11" t="s">
        <v>55</v>
      </c>
      <c r="D733" s="11" t="s">
        <v>221</v>
      </c>
      <c r="E733" s="11" t="s">
        <v>39</v>
      </c>
      <c r="F733" s="11" t="s">
        <v>64</v>
      </c>
      <c r="G733" s="11" t="s">
        <v>45</v>
      </c>
      <c r="H733" s="11" t="s">
        <v>119</v>
      </c>
      <c r="I733" s="11"/>
      <c r="J733" s="11">
        <v>21.0</v>
      </c>
      <c r="K733" s="12"/>
      <c r="L733" s="11"/>
      <c r="M733" s="11">
        <v>670396.0</v>
      </c>
      <c r="N733" s="11" t="s">
        <v>1528</v>
      </c>
      <c r="O733" s="13"/>
      <c r="P733" s="11">
        <v>0.0</v>
      </c>
      <c r="Q733" s="14">
        <v>0.0</v>
      </c>
      <c r="R733" s="11">
        <v>0.0</v>
      </c>
      <c r="S733">
        <f t="shared" si="1"/>
        <v>2019</v>
      </c>
      <c r="T733">
        <f t="shared" si="2"/>
        <v>7</v>
      </c>
      <c r="U733">
        <f t="shared" si="3"/>
        <v>18</v>
      </c>
      <c r="AG733" s="15"/>
      <c r="AH733" s="16"/>
      <c r="AM733" s="15"/>
      <c r="AN733" s="16"/>
    </row>
    <row r="734">
      <c r="A734" s="13" t="s">
        <v>1529</v>
      </c>
      <c r="B734" s="10">
        <v>43663.0</v>
      </c>
      <c r="C734" s="11" t="s">
        <v>55</v>
      </c>
      <c r="D734" s="11" t="s">
        <v>88</v>
      </c>
      <c r="E734" s="11" t="s">
        <v>39</v>
      </c>
      <c r="F734" s="11" t="s">
        <v>40</v>
      </c>
      <c r="G734" s="11" t="s">
        <v>45</v>
      </c>
      <c r="H734" s="11" t="s">
        <v>67</v>
      </c>
      <c r="I734" s="11" t="s">
        <v>1530</v>
      </c>
      <c r="J734" s="11">
        <v>26.0</v>
      </c>
      <c r="K734" s="12"/>
      <c r="L734" s="11"/>
      <c r="M734" s="11">
        <v>656608.0</v>
      </c>
      <c r="N734" s="11" t="s">
        <v>1531</v>
      </c>
      <c r="O734" s="13"/>
      <c r="P734" s="11">
        <v>0.0</v>
      </c>
      <c r="Q734" s="14">
        <v>0.0</v>
      </c>
      <c r="R734" s="11">
        <v>0.0</v>
      </c>
      <c r="S734">
        <f t="shared" si="1"/>
        <v>2019</v>
      </c>
      <c r="T734">
        <f t="shared" si="2"/>
        <v>7</v>
      </c>
      <c r="U734">
        <f t="shared" si="3"/>
        <v>17</v>
      </c>
      <c r="AG734" s="15"/>
      <c r="AH734" s="16"/>
      <c r="AM734" s="15"/>
      <c r="AN734" s="16"/>
    </row>
    <row r="735">
      <c r="A735" s="13" t="s">
        <v>1532</v>
      </c>
      <c r="B735" s="10">
        <v>43651.0</v>
      </c>
      <c r="C735" s="11" t="s">
        <v>175</v>
      </c>
      <c r="D735" s="11" t="s">
        <v>93</v>
      </c>
      <c r="E735" s="11" t="s">
        <v>39</v>
      </c>
      <c r="F735" s="11" t="s">
        <v>40</v>
      </c>
      <c r="G735" s="11" t="s">
        <v>45</v>
      </c>
      <c r="H735" s="11" t="s">
        <v>67</v>
      </c>
      <c r="I735" s="11" t="s">
        <v>1533</v>
      </c>
      <c r="J735" s="11">
        <v>21.0</v>
      </c>
      <c r="K735" s="12">
        <v>44407.0</v>
      </c>
      <c r="L735" s="11"/>
      <c r="M735" s="11">
        <v>674001.0</v>
      </c>
      <c r="N735" s="11" t="s">
        <v>1534</v>
      </c>
      <c r="O735" s="13"/>
      <c r="P735" s="11">
        <v>0.0</v>
      </c>
      <c r="Q735" s="14">
        <v>0.0</v>
      </c>
      <c r="R735" s="11">
        <v>1.0</v>
      </c>
      <c r="S735">
        <f t="shared" si="1"/>
        <v>2019</v>
      </c>
      <c r="T735">
        <f t="shared" si="2"/>
        <v>7</v>
      </c>
      <c r="U735">
        <f t="shared" si="3"/>
        <v>5</v>
      </c>
      <c r="Z735" s="17"/>
      <c r="AG735" s="15"/>
      <c r="AH735" s="16"/>
      <c r="AM735" s="15"/>
      <c r="AN735" s="16"/>
    </row>
    <row r="736">
      <c r="A736" s="13" t="s">
        <v>1535</v>
      </c>
      <c r="B736" s="10">
        <v>43649.0</v>
      </c>
      <c r="C736" s="11" t="s">
        <v>138</v>
      </c>
      <c r="D736" s="11" t="s">
        <v>38</v>
      </c>
      <c r="E736" s="11" t="s">
        <v>39</v>
      </c>
      <c r="F736" s="11" t="s">
        <v>64</v>
      </c>
      <c r="G736" s="11" t="s">
        <v>45</v>
      </c>
      <c r="H736" s="11" t="s">
        <v>412</v>
      </c>
      <c r="I736" s="11" t="s">
        <v>746</v>
      </c>
      <c r="J736" s="11">
        <v>24.0</v>
      </c>
      <c r="K736" s="12">
        <v>44443.0</v>
      </c>
      <c r="L736" s="11">
        <f t="shared" ref="L736:L744" si="76">ROUND(((K736-B736)/365)*12,0)</f>
        <v>26</v>
      </c>
      <c r="M736" s="11">
        <v>642028.0</v>
      </c>
      <c r="N736" s="11">
        <v>18510.0</v>
      </c>
      <c r="O736" s="13" t="s">
        <v>42</v>
      </c>
      <c r="P736" s="11">
        <v>0.0</v>
      </c>
      <c r="Q736" s="14">
        <v>0.0</v>
      </c>
      <c r="R736" s="11">
        <v>1.0</v>
      </c>
      <c r="S736">
        <f t="shared" si="1"/>
        <v>2019</v>
      </c>
      <c r="T736">
        <f t="shared" si="2"/>
        <v>7</v>
      </c>
      <c r="U736">
        <f t="shared" si="3"/>
        <v>3</v>
      </c>
      <c r="Z736" s="17">
        <v>44255.0</v>
      </c>
      <c r="AG736" s="15"/>
      <c r="AH736" s="16"/>
      <c r="AM736" s="15"/>
      <c r="AN736" s="16"/>
    </row>
    <row r="737">
      <c r="A737" s="13" t="s">
        <v>1536</v>
      </c>
      <c r="B737" s="10">
        <v>43649.0</v>
      </c>
      <c r="C737" s="11" t="s">
        <v>52</v>
      </c>
      <c r="D737" s="11" t="s">
        <v>58</v>
      </c>
      <c r="E737" s="11" t="s">
        <v>39</v>
      </c>
      <c r="F737" s="11" t="s">
        <v>40</v>
      </c>
      <c r="G737" s="11" t="s">
        <v>45</v>
      </c>
      <c r="H737" s="11" t="s">
        <v>56</v>
      </c>
      <c r="I737" s="11" t="s">
        <v>344</v>
      </c>
      <c r="J737" s="11">
        <v>23.0</v>
      </c>
      <c r="K737" s="12">
        <v>44322.0</v>
      </c>
      <c r="L737" s="11">
        <f t="shared" si="76"/>
        <v>22</v>
      </c>
      <c r="M737" s="11">
        <v>656686.0</v>
      </c>
      <c r="N737" s="11">
        <v>19884.0</v>
      </c>
      <c r="O737" s="13"/>
      <c r="P737" s="11">
        <v>0.0</v>
      </c>
      <c r="Q737" s="14">
        <v>0.0</v>
      </c>
      <c r="R737" s="11">
        <v>1.0</v>
      </c>
      <c r="S737">
        <f t="shared" si="1"/>
        <v>2019</v>
      </c>
      <c r="T737">
        <f t="shared" si="2"/>
        <v>7</v>
      </c>
      <c r="U737">
        <f t="shared" si="3"/>
        <v>3</v>
      </c>
      <c r="Z737" s="17">
        <v>44258.0</v>
      </c>
      <c r="AG737" s="15"/>
      <c r="AH737" s="16"/>
      <c r="AM737" s="15"/>
      <c r="AN737" s="16"/>
    </row>
    <row r="738">
      <c r="A738" s="13" t="s">
        <v>1537</v>
      </c>
      <c r="B738" s="10">
        <v>43647.0</v>
      </c>
      <c r="C738" s="11" t="s">
        <v>108</v>
      </c>
      <c r="D738" s="11" t="s">
        <v>77</v>
      </c>
      <c r="E738" s="11" t="s">
        <v>39</v>
      </c>
      <c r="F738" s="11" t="s">
        <v>40</v>
      </c>
      <c r="G738" s="11" t="s">
        <v>45</v>
      </c>
      <c r="H738" s="11" t="s">
        <v>163</v>
      </c>
      <c r="I738" s="11" t="s">
        <v>1538</v>
      </c>
      <c r="J738" s="11">
        <v>23.0</v>
      </c>
      <c r="K738" s="12">
        <v>44290.0</v>
      </c>
      <c r="L738" s="11">
        <f t="shared" si="76"/>
        <v>21</v>
      </c>
      <c r="M738" s="11">
        <v>676477.0</v>
      </c>
      <c r="N738" s="11">
        <v>20191.0</v>
      </c>
      <c r="O738" s="13" t="s">
        <v>335</v>
      </c>
      <c r="P738" s="11">
        <v>0.0</v>
      </c>
      <c r="Q738" s="14">
        <v>0.0</v>
      </c>
      <c r="R738" s="11">
        <v>1.0</v>
      </c>
      <c r="S738">
        <f t="shared" si="1"/>
        <v>2019</v>
      </c>
      <c r="T738">
        <f t="shared" si="2"/>
        <v>7</v>
      </c>
      <c r="U738">
        <f t="shared" si="3"/>
        <v>1</v>
      </c>
      <c r="Z738" s="17">
        <v>44257.0</v>
      </c>
      <c r="AG738" s="15"/>
      <c r="AH738" s="16"/>
      <c r="AM738" s="15"/>
      <c r="AN738" s="16"/>
    </row>
    <row r="739">
      <c r="A739" s="13" t="s">
        <v>1539</v>
      </c>
      <c r="B739" s="10">
        <v>43647.0</v>
      </c>
      <c r="C739" s="11" t="s">
        <v>83</v>
      </c>
      <c r="D739" s="11" t="s">
        <v>88</v>
      </c>
      <c r="E739" s="11" t="s">
        <v>39</v>
      </c>
      <c r="F739" s="11" t="s">
        <v>40</v>
      </c>
      <c r="G739" s="11" t="s">
        <v>45</v>
      </c>
      <c r="H739" s="11" t="s">
        <v>133</v>
      </c>
      <c r="I739" s="11" t="s">
        <v>689</v>
      </c>
      <c r="J739" s="11">
        <v>21.0</v>
      </c>
      <c r="K739" s="12">
        <v>44322.0</v>
      </c>
      <c r="L739" s="11">
        <f t="shared" si="76"/>
        <v>22</v>
      </c>
      <c r="M739" s="11">
        <v>642135.0</v>
      </c>
      <c r="N739" s="11" t="s">
        <v>1540</v>
      </c>
      <c r="O739" s="13"/>
      <c r="P739" s="11">
        <v>0.0</v>
      </c>
      <c r="Q739" s="14">
        <v>0.0</v>
      </c>
      <c r="R739" s="11">
        <v>1.0</v>
      </c>
      <c r="S739">
        <f t="shared" si="1"/>
        <v>2019</v>
      </c>
      <c r="T739">
        <f t="shared" si="2"/>
        <v>7</v>
      </c>
      <c r="U739">
        <f t="shared" si="3"/>
        <v>1</v>
      </c>
      <c r="Z739" s="17">
        <v>44322.0</v>
      </c>
      <c r="AG739" s="15"/>
      <c r="AH739" s="16"/>
      <c r="AM739" s="15"/>
      <c r="AN739" s="16"/>
    </row>
    <row r="740">
      <c r="A740" s="13" t="s">
        <v>1541</v>
      </c>
      <c r="B740" s="10">
        <v>43647.0</v>
      </c>
      <c r="C740" s="11" t="s">
        <v>186</v>
      </c>
      <c r="D740" s="11" t="s">
        <v>77</v>
      </c>
      <c r="E740" s="11" t="s">
        <v>39</v>
      </c>
      <c r="F740" s="11" t="s">
        <v>40</v>
      </c>
      <c r="G740" s="11" t="s">
        <v>45</v>
      </c>
      <c r="H740" s="11" t="s">
        <v>67</v>
      </c>
      <c r="I740" s="11"/>
      <c r="J740" s="11">
        <v>33.0</v>
      </c>
      <c r="K740" s="12">
        <v>44289.0</v>
      </c>
      <c r="L740" s="11">
        <f t="shared" si="76"/>
        <v>21</v>
      </c>
      <c r="M740" s="11">
        <v>456713.0</v>
      </c>
      <c r="N740" s="11">
        <v>1246.0</v>
      </c>
      <c r="O740" s="13" t="s">
        <v>42</v>
      </c>
      <c r="P740" s="11">
        <v>0.0</v>
      </c>
      <c r="Q740" s="14">
        <v>0.0</v>
      </c>
      <c r="R740" s="11">
        <v>1.0</v>
      </c>
      <c r="S740">
        <f t="shared" si="1"/>
        <v>2019</v>
      </c>
      <c r="T740">
        <f t="shared" si="2"/>
        <v>7</v>
      </c>
      <c r="U740">
        <f t="shared" si="3"/>
        <v>1</v>
      </c>
      <c r="Z740" s="17">
        <v>44264.0</v>
      </c>
      <c r="AG740" s="15"/>
      <c r="AH740" s="16"/>
      <c r="AM740" s="15"/>
      <c r="AN740" s="16"/>
    </row>
    <row r="741">
      <c r="A741" s="13" t="s">
        <v>1542</v>
      </c>
      <c r="B741" s="10">
        <v>43646.0</v>
      </c>
      <c r="C741" s="11" t="s">
        <v>186</v>
      </c>
      <c r="D741" s="11" t="s">
        <v>97</v>
      </c>
      <c r="E741" s="11" t="s">
        <v>39</v>
      </c>
      <c r="F741" s="11" t="s">
        <v>40</v>
      </c>
      <c r="G741" s="11" t="s">
        <v>45</v>
      </c>
      <c r="H741" s="11" t="s">
        <v>73</v>
      </c>
      <c r="I741" s="11"/>
      <c r="J741" s="11">
        <v>22.0</v>
      </c>
      <c r="K741" s="12">
        <v>44322.0</v>
      </c>
      <c r="L741" s="11">
        <f t="shared" si="76"/>
        <v>22</v>
      </c>
      <c r="M741" s="11">
        <v>670196.0</v>
      </c>
      <c r="N741" s="11" t="s">
        <v>1543</v>
      </c>
      <c r="O741" s="13"/>
      <c r="P741" s="11">
        <v>0.0</v>
      </c>
      <c r="Q741" s="14">
        <v>0.0</v>
      </c>
      <c r="R741" s="11">
        <v>1.0</v>
      </c>
      <c r="S741">
        <f t="shared" si="1"/>
        <v>2019</v>
      </c>
      <c r="T741">
        <f t="shared" si="2"/>
        <v>6</v>
      </c>
      <c r="U741">
        <f t="shared" si="3"/>
        <v>30</v>
      </c>
      <c r="Z741" s="17">
        <v>44322.0</v>
      </c>
      <c r="AG741" s="15"/>
      <c r="AH741" s="16"/>
      <c r="AM741" s="15"/>
      <c r="AN741" s="16"/>
    </row>
    <row r="742">
      <c r="A742" s="13" t="s">
        <v>1544</v>
      </c>
      <c r="B742" s="10">
        <v>43642.0</v>
      </c>
      <c r="C742" s="11" t="s">
        <v>83</v>
      </c>
      <c r="D742" s="11" t="s">
        <v>38</v>
      </c>
      <c r="E742" s="11" t="s">
        <v>39</v>
      </c>
      <c r="F742" s="11" t="s">
        <v>40</v>
      </c>
      <c r="G742" s="11" t="s">
        <v>45</v>
      </c>
      <c r="H742" s="11" t="s">
        <v>56</v>
      </c>
      <c r="I742" s="11"/>
      <c r="J742" s="11">
        <v>22.0</v>
      </c>
      <c r="K742" s="12">
        <v>44289.0</v>
      </c>
      <c r="L742" s="11">
        <f t="shared" si="76"/>
        <v>21</v>
      </c>
      <c r="M742" s="11">
        <v>663855.0</v>
      </c>
      <c r="N742" s="11">
        <v>19618.0</v>
      </c>
      <c r="O742" s="13" t="s">
        <v>1332</v>
      </c>
      <c r="P742" s="11">
        <v>0.0</v>
      </c>
      <c r="Q742" s="14">
        <v>0.0</v>
      </c>
      <c r="R742" s="11">
        <v>1.0</v>
      </c>
      <c r="S742">
        <f t="shared" si="1"/>
        <v>2019</v>
      </c>
      <c r="T742">
        <f t="shared" si="2"/>
        <v>6</v>
      </c>
      <c r="U742">
        <f t="shared" si="3"/>
        <v>26</v>
      </c>
      <c r="V742" s="17">
        <v>43836.0</v>
      </c>
      <c r="Z742" s="17">
        <v>44269.0</v>
      </c>
      <c r="AG742" s="15"/>
      <c r="AH742" s="16"/>
      <c r="AM742" s="15"/>
      <c r="AN742" s="16"/>
    </row>
    <row r="743">
      <c r="A743" s="13" t="s">
        <v>1545</v>
      </c>
      <c r="B743" s="10">
        <v>43641.0</v>
      </c>
      <c r="C743" s="11" t="s">
        <v>143</v>
      </c>
      <c r="D743" s="11" t="s">
        <v>77</v>
      </c>
      <c r="E743" s="11" t="s">
        <v>39</v>
      </c>
      <c r="F743" s="11" t="s">
        <v>40</v>
      </c>
      <c r="G743" s="11" t="s">
        <v>45</v>
      </c>
      <c r="H743" s="11" t="s">
        <v>67</v>
      </c>
      <c r="I743" s="11" t="s">
        <v>640</v>
      </c>
      <c r="J743" s="11">
        <v>24.0</v>
      </c>
      <c r="K743" s="12">
        <v>44037.0</v>
      </c>
      <c r="L743" s="11">
        <f t="shared" si="76"/>
        <v>13</v>
      </c>
      <c r="M743" s="11">
        <v>669424.0</v>
      </c>
      <c r="N743" s="11">
        <v>19541.0</v>
      </c>
      <c r="O743" s="13" t="s">
        <v>69</v>
      </c>
      <c r="P743" s="11">
        <v>0.0</v>
      </c>
      <c r="Q743" s="14">
        <v>0.0</v>
      </c>
      <c r="R743" s="11">
        <v>1.0</v>
      </c>
      <c r="S743">
        <f t="shared" si="1"/>
        <v>2019</v>
      </c>
      <c r="T743">
        <f t="shared" si="2"/>
        <v>6</v>
      </c>
      <c r="U743">
        <f t="shared" si="3"/>
        <v>25</v>
      </c>
      <c r="V743" s="17">
        <v>43787.0</v>
      </c>
      <c r="Z743" s="17">
        <v>44037.0</v>
      </c>
      <c r="AG743" s="15"/>
      <c r="AH743" s="16"/>
      <c r="AM743" s="15"/>
      <c r="AN743" s="16"/>
    </row>
    <row r="744">
      <c r="A744" s="13" t="s">
        <v>1546</v>
      </c>
      <c r="B744" s="10">
        <v>43641.0</v>
      </c>
      <c r="C744" s="11" t="s">
        <v>143</v>
      </c>
      <c r="D744" s="11" t="s">
        <v>38</v>
      </c>
      <c r="E744" s="11" t="s">
        <v>39</v>
      </c>
      <c r="F744" s="11" t="s">
        <v>40</v>
      </c>
      <c r="G744" s="11" t="s">
        <v>45</v>
      </c>
      <c r="H744" s="11" t="s">
        <v>652</v>
      </c>
      <c r="I744" s="11" t="s">
        <v>640</v>
      </c>
      <c r="J744" s="11">
        <v>25.0</v>
      </c>
      <c r="K744" s="12">
        <v>44347.0</v>
      </c>
      <c r="L744" s="11">
        <f t="shared" si="76"/>
        <v>23</v>
      </c>
      <c r="M744" s="11">
        <v>621114.0</v>
      </c>
      <c r="N744" s="11">
        <v>17536.0</v>
      </c>
      <c r="O744" s="13" t="s">
        <v>69</v>
      </c>
      <c r="P744" s="11">
        <v>0.0</v>
      </c>
      <c r="Q744" s="14">
        <v>0.0</v>
      </c>
      <c r="R744" s="11">
        <v>1.0</v>
      </c>
      <c r="S744">
        <f t="shared" si="1"/>
        <v>2019</v>
      </c>
      <c r="T744">
        <f t="shared" si="2"/>
        <v>6</v>
      </c>
      <c r="U744">
        <f t="shared" si="3"/>
        <v>25</v>
      </c>
      <c r="V744" s="17">
        <v>43787.0</v>
      </c>
      <c r="Z744" s="17">
        <v>44256.0</v>
      </c>
      <c r="AG744" s="15"/>
      <c r="AH744" s="16"/>
      <c r="AM744" s="15"/>
      <c r="AN744" s="16"/>
    </row>
    <row r="745">
      <c r="A745" s="13" t="s">
        <v>1547</v>
      </c>
      <c r="B745" s="10">
        <v>43636.0</v>
      </c>
      <c r="C745" s="11" t="s">
        <v>175</v>
      </c>
      <c r="D745" s="11" t="s">
        <v>709</v>
      </c>
      <c r="E745" s="11" t="s">
        <v>39</v>
      </c>
      <c r="F745" s="11" t="s">
        <v>40</v>
      </c>
      <c r="G745" s="11" t="s">
        <v>45</v>
      </c>
      <c r="H745" s="11" t="s">
        <v>317</v>
      </c>
      <c r="I745" s="11"/>
      <c r="J745" s="11">
        <v>19.0</v>
      </c>
      <c r="K745" s="12"/>
      <c r="L745" s="12"/>
      <c r="M745" s="11">
        <v>676374.0</v>
      </c>
      <c r="N745" s="11" t="s">
        <v>1548</v>
      </c>
      <c r="O745" s="13"/>
      <c r="P745" s="11">
        <v>0.0</v>
      </c>
      <c r="Q745" s="14">
        <v>0.0</v>
      </c>
      <c r="R745" s="11">
        <v>0.0</v>
      </c>
      <c r="S745">
        <f t="shared" si="1"/>
        <v>2019</v>
      </c>
      <c r="T745">
        <f t="shared" si="2"/>
        <v>6</v>
      </c>
      <c r="U745">
        <f t="shared" si="3"/>
        <v>20</v>
      </c>
      <c r="AG745" s="15"/>
      <c r="AH745" s="16"/>
      <c r="AM745" s="15"/>
      <c r="AN745" s="16"/>
    </row>
    <row r="746">
      <c r="A746" s="13" t="s">
        <v>1549</v>
      </c>
      <c r="B746" s="10">
        <v>43630.0</v>
      </c>
      <c r="C746" s="11" t="s">
        <v>55</v>
      </c>
      <c r="D746" s="11" t="s">
        <v>77</v>
      </c>
      <c r="E746" s="11" t="s">
        <v>39</v>
      </c>
      <c r="F746" s="11" t="s">
        <v>40</v>
      </c>
      <c r="G746" s="11" t="s">
        <v>45</v>
      </c>
      <c r="H746" s="11" t="s">
        <v>84</v>
      </c>
      <c r="I746" s="11" t="s">
        <v>382</v>
      </c>
      <c r="J746" s="11">
        <v>28.0</v>
      </c>
      <c r="K746" s="12"/>
      <c r="L746" s="12"/>
      <c r="M746" s="11">
        <v>623196.0</v>
      </c>
      <c r="N746" s="11" t="s">
        <v>1550</v>
      </c>
      <c r="O746" s="13"/>
      <c r="P746" s="11">
        <v>0.0</v>
      </c>
      <c r="Q746" s="14">
        <v>0.0</v>
      </c>
      <c r="R746" s="11">
        <v>0.0</v>
      </c>
      <c r="S746">
        <f t="shared" si="1"/>
        <v>2019</v>
      </c>
      <c r="T746">
        <f t="shared" si="2"/>
        <v>6</v>
      </c>
      <c r="U746">
        <f t="shared" si="3"/>
        <v>14</v>
      </c>
      <c r="AG746" s="15"/>
      <c r="AH746" s="16"/>
      <c r="AM746" s="15"/>
      <c r="AN746" s="16"/>
    </row>
    <row r="747">
      <c r="A747" s="13" t="s">
        <v>1551</v>
      </c>
      <c r="B747" s="10">
        <v>43623.0</v>
      </c>
      <c r="C747" s="11" t="s">
        <v>108</v>
      </c>
      <c r="D747" s="11" t="s">
        <v>58</v>
      </c>
      <c r="E747" s="11" t="s">
        <v>39</v>
      </c>
      <c r="F747" s="11" t="s">
        <v>40</v>
      </c>
      <c r="G747" s="11" t="s">
        <v>45</v>
      </c>
      <c r="H747" s="11" t="s">
        <v>112</v>
      </c>
      <c r="I747" s="11" t="s">
        <v>1552</v>
      </c>
      <c r="J747" s="11">
        <v>26.0</v>
      </c>
      <c r="K747" s="12"/>
      <c r="L747" s="12"/>
      <c r="M747" s="11">
        <v>641483.0</v>
      </c>
      <c r="N747" s="11" t="s">
        <v>1553</v>
      </c>
      <c r="O747" s="13" t="s">
        <v>494</v>
      </c>
      <c r="P747" s="11">
        <v>0.0</v>
      </c>
      <c r="Q747" s="14">
        <v>0.0</v>
      </c>
      <c r="R747" s="11">
        <v>0.0</v>
      </c>
      <c r="S747">
        <f t="shared" si="1"/>
        <v>2019</v>
      </c>
      <c r="T747">
        <f t="shared" si="2"/>
        <v>6</v>
      </c>
      <c r="U747">
        <f t="shared" si="3"/>
        <v>7</v>
      </c>
      <c r="Z747" s="17">
        <v>44323.0</v>
      </c>
      <c r="AG747" s="15"/>
      <c r="AH747" s="16"/>
      <c r="AM747" s="15"/>
      <c r="AN747" s="16"/>
    </row>
    <row r="748">
      <c r="A748" s="13" t="s">
        <v>1554</v>
      </c>
      <c r="B748" s="10">
        <v>43620.0</v>
      </c>
      <c r="C748" s="11" t="s">
        <v>49</v>
      </c>
      <c r="D748" s="11" t="s">
        <v>58</v>
      </c>
      <c r="E748" s="11" t="s">
        <v>39</v>
      </c>
      <c r="F748" s="11" t="s">
        <v>40</v>
      </c>
      <c r="G748" s="11" t="s">
        <v>45</v>
      </c>
      <c r="H748" s="11" t="s">
        <v>56</v>
      </c>
      <c r="I748" s="11" t="s">
        <v>208</v>
      </c>
      <c r="J748" s="11">
        <v>26.0</v>
      </c>
      <c r="K748" s="12"/>
      <c r="L748" s="12"/>
      <c r="M748" s="11">
        <v>664219.0</v>
      </c>
      <c r="N748" s="11" t="s">
        <v>1555</v>
      </c>
      <c r="O748" s="13"/>
      <c r="P748" s="11">
        <v>0.0</v>
      </c>
      <c r="Q748" s="14">
        <v>0.0</v>
      </c>
      <c r="R748" s="11">
        <v>0.0</v>
      </c>
      <c r="S748">
        <f t="shared" si="1"/>
        <v>2019</v>
      </c>
      <c r="T748">
        <f t="shared" si="2"/>
        <v>6</v>
      </c>
      <c r="U748">
        <f t="shared" si="3"/>
        <v>4</v>
      </c>
      <c r="AG748" s="15"/>
      <c r="AH748" s="16"/>
      <c r="AM748" s="15"/>
      <c r="AN748" s="16"/>
    </row>
    <row r="749">
      <c r="A749" s="13" t="s">
        <v>1556</v>
      </c>
      <c r="B749" s="17">
        <v>43620.0</v>
      </c>
      <c r="C749" s="11" t="s">
        <v>274</v>
      </c>
      <c r="D749" s="11" t="s">
        <v>93</v>
      </c>
      <c r="E749" s="11" t="s">
        <v>39</v>
      </c>
      <c r="F749" s="11" t="s">
        <v>40</v>
      </c>
      <c r="G749" s="11" t="s">
        <v>45</v>
      </c>
      <c r="H749" s="11" t="s">
        <v>412</v>
      </c>
      <c r="I749" s="11" t="s">
        <v>1557</v>
      </c>
      <c r="J749" s="11">
        <v>19.0</v>
      </c>
      <c r="K749" s="12">
        <v>44779.0</v>
      </c>
      <c r="L749" s="12"/>
      <c r="M749" s="11">
        <v>678022.0</v>
      </c>
      <c r="N749" s="11" t="s">
        <v>1558</v>
      </c>
      <c r="O749" s="13"/>
      <c r="P749" s="11">
        <v>0.0</v>
      </c>
      <c r="Q749" s="14">
        <v>0.0</v>
      </c>
      <c r="R749" s="11">
        <v>1.0</v>
      </c>
      <c r="S749">
        <f t="shared" si="1"/>
        <v>2019</v>
      </c>
      <c r="T749">
        <f t="shared" si="2"/>
        <v>6</v>
      </c>
      <c r="U749">
        <f t="shared" si="3"/>
        <v>4</v>
      </c>
      <c r="Z749" s="17">
        <v>44779.0</v>
      </c>
      <c r="AG749" s="15"/>
      <c r="AH749" s="16"/>
      <c r="AM749" s="15"/>
      <c r="AN749" s="16"/>
    </row>
    <row r="750">
      <c r="A750" s="13" t="s">
        <v>994</v>
      </c>
      <c r="B750" s="17">
        <v>43620.0</v>
      </c>
      <c r="C750" s="11" t="s">
        <v>230</v>
      </c>
      <c r="D750" s="11" t="s">
        <v>213</v>
      </c>
      <c r="E750" s="11" t="s">
        <v>39</v>
      </c>
      <c r="F750" s="11" t="s">
        <v>40</v>
      </c>
      <c r="G750" s="11" t="s">
        <v>45</v>
      </c>
      <c r="H750" s="11" t="s">
        <v>59</v>
      </c>
      <c r="I750" s="11"/>
      <c r="J750" s="11">
        <v>19.0</v>
      </c>
      <c r="K750" s="12">
        <v>44344.0</v>
      </c>
      <c r="L750" s="12"/>
      <c r="M750" s="11">
        <v>686802.0</v>
      </c>
      <c r="N750" s="11" t="s">
        <v>995</v>
      </c>
      <c r="O750" s="13" t="s">
        <v>761</v>
      </c>
      <c r="P750" s="11">
        <v>0.0</v>
      </c>
      <c r="Q750" s="14">
        <v>0.0</v>
      </c>
      <c r="R750" s="11">
        <v>1.0</v>
      </c>
      <c r="S750">
        <f t="shared" si="1"/>
        <v>2019</v>
      </c>
      <c r="T750">
        <f t="shared" si="2"/>
        <v>6</v>
      </c>
      <c r="U750">
        <f t="shared" si="3"/>
        <v>4</v>
      </c>
      <c r="AG750" s="15"/>
      <c r="AH750" s="16"/>
      <c r="AM750" s="15"/>
      <c r="AN750" s="16"/>
    </row>
    <row r="751">
      <c r="A751" s="13" t="s">
        <v>1559</v>
      </c>
      <c r="B751" s="10">
        <v>43617.0</v>
      </c>
      <c r="C751" s="11" t="s">
        <v>44</v>
      </c>
      <c r="D751" s="11" t="s">
        <v>213</v>
      </c>
      <c r="E751" s="11" t="s">
        <v>39</v>
      </c>
      <c r="F751" s="11" t="s">
        <v>40</v>
      </c>
      <c r="G751" s="11" t="s">
        <v>53</v>
      </c>
      <c r="H751" s="11"/>
      <c r="I751" s="11"/>
      <c r="J751" s="11">
        <v>17.0</v>
      </c>
      <c r="K751" s="12">
        <v>44413.0</v>
      </c>
      <c r="L751" s="12"/>
      <c r="M751" s="11">
        <v>678602.0</v>
      </c>
      <c r="N751" s="11" t="s">
        <v>1560</v>
      </c>
      <c r="O751" s="13"/>
      <c r="P751" s="11">
        <v>0.0</v>
      </c>
      <c r="Q751" s="14">
        <v>0.0</v>
      </c>
      <c r="R751" s="11">
        <v>1.0</v>
      </c>
      <c r="S751">
        <f t="shared" si="1"/>
        <v>2019</v>
      </c>
      <c r="T751">
        <f t="shared" si="2"/>
        <v>6</v>
      </c>
      <c r="U751">
        <f t="shared" si="3"/>
        <v>1</v>
      </c>
      <c r="AG751" s="15"/>
      <c r="AH751" s="16"/>
      <c r="AM751" s="15"/>
      <c r="AN751" s="16"/>
    </row>
    <row r="752">
      <c r="A752" s="13" t="s">
        <v>1561</v>
      </c>
      <c r="B752" s="10">
        <v>43617.0</v>
      </c>
      <c r="C752" s="11" t="s">
        <v>52</v>
      </c>
      <c r="D752" s="11" t="s">
        <v>88</v>
      </c>
      <c r="E752" s="11" t="s">
        <v>39</v>
      </c>
      <c r="F752" s="11" t="s">
        <v>40</v>
      </c>
      <c r="G752" s="11" t="s">
        <v>45</v>
      </c>
      <c r="H752" s="11" t="s">
        <v>566</v>
      </c>
      <c r="I752" s="11" t="s">
        <v>645</v>
      </c>
      <c r="J752" s="11">
        <v>22.0</v>
      </c>
      <c r="K752" s="12">
        <v>44304.0</v>
      </c>
      <c r="L752" s="11">
        <f t="shared" ref="L752:L754" si="77">ROUND(((K752-B752)/365)*12,0)</f>
        <v>23</v>
      </c>
      <c r="M752" s="11">
        <v>656981.0</v>
      </c>
      <c r="N752" s="11">
        <v>20476.0</v>
      </c>
      <c r="O752" s="13"/>
      <c r="P752" s="11">
        <v>0.0</v>
      </c>
      <c r="Q752" s="14">
        <v>0.0</v>
      </c>
      <c r="R752" s="11">
        <v>1.0</v>
      </c>
      <c r="S752">
        <f t="shared" si="1"/>
        <v>2019</v>
      </c>
      <c r="T752">
        <f t="shared" si="2"/>
        <v>6</v>
      </c>
      <c r="U752">
        <f t="shared" si="3"/>
        <v>1</v>
      </c>
      <c r="V752" s="17"/>
      <c r="AG752" s="15"/>
      <c r="AH752" s="16"/>
      <c r="AM752" s="15"/>
      <c r="AN752" s="16"/>
    </row>
    <row r="753">
      <c r="A753" s="13" t="s">
        <v>1562</v>
      </c>
      <c r="B753" s="10">
        <v>43617.0</v>
      </c>
      <c r="C753" s="11" t="s">
        <v>346</v>
      </c>
      <c r="D753" s="11" t="s">
        <v>97</v>
      </c>
      <c r="E753" s="11" t="s">
        <v>39</v>
      </c>
      <c r="F753" s="11" t="s">
        <v>40</v>
      </c>
      <c r="G753" s="11" t="s">
        <v>45</v>
      </c>
      <c r="H753" s="11" t="s">
        <v>735</v>
      </c>
      <c r="I753" s="11"/>
      <c r="J753" s="11">
        <v>20.0</v>
      </c>
      <c r="K753" s="12">
        <v>44321.0</v>
      </c>
      <c r="L753" s="11">
        <f t="shared" si="77"/>
        <v>23</v>
      </c>
      <c r="M753" s="11">
        <v>676191.0</v>
      </c>
      <c r="N753" s="11" t="s">
        <v>1563</v>
      </c>
      <c r="O753" s="13"/>
      <c r="P753" s="11">
        <v>0.0</v>
      </c>
      <c r="Q753" s="14">
        <v>0.0</v>
      </c>
      <c r="R753" s="11">
        <v>1.0</v>
      </c>
      <c r="S753">
        <f t="shared" si="1"/>
        <v>2019</v>
      </c>
      <c r="T753">
        <f t="shared" si="2"/>
        <v>6</v>
      </c>
      <c r="U753">
        <f t="shared" si="3"/>
        <v>1</v>
      </c>
      <c r="Z753" s="17">
        <v>44321.0</v>
      </c>
      <c r="AG753" s="15"/>
      <c r="AH753" s="16"/>
      <c r="AM753" s="15"/>
      <c r="AN753" s="16"/>
    </row>
    <row r="754">
      <c r="A754" s="13" t="s">
        <v>1564</v>
      </c>
      <c r="B754" s="10">
        <v>43617.0</v>
      </c>
      <c r="C754" s="11" t="s">
        <v>103</v>
      </c>
      <c r="D754" s="11" t="s">
        <v>88</v>
      </c>
      <c r="E754" s="11" t="s">
        <v>118</v>
      </c>
      <c r="F754" s="11" t="s">
        <v>64</v>
      </c>
      <c r="G754" s="11" t="s">
        <v>45</v>
      </c>
      <c r="H754" s="11" t="s">
        <v>163</v>
      </c>
      <c r="I754" s="11"/>
      <c r="J754" s="11">
        <v>20.0</v>
      </c>
      <c r="K754" s="12">
        <v>44290.0</v>
      </c>
      <c r="L754" s="11">
        <f t="shared" si="77"/>
        <v>22</v>
      </c>
      <c r="M754" s="11">
        <v>668731.0</v>
      </c>
      <c r="N754" s="11">
        <v>22168.0</v>
      </c>
      <c r="O754" s="13"/>
      <c r="P754" s="11">
        <v>0.0</v>
      </c>
      <c r="Q754" s="14">
        <v>0.0</v>
      </c>
      <c r="R754" s="11">
        <v>1.0</v>
      </c>
      <c r="S754">
        <f t="shared" si="1"/>
        <v>2019</v>
      </c>
      <c r="T754">
        <f t="shared" si="2"/>
        <v>6</v>
      </c>
      <c r="U754">
        <f t="shared" si="3"/>
        <v>1</v>
      </c>
      <c r="AG754" s="15"/>
      <c r="AH754" s="16"/>
      <c r="AM754" s="15"/>
      <c r="AN754" s="16"/>
    </row>
    <row r="755">
      <c r="A755" s="13" t="s">
        <v>1565</v>
      </c>
      <c r="B755" s="10">
        <v>43617.0</v>
      </c>
      <c r="C755" s="11" t="s">
        <v>274</v>
      </c>
      <c r="D755" s="11" t="s">
        <v>97</v>
      </c>
      <c r="E755" s="11" t="s">
        <v>279</v>
      </c>
      <c r="F755" s="11" t="s">
        <v>40</v>
      </c>
      <c r="G755" s="11" t="s">
        <v>41</v>
      </c>
      <c r="H755" s="11"/>
      <c r="I755" s="11"/>
      <c r="J755" s="11">
        <v>23.0</v>
      </c>
      <c r="K755" s="12"/>
      <c r="L755" s="12"/>
      <c r="M755" s="11">
        <v>642286.0</v>
      </c>
      <c r="N755" s="11" t="s">
        <v>1566</v>
      </c>
      <c r="O755" s="13"/>
      <c r="P755" s="11">
        <v>0.0</v>
      </c>
      <c r="Q755" s="14">
        <v>0.0</v>
      </c>
      <c r="R755" s="11">
        <v>0.0</v>
      </c>
      <c r="S755">
        <f t="shared" si="1"/>
        <v>2019</v>
      </c>
      <c r="T755">
        <f t="shared" si="2"/>
        <v>6</v>
      </c>
      <c r="U755">
        <f t="shared" si="3"/>
        <v>1</v>
      </c>
      <c r="AG755" s="15"/>
      <c r="AH755" s="16"/>
      <c r="AM755" s="15"/>
      <c r="AN755" s="16"/>
    </row>
    <row r="756">
      <c r="A756" s="13" t="s">
        <v>1567</v>
      </c>
      <c r="B756" s="10">
        <v>43617.0</v>
      </c>
      <c r="C756" s="11" t="s">
        <v>150</v>
      </c>
      <c r="D756" s="11" t="s">
        <v>77</v>
      </c>
      <c r="E756" s="11" t="s">
        <v>39</v>
      </c>
      <c r="F756" s="11" t="s">
        <v>40</v>
      </c>
      <c r="G756" s="11" t="s">
        <v>45</v>
      </c>
      <c r="H756" s="11" t="s">
        <v>67</v>
      </c>
      <c r="I756" s="11" t="s">
        <v>1568</v>
      </c>
      <c r="J756" s="11">
        <v>24.0</v>
      </c>
      <c r="K756" s="12">
        <v>44754.0</v>
      </c>
      <c r="L756" s="11">
        <f>ROUND(((K756-B756)/365)*12,0)</f>
        <v>37</v>
      </c>
      <c r="M756" s="11">
        <v>670422.0</v>
      </c>
      <c r="N756" s="11" t="s">
        <v>1569</v>
      </c>
      <c r="O756" s="13"/>
      <c r="P756" s="11">
        <v>0.0</v>
      </c>
      <c r="Q756" s="14">
        <v>0.0</v>
      </c>
      <c r="R756" s="11">
        <v>1.0</v>
      </c>
      <c r="S756">
        <f t="shared" si="1"/>
        <v>2019</v>
      </c>
      <c r="T756">
        <f t="shared" si="2"/>
        <v>6</v>
      </c>
      <c r="U756">
        <f t="shared" si="3"/>
        <v>1</v>
      </c>
      <c r="Z756" s="17">
        <v>44733.0</v>
      </c>
      <c r="AG756" s="15"/>
      <c r="AH756" s="16"/>
      <c r="AM756" s="15"/>
      <c r="AN756" s="16"/>
    </row>
    <row r="757">
      <c r="A757" s="13" t="s">
        <v>1570</v>
      </c>
      <c r="B757" s="10">
        <v>43615.0</v>
      </c>
      <c r="C757" s="11" t="s">
        <v>55</v>
      </c>
      <c r="D757" s="11" t="s">
        <v>221</v>
      </c>
      <c r="E757" s="11" t="s">
        <v>39</v>
      </c>
      <c r="F757" s="11" t="s">
        <v>40</v>
      </c>
      <c r="G757" s="11" t="s">
        <v>41</v>
      </c>
      <c r="H757" s="11"/>
      <c r="I757" s="11"/>
      <c r="J757" s="11">
        <v>20.0</v>
      </c>
      <c r="K757" s="12"/>
      <c r="L757" s="12"/>
      <c r="M757" s="11">
        <v>681607.0</v>
      </c>
      <c r="N757" s="11" t="s">
        <v>1571</v>
      </c>
      <c r="O757" s="13"/>
      <c r="P757" s="11">
        <v>0.0</v>
      </c>
      <c r="Q757" s="14">
        <v>0.0</v>
      </c>
      <c r="R757" s="11">
        <v>0.0</v>
      </c>
      <c r="S757">
        <f t="shared" si="1"/>
        <v>2019</v>
      </c>
      <c r="T757">
        <f t="shared" si="2"/>
        <v>5</v>
      </c>
      <c r="U757">
        <f t="shared" si="3"/>
        <v>30</v>
      </c>
      <c r="AG757" s="15"/>
      <c r="AH757" s="16"/>
      <c r="AM757" s="15"/>
      <c r="AN757" s="16"/>
    </row>
    <row r="758">
      <c r="A758" s="13" t="s">
        <v>1572</v>
      </c>
      <c r="B758" s="10">
        <v>43614.0</v>
      </c>
      <c r="C758" s="11" t="s">
        <v>167</v>
      </c>
      <c r="D758" s="11" t="s">
        <v>58</v>
      </c>
      <c r="E758" s="11" t="s">
        <v>39</v>
      </c>
      <c r="F758" s="11" t="s">
        <v>40</v>
      </c>
      <c r="G758" s="11" t="s">
        <v>45</v>
      </c>
      <c r="H758" s="11" t="s">
        <v>56</v>
      </c>
      <c r="I758" s="11" t="s">
        <v>1573</v>
      </c>
      <c r="J758" s="11">
        <v>25.0</v>
      </c>
      <c r="K758" s="12"/>
      <c r="L758" s="12"/>
      <c r="M758" s="11">
        <v>670061.0</v>
      </c>
      <c r="N758" s="11" t="s">
        <v>1574</v>
      </c>
      <c r="O758" s="13" t="s">
        <v>42</v>
      </c>
      <c r="P758" s="11">
        <v>0.0</v>
      </c>
      <c r="Q758" s="14">
        <v>0.0</v>
      </c>
      <c r="R758" s="11">
        <v>0.0</v>
      </c>
      <c r="S758">
        <f t="shared" si="1"/>
        <v>2019</v>
      </c>
      <c r="T758">
        <f t="shared" si="2"/>
        <v>5</v>
      </c>
      <c r="U758">
        <f t="shared" si="3"/>
        <v>29</v>
      </c>
      <c r="AG758" s="15"/>
      <c r="AH758" s="16"/>
      <c r="AM758" s="15"/>
      <c r="AN758" s="16"/>
    </row>
    <row r="759">
      <c r="A759" s="13" t="s">
        <v>1575</v>
      </c>
      <c r="B759" s="10">
        <v>43614.0</v>
      </c>
      <c r="C759" s="11" t="s">
        <v>103</v>
      </c>
      <c r="D759" s="11" t="s">
        <v>77</v>
      </c>
      <c r="E759" s="11" t="s">
        <v>39</v>
      </c>
      <c r="F759" s="11" t="s">
        <v>40</v>
      </c>
      <c r="G759" s="11" t="s">
        <v>45</v>
      </c>
      <c r="H759" s="11" t="s">
        <v>67</v>
      </c>
      <c r="I759" s="11" t="s">
        <v>1576</v>
      </c>
      <c r="J759" s="11">
        <v>24.0</v>
      </c>
      <c r="K759" s="12">
        <v>44290.0</v>
      </c>
      <c r="L759" s="11">
        <f>ROUND(((K759-B759)/365)*12,0)</f>
        <v>22</v>
      </c>
      <c r="M759" s="11">
        <v>669330.0</v>
      </c>
      <c r="N759" s="11">
        <v>20000.0</v>
      </c>
      <c r="O759" s="13" t="s">
        <v>42</v>
      </c>
      <c r="P759" s="11">
        <v>0.0</v>
      </c>
      <c r="Q759" s="14">
        <v>0.0</v>
      </c>
      <c r="R759" s="11">
        <v>1.0</v>
      </c>
      <c r="S759">
        <f t="shared" si="1"/>
        <v>2019</v>
      </c>
      <c r="T759">
        <f t="shared" si="2"/>
        <v>5</v>
      </c>
      <c r="U759">
        <f t="shared" si="3"/>
        <v>29</v>
      </c>
      <c r="V759" s="17">
        <v>43852.0</v>
      </c>
      <c r="AG759" s="15"/>
      <c r="AH759" s="16"/>
      <c r="AM759" s="15"/>
      <c r="AN759" s="16"/>
    </row>
    <row r="760">
      <c r="A760" s="13" t="s">
        <v>1577</v>
      </c>
      <c r="B760" s="10">
        <v>43606.0</v>
      </c>
      <c r="C760" s="11" t="s">
        <v>83</v>
      </c>
      <c r="D760" s="11" t="s">
        <v>77</v>
      </c>
      <c r="E760" s="11" t="s">
        <v>39</v>
      </c>
      <c r="F760" s="11" t="s">
        <v>40</v>
      </c>
      <c r="G760" s="11" t="s">
        <v>45</v>
      </c>
      <c r="H760" s="11" t="s">
        <v>236</v>
      </c>
      <c r="I760" s="11" t="s">
        <v>1578</v>
      </c>
      <c r="J760" s="11">
        <v>27.0</v>
      </c>
      <c r="K760" s="12"/>
      <c r="L760" s="30"/>
      <c r="M760" s="11">
        <v>592296.0</v>
      </c>
      <c r="N760" s="11" t="s">
        <v>1579</v>
      </c>
      <c r="O760" s="13" t="s">
        <v>1332</v>
      </c>
      <c r="P760" s="11">
        <v>0.0</v>
      </c>
      <c r="Q760" s="14">
        <v>0.0</v>
      </c>
      <c r="R760" s="11">
        <v>0.0</v>
      </c>
      <c r="S760">
        <f t="shared" si="1"/>
        <v>2019</v>
      </c>
      <c r="T760">
        <f t="shared" si="2"/>
        <v>5</v>
      </c>
      <c r="U760">
        <f t="shared" si="3"/>
        <v>21</v>
      </c>
      <c r="AG760" s="15"/>
      <c r="AH760" s="16"/>
      <c r="AM760" s="15"/>
      <c r="AN760" s="16"/>
    </row>
    <row r="761">
      <c r="A761" s="13" t="s">
        <v>1580</v>
      </c>
      <c r="B761" s="10">
        <v>43605.0</v>
      </c>
      <c r="C761" s="11" t="s">
        <v>156</v>
      </c>
      <c r="D761" s="11" t="s">
        <v>77</v>
      </c>
      <c r="E761" s="11" t="s">
        <v>118</v>
      </c>
      <c r="F761" s="11" t="s">
        <v>40</v>
      </c>
      <c r="G761" s="11" t="s">
        <v>45</v>
      </c>
      <c r="H761" s="11" t="s">
        <v>258</v>
      </c>
      <c r="I761" s="11" t="s">
        <v>133</v>
      </c>
      <c r="J761" s="11">
        <v>24.0</v>
      </c>
      <c r="K761" s="12">
        <v>44320.0</v>
      </c>
      <c r="L761" s="11">
        <f>ROUND(((K761-B761)/365)*12,0)</f>
        <v>24</v>
      </c>
      <c r="M761" s="11">
        <v>624416.0</v>
      </c>
      <c r="N761" s="11" t="s">
        <v>1581</v>
      </c>
      <c r="O761" s="13"/>
      <c r="P761" s="11">
        <v>0.0</v>
      </c>
      <c r="Q761" s="14">
        <v>0.0</v>
      </c>
      <c r="R761" s="11">
        <v>1.0</v>
      </c>
      <c r="S761">
        <f t="shared" si="1"/>
        <v>2019</v>
      </c>
      <c r="T761">
        <f t="shared" si="2"/>
        <v>5</v>
      </c>
      <c r="U761">
        <f t="shared" si="3"/>
        <v>20</v>
      </c>
      <c r="Z761" s="17">
        <v>44320.0</v>
      </c>
      <c r="AG761" s="15"/>
      <c r="AH761" s="16"/>
      <c r="AM761" s="15"/>
      <c r="AN761" s="16"/>
    </row>
    <row r="762">
      <c r="A762" s="13" t="s">
        <v>1582</v>
      </c>
      <c r="B762" s="10">
        <v>43601.0</v>
      </c>
      <c r="C762" s="11" t="s">
        <v>55</v>
      </c>
      <c r="D762" s="11" t="s">
        <v>221</v>
      </c>
      <c r="E762" s="11" t="s">
        <v>39</v>
      </c>
      <c r="F762" s="11" t="s">
        <v>40</v>
      </c>
      <c r="G762" s="11" t="s">
        <v>45</v>
      </c>
      <c r="H762" s="11" t="s">
        <v>182</v>
      </c>
      <c r="I762" s="11" t="s">
        <v>452</v>
      </c>
      <c r="J762" s="11">
        <v>23.0</v>
      </c>
      <c r="K762" s="12"/>
      <c r="L762" s="12"/>
      <c r="M762" s="11">
        <v>682444.0</v>
      </c>
      <c r="N762" s="11" t="s">
        <v>1583</v>
      </c>
      <c r="O762" s="13"/>
      <c r="P762" s="11">
        <v>0.0</v>
      </c>
      <c r="Q762" s="14">
        <v>0.0</v>
      </c>
      <c r="R762" s="11">
        <v>0.0</v>
      </c>
      <c r="S762">
        <f t="shared" si="1"/>
        <v>2019</v>
      </c>
      <c r="T762">
        <f t="shared" si="2"/>
        <v>5</v>
      </c>
      <c r="U762">
        <f t="shared" si="3"/>
        <v>16</v>
      </c>
      <c r="AG762" s="15"/>
      <c r="AH762" s="16"/>
      <c r="AM762" s="15"/>
      <c r="AN762" s="16"/>
    </row>
    <row r="763">
      <c r="A763" s="13" t="s">
        <v>1584</v>
      </c>
      <c r="B763" s="10">
        <v>43600.0</v>
      </c>
      <c r="C763" s="11" t="s">
        <v>143</v>
      </c>
      <c r="D763" s="11" t="s">
        <v>38</v>
      </c>
      <c r="E763" s="11" t="s">
        <v>39</v>
      </c>
      <c r="F763" s="11" t="s">
        <v>64</v>
      </c>
      <c r="G763" s="11" t="s">
        <v>45</v>
      </c>
      <c r="H763" s="11" t="s">
        <v>127</v>
      </c>
      <c r="I763" s="11" t="s">
        <v>359</v>
      </c>
      <c r="J763" s="11">
        <v>26.0</v>
      </c>
      <c r="K763" s="12">
        <v>44040.0</v>
      </c>
      <c r="L763" s="11">
        <f t="shared" ref="L763:L766" si="78">ROUND(((K763-B763)/365)*12,0)</f>
        <v>14</v>
      </c>
      <c r="M763" s="11">
        <v>607074.0</v>
      </c>
      <c r="N763" s="11">
        <v>16137.0</v>
      </c>
      <c r="O763" s="13" t="s">
        <v>69</v>
      </c>
      <c r="P763" s="11">
        <v>0.0</v>
      </c>
      <c r="Q763" s="14">
        <v>0.0</v>
      </c>
      <c r="R763" s="11">
        <v>1.0</v>
      </c>
      <c r="S763">
        <f t="shared" si="1"/>
        <v>2019</v>
      </c>
      <c r="T763">
        <f t="shared" si="2"/>
        <v>5</v>
      </c>
      <c r="U763">
        <f t="shared" si="3"/>
        <v>15</v>
      </c>
      <c r="AG763" s="15"/>
      <c r="AH763" s="16"/>
      <c r="AM763" s="15"/>
      <c r="AN763" s="16"/>
    </row>
    <row r="764">
      <c r="A764" s="13" t="s">
        <v>1585</v>
      </c>
      <c r="B764" s="10">
        <v>43600.0</v>
      </c>
      <c r="C764" s="11" t="s">
        <v>44</v>
      </c>
      <c r="D764" s="11" t="s">
        <v>221</v>
      </c>
      <c r="E764" s="11" t="s">
        <v>39</v>
      </c>
      <c r="F764" s="11" t="s">
        <v>40</v>
      </c>
      <c r="G764" s="11" t="s">
        <v>45</v>
      </c>
      <c r="H764" s="11" t="s">
        <v>59</v>
      </c>
      <c r="I764" s="11"/>
      <c r="J764" s="11">
        <v>18.0</v>
      </c>
      <c r="K764" s="12">
        <v>44325.0</v>
      </c>
      <c r="L764" s="11">
        <f t="shared" si="78"/>
        <v>24</v>
      </c>
      <c r="M764" s="11">
        <v>678013.0</v>
      </c>
      <c r="N764" s="11" t="s">
        <v>1586</v>
      </c>
      <c r="O764" s="13" t="s">
        <v>42</v>
      </c>
      <c r="P764" s="11">
        <v>0.0</v>
      </c>
      <c r="Q764" s="14">
        <v>0.0</v>
      </c>
      <c r="R764" s="11">
        <v>1.0</v>
      </c>
      <c r="S764">
        <f t="shared" si="1"/>
        <v>2019</v>
      </c>
      <c r="T764">
        <f t="shared" si="2"/>
        <v>5</v>
      </c>
      <c r="U764">
        <f t="shared" si="3"/>
        <v>15</v>
      </c>
      <c r="V764" s="17">
        <v>43761.0</v>
      </c>
      <c r="Z764" s="17">
        <v>44325.0</v>
      </c>
      <c r="AG764" s="15"/>
      <c r="AH764" s="16"/>
      <c r="AM764" s="15"/>
      <c r="AN764" s="16"/>
    </row>
    <row r="765">
      <c r="A765" s="13" t="s">
        <v>1587</v>
      </c>
      <c r="B765" s="10">
        <v>43600.0</v>
      </c>
      <c r="C765" s="11" t="s">
        <v>186</v>
      </c>
      <c r="D765" s="11" t="s">
        <v>709</v>
      </c>
      <c r="E765" s="11" t="s">
        <v>39</v>
      </c>
      <c r="F765" s="11" t="s">
        <v>64</v>
      </c>
      <c r="G765" s="11" t="s">
        <v>45</v>
      </c>
      <c r="H765" s="11" t="s">
        <v>84</v>
      </c>
      <c r="I765" s="11"/>
      <c r="J765" s="11">
        <v>21.0</v>
      </c>
      <c r="K765" s="12">
        <v>44321.0</v>
      </c>
      <c r="L765" s="11">
        <f t="shared" si="78"/>
        <v>24</v>
      </c>
      <c r="M765" s="11">
        <v>666142.0</v>
      </c>
      <c r="N765" s="11">
        <v>21846.0</v>
      </c>
      <c r="O765" s="13" t="s">
        <v>42</v>
      </c>
      <c r="P765" s="11">
        <v>0.0</v>
      </c>
      <c r="Q765" s="14">
        <v>0.0</v>
      </c>
      <c r="R765" s="11">
        <v>1.0</v>
      </c>
      <c r="S765">
        <f t="shared" si="1"/>
        <v>2019</v>
      </c>
      <c r="T765">
        <f t="shared" si="2"/>
        <v>5</v>
      </c>
      <c r="U765">
        <f t="shared" si="3"/>
        <v>15</v>
      </c>
      <c r="Z765" s="17">
        <v>44321.0</v>
      </c>
      <c r="AG765" s="15"/>
      <c r="AH765" s="16"/>
      <c r="AM765" s="15"/>
      <c r="AN765" s="16"/>
    </row>
    <row r="766">
      <c r="A766" s="13" t="s">
        <v>1588</v>
      </c>
      <c r="B766" s="10">
        <v>43599.0</v>
      </c>
      <c r="C766" s="11" t="s">
        <v>138</v>
      </c>
      <c r="D766" s="11" t="s">
        <v>77</v>
      </c>
      <c r="E766" s="11" t="s">
        <v>39</v>
      </c>
      <c r="F766" s="11" t="s">
        <v>40</v>
      </c>
      <c r="G766" s="11" t="s">
        <v>194</v>
      </c>
      <c r="H766" s="11"/>
      <c r="I766" s="11"/>
      <c r="J766" s="11">
        <v>22.0</v>
      </c>
      <c r="K766" s="12">
        <v>44289.0</v>
      </c>
      <c r="L766" s="11">
        <f t="shared" si="78"/>
        <v>23</v>
      </c>
      <c r="M766" s="11">
        <v>647315.0</v>
      </c>
      <c r="N766" s="11">
        <v>20185.0</v>
      </c>
      <c r="O766" s="13" t="s">
        <v>761</v>
      </c>
      <c r="P766" s="11">
        <v>0.0</v>
      </c>
      <c r="Q766" s="14">
        <v>0.0</v>
      </c>
      <c r="R766" s="11">
        <v>1.0</v>
      </c>
      <c r="S766">
        <f t="shared" si="1"/>
        <v>2019</v>
      </c>
      <c r="T766">
        <f t="shared" si="2"/>
        <v>5</v>
      </c>
      <c r="U766">
        <f t="shared" si="3"/>
        <v>14</v>
      </c>
      <c r="AG766" s="15"/>
      <c r="AH766" s="16"/>
      <c r="AM766" s="15"/>
      <c r="AN766" s="16"/>
    </row>
    <row r="767">
      <c r="A767" s="13" t="s">
        <v>1589</v>
      </c>
      <c r="B767" s="10">
        <v>43593.0</v>
      </c>
      <c r="C767" s="11" t="s">
        <v>150</v>
      </c>
      <c r="D767" s="11" t="s">
        <v>88</v>
      </c>
      <c r="E767" s="11" t="s">
        <v>39</v>
      </c>
      <c r="F767" s="11" t="s">
        <v>64</v>
      </c>
      <c r="G767" s="11" t="s">
        <v>45</v>
      </c>
      <c r="H767" s="11" t="s">
        <v>59</v>
      </c>
      <c r="I767" s="11"/>
      <c r="J767" s="11">
        <v>21.0</v>
      </c>
      <c r="K767" s="12"/>
      <c r="L767" s="12"/>
      <c r="M767" s="11">
        <v>669925.0</v>
      </c>
      <c r="N767" s="11" t="s">
        <v>1590</v>
      </c>
      <c r="O767" s="13" t="s">
        <v>1591</v>
      </c>
      <c r="P767" s="11">
        <v>0.0</v>
      </c>
      <c r="Q767" s="14">
        <v>0.0</v>
      </c>
      <c r="R767" s="11">
        <v>0.0</v>
      </c>
      <c r="S767">
        <f t="shared" si="1"/>
        <v>2019</v>
      </c>
      <c r="T767">
        <f t="shared" si="2"/>
        <v>5</v>
      </c>
      <c r="U767">
        <f t="shared" si="3"/>
        <v>8</v>
      </c>
      <c r="AG767" s="15"/>
      <c r="AH767" s="16"/>
      <c r="AM767" s="15"/>
      <c r="AN767" s="16"/>
    </row>
    <row r="768">
      <c r="A768" s="13" t="s">
        <v>1592</v>
      </c>
      <c r="B768" s="17">
        <v>43587.0</v>
      </c>
      <c r="C768" s="11" t="s">
        <v>274</v>
      </c>
      <c r="D768" s="11" t="s">
        <v>93</v>
      </c>
      <c r="E768" s="11" t="s">
        <v>982</v>
      </c>
      <c r="F768" s="11" t="s">
        <v>40</v>
      </c>
      <c r="G768" s="11" t="s">
        <v>45</v>
      </c>
      <c r="H768" s="11" t="s">
        <v>67</v>
      </c>
      <c r="I768" s="11" t="s">
        <v>925</v>
      </c>
      <c r="J768" s="11">
        <v>21.0</v>
      </c>
      <c r="K768" s="12">
        <v>44321.0</v>
      </c>
      <c r="L768" s="12"/>
      <c r="M768" s="11">
        <v>684541.0</v>
      </c>
      <c r="N768" s="11" t="s">
        <v>1593</v>
      </c>
      <c r="O768" s="13"/>
      <c r="P768" s="11">
        <v>0.0</v>
      </c>
      <c r="Q768" s="14">
        <v>0.0</v>
      </c>
      <c r="R768" s="11">
        <v>1.0</v>
      </c>
      <c r="S768">
        <f t="shared" si="1"/>
        <v>2019</v>
      </c>
      <c r="T768">
        <f t="shared" si="2"/>
        <v>5</v>
      </c>
      <c r="U768">
        <f t="shared" si="3"/>
        <v>2</v>
      </c>
      <c r="AG768" s="15"/>
      <c r="AH768" s="16"/>
      <c r="AM768" s="15"/>
      <c r="AN768" s="16"/>
    </row>
    <row r="769">
      <c r="A769" s="13" t="s">
        <v>1594</v>
      </c>
      <c r="B769" s="10">
        <v>43586.0</v>
      </c>
      <c r="C769" s="11" t="s">
        <v>72</v>
      </c>
      <c r="D769" s="11" t="s">
        <v>88</v>
      </c>
      <c r="E769" s="11" t="s">
        <v>39</v>
      </c>
      <c r="F769" s="11" t="s">
        <v>40</v>
      </c>
      <c r="G769" s="11" t="s">
        <v>45</v>
      </c>
      <c r="H769" s="11" t="s">
        <v>451</v>
      </c>
      <c r="I769" s="11" t="s">
        <v>179</v>
      </c>
      <c r="J769" s="11">
        <v>24.0</v>
      </c>
      <c r="K769" s="12">
        <v>44322.0</v>
      </c>
      <c r="L769" s="11">
        <f>ROUND(((K769-B769)/365)*12,0)</f>
        <v>24</v>
      </c>
      <c r="M769" s="11">
        <v>642141.0</v>
      </c>
      <c r="N769" s="11" t="s">
        <v>1595</v>
      </c>
      <c r="O769" s="13" t="s">
        <v>761</v>
      </c>
      <c r="P769" s="11">
        <v>0.0</v>
      </c>
      <c r="Q769" s="14">
        <v>0.0</v>
      </c>
      <c r="R769" s="11">
        <v>1.0</v>
      </c>
      <c r="S769">
        <f t="shared" si="1"/>
        <v>2019</v>
      </c>
      <c r="T769">
        <f t="shared" si="2"/>
        <v>5</v>
      </c>
      <c r="U769">
        <f t="shared" si="3"/>
        <v>1</v>
      </c>
      <c r="Z769" s="17">
        <v>44322.0</v>
      </c>
      <c r="AG769" s="15"/>
      <c r="AH769" s="16"/>
      <c r="AM769" s="15"/>
      <c r="AN769" s="16"/>
    </row>
    <row r="770">
      <c r="A770" s="13" t="s">
        <v>1596</v>
      </c>
      <c r="B770" s="10">
        <v>43586.0</v>
      </c>
      <c r="C770" s="11" t="s">
        <v>44</v>
      </c>
      <c r="D770" s="11" t="s">
        <v>93</v>
      </c>
      <c r="E770" s="11" t="s">
        <v>39</v>
      </c>
      <c r="F770" s="11" t="s">
        <v>40</v>
      </c>
      <c r="G770" s="11" t="s">
        <v>45</v>
      </c>
      <c r="H770" s="11" t="s">
        <v>127</v>
      </c>
      <c r="I770" s="11" t="s">
        <v>1159</v>
      </c>
      <c r="J770" s="11">
        <v>21.0</v>
      </c>
      <c r="K770" s="12">
        <v>44325.0</v>
      </c>
      <c r="L770" s="12"/>
      <c r="M770" s="11">
        <v>668998.0</v>
      </c>
      <c r="N770" s="11" t="s">
        <v>1597</v>
      </c>
      <c r="O770" s="13"/>
      <c r="P770" s="11">
        <v>0.0</v>
      </c>
      <c r="Q770" s="14">
        <v>0.0</v>
      </c>
      <c r="R770" s="11">
        <v>1.0</v>
      </c>
      <c r="S770">
        <f t="shared" si="1"/>
        <v>2019</v>
      </c>
      <c r="T770">
        <f t="shared" si="2"/>
        <v>5</v>
      </c>
      <c r="U770">
        <f t="shared" si="3"/>
        <v>1</v>
      </c>
      <c r="Y770" s="17">
        <v>44061.0</v>
      </c>
      <c r="AG770" s="15"/>
      <c r="AH770" s="16"/>
      <c r="AM770" s="15"/>
      <c r="AN770" s="16"/>
    </row>
    <row r="771">
      <c r="A771" s="13" t="s">
        <v>1598</v>
      </c>
      <c r="B771" s="10">
        <v>43586.0</v>
      </c>
      <c r="C771" s="11" t="s">
        <v>111</v>
      </c>
      <c r="D771" s="11" t="s">
        <v>93</v>
      </c>
      <c r="E771" s="11" t="s">
        <v>39</v>
      </c>
      <c r="F771" s="11" t="s">
        <v>64</v>
      </c>
      <c r="G771" s="11" t="s">
        <v>45</v>
      </c>
      <c r="H771" s="11" t="s">
        <v>163</v>
      </c>
      <c r="I771" s="11" t="s">
        <v>1599</v>
      </c>
      <c r="J771" s="11">
        <v>20.0</v>
      </c>
      <c r="K771" s="12">
        <v>44659.0</v>
      </c>
      <c r="L771" s="11"/>
      <c r="M771" s="11">
        <v>676428.0</v>
      </c>
      <c r="N771" s="11">
        <v>30133.0</v>
      </c>
      <c r="O771" s="13"/>
      <c r="P771" s="11">
        <v>0.0</v>
      </c>
      <c r="Q771" s="14">
        <v>0.0</v>
      </c>
      <c r="R771" s="11">
        <v>1.0</v>
      </c>
      <c r="S771">
        <f t="shared" si="1"/>
        <v>2019</v>
      </c>
      <c r="T771">
        <f t="shared" si="2"/>
        <v>5</v>
      </c>
      <c r="U771">
        <f t="shared" si="3"/>
        <v>1</v>
      </c>
      <c r="Z771" s="17">
        <v>44659.0</v>
      </c>
      <c r="AG771" s="15"/>
      <c r="AH771" s="16"/>
      <c r="AM771" s="15"/>
      <c r="AN771" s="16"/>
    </row>
    <row r="772">
      <c r="A772" s="13" t="s">
        <v>1600</v>
      </c>
      <c r="B772" s="10">
        <v>43586.0</v>
      </c>
      <c r="C772" s="11" t="s">
        <v>103</v>
      </c>
      <c r="D772" s="11" t="s">
        <v>93</v>
      </c>
      <c r="E772" s="11" t="s">
        <v>39</v>
      </c>
      <c r="F772" s="11" t="s">
        <v>40</v>
      </c>
      <c r="G772" s="11" t="s">
        <v>45</v>
      </c>
      <c r="H772" s="11" t="s">
        <v>139</v>
      </c>
      <c r="I772" s="11" t="s">
        <v>851</v>
      </c>
      <c r="J772" s="11">
        <v>21.0</v>
      </c>
      <c r="K772" s="12">
        <v>44322.0</v>
      </c>
      <c r="L772" s="12"/>
      <c r="M772" s="11">
        <v>668855.0</v>
      </c>
      <c r="N772" s="11" t="s">
        <v>1601</v>
      </c>
      <c r="O772" s="13"/>
      <c r="P772" s="11">
        <v>0.0</v>
      </c>
      <c r="Q772" s="14">
        <v>0.0</v>
      </c>
      <c r="R772" s="11">
        <v>1.0</v>
      </c>
      <c r="S772">
        <f t="shared" si="1"/>
        <v>2019</v>
      </c>
      <c r="T772">
        <f t="shared" si="2"/>
        <v>5</v>
      </c>
      <c r="U772">
        <f t="shared" si="3"/>
        <v>1</v>
      </c>
      <c r="AG772" s="15"/>
      <c r="AH772" s="16"/>
      <c r="AM772" s="15"/>
      <c r="AN772" s="16"/>
    </row>
    <row r="773">
      <c r="A773" s="13" t="s">
        <v>1602</v>
      </c>
      <c r="B773" s="10">
        <v>43586.0</v>
      </c>
      <c r="C773" s="11" t="s">
        <v>150</v>
      </c>
      <c r="D773" s="11" t="s">
        <v>97</v>
      </c>
      <c r="E773" s="11" t="s">
        <v>39</v>
      </c>
      <c r="F773" s="11" t="s">
        <v>40</v>
      </c>
      <c r="G773" s="11" t="s">
        <v>45</v>
      </c>
      <c r="H773" s="11" t="s">
        <v>59</v>
      </c>
      <c r="I773" s="11"/>
      <c r="J773" s="11">
        <v>19.0</v>
      </c>
      <c r="K773" s="12">
        <v>44320.0</v>
      </c>
      <c r="L773" s="11">
        <f t="shared" ref="L773:L774" si="79">ROUND(((K773-B773)/365)*12,0)</f>
        <v>24</v>
      </c>
      <c r="M773" s="11">
        <v>676962.0</v>
      </c>
      <c r="N773" s="11">
        <v>23590.0</v>
      </c>
      <c r="O773" s="13"/>
      <c r="P773" s="11">
        <v>0.0</v>
      </c>
      <c r="Q773" s="14">
        <v>0.0</v>
      </c>
      <c r="R773" s="11">
        <v>1.0</v>
      </c>
      <c r="S773">
        <f t="shared" si="1"/>
        <v>2019</v>
      </c>
      <c r="T773">
        <f t="shared" si="2"/>
        <v>5</v>
      </c>
      <c r="U773">
        <f t="shared" si="3"/>
        <v>1</v>
      </c>
      <c r="Z773" s="17">
        <v>44320.0</v>
      </c>
      <c r="AG773" s="15"/>
      <c r="AH773" s="16"/>
      <c r="AM773" s="15"/>
      <c r="AN773" s="16"/>
    </row>
    <row r="774">
      <c r="A774" s="13" t="s">
        <v>1603</v>
      </c>
      <c r="B774" s="10">
        <v>43586.0</v>
      </c>
      <c r="C774" s="11" t="s">
        <v>230</v>
      </c>
      <c r="D774" s="11" t="s">
        <v>97</v>
      </c>
      <c r="E774" s="11" t="s">
        <v>39</v>
      </c>
      <c r="F774" s="11" t="s">
        <v>40</v>
      </c>
      <c r="G774" s="11" t="s">
        <v>45</v>
      </c>
      <c r="H774" s="11" t="s">
        <v>133</v>
      </c>
      <c r="I774" s="11" t="s">
        <v>344</v>
      </c>
      <c r="J774" s="11">
        <v>21.0</v>
      </c>
      <c r="K774" s="12">
        <v>44320.0</v>
      </c>
      <c r="L774" s="11">
        <f t="shared" si="79"/>
        <v>24</v>
      </c>
      <c r="M774" s="11">
        <v>676510.0</v>
      </c>
      <c r="N774" s="11" t="s">
        <v>1604</v>
      </c>
      <c r="O774" s="13"/>
      <c r="P774" s="11">
        <v>0.0</v>
      </c>
      <c r="Q774" s="14">
        <v>0.0</v>
      </c>
      <c r="R774" s="11">
        <v>1.0</v>
      </c>
      <c r="S774">
        <f t="shared" si="1"/>
        <v>2019</v>
      </c>
      <c r="T774">
        <f t="shared" si="2"/>
        <v>5</v>
      </c>
      <c r="U774">
        <f t="shared" si="3"/>
        <v>1</v>
      </c>
      <c r="Z774" s="17">
        <v>44320.0</v>
      </c>
      <c r="AG774" s="15"/>
      <c r="AH774" s="16"/>
      <c r="AM774" s="15"/>
      <c r="AN774" s="16"/>
    </row>
    <row r="775">
      <c r="A775" s="13" t="s">
        <v>1605</v>
      </c>
      <c r="B775" s="10">
        <v>43586.0</v>
      </c>
      <c r="C775" s="11" t="s">
        <v>230</v>
      </c>
      <c r="D775" s="11" t="s">
        <v>97</v>
      </c>
      <c r="E775" s="11" t="s">
        <v>39</v>
      </c>
      <c r="F775" s="11" t="s">
        <v>40</v>
      </c>
      <c r="G775" s="11" t="s">
        <v>45</v>
      </c>
      <c r="H775" s="11" t="s">
        <v>566</v>
      </c>
      <c r="I775" s="11" t="s">
        <v>566</v>
      </c>
      <c r="J775" s="11">
        <v>23.0</v>
      </c>
      <c r="K775" s="12"/>
      <c r="L775" s="12"/>
      <c r="M775" s="11">
        <v>675979.0</v>
      </c>
      <c r="N775" s="11" t="s">
        <v>1606</v>
      </c>
      <c r="O775" s="13"/>
      <c r="P775" s="11">
        <v>0.0</v>
      </c>
      <c r="Q775" s="14">
        <v>0.0</v>
      </c>
      <c r="R775" s="11">
        <v>0.0</v>
      </c>
      <c r="S775">
        <f t="shared" si="1"/>
        <v>2019</v>
      </c>
      <c r="T775">
        <f t="shared" si="2"/>
        <v>5</v>
      </c>
      <c r="U775">
        <f t="shared" si="3"/>
        <v>1</v>
      </c>
      <c r="AG775" s="15"/>
      <c r="AH775" s="16"/>
      <c r="AM775" s="15"/>
      <c r="AN775" s="16"/>
    </row>
    <row r="776">
      <c r="A776" s="13" t="s">
        <v>1607</v>
      </c>
      <c r="B776" s="10">
        <v>43586.0</v>
      </c>
      <c r="C776" s="11" t="s">
        <v>156</v>
      </c>
      <c r="D776" s="11" t="s">
        <v>709</v>
      </c>
      <c r="E776" s="11" t="s">
        <v>39</v>
      </c>
      <c r="F776" s="11" t="s">
        <v>39</v>
      </c>
      <c r="G776" s="11" t="s">
        <v>45</v>
      </c>
      <c r="H776" s="11" t="s">
        <v>67</v>
      </c>
      <c r="I776" s="11"/>
      <c r="J776" s="11">
        <v>20.0</v>
      </c>
      <c r="K776" s="12">
        <v>44324.0</v>
      </c>
      <c r="L776" s="11">
        <f>ROUND(((K776-B776)/365)*12,0)</f>
        <v>24</v>
      </c>
      <c r="M776" s="11">
        <v>675650.0</v>
      </c>
      <c r="N776" s="11">
        <v>23223.0</v>
      </c>
      <c r="O776" s="13"/>
      <c r="P776" s="11">
        <v>0.0</v>
      </c>
      <c r="Q776" s="14">
        <v>0.0</v>
      </c>
      <c r="R776" s="11">
        <v>1.0</v>
      </c>
      <c r="S776">
        <f t="shared" si="1"/>
        <v>2019</v>
      </c>
      <c r="T776">
        <f t="shared" si="2"/>
        <v>5</v>
      </c>
      <c r="U776">
        <f t="shared" si="3"/>
        <v>1</v>
      </c>
      <c r="Z776" s="17">
        <v>44324.0</v>
      </c>
      <c r="AG776" s="15"/>
      <c r="AH776" s="16"/>
      <c r="AM776" s="15"/>
      <c r="AN776" s="16"/>
    </row>
    <row r="777">
      <c r="A777" s="13" t="s">
        <v>1608</v>
      </c>
      <c r="B777" s="10">
        <v>43586.0</v>
      </c>
      <c r="C777" s="11" t="s">
        <v>186</v>
      </c>
      <c r="D777" s="11" t="s">
        <v>213</v>
      </c>
      <c r="E777" s="11" t="s">
        <v>39</v>
      </c>
      <c r="F777" s="11" t="s">
        <v>40</v>
      </c>
      <c r="G777" s="11" t="s">
        <v>45</v>
      </c>
      <c r="H777" s="11" t="s">
        <v>127</v>
      </c>
      <c r="I777" s="11"/>
      <c r="J777" s="11">
        <v>19.0</v>
      </c>
      <c r="K777" s="12">
        <v>44320.0</v>
      </c>
      <c r="L777" s="12"/>
      <c r="M777" s="11">
        <v>669391.0</v>
      </c>
      <c r="N777" s="11">
        <v>22273.0</v>
      </c>
      <c r="O777" s="13" t="s">
        <v>42</v>
      </c>
      <c r="P777" s="11">
        <v>0.0</v>
      </c>
      <c r="Q777" s="14">
        <v>0.0</v>
      </c>
      <c r="R777" s="11">
        <v>1.0</v>
      </c>
      <c r="S777">
        <f t="shared" si="1"/>
        <v>2019</v>
      </c>
      <c r="T777">
        <f t="shared" si="2"/>
        <v>5</v>
      </c>
      <c r="U777">
        <f t="shared" si="3"/>
        <v>1</v>
      </c>
      <c r="AG777" s="15"/>
      <c r="AH777" s="16"/>
      <c r="AM777" s="15"/>
      <c r="AN777" s="16"/>
    </row>
    <row r="778">
      <c r="A778" s="13" t="s">
        <v>1609</v>
      </c>
      <c r="B778" s="10">
        <v>43577.0</v>
      </c>
      <c r="C778" s="11" t="s">
        <v>175</v>
      </c>
      <c r="D778" s="11" t="s">
        <v>97</v>
      </c>
      <c r="E778" s="11" t="s">
        <v>39</v>
      </c>
      <c r="F778" s="11" t="s">
        <v>40</v>
      </c>
      <c r="G778" s="11" t="s">
        <v>53</v>
      </c>
      <c r="H778" s="11"/>
      <c r="I778" s="11"/>
      <c r="J778" s="11">
        <v>21.0</v>
      </c>
      <c r="K778" s="12">
        <v>44322.0</v>
      </c>
      <c r="L778" s="11">
        <f t="shared" ref="L778:L779" si="80">ROUND(((K778-B778)/365)*12,0)</f>
        <v>24</v>
      </c>
      <c r="M778" s="11">
        <v>659262.0</v>
      </c>
      <c r="N778" s="11">
        <v>18593.0</v>
      </c>
      <c r="O778" s="13" t="s">
        <v>42</v>
      </c>
      <c r="P778" s="11">
        <v>0.0</v>
      </c>
      <c r="Q778" s="14">
        <v>0.0</v>
      </c>
      <c r="R778" s="11">
        <v>1.0</v>
      </c>
      <c r="S778">
        <f t="shared" si="1"/>
        <v>2019</v>
      </c>
      <c r="T778">
        <f t="shared" si="2"/>
        <v>4</v>
      </c>
      <c r="U778">
        <f t="shared" si="3"/>
        <v>22</v>
      </c>
      <c r="Z778" s="17">
        <v>44273.0</v>
      </c>
      <c r="AG778" s="15"/>
      <c r="AH778" s="16"/>
      <c r="AM778" s="15"/>
      <c r="AN778" s="16"/>
    </row>
    <row r="779">
      <c r="A779" s="13" t="s">
        <v>1610</v>
      </c>
      <c r="B779" s="10">
        <v>43567.0</v>
      </c>
      <c r="C779" s="11" t="s">
        <v>111</v>
      </c>
      <c r="D779" s="11" t="s">
        <v>77</v>
      </c>
      <c r="E779" s="11" t="s">
        <v>39</v>
      </c>
      <c r="F779" s="11" t="s">
        <v>40</v>
      </c>
      <c r="G779" s="11" t="s">
        <v>45</v>
      </c>
      <c r="H779" s="11" t="s">
        <v>133</v>
      </c>
      <c r="I779" s="11" t="s">
        <v>689</v>
      </c>
      <c r="J779" s="11">
        <v>26.0</v>
      </c>
      <c r="K779" s="12">
        <v>44323.0</v>
      </c>
      <c r="L779" s="11">
        <f t="shared" si="80"/>
        <v>25</v>
      </c>
      <c r="M779" s="11">
        <v>607609.0</v>
      </c>
      <c r="N779" s="11">
        <v>16266.0</v>
      </c>
      <c r="O779" s="13"/>
      <c r="P779" s="11">
        <v>0.0</v>
      </c>
      <c r="Q779" s="14">
        <v>0.0</v>
      </c>
      <c r="R779" s="11">
        <v>1.0</v>
      </c>
      <c r="S779">
        <f t="shared" si="1"/>
        <v>2019</v>
      </c>
      <c r="T779">
        <f t="shared" si="2"/>
        <v>4</v>
      </c>
      <c r="U779">
        <f t="shared" si="3"/>
        <v>12</v>
      </c>
      <c r="Z779" s="17">
        <v>44323.0</v>
      </c>
      <c r="AG779" s="15"/>
      <c r="AH779" s="16"/>
      <c r="AM779" s="15"/>
      <c r="AN779" s="16"/>
    </row>
    <row r="780">
      <c r="A780" s="13" t="s">
        <v>1611</v>
      </c>
      <c r="B780" s="10">
        <v>43567.0</v>
      </c>
      <c r="C780" s="11" t="s">
        <v>186</v>
      </c>
      <c r="D780" s="11" t="s">
        <v>213</v>
      </c>
      <c r="E780" s="11" t="s">
        <v>39</v>
      </c>
      <c r="F780" s="11" t="s">
        <v>40</v>
      </c>
      <c r="G780" s="11" t="s">
        <v>45</v>
      </c>
      <c r="H780" s="11" t="s">
        <v>56</v>
      </c>
      <c r="I780" s="11"/>
      <c r="J780" s="11">
        <v>19.0</v>
      </c>
      <c r="K780" s="12">
        <v>44325.0</v>
      </c>
      <c r="L780" s="12"/>
      <c r="M780" s="11">
        <v>669438.0</v>
      </c>
      <c r="N780" s="11">
        <v>22288.0</v>
      </c>
      <c r="O780" s="13" t="s">
        <v>42</v>
      </c>
      <c r="P780" s="11">
        <v>0.0</v>
      </c>
      <c r="Q780" s="14">
        <v>0.0</v>
      </c>
      <c r="R780" s="11">
        <v>1.0</v>
      </c>
      <c r="S780">
        <f t="shared" si="1"/>
        <v>2019</v>
      </c>
      <c r="T780">
        <f t="shared" si="2"/>
        <v>4</v>
      </c>
      <c r="U780">
        <f t="shared" si="3"/>
        <v>12</v>
      </c>
      <c r="AG780" s="15"/>
      <c r="AH780" s="16"/>
      <c r="AM780" s="15"/>
      <c r="AN780" s="16"/>
    </row>
    <row r="781">
      <c r="A781" s="13" t="s">
        <v>1612</v>
      </c>
      <c r="B781" s="10">
        <v>43564.0</v>
      </c>
      <c r="C781" s="11" t="s">
        <v>167</v>
      </c>
      <c r="D781" s="11" t="s">
        <v>221</v>
      </c>
      <c r="E781" s="11" t="s">
        <v>39</v>
      </c>
      <c r="F781" s="11" t="s">
        <v>40</v>
      </c>
      <c r="G781" s="11" t="s">
        <v>45</v>
      </c>
      <c r="H781" s="11" t="s">
        <v>67</v>
      </c>
      <c r="I781" s="11" t="s">
        <v>1613</v>
      </c>
      <c r="J781" s="11">
        <v>27.0</v>
      </c>
      <c r="K781" s="12"/>
      <c r="L781" s="12"/>
      <c r="M781" s="11">
        <v>621203.0</v>
      </c>
      <c r="N781" s="11" t="s">
        <v>1614</v>
      </c>
      <c r="O781" s="13"/>
      <c r="P781" s="11">
        <v>0.0</v>
      </c>
      <c r="Q781" s="14">
        <v>0.0</v>
      </c>
      <c r="R781" s="11">
        <v>0.0</v>
      </c>
      <c r="S781">
        <f t="shared" si="1"/>
        <v>2019</v>
      </c>
      <c r="T781">
        <f t="shared" si="2"/>
        <v>4</v>
      </c>
      <c r="U781">
        <f t="shared" si="3"/>
        <v>9</v>
      </c>
      <c r="AG781" s="15"/>
      <c r="AH781" s="16"/>
      <c r="AM781" s="15"/>
      <c r="AN781" s="16"/>
    </row>
    <row r="782">
      <c r="A782" s="13" t="s">
        <v>1615</v>
      </c>
      <c r="B782" s="10">
        <v>43564.0</v>
      </c>
      <c r="C782" s="11" t="s">
        <v>162</v>
      </c>
      <c r="D782" s="11" t="s">
        <v>97</v>
      </c>
      <c r="E782" s="11" t="s">
        <v>39</v>
      </c>
      <c r="F782" s="11" t="s">
        <v>40</v>
      </c>
      <c r="G782" s="11" t="s">
        <v>45</v>
      </c>
      <c r="H782" s="11" t="s">
        <v>67</v>
      </c>
      <c r="I782" s="11"/>
      <c r="J782" s="11">
        <v>19.0</v>
      </c>
      <c r="K782" s="12">
        <v>44321.0</v>
      </c>
      <c r="L782" s="11">
        <f>ROUND(((K782-B782)/365)*12,0)</f>
        <v>25</v>
      </c>
      <c r="M782" s="11">
        <v>668881.0</v>
      </c>
      <c r="N782" s="11">
        <v>22182.0</v>
      </c>
      <c r="O782" s="13" t="s">
        <v>69</v>
      </c>
      <c r="P782" s="11">
        <v>0.0</v>
      </c>
      <c r="Q782" s="14">
        <v>0.0</v>
      </c>
      <c r="R782" s="11">
        <v>1.0</v>
      </c>
      <c r="S782">
        <f t="shared" si="1"/>
        <v>2019</v>
      </c>
      <c r="T782">
        <f t="shared" si="2"/>
        <v>4</v>
      </c>
      <c r="U782">
        <f t="shared" si="3"/>
        <v>9</v>
      </c>
      <c r="V782" s="17">
        <v>43712.0</v>
      </c>
      <c r="Z782" s="17">
        <v>44321.0</v>
      </c>
      <c r="AG782" s="15"/>
      <c r="AH782" s="16"/>
      <c r="AM782" s="15"/>
      <c r="AN782" s="16"/>
    </row>
    <row r="783">
      <c r="A783" s="13" t="s">
        <v>1616</v>
      </c>
      <c r="B783" s="10">
        <v>43559.0</v>
      </c>
      <c r="C783" s="11" t="s">
        <v>186</v>
      </c>
      <c r="D783" s="11" t="s">
        <v>709</v>
      </c>
      <c r="E783" s="11" t="s">
        <v>39</v>
      </c>
      <c r="F783" s="11" t="s">
        <v>40</v>
      </c>
      <c r="G783" s="11" t="s">
        <v>45</v>
      </c>
      <c r="H783" s="11" t="s">
        <v>84</v>
      </c>
      <c r="I783" s="11"/>
      <c r="J783" s="11">
        <v>20.0</v>
      </c>
      <c r="K783" s="12"/>
      <c r="L783" s="12"/>
      <c r="M783" s="11">
        <v>676401.0</v>
      </c>
      <c r="N783" s="11" t="s">
        <v>1617</v>
      </c>
      <c r="O783" s="13"/>
      <c r="P783" s="11">
        <v>0.0</v>
      </c>
      <c r="Q783" s="14">
        <v>0.0</v>
      </c>
      <c r="R783" s="11">
        <v>0.0</v>
      </c>
      <c r="S783">
        <f t="shared" si="1"/>
        <v>2019</v>
      </c>
      <c r="T783">
        <f t="shared" si="2"/>
        <v>4</v>
      </c>
      <c r="U783">
        <f t="shared" si="3"/>
        <v>4</v>
      </c>
      <c r="AG783" s="15"/>
      <c r="AH783" s="16"/>
      <c r="AM783" s="15"/>
      <c r="AN783" s="16"/>
    </row>
    <row r="784">
      <c r="A784" s="13" t="s">
        <v>1618</v>
      </c>
      <c r="B784" s="10">
        <v>43558.0</v>
      </c>
      <c r="C784" s="11" t="s">
        <v>55</v>
      </c>
      <c r="D784" s="11" t="s">
        <v>38</v>
      </c>
      <c r="E784" s="11" t="s">
        <v>39</v>
      </c>
      <c r="F784" s="11" t="s">
        <v>40</v>
      </c>
      <c r="G784" s="11" t="s">
        <v>45</v>
      </c>
      <c r="H784" s="11" t="s">
        <v>56</v>
      </c>
      <c r="I784" s="11" t="s">
        <v>56</v>
      </c>
      <c r="J784" s="11">
        <v>27.0</v>
      </c>
      <c r="K784" s="12">
        <v>44036.0</v>
      </c>
      <c r="L784" s="11">
        <f>ROUND(((K784-B784)/365)*12,0)</f>
        <v>16</v>
      </c>
      <c r="M784" s="11">
        <v>608349.0</v>
      </c>
      <c r="N784" s="11">
        <v>15010.0</v>
      </c>
      <c r="O784" s="13" t="s">
        <v>69</v>
      </c>
      <c r="P784" s="11">
        <v>0.0</v>
      </c>
      <c r="Q784" s="14">
        <v>0.0</v>
      </c>
      <c r="R784" s="11">
        <v>1.0</v>
      </c>
      <c r="S784">
        <f t="shared" si="1"/>
        <v>2019</v>
      </c>
      <c r="T784">
        <f t="shared" si="2"/>
        <v>4</v>
      </c>
      <c r="U784">
        <f t="shared" si="3"/>
        <v>3</v>
      </c>
      <c r="AG784" s="15"/>
      <c r="AH784" s="16"/>
      <c r="AM784" s="15"/>
      <c r="AN784" s="16"/>
    </row>
    <row r="785">
      <c r="A785" s="13" t="s">
        <v>1619</v>
      </c>
      <c r="B785" s="10">
        <v>43556.0</v>
      </c>
      <c r="C785" s="11" t="s">
        <v>162</v>
      </c>
      <c r="D785" s="11" t="s">
        <v>93</v>
      </c>
      <c r="E785" s="11" t="s">
        <v>39</v>
      </c>
      <c r="F785" s="11" t="s">
        <v>40</v>
      </c>
      <c r="G785" s="11" t="s">
        <v>45</v>
      </c>
      <c r="H785" s="11" t="s">
        <v>67</v>
      </c>
      <c r="I785" s="11" t="s">
        <v>179</v>
      </c>
      <c r="J785" s="11">
        <v>20.0</v>
      </c>
      <c r="K785" s="12">
        <v>44442.0</v>
      </c>
      <c r="L785" s="12"/>
      <c r="M785" s="11">
        <v>674265.0</v>
      </c>
      <c r="N785" s="11" t="s">
        <v>1620</v>
      </c>
      <c r="O785" s="13"/>
      <c r="P785" s="11">
        <v>0.0</v>
      </c>
      <c r="Q785" s="14">
        <v>0.0</v>
      </c>
      <c r="R785" s="11">
        <v>1.0</v>
      </c>
      <c r="S785">
        <f t="shared" si="1"/>
        <v>2019</v>
      </c>
      <c r="T785">
        <f t="shared" si="2"/>
        <v>4</v>
      </c>
      <c r="U785">
        <f t="shared" si="3"/>
        <v>1</v>
      </c>
      <c r="AG785" s="15"/>
      <c r="AH785" s="16"/>
      <c r="AM785" s="15"/>
      <c r="AN785" s="16"/>
    </row>
    <row r="786">
      <c r="A786" s="13" t="s">
        <v>1621</v>
      </c>
      <c r="B786" s="10">
        <v>43556.0</v>
      </c>
      <c r="C786" s="11" t="s">
        <v>44</v>
      </c>
      <c r="D786" s="11" t="s">
        <v>93</v>
      </c>
      <c r="E786" s="11" t="s">
        <v>39</v>
      </c>
      <c r="F786" s="11" t="s">
        <v>40</v>
      </c>
      <c r="G786" s="11" t="s">
        <v>45</v>
      </c>
      <c r="H786" s="11" t="s">
        <v>46</v>
      </c>
      <c r="I786" s="11" t="s">
        <v>476</v>
      </c>
      <c r="J786" s="11">
        <v>22.0</v>
      </c>
      <c r="K786" s="12">
        <v>44719.0</v>
      </c>
      <c r="L786" s="12"/>
      <c r="M786" s="11">
        <v>680922.0</v>
      </c>
      <c r="N786" s="11" t="s">
        <v>1622</v>
      </c>
      <c r="O786" s="13"/>
      <c r="P786" s="11">
        <v>0.0</v>
      </c>
      <c r="Q786" s="14">
        <v>0.0</v>
      </c>
      <c r="R786" s="11">
        <v>1.0</v>
      </c>
      <c r="S786">
        <f t="shared" si="1"/>
        <v>2019</v>
      </c>
      <c r="T786">
        <f t="shared" si="2"/>
        <v>4</v>
      </c>
      <c r="U786">
        <f t="shared" si="3"/>
        <v>1</v>
      </c>
      <c r="AG786" s="15"/>
      <c r="AH786" s="16"/>
      <c r="AM786" s="15"/>
      <c r="AN786" s="16"/>
    </row>
    <row r="787">
      <c r="A787" s="13" t="s">
        <v>1623</v>
      </c>
      <c r="B787" s="10">
        <v>43556.0</v>
      </c>
      <c r="C787" s="11" t="s">
        <v>346</v>
      </c>
      <c r="D787" s="11" t="s">
        <v>93</v>
      </c>
      <c r="E787" s="11" t="s">
        <v>39</v>
      </c>
      <c r="F787" s="11" t="s">
        <v>40</v>
      </c>
      <c r="G787" s="11" t="s">
        <v>45</v>
      </c>
      <c r="H787" s="11" t="s">
        <v>243</v>
      </c>
      <c r="I787" s="11" t="s">
        <v>654</v>
      </c>
      <c r="J787" s="11">
        <v>22.0</v>
      </c>
      <c r="K787" s="12">
        <v>44325.0</v>
      </c>
      <c r="L787" s="12"/>
      <c r="M787" s="11">
        <v>669721.0</v>
      </c>
      <c r="N787" s="11">
        <v>27582.0</v>
      </c>
      <c r="O787" s="13"/>
      <c r="P787" s="11">
        <v>0.0</v>
      </c>
      <c r="Q787" s="14">
        <v>0.0</v>
      </c>
      <c r="R787" s="11">
        <v>1.0</v>
      </c>
      <c r="S787">
        <f t="shared" si="1"/>
        <v>2019</v>
      </c>
      <c r="T787">
        <f t="shared" si="2"/>
        <v>4</v>
      </c>
      <c r="U787">
        <f t="shared" si="3"/>
        <v>1</v>
      </c>
      <c r="AG787" s="15"/>
      <c r="AH787" s="16"/>
      <c r="AM787" s="15"/>
      <c r="AN787" s="16"/>
    </row>
    <row r="788">
      <c r="A788" s="13" t="s">
        <v>1624</v>
      </c>
      <c r="B788" s="10">
        <v>43556.0</v>
      </c>
      <c r="C788" s="11" t="s">
        <v>126</v>
      </c>
      <c r="D788" s="11" t="s">
        <v>221</v>
      </c>
      <c r="E788" s="11" t="s">
        <v>39</v>
      </c>
      <c r="F788" s="11" t="s">
        <v>40</v>
      </c>
      <c r="G788" s="11" t="s">
        <v>45</v>
      </c>
      <c r="H788" s="11" t="s">
        <v>56</v>
      </c>
      <c r="I788" s="11"/>
      <c r="J788" s="11">
        <v>19.0</v>
      </c>
      <c r="K788" s="12">
        <v>44324.0</v>
      </c>
      <c r="L788" s="11">
        <f t="shared" ref="L788:L790" si="81">ROUND(((K788-B788)/365)*12,0)</f>
        <v>25</v>
      </c>
      <c r="M788" s="11">
        <v>680755.0</v>
      </c>
      <c r="N788" s="11" t="s">
        <v>1625</v>
      </c>
      <c r="O788" s="13"/>
      <c r="P788" s="11">
        <v>0.0</v>
      </c>
      <c r="Q788" s="14">
        <v>0.0</v>
      </c>
      <c r="R788" s="11">
        <v>1.0</v>
      </c>
      <c r="S788">
        <f t="shared" si="1"/>
        <v>2019</v>
      </c>
      <c r="T788">
        <f t="shared" si="2"/>
        <v>4</v>
      </c>
      <c r="U788">
        <f t="shared" si="3"/>
        <v>1</v>
      </c>
      <c r="Z788" s="17">
        <v>44324.0</v>
      </c>
      <c r="AG788" s="15"/>
      <c r="AH788" s="16"/>
      <c r="AM788" s="15"/>
      <c r="AN788" s="16"/>
    </row>
    <row r="789">
      <c r="A789" s="13" t="s">
        <v>1626</v>
      </c>
      <c r="B789" s="10">
        <v>43556.0</v>
      </c>
      <c r="C789" s="11" t="s">
        <v>108</v>
      </c>
      <c r="D789" s="11" t="s">
        <v>97</v>
      </c>
      <c r="E789" s="11" t="s">
        <v>39</v>
      </c>
      <c r="F789" s="11" t="s">
        <v>40</v>
      </c>
      <c r="G789" s="11" t="s">
        <v>45</v>
      </c>
      <c r="H789" s="11" t="s">
        <v>67</v>
      </c>
      <c r="I789" s="11"/>
      <c r="J789" s="11">
        <v>20.0</v>
      </c>
      <c r="K789" s="12">
        <v>44320.0</v>
      </c>
      <c r="L789" s="11">
        <f t="shared" si="81"/>
        <v>25</v>
      </c>
      <c r="M789" s="11">
        <v>669422.0</v>
      </c>
      <c r="N789" s="11">
        <v>22284.0</v>
      </c>
      <c r="O789" s="13"/>
      <c r="P789" s="11">
        <v>0.0</v>
      </c>
      <c r="Q789" s="14">
        <v>0.0</v>
      </c>
      <c r="R789" s="11">
        <v>1.0</v>
      </c>
      <c r="S789">
        <f t="shared" si="1"/>
        <v>2019</v>
      </c>
      <c r="T789">
        <f t="shared" si="2"/>
        <v>4</v>
      </c>
      <c r="U789">
        <f t="shared" si="3"/>
        <v>1</v>
      </c>
      <c r="Z789" s="17">
        <v>44320.0</v>
      </c>
      <c r="AG789" s="15"/>
      <c r="AH789" s="16"/>
      <c r="AM789" s="15"/>
      <c r="AN789" s="16"/>
    </row>
    <row r="790">
      <c r="A790" s="13" t="s">
        <v>1627</v>
      </c>
      <c r="B790" s="17">
        <v>43556.0</v>
      </c>
      <c r="C790" s="11" t="s">
        <v>186</v>
      </c>
      <c r="D790" s="11" t="s">
        <v>221</v>
      </c>
      <c r="E790" s="11" t="s">
        <v>39</v>
      </c>
      <c r="F790" s="11" t="s">
        <v>64</v>
      </c>
      <c r="G790" s="11" t="s">
        <v>45</v>
      </c>
      <c r="H790" s="11" t="s">
        <v>546</v>
      </c>
      <c r="I790" s="11" t="s">
        <v>1628</v>
      </c>
      <c r="J790" s="11">
        <v>22.0</v>
      </c>
      <c r="K790" s="12">
        <v>45156.0</v>
      </c>
      <c r="L790" s="11">
        <f t="shared" si="81"/>
        <v>53</v>
      </c>
      <c r="M790" s="11">
        <v>683068.0</v>
      </c>
      <c r="N790" s="11">
        <v>25368.0</v>
      </c>
      <c r="O790" s="13"/>
      <c r="P790" s="11">
        <v>0.0</v>
      </c>
      <c r="Q790" s="14">
        <v>0.0</v>
      </c>
      <c r="R790" s="11">
        <v>1.0</v>
      </c>
      <c r="S790">
        <f t="shared" si="1"/>
        <v>2019</v>
      </c>
      <c r="T790">
        <f t="shared" si="2"/>
        <v>4</v>
      </c>
      <c r="U790">
        <f t="shared" si="3"/>
        <v>1</v>
      </c>
      <c r="Z790" s="17">
        <v>45156.0</v>
      </c>
      <c r="AG790" s="15"/>
      <c r="AH790" s="16"/>
      <c r="AM790" s="15"/>
      <c r="AN790" s="16"/>
    </row>
    <row r="791">
      <c r="A791" s="13" t="s">
        <v>1629</v>
      </c>
      <c r="B791" s="17">
        <v>43553.0</v>
      </c>
      <c r="C791" s="11" t="s">
        <v>192</v>
      </c>
      <c r="D791" s="11" t="s">
        <v>93</v>
      </c>
      <c r="E791" s="11" t="s">
        <v>39</v>
      </c>
      <c r="F791" s="11" t="s">
        <v>40</v>
      </c>
      <c r="G791" s="11" t="s">
        <v>45</v>
      </c>
      <c r="H791" s="11" t="s">
        <v>258</v>
      </c>
      <c r="I791" s="11" t="s">
        <v>1630</v>
      </c>
      <c r="J791" s="11">
        <v>19.0</v>
      </c>
      <c r="K791" s="12">
        <v>45134.0</v>
      </c>
      <c r="L791" s="11"/>
      <c r="M791" s="11">
        <v>678020.0</v>
      </c>
      <c r="N791" s="11">
        <v>33294.0</v>
      </c>
      <c r="O791" s="13"/>
      <c r="P791" s="11">
        <v>0.0</v>
      </c>
      <c r="Q791" s="14">
        <v>0.0</v>
      </c>
      <c r="R791" s="11">
        <v>1.0</v>
      </c>
      <c r="S791">
        <f t="shared" si="1"/>
        <v>2019</v>
      </c>
      <c r="T791">
        <f t="shared" si="2"/>
        <v>3</v>
      </c>
      <c r="U791">
        <f t="shared" si="3"/>
        <v>29</v>
      </c>
      <c r="Z791" s="17"/>
      <c r="AG791" s="15"/>
      <c r="AH791" s="16"/>
      <c r="AM791" s="15"/>
      <c r="AN791" s="16"/>
    </row>
    <row r="792">
      <c r="A792" s="13" t="s">
        <v>1631</v>
      </c>
      <c r="B792" s="17">
        <v>43553.0</v>
      </c>
      <c r="C792" s="11" t="s">
        <v>37</v>
      </c>
      <c r="D792" s="11" t="s">
        <v>93</v>
      </c>
      <c r="E792" s="11" t="s">
        <v>39</v>
      </c>
      <c r="F792" s="11" t="s">
        <v>64</v>
      </c>
      <c r="G792" s="11" t="s">
        <v>45</v>
      </c>
      <c r="H792" s="11" t="s">
        <v>109</v>
      </c>
      <c r="I792" s="11" t="s">
        <v>1632</v>
      </c>
      <c r="J792" s="11">
        <v>21.0</v>
      </c>
      <c r="K792" s="12">
        <v>44408.0</v>
      </c>
      <c r="L792" s="11"/>
      <c r="M792" s="11">
        <v>687287.0</v>
      </c>
      <c r="N792" s="11" t="s">
        <v>1633</v>
      </c>
      <c r="O792" s="13"/>
      <c r="P792" s="11">
        <v>0.0</v>
      </c>
      <c r="Q792" s="14">
        <v>0.0</v>
      </c>
      <c r="R792" s="11">
        <v>1.0</v>
      </c>
      <c r="S792">
        <f t="shared" si="1"/>
        <v>2019</v>
      </c>
      <c r="T792">
        <f t="shared" si="2"/>
        <v>3</v>
      </c>
      <c r="U792">
        <f t="shared" si="3"/>
        <v>29</v>
      </c>
      <c r="AG792" s="15"/>
      <c r="AH792" s="16"/>
      <c r="AM792" s="15"/>
      <c r="AN792" s="16"/>
    </row>
    <row r="793">
      <c r="A793" s="13" t="s">
        <v>1634</v>
      </c>
      <c r="B793" s="10">
        <v>43552.0</v>
      </c>
      <c r="C793" s="11" t="s">
        <v>55</v>
      </c>
      <c r="D793" s="11" t="s">
        <v>93</v>
      </c>
      <c r="E793" s="11" t="s">
        <v>39</v>
      </c>
      <c r="F793" s="11" t="s">
        <v>64</v>
      </c>
      <c r="G793" s="11" t="s">
        <v>45</v>
      </c>
      <c r="H793" s="11" t="s">
        <v>59</v>
      </c>
      <c r="I793" s="11" t="s">
        <v>948</v>
      </c>
      <c r="J793" s="11">
        <v>19.0</v>
      </c>
      <c r="K793" s="12">
        <v>44784.0</v>
      </c>
      <c r="L793" s="11"/>
      <c r="M793" s="11">
        <v>702153.0</v>
      </c>
      <c r="N793" s="11" t="s">
        <v>1635</v>
      </c>
      <c r="O793" s="13"/>
      <c r="P793" s="11">
        <v>0.0</v>
      </c>
      <c r="Q793" s="14">
        <v>0.0</v>
      </c>
      <c r="R793" s="11">
        <v>1.0</v>
      </c>
      <c r="S793">
        <f t="shared" si="1"/>
        <v>2019</v>
      </c>
      <c r="T793">
        <f t="shared" si="2"/>
        <v>3</v>
      </c>
      <c r="U793">
        <f t="shared" si="3"/>
        <v>28</v>
      </c>
      <c r="Z793" s="17">
        <v>44784.0</v>
      </c>
      <c r="AG793" s="15"/>
      <c r="AH793" s="16"/>
      <c r="AM793" s="15"/>
      <c r="AN793" s="16"/>
    </row>
    <row r="794">
      <c r="A794" s="13" t="s">
        <v>1636</v>
      </c>
      <c r="B794" s="10">
        <v>43551.0</v>
      </c>
      <c r="C794" s="11" t="s">
        <v>111</v>
      </c>
      <c r="D794" s="11" t="s">
        <v>38</v>
      </c>
      <c r="E794" s="11" t="s">
        <v>39</v>
      </c>
      <c r="F794" s="11" t="s">
        <v>40</v>
      </c>
      <c r="G794" s="11" t="s">
        <v>45</v>
      </c>
      <c r="H794" s="11" t="s">
        <v>112</v>
      </c>
      <c r="I794" s="11"/>
      <c r="J794" s="11">
        <v>26.0</v>
      </c>
      <c r="K794" s="12">
        <v>44039.0</v>
      </c>
      <c r="L794" s="11">
        <f t="shared" ref="L794:L795" si="82">ROUND(((K794-B794)/365)*12,0)</f>
        <v>16</v>
      </c>
      <c r="M794" s="11">
        <v>605242.0</v>
      </c>
      <c r="N794" s="11">
        <v>13218.0</v>
      </c>
      <c r="O794" s="13" t="s">
        <v>42</v>
      </c>
      <c r="P794" s="11">
        <v>0.0</v>
      </c>
      <c r="Q794" s="14">
        <v>0.0</v>
      </c>
      <c r="R794" s="11">
        <v>1.0</v>
      </c>
      <c r="S794">
        <f t="shared" si="1"/>
        <v>2019</v>
      </c>
      <c r="T794">
        <f t="shared" si="2"/>
        <v>3</v>
      </c>
      <c r="U794">
        <f t="shared" si="3"/>
        <v>27</v>
      </c>
      <c r="AG794" s="15"/>
      <c r="AH794" s="16"/>
      <c r="AM794" s="15"/>
      <c r="AN794" s="16"/>
    </row>
    <row r="795">
      <c r="A795" s="13" t="s">
        <v>1637</v>
      </c>
      <c r="B795" s="10">
        <v>43550.0</v>
      </c>
      <c r="C795" s="11" t="s">
        <v>37</v>
      </c>
      <c r="D795" s="11" t="s">
        <v>88</v>
      </c>
      <c r="E795" s="11" t="s">
        <v>39</v>
      </c>
      <c r="F795" s="11" t="s">
        <v>40</v>
      </c>
      <c r="G795" s="11" t="s">
        <v>45</v>
      </c>
      <c r="H795" s="11" t="s">
        <v>262</v>
      </c>
      <c r="I795" s="11" t="s">
        <v>1638</v>
      </c>
      <c r="J795" s="11">
        <v>23.0</v>
      </c>
      <c r="K795" s="12">
        <v>44322.0</v>
      </c>
      <c r="L795" s="11">
        <f t="shared" si="82"/>
        <v>25</v>
      </c>
      <c r="M795" s="11">
        <v>657252.0</v>
      </c>
      <c r="N795" s="11" t="s">
        <v>1639</v>
      </c>
      <c r="O795" s="13" t="s">
        <v>761</v>
      </c>
      <c r="P795" s="11">
        <v>0.0</v>
      </c>
      <c r="Q795" s="14">
        <v>0.0</v>
      </c>
      <c r="R795" s="11">
        <v>1.0</v>
      </c>
      <c r="S795">
        <f t="shared" si="1"/>
        <v>2019</v>
      </c>
      <c r="T795">
        <f t="shared" si="2"/>
        <v>3</v>
      </c>
      <c r="U795">
        <f t="shared" si="3"/>
        <v>26</v>
      </c>
      <c r="Z795" s="17">
        <v>44322.0</v>
      </c>
      <c r="AG795" s="15"/>
      <c r="AH795" s="16"/>
      <c r="AM795" s="15"/>
      <c r="AN795" s="16"/>
    </row>
    <row r="796">
      <c r="A796" s="13" t="s">
        <v>1640</v>
      </c>
      <c r="B796" s="10">
        <v>43544.0</v>
      </c>
      <c r="C796" s="11" t="s">
        <v>76</v>
      </c>
      <c r="D796" s="11" t="s">
        <v>77</v>
      </c>
      <c r="E796" s="11" t="s">
        <v>39</v>
      </c>
      <c r="F796" s="11" t="s">
        <v>40</v>
      </c>
      <c r="G796" s="11" t="s">
        <v>45</v>
      </c>
      <c r="H796" s="11" t="s">
        <v>56</v>
      </c>
      <c r="I796" s="11" t="s">
        <v>136</v>
      </c>
      <c r="J796" s="11">
        <v>26.0</v>
      </c>
      <c r="K796" s="12"/>
      <c r="L796" s="12"/>
      <c r="M796" s="11">
        <v>665096.0</v>
      </c>
      <c r="N796" s="11" t="s">
        <v>1641</v>
      </c>
      <c r="O796" s="13"/>
      <c r="P796" s="11">
        <v>0.0</v>
      </c>
      <c r="Q796" s="14">
        <v>0.0</v>
      </c>
      <c r="R796" s="11">
        <v>0.0</v>
      </c>
      <c r="S796">
        <f t="shared" si="1"/>
        <v>2019</v>
      </c>
      <c r="T796">
        <f t="shared" si="2"/>
        <v>3</v>
      </c>
      <c r="U796">
        <f t="shared" si="3"/>
        <v>20</v>
      </c>
      <c r="Z796" s="17">
        <v>44442.0</v>
      </c>
      <c r="AG796" s="15"/>
      <c r="AH796" s="16"/>
      <c r="AM796" s="15"/>
      <c r="AN796" s="16"/>
    </row>
    <row r="797">
      <c r="A797" s="13" t="s">
        <v>1642</v>
      </c>
      <c r="B797" s="10">
        <v>43542.0</v>
      </c>
      <c r="C797" s="11" t="s">
        <v>143</v>
      </c>
      <c r="D797" s="11" t="s">
        <v>77</v>
      </c>
      <c r="E797" s="11" t="s">
        <v>39</v>
      </c>
      <c r="F797" s="11" t="s">
        <v>40</v>
      </c>
      <c r="G797" s="11" t="s">
        <v>45</v>
      </c>
      <c r="H797" s="11" t="s">
        <v>84</v>
      </c>
      <c r="I797" s="11" t="s">
        <v>84</v>
      </c>
      <c r="J797" s="11">
        <v>24.0</v>
      </c>
      <c r="K797" s="12">
        <v>44062.0</v>
      </c>
      <c r="L797" s="11">
        <f t="shared" ref="L797:L803" si="83">ROUND(((K797-B797)/365)*12,0)</f>
        <v>17</v>
      </c>
      <c r="M797" s="11">
        <v>641540.0</v>
      </c>
      <c r="N797" s="11">
        <v>19409.0</v>
      </c>
      <c r="O797" s="13" t="s">
        <v>761</v>
      </c>
      <c r="P797" s="11">
        <v>0.0</v>
      </c>
      <c r="Q797" s="14">
        <v>0.0</v>
      </c>
      <c r="R797" s="11">
        <v>1.0</v>
      </c>
      <c r="S797">
        <f t="shared" si="1"/>
        <v>2019</v>
      </c>
      <c r="T797">
        <f t="shared" si="2"/>
        <v>3</v>
      </c>
      <c r="U797">
        <f t="shared" si="3"/>
        <v>18</v>
      </c>
      <c r="Y797" s="17">
        <v>43890.0</v>
      </c>
      <c r="Z797" s="17">
        <v>44062.0</v>
      </c>
      <c r="AG797" s="15"/>
      <c r="AH797" s="16"/>
      <c r="AM797" s="15"/>
      <c r="AN797" s="16"/>
    </row>
    <row r="798">
      <c r="A798" s="13" t="s">
        <v>1643</v>
      </c>
      <c r="B798" s="10">
        <v>43537.0</v>
      </c>
      <c r="C798" s="11" t="s">
        <v>101</v>
      </c>
      <c r="D798" s="11" t="s">
        <v>38</v>
      </c>
      <c r="E798" s="11" t="s">
        <v>39</v>
      </c>
      <c r="F798" s="11" t="s">
        <v>40</v>
      </c>
      <c r="G798" s="11" t="s">
        <v>53</v>
      </c>
      <c r="H798" s="11"/>
      <c r="I798" s="11"/>
      <c r="J798" s="11">
        <v>26.0</v>
      </c>
      <c r="K798" s="12">
        <v>44100.0</v>
      </c>
      <c r="L798" s="11">
        <f t="shared" si="83"/>
        <v>19</v>
      </c>
      <c r="M798" s="11">
        <v>611093.0</v>
      </c>
      <c r="N798" s="11">
        <v>15051.0</v>
      </c>
      <c r="O798" s="13" t="s">
        <v>1407</v>
      </c>
      <c r="P798" s="11">
        <v>0.0</v>
      </c>
      <c r="Q798" s="14">
        <v>0.0</v>
      </c>
      <c r="R798" s="11">
        <v>1.0</v>
      </c>
      <c r="S798">
        <f t="shared" si="1"/>
        <v>2019</v>
      </c>
      <c r="T798">
        <f t="shared" si="2"/>
        <v>3</v>
      </c>
      <c r="U798">
        <f t="shared" si="3"/>
        <v>13</v>
      </c>
      <c r="AG798" s="15"/>
      <c r="AH798" s="16"/>
      <c r="AM798" s="15"/>
      <c r="AN798" s="16"/>
    </row>
    <row r="799">
      <c r="A799" s="13" t="s">
        <v>1644</v>
      </c>
      <c r="B799" s="10">
        <v>43537.0</v>
      </c>
      <c r="C799" s="11" t="s">
        <v>143</v>
      </c>
      <c r="D799" s="11" t="s">
        <v>88</v>
      </c>
      <c r="E799" s="11" t="s">
        <v>39</v>
      </c>
      <c r="F799" s="11" t="s">
        <v>40</v>
      </c>
      <c r="G799" s="11" t="s">
        <v>45</v>
      </c>
      <c r="H799" s="11" t="s">
        <v>67</v>
      </c>
      <c r="I799" s="11" t="s">
        <v>878</v>
      </c>
      <c r="J799" s="11">
        <v>24.0</v>
      </c>
      <c r="K799" s="12">
        <v>44321.0</v>
      </c>
      <c r="L799" s="11">
        <f t="shared" si="83"/>
        <v>26</v>
      </c>
      <c r="M799" s="11">
        <v>643494.0</v>
      </c>
      <c r="N799" s="11" t="s">
        <v>1645</v>
      </c>
      <c r="O799" s="13"/>
      <c r="P799" s="11">
        <v>0.0</v>
      </c>
      <c r="Q799" s="14">
        <v>0.0</v>
      </c>
      <c r="R799" s="11">
        <v>1.0</v>
      </c>
      <c r="S799">
        <f t="shared" si="1"/>
        <v>2019</v>
      </c>
      <c r="T799">
        <f t="shared" si="2"/>
        <v>3</v>
      </c>
      <c r="U799">
        <f t="shared" si="3"/>
        <v>13</v>
      </c>
      <c r="X799" s="17"/>
      <c r="Z799" s="17">
        <v>44321.0</v>
      </c>
      <c r="AG799" s="15"/>
      <c r="AH799" s="16"/>
      <c r="AM799" s="15"/>
      <c r="AN799" s="16"/>
    </row>
    <row r="800">
      <c r="A800" s="13" t="s">
        <v>293</v>
      </c>
      <c r="B800" s="10">
        <v>43536.0</v>
      </c>
      <c r="C800" s="11" t="s">
        <v>49</v>
      </c>
      <c r="D800" s="11" t="s">
        <v>38</v>
      </c>
      <c r="E800" s="11" t="s">
        <v>39</v>
      </c>
      <c r="F800" s="11" t="s">
        <v>40</v>
      </c>
      <c r="G800" s="11" t="s">
        <v>45</v>
      </c>
      <c r="H800" s="11" t="s">
        <v>56</v>
      </c>
      <c r="I800" s="11" t="s">
        <v>294</v>
      </c>
      <c r="J800" s="11">
        <v>25.0</v>
      </c>
      <c r="K800" s="12">
        <v>44037.0</v>
      </c>
      <c r="L800" s="11">
        <f t="shared" si="83"/>
        <v>16</v>
      </c>
      <c r="M800" s="11">
        <v>622098.0</v>
      </c>
      <c r="N800" s="11">
        <v>17755.0</v>
      </c>
      <c r="O800" s="13" t="s">
        <v>1407</v>
      </c>
      <c r="P800" s="11">
        <v>0.0</v>
      </c>
      <c r="Q800" s="14">
        <v>0.0</v>
      </c>
      <c r="R800" s="11">
        <v>1.0</v>
      </c>
      <c r="S800">
        <f t="shared" si="1"/>
        <v>2019</v>
      </c>
      <c r="T800">
        <f t="shared" si="2"/>
        <v>3</v>
      </c>
      <c r="U800">
        <f t="shared" si="3"/>
        <v>12</v>
      </c>
      <c r="X800" s="17">
        <v>43862.0</v>
      </c>
      <c r="AG800" s="15"/>
      <c r="AH800" s="16"/>
      <c r="AM800" s="15"/>
      <c r="AN800" s="16"/>
    </row>
    <row r="801">
      <c r="A801" s="13" t="s">
        <v>1646</v>
      </c>
      <c r="B801" s="10">
        <v>43536.0</v>
      </c>
      <c r="C801" s="11" t="s">
        <v>235</v>
      </c>
      <c r="D801" s="11" t="s">
        <v>38</v>
      </c>
      <c r="E801" s="11" t="s">
        <v>39</v>
      </c>
      <c r="F801" s="11" t="s">
        <v>40</v>
      </c>
      <c r="G801" s="11" t="s">
        <v>45</v>
      </c>
      <c r="H801" s="11" t="s">
        <v>139</v>
      </c>
      <c r="I801" s="11" t="s">
        <v>1647</v>
      </c>
      <c r="J801" s="11">
        <v>28.0</v>
      </c>
      <c r="K801" s="12">
        <v>44667.0</v>
      </c>
      <c r="L801" s="11">
        <f t="shared" si="83"/>
        <v>37</v>
      </c>
      <c r="M801" s="11">
        <v>643410.0</v>
      </c>
      <c r="N801" s="11">
        <v>15551.0</v>
      </c>
      <c r="O801" s="13" t="s">
        <v>1407</v>
      </c>
      <c r="P801" s="11">
        <v>0.0</v>
      </c>
      <c r="Q801" s="14">
        <v>0.0</v>
      </c>
      <c r="R801" s="11">
        <v>1.0</v>
      </c>
      <c r="S801">
        <f t="shared" si="1"/>
        <v>2019</v>
      </c>
      <c r="T801">
        <f t="shared" si="2"/>
        <v>3</v>
      </c>
      <c r="U801">
        <f t="shared" si="3"/>
        <v>12</v>
      </c>
      <c r="Z801" s="17">
        <v>44322.0</v>
      </c>
      <c r="AG801" s="15"/>
      <c r="AH801" s="16"/>
      <c r="AM801" s="15"/>
      <c r="AN801" s="16"/>
    </row>
    <row r="802">
      <c r="A802" s="13" t="s">
        <v>1648</v>
      </c>
      <c r="B802" s="10">
        <v>43530.0</v>
      </c>
      <c r="C802" s="11" t="s">
        <v>358</v>
      </c>
      <c r="D802" s="11" t="s">
        <v>38</v>
      </c>
      <c r="E802" s="11" t="s">
        <v>104</v>
      </c>
      <c r="F802" s="11" t="s">
        <v>40</v>
      </c>
      <c r="G802" s="11" t="s">
        <v>53</v>
      </c>
      <c r="H802" s="11"/>
      <c r="I802" s="11"/>
      <c r="J802" s="11">
        <v>29.0</v>
      </c>
      <c r="K802" s="12">
        <v>44036.0</v>
      </c>
      <c r="L802" s="11">
        <f t="shared" si="83"/>
        <v>17</v>
      </c>
      <c r="M802" s="11">
        <v>521692.0</v>
      </c>
      <c r="N802" s="11">
        <v>7304.0</v>
      </c>
      <c r="O802" s="13" t="s">
        <v>69</v>
      </c>
      <c r="P802" s="11">
        <v>0.0</v>
      </c>
      <c r="Q802" s="14">
        <v>0.0</v>
      </c>
      <c r="R802" s="11">
        <v>1.0</v>
      </c>
      <c r="S802">
        <f t="shared" si="1"/>
        <v>2019</v>
      </c>
      <c r="T802">
        <f t="shared" si="2"/>
        <v>3</v>
      </c>
      <c r="U802">
        <f t="shared" si="3"/>
        <v>6</v>
      </c>
      <c r="V802" s="17">
        <v>43683.0</v>
      </c>
      <c r="Z802" s="17">
        <v>43889.0</v>
      </c>
      <c r="AG802" s="15"/>
      <c r="AH802" s="16"/>
      <c r="AM802" s="15"/>
      <c r="AN802" s="16"/>
    </row>
    <row r="803">
      <c r="A803" s="13" t="s">
        <v>1649</v>
      </c>
      <c r="B803" s="10">
        <v>43525.0</v>
      </c>
      <c r="C803" s="11" t="s">
        <v>49</v>
      </c>
      <c r="D803" s="11" t="s">
        <v>88</v>
      </c>
      <c r="E803" s="11" t="s">
        <v>39</v>
      </c>
      <c r="F803" s="11" t="s">
        <v>40</v>
      </c>
      <c r="G803" s="11" t="s">
        <v>45</v>
      </c>
      <c r="H803" s="11" t="s">
        <v>112</v>
      </c>
      <c r="I803" s="11" t="s">
        <v>379</v>
      </c>
      <c r="J803" s="11">
        <v>25.0</v>
      </c>
      <c r="K803" s="12">
        <v>44320.0</v>
      </c>
      <c r="L803" s="11">
        <f t="shared" si="83"/>
        <v>26</v>
      </c>
      <c r="M803" s="11">
        <v>641464.0</v>
      </c>
      <c r="N803" s="11" t="s">
        <v>1650</v>
      </c>
      <c r="O803" s="13"/>
      <c r="P803" s="11">
        <v>0.0</v>
      </c>
      <c r="Q803" s="14">
        <v>0.0</v>
      </c>
      <c r="R803" s="11">
        <v>1.0</v>
      </c>
      <c r="S803">
        <f t="shared" si="1"/>
        <v>2019</v>
      </c>
      <c r="T803">
        <f t="shared" si="2"/>
        <v>3</v>
      </c>
      <c r="U803">
        <f t="shared" si="3"/>
        <v>1</v>
      </c>
      <c r="Z803" s="17">
        <v>44320.0</v>
      </c>
      <c r="AG803" s="15"/>
      <c r="AH803" s="16"/>
      <c r="AM803" s="15"/>
      <c r="AN803" s="16"/>
    </row>
    <row r="804">
      <c r="A804" s="13" t="s">
        <v>1651</v>
      </c>
      <c r="B804" s="17">
        <v>43525.0</v>
      </c>
      <c r="C804" s="11" t="s">
        <v>150</v>
      </c>
      <c r="D804" s="11" t="s">
        <v>93</v>
      </c>
      <c r="E804" s="11" t="s">
        <v>39</v>
      </c>
      <c r="F804" s="11" t="s">
        <v>40</v>
      </c>
      <c r="G804" s="11" t="s">
        <v>45</v>
      </c>
      <c r="H804" s="11" t="s">
        <v>65</v>
      </c>
      <c r="I804" s="11" t="s">
        <v>65</v>
      </c>
      <c r="J804" s="11">
        <v>20.0</v>
      </c>
      <c r="K804" s="12">
        <v>44322.0</v>
      </c>
      <c r="L804" s="12"/>
      <c r="M804" s="11">
        <v>676907.0</v>
      </c>
      <c r="N804" s="11" t="s">
        <v>1652</v>
      </c>
      <c r="O804" s="13"/>
      <c r="P804" s="11">
        <v>0.0</v>
      </c>
      <c r="Q804" s="14">
        <v>0.0</v>
      </c>
      <c r="R804" s="11">
        <v>1.0</v>
      </c>
      <c r="S804">
        <f t="shared" si="1"/>
        <v>2019</v>
      </c>
      <c r="T804">
        <f t="shared" si="2"/>
        <v>3</v>
      </c>
      <c r="U804">
        <f t="shared" si="3"/>
        <v>1</v>
      </c>
      <c r="AG804" s="15"/>
      <c r="AH804" s="16"/>
      <c r="AM804" s="15"/>
      <c r="AN804" s="16"/>
    </row>
    <row r="805">
      <c r="A805" s="13" t="s">
        <v>1653</v>
      </c>
      <c r="B805" s="10">
        <v>43522.0</v>
      </c>
      <c r="C805" s="11" t="s">
        <v>111</v>
      </c>
      <c r="D805" s="11" t="s">
        <v>58</v>
      </c>
      <c r="E805" s="11" t="s">
        <v>39</v>
      </c>
      <c r="F805" s="11" t="s">
        <v>40</v>
      </c>
      <c r="G805" s="11" t="s">
        <v>45</v>
      </c>
      <c r="H805" s="11" t="s">
        <v>231</v>
      </c>
      <c r="I805" s="11" t="s">
        <v>1654</v>
      </c>
      <c r="J805" s="11">
        <v>30.0</v>
      </c>
      <c r="K805" s="12"/>
      <c r="L805" s="12"/>
      <c r="M805" s="11">
        <v>627262.0</v>
      </c>
      <c r="N805" s="11">
        <v>14449.0</v>
      </c>
      <c r="O805" s="13" t="s">
        <v>761</v>
      </c>
      <c r="P805" s="11">
        <v>0.0</v>
      </c>
      <c r="Q805" s="14">
        <v>0.0</v>
      </c>
      <c r="R805" s="11">
        <v>0.0</v>
      </c>
      <c r="S805">
        <f t="shared" si="1"/>
        <v>2019</v>
      </c>
      <c r="T805">
        <f t="shared" si="2"/>
        <v>2</v>
      </c>
      <c r="U805">
        <f t="shared" si="3"/>
        <v>26</v>
      </c>
      <c r="AG805" s="15"/>
      <c r="AH805" s="16"/>
      <c r="AM805" s="15"/>
      <c r="AN805" s="16"/>
    </row>
    <row r="806">
      <c r="A806" s="13" t="s">
        <v>1655</v>
      </c>
      <c r="B806" s="17">
        <v>43497.0</v>
      </c>
      <c r="C806" s="11" t="s">
        <v>116</v>
      </c>
      <c r="D806" s="11" t="s">
        <v>93</v>
      </c>
      <c r="E806" s="11" t="s">
        <v>39</v>
      </c>
      <c r="F806" s="11" t="s">
        <v>40</v>
      </c>
      <c r="G806" s="11" t="s">
        <v>45</v>
      </c>
      <c r="H806" s="11" t="s">
        <v>262</v>
      </c>
      <c r="I806" s="11" t="s">
        <v>864</v>
      </c>
      <c r="J806" s="11">
        <v>20.0</v>
      </c>
      <c r="K806" s="12">
        <v>44330.0</v>
      </c>
      <c r="L806" s="12"/>
      <c r="M806" s="11">
        <v>675911.0</v>
      </c>
      <c r="N806" s="11">
        <v>27498.0</v>
      </c>
      <c r="O806" s="13"/>
      <c r="P806" s="11">
        <v>0.0</v>
      </c>
      <c r="Q806" s="14">
        <v>0.0</v>
      </c>
      <c r="R806" s="11">
        <v>1.0</v>
      </c>
      <c r="S806">
        <f t="shared" si="1"/>
        <v>2019</v>
      </c>
      <c r="T806">
        <f t="shared" si="2"/>
        <v>2</v>
      </c>
      <c r="U806">
        <f t="shared" si="3"/>
        <v>1</v>
      </c>
      <c r="AG806" s="15"/>
      <c r="AH806" s="16"/>
      <c r="AM806" s="15"/>
      <c r="AN806" s="16"/>
    </row>
    <row r="807">
      <c r="A807" s="13" t="s">
        <v>1656</v>
      </c>
      <c r="B807" s="10">
        <v>43497.0</v>
      </c>
      <c r="C807" s="11" t="s">
        <v>72</v>
      </c>
      <c r="D807" s="11" t="s">
        <v>93</v>
      </c>
      <c r="E807" s="11" t="s">
        <v>39</v>
      </c>
      <c r="F807" s="11" t="s">
        <v>40</v>
      </c>
      <c r="G807" s="11" t="s">
        <v>45</v>
      </c>
      <c r="H807" s="11" t="s">
        <v>84</v>
      </c>
      <c r="I807" s="11" t="s">
        <v>517</v>
      </c>
      <c r="J807" s="11">
        <v>20.0</v>
      </c>
      <c r="K807" s="12">
        <v>44698.0</v>
      </c>
      <c r="L807" s="12"/>
      <c r="M807" s="11">
        <v>668977.0</v>
      </c>
      <c r="N807" s="11" t="s">
        <v>1657</v>
      </c>
      <c r="O807" s="13"/>
      <c r="P807" s="11">
        <v>0.0</v>
      </c>
      <c r="Q807" s="14">
        <v>0.0</v>
      </c>
      <c r="R807" s="11">
        <v>1.0</v>
      </c>
      <c r="S807">
        <f t="shared" si="1"/>
        <v>2019</v>
      </c>
      <c r="T807">
        <f t="shared" si="2"/>
        <v>2</v>
      </c>
      <c r="U807">
        <f t="shared" si="3"/>
        <v>1</v>
      </c>
      <c r="AG807" s="15"/>
      <c r="AH807" s="16"/>
      <c r="AM807" s="15"/>
      <c r="AN807" s="16"/>
    </row>
    <row r="808">
      <c r="A808" s="13" t="s">
        <v>1658</v>
      </c>
      <c r="B808" s="10">
        <v>43496.0</v>
      </c>
      <c r="C808" s="11" t="s">
        <v>72</v>
      </c>
      <c r="D808" s="11" t="s">
        <v>88</v>
      </c>
      <c r="E808" s="11" t="s">
        <v>39</v>
      </c>
      <c r="F808" s="11" t="s">
        <v>40</v>
      </c>
      <c r="G808" s="11" t="s">
        <v>1659</v>
      </c>
      <c r="H808" s="11"/>
      <c r="I808" s="11"/>
      <c r="J808" s="11">
        <v>21.0</v>
      </c>
      <c r="K808" s="12"/>
      <c r="L808" s="12"/>
      <c r="M808" s="11">
        <v>659267.0</v>
      </c>
      <c r="N808" s="11" t="s">
        <v>1660</v>
      </c>
      <c r="O808" s="13" t="s">
        <v>761</v>
      </c>
      <c r="P808" s="11">
        <v>0.0</v>
      </c>
      <c r="Q808" s="14">
        <v>0.0</v>
      </c>
      <c r="R808" s="11">
        <v>1.0</v>
      </c>
      <c r="S808">
        <f t="shared" si="1"/>
        <v>2019</v>
      </c>
      <c r="T808">
        <f t="shared" si="2"/>
        <v>1</v>
      </c>
      <c r="U808">
        <f t="shared" si="3"/>
        <v>31</v>
      </c>
      <c r="AG808" s="15"/>
      <c r="AH808" s="16"/>
      <c r="AM808" s="15"/>
      <c r="AN808" s="16"/>
    </row>
    <row r="809">
      <c r="A809" s="13" t="s">
        <v>1661</v>
      </c>
      <c r="B809" s="17">
        <v>43494.0</v>
      </c>
      <c r="C809" s="11" t="s">
        <v>156</v>
      </c>
      <c r="D809" s="11" t="s">
        <v>93</v>
      </c>
      <c r="E809" s="11" t="s">
        <v>39</v>
      </c>
      <c r="F809" s="11" t="s">
        <v>40</v>
      </c>
      <c r="G809" s="11" t="s">
        <v>45</v>
      </c>
      <c r="H809" s="11" t="s">
        <v>56</v>
      </c>
      <c r="I809" s="11" t="s">
        <v>775</v>
      </c>
      <c r="J809" s="11">
        <v>20.0</v>
      </c>
      <c r="K809" s="12">
        <v>44784.0</v>
      </c>
      <c r="L809" s="12"/>
      <c r="M809" s="11">
        <v>684967.0</v>
      </c>
      <c r="N809" s="11" t="s">
        <v>1662</v>
      </c>
      <c r="O809" s="13"/>
      <c r="P809" s="11">
        <v>0.0</v>
      </c>
      <c r="Q809" s="14">
        <v>0.0</v>
      </c>
      <c r="R809" s="11">
        <v>1.0</v>
      </c>
      <c r="S809">
        <f t="shared" si="1"/>
        <v>2019</v>
      </c>
      <c r="T809">
        <f t="shared" si="2"/>
        <v>1</v>
      </c>
      <c r="U809">
        <f t="shared" si="3"/>
        <v>29</v>
      </c>
      <c r="V809" s="17"/>
      <c r="Z809" s="17">
        <v>44784.0</v>
      </c>
      <c r="AG809" s="15"/>
      <c r="AH809" s="16"/>
      <c r="AM809" s="15"/>
      <c r="AN809" s="16"/>
    </row>
    <row r="810">
      <c r="A810" s="13" t="s">
        <v>1663</v>
      </c>
      <c r="B810" s="10">
        <v>43466.0</v>
      </c>
      <c r="C810" s="11" t="s">
        <v>101</v>
      </c>
      <c r="D810" s="11" t="s">
        <v>93</v>
      </c>
      <c r="E810" s="11" t="s">
        <v>39</v>
      </c>
      <c r="F810" s="11" t="s">
        <v>64</v>
      </c>
      <c r="G810" s="11" t="s">
        <v>45</v>
      </c>
      <c r="H810" s="11" t="s">
        <v>262</v>
      </c>
      <c r="I810" s="11" t="s">
        <v>140</v>
      </c>
      <c r="J810" s="11">
        <v>20.0</v>
      </c>
      <c r="K810" s="12">
        <v>44416.0</v>
      </c>
      <c r="L810" s="12"/>
      <c r="M810" s="11">
        <v>676114.0</v>
      </c>
      <c r="N810" s="11" t="s">
        <v>1664</v>
      </c>
      <c r="O810" s="13"/>
      <c r="P810" s="11">
        <v>0.0</v>
      </c>
      <c r="Q810" s="14">
        <v>0.0</v>
      </c>
      <c r="R810" s="11">
        <v>1.0</v>
      </c>
      <c r="S810">
        <f t="shared" si="1"/>
        <v>2019</v>
      </c>
      <c r="T810">
        <f t="shared" si="2"/>
        <v>1</v>
      </c>
      <c r="U810">
        <f t="shared" si="3"/>
        <v>1</v>
      </c>
      <c r="V810" s="17"/>
      <c r="AG810" s="15"/>
      <c r="AH810" s="16"/>
      <c r="AM810" s="15"/>
      <c r="AN810" s="16"/>
    </row>
    <row r="811">
      <c r="A811" s="13" t="s">
        <v>1665</v>
      </c>
      <c r="B811" s="10">
        <v>43466.0</v>
      </c>
      <c r="C811" s="11" t="s">
        <v>116</v>
      </c>
      <c r="D811" s="11" t="s">
        <v>58</v>
      </c>
      <c r="E811" s="11" t="s">
        <v>104</v>
      </c>
      <c r="F811" s="11" t="s">
        <v>40</v>
      </c>
      <c r="G811" s="11" t="s">
        <v>45</v>
      </c>
      <c r="H811" s="11" t="s">
        <v>84</v>
      </c>
      <c r="I811" s="11" t="s">
        <v>1373</v>
      </c>
      <c r="J811" s="11">
        <v>27.0</v>
      </c>
      <c r="K811" s="12"/>
      <c r="L811" s="12"/>
      <c r="M811" s="11">
        <v>657589.0</v>
      </c>
      <c r="N811" s="11" t="s">
        <v>1666</v>
      </c>
      <c r="O811" s="13"/>
      <c r="P811" s="11">
        <v>0.0</v>
      </c>
      <c r="Q811" s="14">
        <v>0.0</v>
      </c>
      <c r="R811" s="11">
        <v>0.0</v>
      </c>
      <c r="S811">
        <f t="shared" si="1"/>
        <v>2019</v>
      </c>
      <c r="T811">
        <f t="shared" si="2"/>
        <v>1</v>
      </c>
      <c r="U811">
        <f t="shared" si="3"/>
        <v>1</v>
      </c>
      <c r="V811" s="17"/>
      <c r="AG811" s="15"/>
      <c r="AH811" s="16"/>
      <c r="AM811" s="15"/>
      <c r="AN811" s="16"/>
    </row>
    <row r="812">
      <c r="A812" s="13" t="s">
        <v>1667</v>
      </c>
      <c r="B812" s="10">
        <v>43466.0</v>
      </c>
      <c r="C812" s="11" t="s">
        <v>116</v>
      </c>
      <c r="D812" s="11" t="s">
        <v>93</v>
      </c>
      <c r="E812" s="11" t="s">
        <v>39</v>
      </c>
      <c r="F812" s="11" t="s">
        <v>40</v>
      </c>
      <c r="G812" s="11" t="s">
        <v>45</v>
      </c>
      <c r="H812" s="11" t="s">
        <v>84</v>
      </c>
      <c r="I812" s="11" t="s">
        <v>1668</v>
      </c>
      <c r="J812" s="11">
        <v>21.0</v>
      </c>
      <c r="K812" s="12">
        <v>44414.0</v>
      </c>
      <c r="L812" s="12"/>
      <c r="M812" s="11">
        <v>673908.0</v>
      </c>
      <c r="N812" s="11" t="s">
        <v>1669</v>
      </c>
      <c r="O812" s="13"/>
      <c r="P812" s="11">
        <v>0.0</v>
      </c>
      <c r="Q812" s="14">
        <v>0.0</v>
      </c>
      <c r="R812" s="11">
        <v>1.0</v>
      </c>
      <c r="S812">
        <f t="shared" si="1"/>
        <v>2019</v>
      </c>
      <c r="T812">
        <f t="shared" si="2"/>
        <v>1</v>
      </c>
      <c r="U812">
        <f t="shared" si="3"/>
        <v>1</v>
      </c>
      <c r="V812" s="17"/>
      <c r="AG812" s="15"/>
      <c r="AH812" s="16"/>
      <c r="AM812" s="15"/>
      <c r="AN812" s="16"/>
    </row>
    <row r="813">
      <c r="A813" s="13" t="s">
        <v>1670</v>
      </c>
      <c r="B813" s="10">
        <v>43466.0</v>
      </c>
      <c r="C813" s="11" t="s">
        <v>72</v>
      </c>
      <c r="D813" s="11" t="s">
        <v>93</v>
      </c>
      <c r="E813" s="11" t="s">
        <v>39</v>
      </c>
      <c r="F813" s="11" t="s">
        <v>40</v>
      </c>
      <c r="G813" s="11" t="s">
        <v>45</v>
      </c>
      <c r="H813" s="11" t="s">
        <v>67</v>
      </c>
      <c r="I813" s="11" t="s">
        <v>373</v>
      </c>
      <c r="J813" s="11">
        <v>20.0</v>
      </c>
      <c r="K813" s="12">
        <v>44425.0</v>
      </c>
      <c r="L813" s="12"/>
      <c r="M813" s="11">
        <v>671220.0</v>
      </c>
      <c r="N813" s="11" t="s">
        <v>1671</v>
      </c>
      <c r="O813" s="13"/>
      <c r="P813" s="11">
        <v>0.0</v>
      </c>
      <c r="Q813" s="14">
        <v>0.0</v>
      </c>
      <c r="R813" s="11">
        <v>1.0</v>
      </c>
      <c r="S813">
        <f t="shared" si="1"/>
        <v>2019</v>
      </c>
      <c r="T813">
        <f t="shared" si="2"/>
        <v>1</v>
      </c>
      <c r="U813">
        <f t="shared" si="3"/>
        <v>1</v>
      </c>
      <c r="V813" s="17"/>
      <c r="AG813" s="15"/>
      <c r="AH813" s="16"/>
      <c r="AM813" s="15"/>
      <c r="AN813" s="16"/>
    </row>
    <row r="814">
      <c r="A814" s="13" t="s">
        <v>1672</v>
      </c>
      <c r="B814" s="10">
        <v>43466.0</v>
      </c>
      <c r="C814" s="11" t="s">
        <v>44</v>
      </c>
      <c r="D814" s="11" t="s">
        <v>93</v>
      </c>
      <c r="E814" s="11" t="s">
        <v>118</v>
      </c>
      <c r="F814" s="11" t="s">
        <v>40</v>
      </c>
      <c r="G814" s="11" t="s">
        <v>45</v>
      </c>
      <c r="H814" s="11" t="s">
        <v>67</v>
      </c>
      <c r="I814" s="11" t="s">
        <v>1673</v>
      </c>
      <c r="J814" s="11">
        <v>21.0</v>
      </c>
      <c r="K814" s="12">
        <v>44320.0</v>
      </c>
      <c r="L814" s="12"/>
      <c r="M814" s="11">
        <v>687588.0</v>
      </c>
      <c r="N814" s="11" t="s">
        <v>1674</v>
      </c>
      <c r="O814" s="13"/>
      <c r="P814" s="11">
        <v>0.0</v>
      </c>
      <c r="Q814" s="14">
        <v>0.0</v>
      </c>
      <c r="R814" s="11">
        <v>1.0</v>
      </c>
      <c r="S814">
        <f t="shared" si="1"/>
        <v>2019</v>
      </c>
      <c r="T814">
        <f t="shared" si="2"/>
        <v>1</v>
      </c>
      <c r="U814">
        <f t="shared" si="3"/>
        <v>1</v>
      </c>
      <c r="V814" s="17"/>
      <c r="Z814" s="17">
        <v>44320.0</v>
      </c>
      <c r="AG814" s="15"/>
      <c r="AH814" s="16"/>
      <c r="AM814" s="15"/>
      <c r="AN814" s="16"/>
    </row>
    <row r="815">
      <c r="A815" s="13" t="s">
        <v>1675</v>
      </c>
      <c r="B815" s="17">
        <v>43466.0</v>
      </c>
      <c r="C815" s="11" t="s">
        <v>52</v>
      </c>
      <c r="D815" s="11" t="s">
        <v>213</v>
      </c>
      <c r="E815" s="11" t="s">
        <v>39</v>
      </c>
      <c r="F815" s="11" t="s">
        <v>40</v>
      </c>
      <c r="G815" s="11" t="s">
        <v>45</v>
      </c>
      <c r="H815" s="11" t="s">
        <v>67</v>
      </c>
      <c r="I815" s="11" t="s">
        <v>190</v>
      </c>
      <c r="J815" s="11">
        <v>17.0</v>
      </c>
      <c r="K815" s="12"/>
      <c r="L815" s="12"/>
      <c r="M815" s="11">
        <v>696280.0</v>
      </c>
      <c r="N815" s="11"/>
      <c r="O815" s="13"/>
      <c r="P815" s="11">
        <v>0.0</v>
      </c>
      <c r="Q815" s="14">
        <v>0.0</v>
      </c>
      <c r="R815" s="11">
        <v>1.0</v>
      </c>
      <c r="S815">
        <f t="shared" si="1"/>
        <v>2019</v>
      </c>
      <c r="T815">
        <f t="shared" si="2"/>
        <v>1</v>
      </c>
      <c r="U815">
        <f t="shared" si="3"/>
        <v>1</v>
      </c>
      <c r="V815" s="17"/>
      <c r="AG815" s="15"/>
      <c r="AH815" s="16"/>
      <c r="AM815" s="15"/>
      <c r="AN815" s="16"/>
    </row>
    <row r="816">
      <c r="A816" s="13" t="s">
        <v>1676</v>
      </c>
      <c r="B816" s="10">
        <v>43466.0</v>
      </c>
      <c r="C816" s="11" t="s">
        <v>358</v>
      </c>
      <c r="D816" s="11" t="s">
        <v>97</v>
      </c>
      <c r="E816" s="11" t="s">
        <v>39</v>
      </c>
      <c r="F816" s="11" t="s">
        <v>64</v>
      </c>
      <c r="G816" s="11" t="s">
        <v>45</v>
      </c>
      <c r="H816" s="11" t="s">
        <v>127</v>
      </c>
      <c r="I816" s="11"/>
      <c r="J816" s="11">
        <v>22.0</v>
      </c>
      <c r="K816" s="12">
        <v>44322.0</v>
      </c>
      <c r="L816" s="12"/>
      <c r="M816" s="11">
        <v>663657.0</v>
      </c>
      <c r="N816" s="11" t="s">
        <v>1677</v>
      </c>
      <c r="O816" s="13"/>
      <c r="P816" s="11">
        <v>0.0</v>
      </c>
      <c r="Q816" s="14">
        <v>0.0</v>
      </c>
      <c r="R816" s="11">
        <v>1.0</v>
      </c>
      <c r="S816">
        <f t="shared" si="1"/>
        <v>2019</v>
      </c>
      <c r="T816">
        <f t="shared" si="2"/>
        <v>1</v>
      </c>
      <c r="U816">
        <f t="shared" si="3"/>
        <v>1</v>
      </c>
      <c r="V816" s="17"/>
      <c r="Z816" s="17">
        <v>44322.0</v>
      </c>
      <c r="AG816" s="15"/>
      <c r="AH816" s="16"/>
      <c r="AM816" s="15"/>
      <c r="AN816" s="16"/>
    </row>
    <row r="817">
      <c r="A817" s="13" t="s">
        <v>1678</v>
      </c>
      <c r="B817" s="10">
        <v>43466.0</v>
      </c>
      <c r="C817" s="11" t="s">
        <v>358</v>
      </c>
      <c r="D817" s="11" t="s">
        <v>88</v>
      </c>
      <c r="E817" s="11" t="s">
        <v>39</v>
      </c>
      <c r="F817" s="11" t="s">
        <v>40</v>
      </c>
      <c r="G817" s="11" t="s">
        <v>45</v>
      </c>
      <c r="H817" s="11" t="s">
        <v>412</v>
      </c>
      <c r="I817" s="11"/>
      <c r="J817" s="11">
        <v>22.0</v>
      </c>
      <c r="K817" s="12">
        <v>44322.0</v>
      </c>
      <c r="L817" s="12"/>
      <c r="M817" s="11">
        <v>663649.0</v>
      </c>
      <c r="N817" s="11" t="s">
        <v>1679</v>
      </c>
      <c r="O817" s="13"/>
      <c r="P817" s="11">
        <v>0.0</v>
      </c>
      <c r="Q817" s="14">
        <v>0.0</v>
      </c>
      <c r="R817" s="11">
        <v>1.0</v>
      </c>
      <c r="S817">
        <f t="shared" si="1"/>
        <v>2019</v>
      </c>
      <c r="T817">
        <f t="shared" si="2"/>
        <v>1</v>
      </c>
      <c r="U817">
        <f t="shared" si="3"/>
        <v>1</v>
      </c>
      <c r="V817" s="17"/>
      <c r="Z817" s="17">
        <v>44322.0</v>
      </c>
      <c r="AG817" s="15"/>
      <c r="AH817" s="16"/>
      <c r="AM817" s="15"/>
      <c r="AN817" s="16"/>
    </row>
    <row r="818">
      <c r="A818" s="13" t="s">
        <v>1680</v>
      </c>
      <c r="B818" s="10">
        <v>43466.0</v>
      </c>
      <c r="C818" s="11" t="s">
        <v>358</v>
      </c>
      <c r="D818" s="11" t="s">
        <v>221</v>
      </c>
      <c r="E818" s="11" t="s">
        <v>39</v>
      </c>
      <c r="F818" s="11" t="s">
        <v>40</v>
      </c>
      <c r="G818" s="11" t="s">
        <v>45</v>
      </c>
      <c r="H818" s="11" t="s">
        <v>163</v>
      </c>
      <c r="I818" s="11" t="s">
        <v>1681</v>
      </c>
      <c r="J818" s="11">
        <v>20.0</v>
      </c>
      <c r="K818" s="12"/>
      <c r="L818" s="12"/>
      <c r="M818" s="11">
        <v>681913.0</v>
      </c>
      <c r="N818" s="11" t="s">
        <v>1682</v>
      </c>
      <c r="O818" s="13"/>
      <c r="P818" s="11">
        <v>0.0</v>
      </c>
      <c r="Q818" s="14">
        <v>0.0</v>
      </c>
      <c r="R818" s="11">
        <v>0.0</v>
      </c>
      <c r="S818">
        <f t="shared" si="1"/>
        <v>2019</v>
      </c>
      <c r="T818">
        <f t="shared" si="2"/>
        <v>1</v>
      </c>
      <c r="U818">
        <f t="shared" si="3"/>
        <v>1</v>
      </c>
      <c r="V818" s="17"/>
      <c r="AG818" s="15"/>
      <c r="AH818" s="16"/>
      <c r="AM818" s="15"/>
      <c r="AN818" s="16"/>
    </row>
    <row r="819">
      <c r="A819" s="13" t="s">
        <v>1683</v>
      </c>
      <c r="B819" s="10">
        <v>43466.0</v>
      </c>
      <c r="C819" s="11" t="s">
        <v>358</v>
      </c>
      <c r="D819" s="11" t="s">
        <v>221</v>
      </c>
      <c r="E819" s="11" t="s">
        <v>39</v>
      </c>
      <c r="F819" s="11" t="s">
        <v>64</v>
      </c>
      <c r="G819" s="11" t="s">
        <v>45</v>
      </c>
      <c r="H819" s="11" t="s">
        <v>56</v>
      </c>
      <c r="I819" s="11" t="s">
        <v>1684</v>
      </c>
      <c r="J819" s="11">
        <v>23.0</v>
      </c>
      <c r="K819" s="12"/>
      <c r="L819" s="12"/>
      <c r="M819" s="11">
        <v>677535.0</v>
      </c>
      <c r="N819" s="11" t="s">
        <v>1685</v>
      </c>
      <c r="O819" s="13"/>
      <c r="P819" s="11">
        <v>0.0</v>
      </c>
      <c r="Q819" s="14">
        <v>0.0</v>
      </c>
      <c r="R819" s="11">
        <v>0.0</v>
      </c>
      <c r="S819">
        <f t="shared" si="1"/>
        <v>2019</v>
      </c>
      <c r="T819">
        <f t="shared" si="2"/>
        <v>1</v>
      </c>
      <c r="U819">
        <f t="shared" si="3"/>
        <v>1</v>
      </c>
      <c r="V819" s="17"/>
      <c r="AG819" s="15"/>
      <c r="AH819" s="16"/>
      <c r="AM819" s="15"/>
      <c r="AN819" s="16"/>
    </row>
    <row r="820">
      <c r="A820" s="13" t="s">
        <v>1686</v>
      </c>
      <c r="B820" s="10">
        <v>43466.0</v>
      </c>
      <c r="C820" s="11" t="s">
        <v>358</v>
      </c>
      <c r="D820" s="11" t="s">
        <v>221</v>
      </c>
      <c r="E820" s="11" t="s">
        <v>39</v>
      </c>
      <c r="F820" s="11" t="s">
        <v>40</v>
      </c>
      <c r="G820" s="11" t="s">
        <v>45</v>
      </c>
      <c r="H820" s="11" t="s">
        <v>412</v>
      </c>
      <c r="I820" s="11"/>
      <c r="J820" s="11">
        <v>22.0</v>
      </c>
      <c r="K820" s="12">
        <v>44378.0</v>
      </c>
      <c r="L820" s="12"/>
      <c r="M820" s="11">
        <v>663872.0</v>
      </c>
      <c r="N820" s="11" t="s">
        <v>1687</v>
      </c>
      <c r="O820" s="13"/>
      <c r="P820" s="11">
        <v>0.0</v>
      </c>
      <c r="Q820" s="14">
        <v>0.0</v>
      </c>
      <c r="R820" s="11">
        <v>1.0</v>
      </c>
      <c r="S820">
        <f t="shared" si="1"/>
        <v>2019</v>
      </c>
      <c r="T820">
        <f t="shared" si="2"/>
        <v>1</v>
      </c>
      <c r="U820">
        <f t="shared" si="3"/>
        <v>1</v>
      </c>
      <c r="V820" s="17"/>
      <c r="Z820" s="17">
        <v>44378.0</v>
      </c>
      <c r="AG820" s="15"/>
      <c r="AH820" s="16"/>
      <c r="AM820" s="15"/>
      <c r="AN820" s="16"/>
    </row>
    <row r="821">
      <c r="A821" s="13" t="s">
        <v>1688</v>
      </c>
      <c r="B821" s="17">
        <v>43466.0</v>
      </c>
      <c r="C821" s="11" t="s">
        <v>346</v>
      </c>
      <c r="D821" s="11" t="s">
        <v>93</v>
      </c>
      <c r="E821" s="11" t="s">
        <v>39</v>
      </c>
      <c r="F821" s="11" t="s">
        <v>40</v>
      </c>
      <c r="G821" s="11" t="s">
        <v>45</v>
      </c>
      <c r="H821" s="11" t="s">
        <v>73</v>
      </c>
      <c r="I821" s="11" t="s">
        <v>1689</v>
      </c>
      <c r="J821" s="11">
        <v>20.0</v>
      </c>
      <c r="K821" s="12">
        <v>44416.0</v>
      </c>
      <c r="L821" s="12"/>
      <c r="M821" s="11">
        <v>687107.0</v>
      </c>
      <c r="N821" s="11" t="s">
        <v>1690</v>
      </c>
      <c r="O821" s="13"/>
      <c r="P821" s="11">
        <v>0.0</v>
      </c>
      <c r="Q821" s="14">
        <v>0.0</v>
      </c>
      <c r="R821" s="11">
        <v>1.0</v>
      </c>
      <c r="S821">
        <f t="shared" si="1"/>
        <v>2019</v>
      </c>
      <c r="T821">
        <f t="shared" si="2"/>
        <v>1</v>
      </c>
      <c r="U821">
        <f t="shared" si="3"/>
        <v>1</v>
      </c>
      <c r="V821" s="17"/>
      <c r="AG821" s="15"/>
      <c r="AH821" s="16"/>
      <c r="AM821" s="15"/>
      <c r="AN821" s="16"/>
    </row>
    <row r="822">
      <c r="A822" s="13" t="s">
        <v>1691</v>
      </c>
      <c r="B822" s="17">
        <v>43466.0</v>
      </c>
      <c r="C822" s="11" t="s">
        <v>346</v>
      </c>
      <c r="D822" s="11" t="s">
        <v>213</v>
      </c>
      <c r="E822" s="11" t="s">
        <v>39</v>
      </c>
      <c r="F822" s="11" t="s">
        <v>40</v>
      </c>
      <c r="G822" s="11" t="s">
        <v>45</v>
      </c>
      <c r="H822" s="11" t="s">
        <v>262</v>
      </c>
      <c r="I822" s="11" t="s">
        <v>140</v>
      </c>
      <c r="J822" s="11">
        <v>19.0</v>
      </c>
      <c r="K822" s="12">
        <v>44429.0</v>
      </c>
      <c r="L822" s="12"/>
      <c r="M822" s="11">
        <v>684665.0</v>
      </c>
      <c r="N822" s="11" t="s">
        <v>1692</v>
      </c>
      <c r="O822" s="13"/>
      <c r="P822" s="11">
        <v>0.0</v>
      </c>
      <c r="Q822" s="14">
        <v>0.0</v>
      </c>
      <c r="R822" s="11">
        <v>1.0</v>
      </c>
      <c r="S822">
        <f t="shared" si="1"/>
        <v>2019</v>
      </c>
      <c r="T822">
        <f t="shared" si="2"/>
        <v>1</v>
      </c>
      <c r="U822">
        <f t="shared" si="3"/>
        <v>1</v>
      </c>
      <c r="V822" s="17"/>
      <c r="AG822" s="15"/>
      <c r="AH822" s="16"/>
      <c r="AM822" s="15"/>
      <c r="AN822" s="16"/>
    </row>
    <row r="823">
      <c r="A823" s="13" t="s">
        <v>1693</v>
      </c>
      <c r="B823" s="17">
        <v>43466.0</v>
      </c>
      <c r="C823" s="11" t="s">
        <v>126</v>
      </c>
      <c r="D823" s="11" t="s">
        <v>93</v>
      </c>
      <c r="E823" s="11" t="s">
        <v>39</v>
      </c>
      <c r="F823" s="11" t="s">
        <v>64</v>
      </c>
      <c r="G823" s="11" t="s">
        <v>45</v>
      </c>
      <c r="H823" s="11" t="s">
        <v>112</v>
      </c>
      <c r="I823" s="11" t="s">
        <v>112</v>
      </c>
      <c r="J823" s="11">
        <v>21.0</v>
      </c>
      <c r="K823" s="12">
        <v>44321.0</v>
      </c>
      <c r="L823" s="12"/>
      <c r="M823" s="11">
        <v>686253.0</v>
      </c>
      <c r="N823" s="11" t="s">
        <v>1694</v>
      </c>
      <c r="O823" s="13"/>
      <c r="P823" s="11">
        <v>0.0</v>
      </c>
      <c r="Q823" s="14">
        <v>0.0</v>
      </c>
      <c r="R823" s="11">
        <v>1.0</v>
      </c>
      <c r="S823">
        <f t="shared" si="1"/>
        <v>2019</v>
      </c>
      <c r="T823">
        <f t="shared" si="2"/>
        <v>1</v>
      </c>
      <c r="U823">
        <f t="shared" si="3"/>
        <v>1</v>
      </c>
      <c r="V823" s="17"/>
      <c r="AG823" s="15"/>
      <c r="AH823" s="16"/>
      <c r="AM823" s="15"/>
      <c r="AN823" s="16"/>
    </row>
    <row r="824">
      <c r="A824" s="13" t="s">
        <v>1695</v>
      </c>
      <c r="B824" s="17">
        <v>43466.0</v>
      </c>
      <c r="C824" s="11" t="s">
        <v>126</v>
      </c>
      <c r="D824" s="11" t="s">
        <v>221</v>
      </c>
      <c r="E824" s="11" t="s">
        <v>39</v>
      </c>
      <c r="F824" s="11" t="s">
        <v>64</v>
      </c>
      <c r="G824" s="11" t="s">
        <v>41</v>
      </c>
      <c r="H824" s="11"/>
      <c r="I824" s="11"/>
      <c r="J824" s="11">
        <v>21.0</v>
      </c>
      <c r="K824" s="12">
        <v>44321.0</v>
      </c>
      <c r="L824" s="12"/>
      <c r="M824" s="11">
        <v>669796.0</v>
      </c>
      <c r="N824" s="11">
        <v>22318.0</v>
      </c>
      <c r="O824" s="13"/>
      <c r="P824" s="11">
        <v>0.0</v>
      </c>
      <c r="Q824" s="14">
        <v>0.0</v>
      </c>
      <c r="R824" s="11">
        <v>1.0</v>
      </c>
      <c r="S824">
        <f t="shared" si="1"/>
        <v>2019</v>
      </c>
      <c r="T824">
        <f t="shared" si="2"/>
        <v>1</v>
      </c>
      <c r="U824">
        <f t="shared" si="3"/>
        <v>1</v>
      </c>
      <c r="V824" s="17"/>
      <c r="Z824" s="17">
        <v>44321.0</v>
      </c>
      <c r="AG824" s="15"/>
      <c r="AH824" s="16"/>
      <c r="AM824" s="15"/>
      <c r="AN824" s="16"/>
    </row>
    <row r="825">
      <c r="A825" s="13" t="s">
        <v>1696</v>
      </c>
      <c r="B825" s="17">
        <v>43466.0</v>
      </c>
      <c r="C825" s="11" t="s">
        <v>37</v>
      </c>
      <c r="D825" s="11" t="s">
        <v>93</v>
      </c>
      <c r="E825" s="11" t="s">
        <v>104</v>
      </c>
      <c r="F825" s="11" t="s">
        <v>40</v>
      </c>
      <c r="G825" s="11" t="s">
        <v>45</v>
      </c>
      <c r="H825" s="11" t="s">
        <v>243</v>
      </c>
      <c r="I825" s="11" t="s">
        <v>243</v>
      </c>
      <c r="J825" s="11">
        <v>20.0</v>
      </c>
      <c r="K825" s="12">
        <v>44414.0</v>
      </c>
      <c r="L825" s="12"/>
      <c r="M825" s="11">
        <v>671217.0</v>
      </c>
      <c r="N825" s="11" t="s">
        <v>1697</v>
      </c>
      <c r="O825" s="13"/>
      <c r="P825" s="11">
        <v>0.0</v>
      </c>
      <c r="Q825" s="14">
        <v>0.0</v>
      </c>
      <c r="R825" s="11">
        <v>1.0</v>
      </c>
      <c r="S825">
        <f t="shared" si="1"/>
        <v>2019</v>
      </c>
      <c r="T825">
        <f t="shared" si="2"/>
        <v>1</v>
      </c>
      <c r="U825">
        <f t="shared" si="3"/>
        <v>1</v>
      </c>
      <c r="V825" s="17"/>
      <c r="Z825" s="17"/>
      <c r="AG825" s="15"/>
      <c r="AH825" s="16"/>
      <c r="AM825" s="15"/>
      <c r="AN825" s="16"/>
    </row>
    <row r="826">
      <c r="A826" s="13" t="s">
        <v>1698</v>
      </c>
      <c r="B826" s="10">
        <v>43466.0</v>
      </c>
      <c r="C826" s="11" t="s">
        <v>103</v>
      </c>
      <c r="D826" s="11" t="s">
        <v>97</v>
      </c>
      <c r="E826" s="11" t="s">
        <v>39</v>
      </c>
      <c r="F826" s="11" t="s">
        <v>40</v>
      </c>
      <c r="G826" s="11" t="s">
        <v>53</v>
      </c>
      <c r="H826" s="11"/>
      <c r="I826" s="11"/>
      <c r="J826" s="11">
        <v>22.0</v>
      </c>
      <c r="K826" s="12">
        <v>44369.0</v>
      </c>
      <c r="L826" s="12"/>
      <c r="M826" s="11">
        <v>660522.0</v>
      </c>
      <c r="N826" s="11" t="s">
        <v>1699</v>
      </c>
      <c r="O826" s="13"/>
      <c r="P826" s="11">
        <v>0.0</v>
      </c>
      <c r="Q826" s="14">
        <v>0.0</v>
      </c>
      <c r="R826" s="11">
        <v>1.0</v>
      </c>
      <c r="S826">
        <f t="shared" si="1"/>
        <v>2019</v>
      </c>
      <c r="T826">
        <f t="shared" si="2"/>
        <v>1</v>
      </c>
      <c r="U826">
        <f t="shared" si="3"/>
        <v>1</v>
      </c>
      <c r="V826" s="17"/>
      <c r="Z826" s="17">
        <v>44369.0</v>
      </c>
      <c r="AG826" s="15"/>
      <c r="AH826" s="16"/>
      <c r="AM826" s="15"/>
      <c r="AN826" s="16"/>
    </row>
    <row r="827">
      <c r="A827" s="13" t="s">
        <v>1700</v>
      </c>
      <c r="B827" s="10">
        <v>43466.0</v>
      </c>
      <c r="C827" s="11" t="s">
        <v>103</v>
      </c>
      <c r="D827" s="11" t="s">
        <v>221</v>
      </c>
      <c r="E827" s="11" t="s">
        <v>39</v>
      </c>
      <c r="F827" s="11" t="s">
        <v>40</v>
      </c>
      <c r="G827" s="11" t="s">
        <v>53</v>
      </c>
      <c r="H827" s="11"/>
      <c r="I827" s="11"/>
      <c r="J827" s="11">
        <v>19.0</v>
      </c>
      <c r="K827" s="12"/>
      <c r="L827" s="12"/>
      <c r="M827" s="11">
        <v>672742.0</v>
      </c>
      <c r="N827" s="11" t="s">
        <v>1701</v>
      </c>
      <c r="O827" s="13"/>
      <c r="P827" s="11">
        <v>0.0</v>
      </c>
      <c r="Q827" s="14">
        <v>0.0</v>
      </c>
      <c r="R827" s="11">
        <v>0.0</v>
      </c>
      <c r="S827">
        <f t="shared" si="1"/>
        <v>2019</v>
      </c>
      <c r="T827">
        <f t="shared" si="2"/>
        <v>1</v>
      </c>
      <c r="U827">
        <f t="shared" si="3"/>
        <v>1</v>
      </c>
      <c r="V827" s="17"/>
      <c r="AG827" s="15"/>
      <c r="AH827" s="16"/>
      <c r="AM827" s="15"/>
      <c r="AN827" s="16"/>
    </row>
    <row r="828">
      <c r="A828" s="13" t="s">
        <v>75</v>
      </c>
      <c r="B828" s="17">
        <v>43466.0</v>
      </c>
      <c r="C828" s="11" t="s">
        <v>49</v>
      </c>
      <c r="D828" s="11" t="s">
        <v>213</v>
      </c>
      <c r="E828" s="11" t="s">
        <v>39</v>
      </c>
      <c r="F828" s="11" t="s">
        <v>40</v>
      </c>
      <c r="G828" s="11" t="s">
        <v>45</v>
      </c>
      <c r="H828" s="11" t="s">
        <v>73</v>
      </c>
      <c r="I828" s="11" t="s">
        <v>78</v>
      </c>
      <c r="J828" s="11">
        <v>19.0</v>
      </c>
      <c r="K828" s="12">
        <v>44784.0</v>
      </c>
      <c r="L828" s="12"/>
      <c r="M828" s="11">
        <v>701603.0</v>
      </c>
      <c r="N828" s="11" t="s">
        <v>79</v>
      </c>
      <c r="O828" s="13"/>
      <c r="P828" s="11">
        <v>0.0</v>
      </c>
      <c r="Q828" s="14">
        <v>0.0</v>
      </c>
      <c r="R828" s="11">
        <v>1.0</v>
      </c>
      <c r="S828">
        <f t="shared" si="1"/>
        <v>2019</v>
      </c>
      <c r="T828">
        <f t="shared" si="2"/>
        <v>1</v>
      </c>
      <c r="U828">
        <f t="shared" si="3"/>
        <v>1</v>
      </c>
      <c r="V828" s="17"/>
      <c r="Z828" s="17">
        <v>44784.0</v>
      </c>
      <c r="AG828" s="15"/>
      <c r="AH828" s="16"/>
      <c r="AM828" s="15"/>
      <c r="AN828" s="16"/>
    </row>
    <row r="829">
      <c r="A829" s="13" t="s">
        <v>1702</v>
      </c>
      <c r="B829" s="10">
        <v>43466.0</v>
      </c>
      <c r="C829" s="11" t="s">
        <v>150</v>
      </c>
      <c r="D829" s="11" t="s">
        <v>97</v>
      </c>
      <c r="E829" s="11" t="s">
        <v>39</v>
      </c>
      <c r="F829" s="11" t="s">
        <v>40</v>
      </c>
      <c r="G829" s="11" t="s">
        <v>45</v>
      </c>
      <c r="H829" s="11" t="s">
        <v>163</v>
      </c>
      <c r="I829" s="11" t="s">
        <v>262</v>
      </c>
      <c r="J829" s="11">
        <v>21.0</v>
      </c>
      <c r="K829" s="12">
        <v>44659.0</v>
      </c>
      <c r="L829" s="12"/>
      <c r="M829" s="11">
        <v>669697.0</v>
      </c>
      <c r="N829" s="11" t="s">
        <v>1703</v>
      </c>
      <c r="O829" s="13"/>
      <c r="P829" s="11">
        <v>0.0</v>
      </c>
      <c r="Q829" s="14">
        <v>0.0</v>
      </c>
      <c r="R829" s="11">
        <v>1.0</v>
      </c>
      <c r="S829">
        <f t="shared" si="1"/>
        <v>2019</v>
      </c>
      <c r="T829">
        <f t="shared" si="2"/>
        <v>1</v>
      </c>
      <c r="U829">
        <f t="shared" si="3"/>
        <v>1</v>
      </c>
      <c r="V829" s="17"/>
      <c r="AG829" s="15"/>
      <c r="AH829" s="16"/>
      <c r="AM829" s="15"/>
      <c r="AN829" s="16"/>
    </row>
    <row r="830">
      <c r="A830" s="13" t="s">
        <v>1704</v>
      </c>
      <c r="B830" s="17">
        <v>43466.0</v>
      </c>
      <c r="C830" s="11" t="s">
        <v>362</v>
      </c>
      <c r="D830" s="11" t="s">
        <v>213</v>
      </c>
      <c r="E830" s="11" t="s">
        <v>39</v>
      </c>
      <c r="F830" s="11" t="s">
        <v>64</v>
      </c>
      <c r="G830" s="11" t="s">
        <v>45</v>
      </c>
      <c r="H830" s="11" t="s">
        <v>84</v>
      </c>
      <c r="I830" s="11" t="s">
        <v>173</v>
      </c>
      <c r="J830" s="11">
        <v>19.0</v>
      </c>
      <c r="K830" s="12">
        <v>45023.0</v>
      </c>
      <c r="L830" s="12"/>
      <c r="M830" s="11">
        <v>669343.0</v>
      </c>
      <c r="N830" s="11" t="s">
        <v>1705</v>
      </c>
      <c r="O830" s="13"/>
      <c r="P830" s="11">
        <v>0.0</v>
      </c>
      <c r="Q830" s="14">
        <v>0.0</v>
      </c>
      <c r="R830" s="11">
        <v>1.0</v>
      </c>
      <c r="S830">
        <f t="shared" si="1"/>
        <v>2019</v>
      </c>
      <c r="T830">
        <f t="shared" si="2"/>
        <v>1</v>
      </c>
      <c r="U830">
        <f t="shared" si="3"/>
        <v>1</v>
      </c>
      <c r="V830" s="17"/>
      <c r="Z830" s="17">
        <v>45023.0</v>
      </c>
      <c r="AG830" s="15"/>
      <c r="AH830" s="16"/>
      <c r="AM830" s="15"/>
      <c r="AN830" s="16"/>
    </row>
    <row r="831">
      <c r="A831" s="13" t="s">
        <v>1706</v>
      </c>
      <c r="B831" s="10">
        <v>43466.0</v>
      </c>
      <c r="C831" s="11" t="s">
        <v>175</v>
      </c>
      <c r="D831" s="11" t="s">
        <v>93</v>
      </c>
      <c r="E831" s="11" t="s">
        <v>39</v>
      </c>
      <c r="F831" s="11" t="s">
        <v>64</v>
      </c>
      <c r="G831" s="11" t="s">
        <v>45</v>
      </c>
      <c r="H831" s="11" t="s">
        <v>89</v>
      </c>
      <c r="I831" s="11" t="s">
        <v>276</v>
      </c>
      <c r="J831" s="11">
        <v>21.0</v>
      </c>
      <c r="K831" s="12">
        <v>44328.0</v>
      </c>
      <c r="L831" s="12"/>
      <c r="M831" s="11">
        <v>683739.0</v>
      </c>
      <c r="N831" s="11" t="s">
        <v>1707</v>
      </c>
      <c r="O831" s="13"/>
      <c r="P831" s="11">
        <v>0.0</v>
      </c>
      <c r="Q831" s="14">
        <v>0.0</v>
      </c>
      <c r="R831" s="11">
        <v>1.0</v>
      </c>
      <c r="S831">
        <f t="shared" si="1"/>
        <v>2019</v>
      </c>
      <c r="T831">
        <f t="shared" si="2"/>
        <v>1</v>
      </c>
      <c r="U831">
        <f t="shared" si="3"/>
        <v>1</v>
      </c>
      <c r="V831" s="17"/>
      <c r="AG831" s="15"/>
      <c r="AH831" s="16"/>
      <c r="AM831" s="15"/>
      <c r="AN831" s="16"/>
    </row>
    <row r="832">
      <c r="A832" s="13" t="s">
        <v>1708</v>
      </c>
      <c r="B832" s="17">
        <v>43466.0</v>
      </c>
      <c r="C832" s="11" t="s">
        <v>230</v>
      </c>
      <c r="D832" s="11" t="s">
        <v>709</v>
      </c>
      <c r="E832" s="11" t="s">
        <v>39</v>
      </c>
      <c r="F832" s="11" t="s">
        <v>64</v>
      </c>
      <c r="G832" s="11" t="s">
        <v>45</v>
      </c>
      <c r="H832" s="11" t="s">
        <v>73</v>
      </c>
      <c r="I832" s="11" t="s">
        <v>1709</v>
      </c>
      <c r="J832" s="11">
        <v>21.0</v>
      </c>
      <c r="K832" s="12">
        <v>44321.0</v>
      </c>
      <c r="L832" s="12"/>
      <c r="M832" s="11">
        <v>676611.0</v>
      </c>
      <c r="N832" s="11" t="s">
        <v>1710</v>
      </c>
      <c r="O832" s="13"/>
      <c r="P832" s="11">
        <v>0.0</v>
      </c>
      <c r="Q832" s="14">
        <v>0.0</v>
      </c>
      <c r="R832" s="11">
        <v>1.0</v>
      </c>
      <c r="S832">
        <f t="shared" si="1"/>
        <v>2019</v>
      </c>
      <c r="T832">
        <f t="shared" si="2"/>
        <v>1</v>
      </c>
      <c r="U832">
        <f t="shared" si="3"/>
        <v>1</v>
      </c>
      <c r="V832" s="17"/>
      <c r="Z832" s="17">
        <v>44321.0</v>
      </c>
      <c r="AG832" s="15"/>
      <c r="AH832" s="16"/>
      <c r="AM832" s="15"/>
      <c r="AN832" s="16"/>
    </row>
    <row r="833">
      <c r="A833" s="13" t="s">
        <v>1711</v>
      </c>
      <c r="B833" s="17">
        <v>43466.0</v>
      </c>
      <c r="C833" s="11" t="s">
        <v>230</v>
      </c>
      <c r="D833" s="11" t="s">
        <v>93</v>
      </c>
      <c r="E833" s="11" t="s">
        <v>39</v>
      </c>
      <c r="F833" s="11" t="s">
        <v>40</v>
      </c>
      <c r="G833" s="11" t="s">
        <v>45</v>
      </c>
      <c r="H833" s="11" t="s">
        <v>109</v>
      </c>
      <c r="I833" s="11" t="s">
        <v>1712</v>
      </c>
      <c r="J833" s="11">
        <v>21.0</v>
      </c>
      <c r="K833" s="12">
        <v>44321.0</v>
      </c>
      <c r="L833" s="12"/>
      <c r="M833" s="11">
        <v>686651.0</v>
      </c>
      <c r="N833" s="11">
        <v>25650.0</v>
      </c>
      <c r="O833" s="13"/>
      <c r="P833" s="11">
        <v>0.0</v>
      </c>
      <c r="Q833" s="14">
        <v>0.0</v>
      </c>
      <c r="R833" s="11">
        <v>1.0</v>
      </c>
      <c r="S833">
        <f t="shared" si="1"/>
        <v>2019</v>
      </c>
      <c r="T833">
        <f t="shared" si="2"/>
        <v>1</v>
      </c>
      <c r="U833">
        <f t="shared" si="3"/>
        <v>1</v>
      </c>
      <c r="V833" s="17"/>
      <c r="Z833" s="17">
        <v>44321.0</v>
      </c>
      <c r="AG833" s="15"/>
      <c r="AH833" s="16"/>
      <c r="AM833" s="15"/>
      <c r="AN833" s="16"/>
    </row>
    <row r="834">
      <c r="A834" s="13" t="s">
        <v>1713</v>
      </c>
      <c r="B834" s="17">
        <v>43466.0</v>
      </c>
      <c r="C834" s="11" t="s">
        <v>230</v>
      </c>
      <c r="D834" s="11" t="s">
        <v>213</v>
      </c>
      <c r="E834" s="11" t="s">
        <v>39</v>
      </c>
      <c r="F834" s="11" t="s">
        <v>40</v>
      </c>
      <c r="G834" s="11" t="s">
        <v>45</v>
      </c>
      <c r="H834" s="11" t="s">
        <v>59</v>
      </c>
      <c r="I834" s="11" t="s">
        <v>1216</v>
      </c>
      <c r="J834" s="11">
        <v>17.0</v>
      </c>
      <c r="K834" s="12">
        <v>45508.0</v>
      </c>
      <c r="L834" s="11"/>
      <c r="M834" s="11">
        <v>803141.0</v>
      </c>
      <c r="N834" s="11" t="s">
        <v>1714</v>
      </c>
      <c r="O834" s="13"/>
      <c r="P834" s="11">
        <v>0.0</v>
      </c>
      <c r="Q834" s="14">
        <v>0.0</v>
      </c>
      <c r="R834" s="11">
        <v>1.0</v>
      </c>
      <c r="S834">
        <f t="shared" si="1"/>
        <v>2019</v>
      </c>
      <c r="T834">
        <f t="shared" si="2"/>
        <v>1</v>
      </c>
      <c r="U834">
        <f t="shared" si="3"/>
        <v>1</v>
      </c>
      <c r="V834" s="17"/>
      <c r="W834" s="17"/>
      <c r="Y834" s="17"/>
      <c r="Z834" s="17">
        <v>45508.0</v>
      </c>
      <c r="AG834" s="15"/>
      <c r="AH834" s="16"/>
      <c r="AM834" s="15"/>
      <c r="AN834" s="16"/>
    </row>
    <row r="835">
      <c r="A835" s="13" t="s">
        <v>1715</v>
      </c>
      <c r="B835" s="10">
        <v>43466.0</v>
      </c>
      <c r="C835" s="11" t="s">
        <v>62</v>
      </c>
      <c r="D835" s="11" t="s">
        <v>88</v>
      </c>
      <c r="E835" s="11" t="s">
        <v>39</v>
      </c>
      <c r="F835" s="11" t="s">
        <v>40</v>
      </c>
      <c r="G835" s="11" t="s">
        <v>45</v>
      </c>
      <c r="H835" s="11" t="s">
        <v>276</v>
      </c>
      <c r="I835" s="11" t="s">
        <v>276</v>
      </c>
      <c r="J835" s="11">
        <v>23.0</v>
      </c>
      <c r="K835" s="12">
        <v>44322.0</v>
      </c>
      <c r="L835" s="11"/>
      <c r="M835" s="11">
        <v>676707.0</v>
      </c>
      <c r="N835" s="11" t="s">
        <v>1716</v>
      </c>
      <c r="O835" s="13"/>
      <c r="P835" s="11">
        <v>0.0</v>
      </c>
      <c r="Q835" s="14">
        <v>0.0</v>
      </c>
      <c r="R835" s="11">
        <v>1.0</v>
      </c>
      <c r="S835">
        <f t="shared" si="1"/>
        <v>2019</v>
      </c>
      <c r="T835">
        <f t="shared" si="2"/>
        <v>1</v>
      </c>
      <c r="U835">
        <f t="shared" si="3"/>
        <v>1</v>
      </c>
      <c r="V835" s="17"/>
      <c r="W835" s="17"/>
      <c r="Y835" s="17"/>
      <c r="Z835" s="17">
        <v>44322.0</v>
      </c>
      <c r="AG835" s="15"/>
      <c r="AH835" s="16"/>
      <c r="AM835" s="15"/>
      <c r="AN835" s="16"/>
    </row>
    <row r="836">
      <c r="A836" s="19" t="s">
        <v>1717</v>
      </c>
      <c r="B836" s="31">
        <v>43466.0</v>
      </c>
      <c r="C836" s="21" t="s">
        <v>83</v>
      </c>
      <c r="D836" s="18" t="s">
        <v>221</v>
      </c>
      <c r="E836" s="21" t="s">
        <v>39</v>
      </c>
      <c r="F836" s="21" t="s">
        <v>64</v>
      </c>
      <c r="G836" s="21" t="s">
        <v>45</v>
      </c>
      <c r="H836" s="21" t="s">
        <v>67</v>
      </c>
      <c r="I836" s="21" t="s">
        <v>208</v>
      </c>
      <c r="J836" s="18">
        <v>21.0</v>
      </c>
      <c r="K836" s="22"/>
      <c r="L836" s="35"/>
      <c r="M836" s="21">
        <v>663451.0</v>
      </c>
      <c r="N836" s="21" t="s">
        <v>1718</v>
      </c>
      <c r="O836" s="19"/>
      <c r="P836" s="21">
        <v>0.0</v>
      </c>
      <c r="Q836" s="23">
        <v>0.0</v>
      </c>
      <c r="R836" s="18">
        <v>0.0</v>
      </c>
      <c r="S836" s="33">
        <f t="shared" si="1"/>
        <v>2019</v>
      </c>
      <c r="T836" s="33">
        <f t="shared" si="2"/>
        <v>1</v>
      </c>
      <c r="U836" s="33">
        <f t="shared" si="3"/>
        <v>1</v>
      </c>
      <c r="V836" s="40"/>
      <c r="W836" s="40"/>
      <c r="X836" s="24"/>
      <c r="Y836" s="40"/>
      <c r="Z836" s="25">
        <v>43675.0</v>
      </c>
      <c r="AA836" s="24"/>
      <c r="AB836" s="24"/>
      <c r="AC836" s="24"/>
      <c r="AD836" s="24"/>
      <c r="AE836" s="24"/>
      <c r="AF836" s="24"/>
      <c r="AG836" s="26"/>
      <c r="AH836" s="27"/>
      <c r="AI836" s="24"/>
      <c r="AJ836" s="24"/>
      <c r="AK836" s="24"/>
      <c r="AL836" s="24"/>
      <c r="AM836" s="26"/>
      <c r="AN836" s="27"/>
      <c r="AO836" s="24"/>
      <c r="AP836" s="24"/>
    </row>
    <row r="837">
      <c r="A837" s="13" t="s">
        <v>1719</v>
      </c>
      <c r="B837" s="10">
        <v>43466.0</v>
      </c>
      <c r="C837" s="11" t="s">
        <v>83</v>
      </c>
      <c r="D837" s="11" t="s">
        <v>221</v>
      </c>
      <c r="E837" s="11" t="s">
        <v>39</v>
      </c>
      <c r="F837" s="11" t="s">
        <v>40</v>
      </c>
      <c r="G837" s="11" t="s">
        <v>45</v>
      </c>
      <c r="H837" s="11" t="s">
        <v>139</v>
      </c>
      <c r="I837" s="11" t="s">
        <v>1720</v>
      </c>
      <c r="J837" s="11">
        <v>28.0</v>
      </c>
      <c r="K837" s="12">
        <v>44342.0</v>
      </c>
      <c r="L837" s="11"/>
      <c r="M837" s="11">
        <v>643361.0</v>
      </c>
      <c r="N837" s="11">
        <v>15369.0</v>
      </c>
      <c r="O837" s="13"/>
      <c r="P837" s="11">
        <v>0.0</v>
      </c>
      <c r="Q837" s="14">
        <v>0.0</v>
      </c>
      <c r="R837" s="11">
        <v>1.0</v>
      </c>
      <c r="S837">
        <f t="shared" si="1"/>
        <v>2019</v>
      </c>
      <c r="T837">
        <f t="shared" si="2"/>
        <v>1</v>
      </c>
      <c r="U837">
        <f t="shared" si="3"/>
        <v>1</v>
      </c>
      <c r="V837" s="17"/>
      <c r="W837" s="17"/>
      <c r="Y837" s="17"/>
      <c r="Z837" s="17">
        <v>44342.0</v>
      </c>
      <c r="AG837" s="15"/>
      <c r="AH837" s="16"/>
      <c r="AM837" s="15"/>
      <c r="AN837" s="16"/>
    </row>
    <row r="838">
      <c r="A838" s="13" t="s">
        <v>1721</v>
      </c>
      <c r="B838" s="10">
        <v>43466.0</v>
      </c>
      <c r="C838" s="11" t="s">
        <v>235</v>
      </c>
      <c r="D838" s="11" t="s">
        <v>93</v>
      </c>
      <c r="E838" s="11" t="s">
        <v>39</v>
      </c>
      <c r="F838" s="11" t="s">
        <v>40</v>
      </c>
      <c r="G838" s="11" t="s">
        <v>483</v>
      </c>
      <c r="H838" s="11"/>
      <c r="I838" s="11"/>
      <c r="J838" s="11">
        <v>21.0</v>
      </c>
      <c r="K838" s="12">
        <v>44321.0</v>
      </c>
      <c r="L838" s="11"/>
      <c r="M838" s="11">
        <v>691172.0</v>
      </c>
      <c r="N838" s="11">
        <v>27765.0</v>
      </c>
      <c r="O838" s="13"/>
      <c r="P838" s="11">
        <v>0.0</v>
      </c>
      <c r="Q838" s="14">
        <v>0.0</v>
      </c>
      <c r="R838" s="11">
        <v>1.0</v>
      </c>
      <c r="S838">
        <f t="shared" si="1"/>
        <v>2019</v>
      </c>
      <c r="T838">
        <f t="shared" si="2"/>
        <v>1</v>
      </c>
      <c r="U838">
        <f t="shared" si="3"/>
        <v>1</v>
      </c>
      <c r="V838" s="17"/>
      <c r="W838" s="17"/>
      <c r="Y838" s="17"/>
      <c r="Z838" s="17"/>
      <c r="AG838" s="15"/>
      <c r="AH838" s="16"/>
      <c r="AM838" s="15"/>
      <c r="AN838" s="16"/>
    </row>
    <row r="839">
      <c r="A839" s="13" t="s">
        <v>1722</v>
      </c>
      <c r="B839" s="10">
        <v>43466.0</v>
      </c>
      <c r="C839" s="11" t="s">
        <v>76</v>
      </c>
      <c r="D839" s="11" t="s">
        <v>88</v>
      </c>
      <c r="E839" s="11" t="s">
        <v>39</v>
      </c>
      <c r="F839" s="11" t="s">
        <v>40</v>
      </c>
      <c r="G839" s="11" t="s">
        <v>105</v>
      </c>
      <c r="H839" s="11"/>
      <c r="I839" s="11"/>
      <c r="J839" s="11">
        <v>24.0</v>
      </c>
      <c r="K839" s="12">
        <v>44321.0</v>
      </c>
      <c r="L839" s="11"/>
      <c r="M839" s="11">
        <v>664584.0</v>
      </c>
      <c r="N839" s="11">
        <v>19940.0</v>
      </c>
      <c r="O839" s="13"/>
      <c r="P839" s="11">
        <v>0.0</v>
      </c>
      <c r="Q839" s="14">
        <v>0.0</v>
      </c>
      <c r="R839" s="11">
        <v>1.0</v>
      </c>
      <c r="S839">
        <f t="shared" si="1"/>
        <v>2019</v>
      </c>
      <c r="T839">
        <f t="shared" si="2"/>
        <v>1</v>
      </c>
      <c r="U839">
        <f t="shared" si="3"/>
        <v>1</v>
      </c>
      <c r="V839" s="17"/>
      <c r="W839" s="17"/>
      <c r="Y839" s="17"/>
      <c r="Z839" s="17">
        <v>44321.0</v>
      </c>
      <c r="AG839" s="15"/>
      <c r="AH839" s="16"/>
      <c r="AM839" s="15"/>
      <c r="AN839" s="16"/>
    </row>
    <row r="840">
      <c r="A840" s="13" t="s">
        <v>1723</v>
      </c>
      <c r="B840" s="10">
        <v>43435.0</v>
      </c>
      <c r="C840" s="11" t="s">
        <v>72</v>
      </c>
      <c r="D840" s="11" t="s">
        <v>93</v>
      </c>
      <c r="E840" s="11" t="s">
        <v>39</v>
      </c>
      <c r="F840" s="11" t="s">
        <v>40</v>
      </c>
      <c r="G840" s="11" t="s">
        <v>45</v>
      </c>
      <c r="H840" s="11" t="s">
        <v>56</v>
      </c>
      <c r="I840" s="11" t="s">
        <v>1724</v>
      </c>
      <c r="J840" s="11">
        <v>19.0</v>
      </c>
      <c r="K840" s="12">
        <v>44789.0</v>
      </c>
      <c r="L840" s="11"/>
      <c r="M840" s="11">
        <v>676700.0</v>
      </c>
      <c r="N840" s="11" t="s">
        <v>1725</v>
      </c>
      <c r="O840" s="13"/>
      <c r="P840" s="11">
        <v>0.0</v>
      </c>
      <c r="Q840" s="14">
        <v>0.0</v>
      </c>
      <c r="R840" s="11">
        <v>1.0</v>
      </c>
      <c r="S840">
        <f t="shared" si="1"/>
        <v>2018</v>
      </c>
      <c r="T840">
        <f t="shared" si="2"/>
        <v>12</v>
      </c>
      <c r="U840">
        <f t="shared" si="3"/>
        <v>1</v>
      </c>
      <c r="V840" s="17"/>
      <c r="W840" s="17"/>
      <c r="Y840" s="17"/>
      <c r="Z840" s="17">
        <v>44789.0</v>
      </c>
      <c r="AG840" s="15"/>
      <c r="AH840" s="16"/>
      <c r="AM840" s="15"/>
      <c r="AN840" s="16"/>
    </row>
    <row r="841">
      <c r="A841" s="13" t="s">
        <v>1726</v>
      </c>
      <c r="B841" s="10">
        <v>43410.0</v>
      </c>
      <c r="C841" s="11" t="s">
        <v>52</v>
      </c>
      <c r="D841" s="11" t="s">
        <v>38</v>
      </c>
      <c r="E841" s="11" t="s">
        <v>39</v>
      </c>
      <c r="F841" s="11" t="s">
        <v>40</v>
      </c>
      <c r="G841" s="11" t="s">
        <v>45</v>
      </c>
      <c r="H841" s="11" t="s">
        <v>84</v>
      </c>
      <c r="I841" s="11"/>
      <c r="J841" s="11">
        <v>24.0</v>
      </c>
      <c r="K841" s="12">
        <v>44037.0</v>
      </c>
      <c r="L841" s="11">
        <f t="shared" ref="L841:L843" si="84">ROUND(((K841-B841)/365)*12,0)</f>
        <v>21</v>
      </c>
      <c r="M841" s="11">
        <v>621121.0</v>
      </c>
      <c r="N841" s="11">
        <v>14120.0</v>
      </c>
      <c r="O841" s="13" t="s">
        <v>69</v>
      </c>
      <c r="P841" s="11">
        <v>0.0</v>
      </c>
      <c r="Q841" s="14">
        <v>0.0</v>
      </c>
      <c r="R841" s="11">
        <v>1.0</v>
      </c>
      <c r="S841">
        <f t="shared" si="1"/>
        <v>2018</v>
      </c>
      <c r="T841">
        <f t="shared" si="2"/>
        <v>11</v>
      </c>
      <c r="U841">
        <f t="shared" si="3"/>
        <v>6</v>
      </c>
      <c r="V841" s="17">
        <v>43557.0</v>
      </c>
      <c r="W841" s="17">
        <v>43717.0</v>
      </c>
      <c r="Y841" s="17">
        <v>43766.0</v>
      </c>
      <c r="Z841" s="17">
        <v>43891.0</v>
      </c>
      <c r="AG841" s="15"/>
      <c r="AH841" s="16"/>
      <c r="AM841" s="15"/>
      <c r="AN841" s="16"/>
    </row>
    <row r="842">
      <c r="A842" s="13" t="s">
        <v>1727</v>
      </c>
      <c r="B842" s="10">
        <v>43397.0</v>
      </c>
      <c r="C842" s="11" t="s">
        <v>49</v>
      </c>
      <c r="D842" s="11" t="s">
        <v>77</v>
      </c>
      <c r="E842" s="11" t="s">
        <v>39</v>
      </c>
      <c r="F842" s="11" t="s">
        <v>40</v>
      </c>
      <c r="G842" s="11" t="s">
        <v>41</v>
      </c>
      <c r="H842" s="11"/>
      <c r="I842" s="11"/>
      <c r="J842" s="11">
        <v>23.0</v>
      </c>
      <c r="K842" s="12">
        <v>44045.0</v>
      </c>
      <c r="L842" s="11">
        <f t="shared" si="84"/>
        <v>21</v>
      </c>
      <c r="M842" s="11">
        <v>642584.0</v>
      </c>
      <c r="N842" s="11">
        <v>17861.0</v>
      </c>
      <c r="O842" s="13" t="s">
        <v>1407</v>
      </c>
      <c r="P842" s="11">
        <v>0.0</v>
      </c>
      <c r="Q842" s="14">
        <v>0.0</v>
      </c>
      <c r="R842" s="11">
        <v>1.0</v>
      </c>
      <c r="S842">
        <f t="shared" si="1"/>
        <v>2018</v>
      </c>
      <c r="T842">
        <f t="shared" si="2"/>
        <v>10</v>
      </c>
      <c r="U842">
        <f t="shared" si="3"/>
        <v>24</v>
      </c>
      <c r="Z842" s="17">
        <v>43884.0</v>
      </c>
      <c r="AG842" s="15"/>
      <c r="AH842" s="16"/>
      <c r="AM842" s="15"/>
      <c r="AN842" s="16"/>
    </row>
    <row r="843">
      <c r="A843" s="13" t="s">
        <v>1728</v>
      </c>
      <c r="B843" s="10">
        <v>43390.0</v>
      </c>
      <c r="C843" s="11" t="s">
        <v>108</v>
      </c>
      <c r="D843" s="11" t="s">
        <v>38</v>
      </c>
      <c r="E843" s="11" t="s">
        <v>982</v>
      </c>
      <c r="F843" s="11" t="s">
        <v>40</v>
      </c>
      <c r="G843" s="11" t="s">
        <v>153</v>
      </c>
      <c r="H843" s="11"/>
      <c r="I843" s="11"/>
      <c r="J843" s="11">
        <v>28.0</v>
      </c>
      <c r="K843" s="12">
        <v>43623.0</v>
      </c>
      <c r="L843" s="11">
        <f t="shared" si="84"/>
        <v>8</v>
      </c>
      <c r="M843" s="11">
        <v>544369.0</v>
      </c>
      <c r="N843" s="11">
        <v>6012.0</v>
      </c>
      <c r="O843" s="13" t="s">
        <v>1407</v>
      </c>
      <c r="P843" s="11">
        <v>0.0</v>
      </c>
      <c r="Q843" s="14">
        <v>0.0</v>
      </c>
      <c r="R843" s="11">
        <v>1.0</v>
      </c>
      <c r="S843">
        <f t="shared" si="1"/>
        <v>2018</v>
      </c>
      <c r="T843">
        <f t="shared" si="2"/>
        <v>10</v>
      </c>
      <c r="U843">
        <f t="shared" si="3"/>
        <v>17</v>
      </c>
      <c r="V843" s="17">
        <v>43507.0</v>
      </c>
      <c r="Z843" s="17">
        <v>43610.0</v>
      </c>
      <c r="AG843" s="15"/>
      <c r="AH843" s="16"/>
      <c r="AM843" s="15"/>
      <c r="AN843" s="16"/>
    </row>
    <row r="844">
      <c r="A844" s="13" t="s">
        <v>1729</v>
      </c>
      <c r="B844" s="10">
        <v>43377.0</v>
      </c>
      <c r="C844" s="11" t="s">
        <v>150</v>
      </c>
      <c r="D844" s="11" t="s">
        <v>93</v>
      </c>
      <c r="E844" s="11" t="s">
        <v>39</v>
      </c>
      <c r="F844" s="11" t="s">
        <v>40</v>
      </c>
      <c r="G844" s="11" t="s">
        <v>45</v>
      </c>
      <c r="H844" s="11" t="s">
        <v>84</v>
      </c>
      <c r="I844" s="11" t="s">
        <v>517</v>
      </c>
      <c r="J844" s="11">
        <v>20.0</v>
      </c>
      <c r="K844" s="12">
        <v>44322.0</v>
      </c>
      <c r="L844" s="12"/>
      <c r="M844" s="11">
        <v>685068.0</v>
      </c>
      <c r="N844" s="11">
        <v>27508.0</v>
      </c>
      <c r="O844" s="13"/>
      <c r="P844" s="11">
        <v>0.0</v>
      </c>
      <c r="Q844" s="14">
        <v>0.0</v>
      </c>
      <c r="R844" s="11">
        <v>1.0</v>
      </c>
      <c r="S844">
        <f t="shared" si="1"/>
        <v>2018</v>
      </c>
      <c r="T844">
        <f t="shared" si="2"/>
        <v>10</v>
      </c>
      <c r="U844">
        <f t="shared" si="3"/>
        <v>4</v>
      </c>
      <c r="V844" s="17"/>
      <c r="W844" s="17"/>
      <c r="AG844" s="15"/>
      <c r="AH844" s="16"/>
      <c r="AM844" s="15"/>
      <c r="AN844" s="16"/>
    </row>
    <row r="845">
      <c r="A845" s="13" t="s">
        <v>1730</v>
      </c>
      <c r="B845" s="10">
        <v>43377.0</v>
      </c>
      <c r="C845" s="11" t="s">
        <v>362</v>
      </c>
      <c r="D845" s="11" t="s">
        <v>38</v>
      </c>
      <c r="E845" s="11" t="s">
        <v>39</v>
      </c>
      <c r="F845" s="11" t="s">
        <v>40</v>
      </c>
      <c r="G845" s="11" t="s">
        <v>41</v>
      </c>
      <c r="H845" s="11"/>
      <c r="I845" s="11"/>
      <c r="J845" s="11">
        <v>26.0</v>
      </c>
      <c r="K845" s="12">
        <v>44316.0</v>
      </c>
      <c r="L845" s="11">
        <f>ROUND(((K845-B845)/365)*12,0)</f>
        <v>31</v>
      </c>
      <c r="M845" s="11">
        <v>650828.0</v>
      </c>
      <c r="N845" s="11">
        <v>17355.0</v>
      </c>
      <c r="O845" s="13" t="s">
        <v>761</v>
      </c>
      <c r="P845" s="11">
        <v>0.0</v>
      </c>
      <c r="Q845" s="14">
        <v>0.0</v>
      </c>
      <c r="R845" s="11">
        <v>1.0</v>
      </c>
      <c r="S845">
        <f t="shared" si="1"/>
        <v>2018</v>
      </c>
      <c r="T845">
        <f t="shared" si="2"/>
        <v>10</v>
      </c>
      <c r="U845">
        <f t="shared" si="3"/>
        <v>4</v>
      </c>
      <c r="Z845" s="17">
        <v>43885.0</v>
      </c>
      <c r="AG845" s="15"/>
      <c r="AH845" s="16"/>
      <c r="AM845" s="15"/>
      <c r="AN845" s="16"/>
    </row>
    <row r="846">
      <c r="A846" s="13" t="s">
        <v>1731</v>
      </c>
      <c r="B846" s="10">
        <v>43376.0</v>
      </c>
      <c r="C846" s="11" t="s">
        <v>358</v>
      </c>
      <c r="D846" s="11" t="s">
        <v>38</v>
      </c>
      <c r="E846" s="11" t="s">
        <v>39</v>
      </c>
      <c r="F846" s="11" t="s">
        <v>64</v>
      </c>
      <c r="G846" s="11" t="s">
        <v>45</v>
      </c>
      <c r="H846" s="11" t="s">
        <v>139</v>
      </c>
      <c r="I846" s="11" t="s">
        <v>1732</v>
      </c>
      <c r="J846" s="11">
        <v>27.0</v>
      </c>
      <c r="K846" s="12"/>
      <c r="L846" s="12"/>
      <c r="M846" s="11">
        <v>657786.0</v>
      </c>
      <c r="N846" s="11">
        <v>17126.0</v>
      </c>
      <c r="O846" s="13"/>
      <c r="P846" s="11">
        <v>0.0</v>
      </c>
      <c r="Q846" s="14">
        <v>0.0</v>
      </c>
      <c r="R846" s="11">
        <v>0.0</v>
      </c>
      <c r="S846">
        <f t="shared" si="1"/>
        <v>2018</v>
      </c>
      <c r="T846">
        <f t="shared" si="2"/>
        <v>10</v>
      </c>
      <c r="U846">
        <f t="shared" si="3"/>
        <v>3</v>
      </c>
      <c r="V846" s="17"/>
      <c r="AG846" s="15"/>
      <c r="AH846" s="16"/>
      <c r="AM846" s="15"/>
      <c r="AN846" s="16"/>
    </row>
    <row r="847">
      <c r="A847" s="13" t="s">
        <v>1733</v>
      </c>
      <c r="B847" s="17">
        <v>43374.0</v>
      </c>
      <c r="C847" s="11" t="s">
        <v>358</v>
      </c>
      <c r="D847" s="11" t="s">
        <v>93</v>
      </c>
      <c r="E847" s="11" t="s">
        <v>104</v>
      </c>
      <c r="F847" s="11" t="s">
        <v>40</v>
      </c>
      <c r="G847" s="11" t="s">
        <v>45</v>
      </c>
      <c r="H847" s="11" t="s">
        <v>56</v>
      </c>
      <c r="I847" s="11" t="s">
        <v>1734</v>
      </c>
      <c r="J847" s="11">
        <v>20.0</v>
      </c>
      <c r="K847" s="12">
        <v>44322.0</v>
      </c>
      <c r="L847" s="12"/>
      <c r="M847" s="11">
        <v>668860.0</v>
      </c>
      <c r="N847" s="11" t="s">
        <v>1735</v>
      </c>
      <c r="O847" s="13"/>
      <c r="P847" s="11">
        <v>0.0</v>
      </c>
      <c r="Q847" s="14">
        <v>0.0</v>
      </c>
      <c r="R847" s="11">
        <v>1.0</v>
      </c>
      <c r="S847">
        <f t="shared" si="1"/>
        <v>2018</v>
      </c>
      <c r="T847">
        <f t="shared" si="2"/>
        <v>10</v>
      </c>
      <c r="U847">
        <f t="shared" si="3"/>
        <v>1</v>
      </c>
      <c r="V847" s="17"/>
      <c r="W847" s="17"/>
      <c r="AG847" s="15"/>
      <c r="AH847" s="16"/>
      <c r="AM847" s="15"/>
      <c r="AN847" s="16"/>
    </row>
    <row r="848">
      <c r="A848" s="13" t="s">
        <v>1736</v>
      </c>
      <c r="B848" s="10">
        <v>43374.0</v>
      </c>
      <c r="C848" s="11" t="s">
        <v>358</v>
      </c>
      <c r="D848" s="11" t="s">
        <v>213</v>
      </c>
      <c r="E848" s="11" t="s">
        <v>39</v>
      </c>
      <c r="F848" s="11" t="s">
        <v>40</v>
      </c>
      <c r="G848" s="11" t="s">
        <v>45</v>
      </c>
      <c r="H848" s="11" t="s">
        <v>56</v>
      </c>
      <c r="I848" s="11"/>
      <c r="J848" s="11">
        <v>20.0</v>
      </c>
      <c r="K848" s="12"/>
      <c r="L848" s="12"/>
      <c r="M848" s="11">
        <v>676033.0</v>
      </c>
      <c r="N848" s="11"/>
      <c r="O848" s="13"/>
      <c r="P848" s="11">
        <v>0.0</v>
      </c>
      <c r="Q848" s="14">
        <v>0.0</v>
      </c>
      <c r="R848" s="11">
        <v>0.0</v>
      </c>
      <c r="S848">
        <f t="shared" si="1"/>
        <v>2018</v>
      </c>
      <c r="T848">
        <f t="shared" si="2"/>
        <v>10</v>
      </c>
      <c r="U848">
        <f t="shared" si="3"/>
        <v>1</v>
      </c>
      <c r="AG848" s="15"/>
      <c r="AH848" s="16"/>
      <c r="AM848" s="15"/>
      <c r="AN848" s="16"/>
    </row>
    <row r="849">
      <c r="A849" s="13" t="s">
        <v>502</v>
      </c>
      <c r="B849" s="10">
        <v>43374.0</v>
      </c>
      <c r="C849" s="11" t="s">
        <v>346</v>
      </c>
      <c r="D849" s="11" t="s">
        <v>38</v>
      </c>
      <c r="E849" s="11" t="s">
        <v>39</v>
      </c>
      <c r="F849" s="11" t="s">
        <v>40</v>
      </c>
      <c r="G849" s="11" t="s">
        <v>503</v>
      </c>
      <c r="H849" s="11"/>
      <c r="I849" s="11"/>
      <c r="J849" s="11">
        <v>23.0</v>
      </c>
      <c r="K849" s="12">
        <v>44038.0</v>
      </c>
      <c r="L849" s="11">
        <f t="shared" ref="L849:L857" si="85">ROUND(((K849-B849)/365)*12,0)</f>
        <v>22</v>
      </c>
      <c r="M849" s="11">
        <v>660271.0</v>
      </c>
      <c r="N849" s="11">
        <v>19755.0</v>
      </c>
      <c r="O849" s="13" t="s">
        <v>69</v>
      </c>
      <c r="P849" s="11">
        <v>0.0</v>
      </c>
      <c r="Q849" s="14">
        <v>0.0</v>
      </c>
      <c r="R849" s="11">
        <v>1.0</v>
      </c>
      <c r="S849">
        <f t="shared" si="1"/>
        <v>2018</v>
      </c>
      <c r="T849">
        <f t="shared" si="2"/>
        <v>10</v>
      </c>
      <c r="U849">
        <f t="shared" si="3"/>
        <v>1</v>
      </c>
      <c r="V849" s="17">
        <v>43532.0</v>
      </c>
      <c r="W849" s="17">
        <v>43642.0</v>
      </c>
      <c r="AG849" s="15"/>
      <c r="AH849" s="16"/>
      <c r="AM849" s="15"/>
      <c r="AN849" s="16"/>
    </row>
    <row r="850">
      <c r="A850" s="13" t="s">
        <v>1737</v>
      </c>
      <c r="B850" s="10">
        <v>43362.0</v>
      </c>
      <c r="C850" s="11" t="s">
        <v>362</v>
      </c>
      <c r="D850" s="11" t="s">
        <v>38</v>
      </c>
      <c r="E850" s="11" t="s">
        <v>39</v>
      </c>
      <c r="F850" s="11" t="s">
        <v>40</v>
      </c>
      <c r="G850" s="11" t="s">
        <v>45</v>
      </c>
      <c r="H850" s="11" t="s">
        <v>65</v>
      </c>
      <c r="I850" s="11" t="s">
        <v>65</v>
      </c>
      <c r="J850" s="11">
        <v>25.0</v>
      </c>
      <c r="K850" s="12">
        <v>44039.0</v>
      </c>
      <c r="L850" s="11">
        <f t="shared" si="85"/>
        <v>22</v>
      </c>
      <c r="M850" s="11">
        <v>641771.0</v>
      </c>
      <c r="N850" s="11">
        <v>14975.0</v>
      </c>
      <c r="O850" s="13" t="s">
        <v>1407</v>
      </c>
      <c r="P850" s="11">
        <v>0.0</v>
      </c>
      <c r="Q850" s="14">
        <v>0.0</v>
      </c>
      <c r="R850" s="11">
        <v>1.0</v>
      </c>
      <c r="S850">
        <f t="shared" si="1"/>
        <v>2018</v>
      </c>
      <c r="T850">
        <f t="shared" si="2"/>
        <v>9</v>
      </c>
      <c r="U850">
        <f t="shared" si="3"/>
        <v>19</v>
      </c>
      <c r="V850" s="17">
        <v>43509.0</v>
      </c>
      <c r="X850" s="17">
        <v>43662.0</v>
      </c>
      <c r="Z850" s="17">
        <v>43889.0</v>
      </c>
      <c r="AG850" s="15"/>
      <c r="AH850" s="16"/>
      <c r="AM850" s="15"/>
      <c r="AN850" s="16"/>
    </row>
    <row r="851">
      <c r="A851" s="13" t="s">
        <v>1738</v>
      </c>
      <c r="B851" s="10">
        <v>43361.0</v>
      </c>
      <c r="C851" s="11" t="s">
        <v>143</v>
      </c>
      <c r="D851" s="11" t="s">
        <v>38</v>
      </c>
      <c r="E851" s="11" t="s">
        <v>39</v>
      </c>
      <c r="F851" s="11" t="s">
        <v>40</v>
      </c>
      <c r="G851" s="11" t="s">
        <v>45</v>
      </c>
      <c r="H851" s="11" t="s">
        <v>56</v>
      </c>
      <c r="I851" s="11"/>
      <c r="J851" s="11">
        <v>22.0</v>
      </c>
      <c r="K851" s="12">
        <v>44288.0</v>
      </c>
      <c r="L851" s="11">
        <f t="shared" si="85"/>
        <v>30</v>
      </c>
      <c r="M851" s="11">
        <v>656629.0</v>
      </c>
      <c r="N851" s="11">
        <v>17282.0</v>
      </c>
      <c r="O851" s="13" t="s">
        <v>69</v>
      </c>
      <c r="P851" s="11">
        <v>0.0</v>
      </c>
      <c r="Q851" s="14">
        <v>0.0</v>
      </c>
      <c r="R851" s="11">
        <v>1.0</v>
      </c>
      <c r="S851">
        <f t="shared" si="1"/>
        <v>2018</v>
      </c>
      <c r="T851">
        <f t="shared" si="2"/>
        <v>9</v>
      </c>
      <c r="U851">
        <f t="shared" si="3"/>
        <v>18</v>
      </c>
      <c r="V851" s="17">
        <v>43501.0</v>
      </c>
      <c r="Y851" s="17">
        <v>43879.0</v>
      </c>
      <c r="Z851" s="17">
        <v>43900.0</v>
      </c>
      <c r="AG851" s="15"/>
      <c r="AH851" s="16"/>
      <c r="AM851" s="15"/>
      <c r="AN851" s="16"/>
    </row>
    <row r="852">
      <c r="A852" s="13" t="s">
        <v>1739</v>
      </c>
      <c r="B852" s="10">
        <v>43356.0</v>
      </c>
      <c r="C852" s="11" t="s">
        <v>55</v>
      </c>
      <c r="D852" s="11" t="s">
        <v>58</v>
      </c>
      <c r="E852" s="11" t="s">
        <v>39</v>
      </c>
      <c r="F852" s="11" t="s">
        <v>64</v>
      </c>
      <c r="G852" s="11" t="s">
        <v>45</v>
      </c>
      <c r="H852" s="11" t="s">
        <v>222</v>
      </c>
      <c r="I852" s="11" t="s">
        <v>222</v>
      </c>
      <c r="J852" s="11">
        <v>23.0</v>
      </c>
      <c r="K852" s="12">
        <v>44323.0</v>
      </c>
      <c r="L852" s="11">
        <f t="shared" si="85"/>
        <v>32</v>
      </c>
      <c r="M852" s="11">
        <v>665014.0</v>
      </c>
      <c r="N852" s="11" t="s">
        <v>1740</v>
      </c>
      <c r="O852" s="13" t="s">
        <v>1031</v>
      </c>
      <c r="P852" s="11">
        <v>0.0</v>
      </c>
      <c r="Q852" s="14">
        <v>0.0</v>
      </c>
      <c r="R852" s="11">
        <v>1.0</v>
      </c>
      <c r="S852">
        <f t="shared" si="1"/>
        <v>2018</v>
      </c>
      <c r="T852">
        <f t="shared" si="2"/>
        <v>9</v>
      </c>
      <c r="U852">
        <f t="shared" si="3"/>
        <v>13</v>
      </c>
      <c r="Z852" s="17">
        <v>43703.0</v>
      </c>
      <c r="AG852" s="15"/>
      <c r="AH852" s="16"/>
      <c r="AM852" s="15"/>
      <c r="AN852" s="16"/>
    </row>
    <row r="853">
      <c r="A853" s="13" t="s">
        <v>1741</v>
      </c>
      <c r="B853" s="10">
        <v>43354.0</v>
      </c>
      <c r="C853" s="11" t="s">
        <v>156</v>
      </c>
      <c r="D853" s="11" t="s">
        <v>58</v>
      </c>
      <c r="E853" s="11" t="s">
        <v>39</v>
      </c>
      <c r="F853" s="11" t="s">
        <v>40</v>
      </c>
      <c r="G853" s="11" t="s">
        <v>53</v>
      </c>
      <c r="H853" s="11"/>
      <c r="I853" s="11"/>
      <c r="J853" s="11">
        <v>22.0</v>
      </c>
      <c r="K853" s="12">
        <v>44082.0</v>
      </c>
      <c r="L853" s="11">
        <f t="shared" si="85"/>
        <v>24</v>
      </c>
      <c r="M853" s="11">
        <v>620445.0</v>
      </c>
      <c r="N853" s="11">
        <v>17821.0</v>
      </c>
      <c r="O853" s="13"/>
      <c r="P853" s="11">
        <v>0.0</v>
      </c>
      <c r="Q853" s="14">
        <v>0.0</v>
      </c>
      <c r="R853" s="11">
        <v>1.0</v>
      </c>
      <c r="S853">
        <f t="shared" si="1"/>
        <v>2018</v>
      </c>
      <c r="T853">
        <f t="shared" si="2"/>
        <v>9</v>
      </c>
      <c r="U853">
        <f t="shared" si="3"/>
        <v>11</v>
      </c>
      <c r="Z853" s="17">
        <v>44082.0</v>
      </c>
      <c r="AG853" s="15"/>
      <c r="AH853" s="16"/>
      <c r="AM853" s="15"/>
      <c r="AN853" s="16"/>
    </row>
    <row r="854">
      <c r="A854" s="13" t="s">
        <v>1742</v>
      </c>
      <c r="B854" s="10">
        <v>43344.0</v>
      </c>
      <c r="C854" s="11" t="s">
        <v>362</v>
      </c>
      <c r="D854" s="11" t="s">
        <v>97</v>
      </c>
      <c r="E854" s="11" t="s">
        <v>39</v>
      </c>
      <c r="F854" s="11" t="s">
        <v>40</v>
      </c>
      <c r="G854" s="11" t="s">
        <v>45</v>
      </c>
      <c r="H854" s="11" t="s">
        <v>84</v>
      </c>
      <c r="I854" s="11"/>
      <c r="J854" s="11">
        <v>20.0</v>
      </c>
      <c r="K854" s="12">
        <v>44321.0</v>
      </c>
      <c r="L854" s="11">
        <f t="shared" si="85"/>
        <v>32</v>
      </c>
      <c r="M854" s="11">
        <v>669740.0</v>
      </c>
      <c r="N854" s="11" t="s">
        <v>1743</v>
      </c>
      <c r="O854" s="13"/>
      <c r="P854" s="11">
        <v>0.0</v>
      </c>
      <c r="Q854" s="14">
        <v>0.0</v>
      </c>
      <c r="R854" s="11">
        <v>1.0</v>
      </c>
      <c r="S854">
        <f t="shared" si="1"/>
        <v>2018</v>
      </c>
      <c r="T854">
        <f t="shared" si="2"/>
        <v>9</v>
      </c>
      <c r="U854">
        <f t="shared" si="3"/>
        <v>1</v>
      </c>
      <c r="Z854" s="17">
        <v>44321.0</v>
      </c>
      <c r="AG854" s="15"/>
      <c r="AH854" s="16"/>
      <c r="AM854" s="15"/>
      <c r="AN854" s="16"/>
    </row>
    <row r="855">
      <c r="A855" s="13" t="s">
        <v>1744</v>
      </c>
      <c r="B855" s="10">
        <v>43343.0</v>
      </c>
      <c r="C855" s="11" t="s">
        <v>111</v>
      </c>
      <c r="D855" s="11" t="s">
        <v>38</v>
      </c>
      <c r="E855" s="11" t="s">
        <v>39</v>
      </c>
      <c r="F855" s="11" t="s">
        <v>40</v>
      </c>
      <c r="G855" s="11" t="s">
        <v>45</v>
      </c>
      <c r="H855" s="11" t="s">
        <v>139</v>
      </c>
      <c r="I855" s="11" t="s">
        <v>46</v>
      </c>
      <c r="J855" s="11">
        <v>26.0</v>
      </c>
      <c r="K855" s="12">
        <v>44077.0</v>
      </c>
      <c r="L855" s="11">
        <f t="shared" si="85"/>
        <v>24</v>
      </c>
      <c r="M855" s="11">
        <v>592499.0</v>
      </c>
      <c r="N855" s="11">
        <v>16731.0</v>
      </c>
      <c r="O855" s="13"/>
      <c r="P855" s="11">
        <v>0.0</v>
      </c>
      <c r="Q855" s="14">
        <v>0.0</v>
      </c>
      <c r="R855" s="11">
        <v>1.0</v>
      </c>
      <c r="S855">
        <f t="shared" si="1"/>
        <v>2018</v>
      </c>
      <c r="T855">
        <f t="shared" si="2"/>
        <v>8</v>
      </c>
      <c r="U855">
        <f t="shared" si="3"/>
        <v>31</v>
      </c>
      <c r="AG855" s="15"/>
      <c r="AH855" s="16"/>
      <c r="AM855" s="15"/>
      <c r="AN855" s="16"/>
    </row>
    <row r="856">
      <c r="A856" s="13" t="s">
        <v>1745</v>
      </c>
      <c r="B856" s="10">
        <v>43342.0</v>
      </c>
      <c r="C856" s="11" t="s">
        <v>76</v>
      </c>
      <c r="D856" s="11" t="s">
        <v>97</v>
      </c>
      <c r="E856" s="11" t="s">
        <v>39</v>
      </c>
      <c r="F856" s="11" t="s">
        <v>64</v>
      </c>
      <c r="G856" s="11" t="s">
        <v>45</v>
      </c>
      <c r="H856" s="11" t="s">
        <v>56</v>
      </c>
      <c r="I856" s="11" t="s">
        <v>1746</v>
      </c>
      <c r="J856" s="11">
        <v>22.0</v>
      </c>
      <c r="K856" s="12">
        <v>44056.0</v>
      </c>
      <c r="L856" s="11">
        <f t="shared" si="85"/>
        <v>23</v>
      </c>
      <c r="M856" s="11">
        <v>656913.0</v>
      </c>
      <c r="N856" s="11">
        <v>21333.0</v>
      </c>
      <c r="O856" s="13" t="s">
        <v>69</v>
      </c>
      <c r="P856" s="11">
        <v>0.0</v>
      </c>
      <c r="Q856" s="14">
        <v>0.0</v>
      </c>
      <c r="R856" s="11">
        <v>1.0</v>
      </c>
      <c r="S856">
        <f t="shared" si="1"/>
        <v>2018</v>
      </c>
      <c r="T856">
        <f t="shared" si="2"/>
        <v>8</v>
      </c>
      <c r="U856">
        <f t="shared" si="3"/>
        <v>30</v>
      </c>
      <c r="AG856" s="15"/>
      <c r="AH856" s="16"/>
      <c r="AM856" s="15"/>
      <c r="AN856" s="16"/>
    </row>
    <row r="857">
      <c r="A857" s="13" t="s">
        <v>1747</v>
      </c>
      <c r="B857" s="10">
        <v>43327.0</v>
      </c>
      <c r="C857" s="11" t="s">
        <v>52</v>
      </c>
      <c r="D857" s="11" t="s">
        <v>221</v>
      </c>
      <c r="E857" s="11" t="s">
        <v>39</v>
      </c>
      <c r="F857" s="11" t="s">
        <v>40</v>
      </c>
      <c r="G857" s="11" t="s">
        <v>41</v>
      </c>
      <c r="H857" s="11"/>
      <c r="I857" s="11"/>
      <c r="J857" s="11">
        <v>22.0</v>
      </c>
      <c r="K857" s="12">
        <v>43698.0</v>
      </c>
      <c r="L857" s="11">
        <f t="shared" si="85"/>
        <v>12</v>
      </c>
      <c r="M857" s="11">
        <v>642564.0</v>
      </c>
      <c r="N857" s="11">
        <v>17303.0</v>
      </c>
      <c r="O857" s="13"/>
      <c r="P857" s="11">
        <v>0.0</v>
      </c>
      <c r="Q857" s="14">
        <v>0.0</v>
      </c>
      <c r="R857" s="11">
        <v>1.0</v>
      </c>
      <c r="S857">
        <f t="shared" si="1"/>
        <v>2018</v>
      </c>
      <c r="T857">
        <f t="shared" si="2"/>
        <v>8</v>
      </c>
      <c r="U857">
        <f t="shared" si="3"/>
        <v>15</v>
      </c>
      <c r="Z857" s="17">
        <v>43698.0</v>
      </c>
      <c r="AG857" s="15"/>
      <c r="AH857" s="16"/>
      <c r="AM857" s="15"/>
      <c r="AN857" s="16"/>
    </row>
    <row r="858">
      <c r="A858" s="13" t="s">
        <v>1748</v>
      </c>
      <c r="B858" s="10">
        <v>43326.0</v>
      </c>
      <c r="C858" s="11" t="s">
        <v>143</v>
      </c>
      <c r="D858" s="11" t="s">
        <v>93</v>
      </c>
      <c r="E858" s="11" t="s">
        <v>39</v>
      </c>
      <c r="F858" s="11" t="s">
        <v>40</v>
      </c>
      <c r="G858" s="11" t="s">
        <v>45</v>
      </c>
      <c r="H858" s="11" t="s">
        <v>67</v>
      </c>
      <c r="I858" s="11" t="s">
        <v>1749</v>
      </c>
      <c r="J858" s="11">
        <v>21.0</v>
      </c>
      <c r="K858" s="12">
        <v>44324.0</v>
      </c>
      <c r="L858" s="12"/>
      <c r="M858" s="11">
        <v>663614.0</v>
      </c>
      <c r="N858" s="11" t="s">
        <v>1750</v>
      </c>
      <c r="O858" s="13" t="s">
        <v>69</v>
      </c>
      <c r="P858" s="11">
        <v>0.0</v>
      </c>
      <c r="Q858" s="14">
        <v>0.0</v>
      </c>
      <c r="R858" s="11">
        <v>1.0</v>
      </c>
      <c r="S858">
        <f t="shared" si="1"/>
        <v>2018</v>
      </c>
      <c r="T858">
        <f t="shared" si="2"/>
        <v>8</v>
      </c>
      <c r="U858">
        <f t="shared" si="3"/>
        <v>14</v>
      </c>
      <c r="AG858" s="15"/>
      <c r="AH858" s="16"/>
      <c r="AM858" s="15"/>
      <c r="AN858" s="16"/>
    </row>
    <row r="859">
      <c r="A859" s="13" t="s">
        <v>1751</v>
      </c>
      <c r="B859" s="10">
        <v>43321.0</v>
      </c>
      <c r="C859" s="11" t="s">
        <v>55</v>
      </c>
      <c r="D859" s="11" t="s">
        <v>221</v>
      </c>
      <c r="E859" s="11" t="s">
        <v>39</v>
      </c>
      <c r="F859" s="11" t="s">
        <v>64</v>
      </c>
      <c r="G859" s="11" t="s">
        <v>45</v>
      </c>
      <c r="H859" s="11" t="s">
        <v>262</v>
      </c>
      <c r="I859" s="11" t="s">
        <v>262</v>
      </c>
      <c r="J859" s="11">
        <v>24.0</v>
      </c>
      <c r="K859" s="12">
        <v>43678.0</v>
      </c>
      <c r="L859" s="11">
        <f t="shared" ref="L859:L860" si="86">ROUND(((K859-B859)/365)*12,0)</f>
        <v>12</v>
      </c>
      <c r="M859" s="11">
        <v>663417.0</v>
      </c>
      <c r="N859" s="11" t="s">
        <v>1752</v>
      </c>
      <c r="O859" s="13" t="s">
        <v>761</v>
      </c>
      <c r="P859" s="11">
        <v>0.0</v>
      </c>
      <c r="Q859" s="14">
        <v>0.0</v>
      </c>
      <c r="R859" s="11">
        <v>1.0</v>
      </c>
      <c r="S859">
        <f t="shared" si="1"/>
        <v>2018</v>
      </c>
      <c r="T859">
        <f t="shared" si="2"/>
        <v>8</v>
      </c>
      <c r="U859">
        <f t="shared" si="3"/>
        <v>9</v>
      </c>
      <c r="Z859" s="17">
        <v>43678.0</v>
      </c>
      <c r="AG859" s="15"/>
      <c r="AH859" s="16"/>
      <c r="AM859" s="15"/>
      <c r="AN859" s="16"/>
    </row>
    <row r="860">
      <c r="A860" s="13" t="s">
        <v>1753</v>
      </c>
      <c r="B860" s="10">
        <v>43320.0</v>
      </c>
      <c r="C860" s="11" t="s">
        <v>192</v>
      </c>
      <c r="D860" s="11" t="s">
        <v>221</v>
      </c>
      <c r="E860" s="11" t="s">
        <v>104</v>
      </c>
      <c r="F860" s="11" t="s">
        <v>40</v>
      </c>
      <c r="G860" s="11" t="s">
        <v>45</v>
      </c>
      <c r="H860" s="11" t="s">
        <v>231</v>
      </c>
      <c r="I860" s="11" t="s">
        <v>237</v>
      </c>
      <c r="J860" s="11">
        <v>20.0</v>
      </c>
      <c r="K860" s="12">
        <v>43633.0</v>
      </c>
      <c r="L860" s="11">
        <f t="shared" si="86"/>
        <v>10</v>
      </c>
      <c r="M860" s="11">
        <v>663468.0</v>
      </c>
      <c r="N860" s="11" t="s">
        <v>1754</v>
      </c>
      <c r="O860" s="13"/>
      <c r="P860" s="11">
        <v>0.0</v>
      </c>
      <c r="Q860" s="14">
        <v>0.0</v>
      </c>
      <c r="R860" s="11">
        <v>1.0</v>
      </c>
      <c r="S860">
        <f t="shared" si="1"/>
        <v>2018</v>
      </c>
      <c r="T860">
        <f t="shared" si="2"/>
        <v>8</v>
      </c>
      <c r="U860">
        <f t="shared" si="3"/>
        <v>8</v>
      </c>
      <c r="Z860" s="17">
        <v>43633.0</v>
      </c>
      <c r="AG860" s="15"/>
      <c r="AH860" s="16"/>
      <c r="AM860" s="15"/>
      <c r="AN860" s="16"/>
    </row>
    <row r="861">
      <c r="A861" s="13" t="s">
        <v>1755</v>
      </c>
      <c r="B861" s="10">
        <v>43319.0</v>
      </c>
      <c r="C861" s="11" t="s">
        <v>346</v>
      </c>
      <c r="D861" s="11" t="s">
        <v>88</v>
      </c>
      <c r="E861" s="11" t="s">
        <v>39</v>
      </c>
      <c r="F861" s="11" t="s">
        <v>40</v>
      </c>
      <c r="G861" s="11" t="s">
        <v>45</v>
      </c>
      <c r="H861" s="11" t="s">
        <v>729</v>
      </c>
      <c r="I861" s="11" t="s">
        <v>569</v>
      </c>
      <c r="J861" s="11">
        <v>23.0</v>
      </c>
      <c r="K861" s="12"/>
      <c r="L861" s="12"/>
      <c r="M861" s="11">
        <v>650645.0</v>
      </c>
      <c r="N861" s="11" t="s">
        <v>1756</v>
      </c>
      <c r="O861" s="13"/>
      <c r="P861" s="11">
        <v>0.0</v>
      </c>
      <c r="Q861" s="14">
        <v>0.0</v>
      </c>
      <c r="R861" s="11">
        <v>0.0</v>
      </c>
      <c r="S861">
        <f t="shared" si="1"/>
        <v>2018</v>
      </c>
      <c r="T861">
        <f t="shared" si="2"/>
        <v>8</v>
      </c>
      <c r="U861">
        <f t="shared" si="3"/>
        <v>7</v>
      </c>
      <c r="AG861" s="15"/>
      <c r="AH861" s="16"/>
      <c r="AM861" s="15"/>
      <c r="AN861" s="16"/>
    </row>
    <row r="862">
      <c r="A862" s="19" t="s">
        <v>1757</v>
      </c>
      <c r="B862" s="31">
        <v>43319.0</v>
      </c>
      <c r="C862" s="21" t="s">
        <v>76</v>
      </c>
      <c r="D862" s="21" t="s">
        <v>97</v>
      </c>
      <c r="E862" s="21" t="s">
        <v>982</v>
      </c>
      <c r="F862" s="21" t="s">
        <v>40</v>
      </c>
      <c r="G862" s="21" t="s">
        <v>41</v>
      </c>
      <c r="H862" s="21"/>
      <c r="I862" s="21"/>
      <c r="J862" s="21">
        <v>18.0</v>
      </c>
      <c r="K862" s="12">
        <v>44320.0</v>
      </c>
      <c r="L862" s="11">
        <f t="shared" ref="L862:L865" si="87">ROUND(((K862-B862)/365)*12,0)</f>
        <v>33</v>
      </c>
      <c r="M862" s="21">
        <v>671276.0</v>
      </c>
      <c r="N862" s="21" t="s">
        <v>1758</v>
      </c>
      <c r="O862" s="19"/>
      <c r="P862" s="21">
        <v>0.0</v>
      </c>
      <c r="Q862" s="23">
        <v>0.0</v>
      </c>
      <c r="R862" s="21">
        <v>1.0</v>
      </c>
      <c r="S862" s="33">
        <f t="shared" si="1"/>
        <v>2018</v>
      </c>
      <c r="T862" s="33">
        <f t="shared" si="2"/>
        <v>8</v>
      </c>
      <c r="U862" s="33">
        <f t="shared" si="3"/>
        <v>7</v>
      </c>
      <c r="V862" s="24"/>
      <c r="W862" s="24"/>
      <c r="X862" s="24"/>
      <c r="Y862" s="24"/>
      <c r="Z862" s="34">
        <v>43644.0</v>
      </c>
      <c r="AA862" s="24"/>
      <c r="AB862" s="24"/>
      <c r="AC862" s="24"/>
      <c r="AD862" s="24"/>
      <c r="AE862" s="24"/>
      <c r="AF862" s="24"/>
      <c r="AG862" s="26"/>
      <c r="AH862" s="27"/>
      <c r="AI862" s="24"/>
      <c r="AJ862" s="24"/>
      <c r="AK862" s="24"/>
      <c r="AL862" s="24"/>
      <c r="AM862" s="26"/>
      <c r="AN862" s="27"/>
      <c r="AO862" s="24"/>
      <c r="AP862" s="24"/>
    </row>
    <row r="863">
      <c r="A863" s="13" t="s">
        <v>1759</v>
      </c>
      <c r="B863" s="10">
        <v>43314.0</v>
      </c>
      <c r="C863" s="11" t="s">
        <v>62</v>
      </c>
      <c r="D863" s="11" t="s">
        <v>38</v>
      </c>
      <c r="E863" s="11" t="s">
        <v>39</v>
      </c>
      <c r="F863" s="11" t="s">
        <v>40</v>
      </c>
      <c r="G863" s="11" t="s">
        <v>41</v>
      </c>
      <c r="H863" s="11"/>
      <c r="I863" s="11"/>
      <c r="J863" s="11">
        <v>32.0</v>
      </c>
      <c r="K863" s="12">
        <v>43718.0</v>
      </c>
      <c r="L863" s="11">
        <f t="shared" si="87"/>
        <v>13</v>
      </c>
      <c r="M863" s="11">
        <v>456501.0</v>
      </c>
      <c r="N863" s="11">
        <v>6893.0</v>
      </c>
      <c r="O863" s="13" t="s">
        <v>69</v>
      </c>
      <c r="P863" s="11">
        <v>0.0</v>
      </c>
      <c r="Q863" s="14">
        <v>0.0</v>
      </c>
      <c r="R863" s="11">
        <v>1.0</v>
      </c>
      <c r="S863">
        <f t="shared" si="1"/>
        <v>2018</v>
      </c>
      <c r="T863">
        <f t="shared" si="2"/>
        <v>8</v>
      </c>
      <c r="U863">
        <f t="shared" si="3"/>
        <v>2</v>
      </c>
      <c r="V863" s="17">
        <v>43514.0</v>
      </c>
      <c r="X863" s="17">
        <v>43585.0</v>
      </c>
      <c r="Y863" s="17">
        <v>43670.0</v>
      </c>
      <c r="Z863" s="17">
        <v>43681.0</v>
      </c>
      <c r="AG863" s="15"/>
      <c r="AH863" s="16"/>
      <c r="AM863" s="15"/>
      <c r="AN863" s="16"/>
    </row>
    <row r="864">
      <c r="A864" s="13" t="s">
        <v>1088</v>
      </c>
      <c r="B864" s="10">
        <v>43313.0</v>
      </c>
      <c r="C864" s="11" t="s">
        <v>52</v>
      </c>
      <c r="D864" s="11" t="s">
        <v>97</v>
      </c>
      <c r="E864" s="11" t="s">
        <v>39</v>
      </c>
      <c r="F864" s="11" t="s">
        <v>40</v>
      </c>
      <c r="G864" s="11" t="s">
        <v>53</v>
      </c>
      <c r="H864" s="11"/>
      <c r="I864" s="11"/>
      <c r="J864" s="11">
        <v>18.0</v>
      </c>
      <c r="K864" s="12">
        <v>45021.0</v>
      </c>
      <c r="L864" s="11">
        <f t="shared" si="87"/>
        <v>56</v>
      </c>
      <c r="M864" s="11">
        <v>672810.0</v>
      </c>
      <c r="N864" s="11" t="s">
        <v>1089</v>
      </c>
      <c r="O864" s="13"/>
      <c r="P864" s="11">
        <v>0.0</v>
      </c>
      <c r="Q864" s="14">
        <v>0.0</v>
      </c>
      <c r="R864" s="11">
        <v>1.0</v>
      </c>
      <c r="S864">
        <f t="shared" si="1"/>
        <v>2018</v>
      </c>
      <c r="T864">
        <f t="shared" si="2"/>
        <v>8</v>
      </c>
      <c r="U864">
        <f t="shared" si="3"/>
        <v>1</v>
      </c>
      <c r="Z864" s="17">
        <v>45021.0</v>
      </c>
      <c r="AG864" s="15"/>
      <c r="AH864" s="16"/>
      <c r="AM864" s="15"/>
      <c r="AN864" s="16"/>
    </row>
    <row r="865">
      <c r="A865" s="13" t="s">
        <v>1760</v>
      </c>
      <c r="B865" s="10">
        <v>43313.0</v>
      </c>
      <c r="C865" s="11" t="s">
        <v>274</v>
      </c>
      <c r="D865" s="11" t="s">
        <v>88</v>
      </c>
      <c r="E865" s="11" t="s">
        <v>39</v>
      </c>
      <c r="F865" s="11" t="s">
        <v>40</v>
      </c>
      <c r="G865" s="11" t="s">
        <v>45</v>
      </c>
      <c r="H865" s="11" t="s">
        <v>84</v>
      </c>
      <c r="I865" s="11" t="s">
        <v>391</v>
      </c>
      <c r="J865" s="11">
        <v>23.0</v>
      </c>
      <c r="K865" s="12">
        <v>44322.0</v>
      </c>
      <c r="L865" s="11">
        <f t="shared" si="87"/>
        <v>33</v>
      </c>
      <c r="M865" s="11">
        <v>664928.0</v>
      </c>
      <c r="N865" s="11" t="s">
        <v>1761</v>
      </c>
      <c r="O865" s="13"/>
      <c r="P865" s="11">
        <v>0.0</v>
      </c>
      <c r="Q865" s="14">
        <v>0.0</v>
      </c>
      <c r="R865" s="11">
        <v>1.0</v>
      </c>
      <c r="S865">
        <f t="shared" si="1"/>
        <v>2018</v>
      </c>
      <c r="T865">
        <f t="shared" si="2"/>
        <v>8</v>
      </c>
      <c r="U865">
        <f t="shared" si="3"/>
        <v>1</v>
      </c>
      <c r="V865" s="17"/>
      <c r="Y865" s="17"/>
      <c r="Z865" s="17">
        <v>44322.0</v>
      </c>
      <c r="AG865" s="15"/>
      <c r="AH865" s="16"/>
      <c r="AM865" s="15"/>
      <c r="AN865" s="16"/>
    </row>
    <row r="866">
      <c r="A866" s="13" t="s">
        <v>1762</v>
      </c>
      <c r="B866" s="10">
        <v>43313.0</v>
      </c>
      <c r="C866" s="11" t="s">
        <v>274</v>
      </c>
      <c r="D866" s="11" t="s">
        <v>38</v>
      </c>
      <c r="E866" s="11" t="s">
        <v>39</v>
      </c>
      <c r="F866" s="11" t="s">
        <v>40</v>
      </c>
      <c r="G866" s="11" t="s">
        <v>45</v>
      </c>
      <c r="H866" s="11" t="s">
        <v>173</v>
      </c>
      <c r="I866" s="11" t="s">
        <v>864</v>
      </c>
      <c r="J866" s="11">
        <v>25.0</v>
      </c>
      <c r="K866" s="12"/>
      <c r="L866" s="12"/>
      <c r="M866" s="11">
        <v>605254.0</v>
      </c>
      <c r="N866" s="11">
        <v>16164.0</v>
      </c>
      <c r="O866" s="13" t="s">
        <v>42</v>
      </c>
      <c r="P866" s="11">
        <v>0.0</v>
      </c>
      <c r="Q866" s="14">
        <v>0.0</v>
      </c>
      <c r="R866" s="11">
        <v>1.0</v>
      </c>
      <c r="S866">
        <f t="shared" si="1"/>
        <v>2018</v>
      </c>
      <c r="T866">
        <f t="shared" si="2"/>
        <v>8</v>
      </c>
      <c r="U866">
        <f t="shared" si="3"/>
        <v>1</v>
      </c>
      <c r="Z866" s="17">
        <v>44322.0</v>
      </c>
      <c r="AG866" s="15"/>
      <c r="AH866" s="16"/>
      <c r="AM866" s="15"/>
      <c r="AN866" s="16"/>
    </row>
    <row r="867">
      <c r="A867" s="13" t="s">
        <v>1763</v>
      </c>
      <c r="B867" s="10">
        <v>43312.0</v>
      </c>
      <c r="C867" s="11" t="s">
        <v>55</v>
      </c>
      <c r="D867" s="11" t="s">
        <v>38</v>
      </c>
      <c r="E867" s="11" t="s">
        <v>39</v>
      </c>
      <c r="F867" s="11" t="s">
        <v>64</v>
      </c>
      <c r="G867" s="11" t="s">
        <v>45</v>
      </c>
      <c r="H867" s="11" t="s">
        <v>236</v>
      </c>
      <c r="I867" s="11" t="s">
        <v>730</v>
      </c>
      <c r="J867" s="11">
        <v>28.0</v>
      </c>
      <c r="K867" s="12">
        <v>43710.0</v>
      </c>
      <c r="L867" s="11">
        <f t="shared" ref="L867:L869" si="88">ROUND(((K867-B867)/365)*12,0)</f>
        <v>13</v>
      </c>
      <c r="M867" s="11">
        <v>608718.0</v>
      </c>
      <c r="N867" s="11">
        <v>13942.0</v>
      </c>
      <c r="O867" s="13" t="s">
        <v>355</v>
      </c>
      <c r="P867" s="11">
        <v>0.0</v>
      </c>
      <c r="Q867" s="14">
        <v>0.0</v>
      </c>
      <c r="R867" s="11">
        <v>1.0</v>
      </c>
      <c r="S867">
        <f t="shared" si="1"/>
        <v>2018</v>
      </c>
      <c r="T867">
        <f t="shared" si="2"/>
        <v>7</v>
      </c>
      <c r="U867">
        <f t="shared" si="3"/>
        <v>31</v>
      </c>
      <c r="V867" s="17">
        <v>43488.0</v>
      </c>
      <c r="Y867" s="17">
        <v>43662.0</v>
      </c>
      <c r="Z867" s="17">
        <v>43675.0</v>
      </c>
      <c r="AG867" s="15"/>
      <c r="AH867" s="16"/>
      <c r="AM867" s="15"/>
      <c r="AN867" s="16"/>
    </row>
    <row r="868">
      <c r="A868" s="13" t="s">
        <v>1764</v>
      </c>
      <c r="B868" s="10">
        <v>43311.0</v>
      </c>
      <c r="C868" s="11" t="s">
        <v>274</v>
      </c>
      <c r="D868" s="11" t="s">
        <v>58</v>
      </c>
      <c r="E868" s="11" t="s">
        <v>39</v>
      </c>
      <c r="F868" s="11" t="s">
        <v>40</v>
      </c>
      <c r="G868" s="11" t="s">
        <v>45</v>
      </c>
      <c r="H868" s="11" t="s">
        <v>243</v>
      </c>
      <c r="I868" s="11" t="s">
        <v>637</v>
      </c>
      <c r="J868" s="11">
        <v>27.0</v>
      </c>
      <c r="K868" s="12">
        <v>44039.0</v>
      </c>
      <c r="L868" s="11">
        <f t="shared" si="88"/>
        <v>24</v>
      </c>
      <c r="M868" s="11">
        <v>608665.0</v>
      </c>
      <c r="N868" s="11">
        <v>15514.0</v>
      </c>
      <c r="O868" s="13" t="s">
        <v>42</v>
      </c>
      <c r="P868" s="11">
        <v>0.0</v>
      </c>
      <c r="Q868" s="14">
        <v>0.0</v>
      </c>
      <c r="R868" s="11">
        <v>1.0</v>
      </c>
      <c r="S868">
        <f t="shared" si="1"/>
        <v>2018</v>
      </c>
      <c r="T868">
        <f t="shared" si="2"/>
        <v>7</v>
      </c>
      <c r="U868">
        <f t="shared" si="3"/>
        <v>30</v>
      </c>
      <c r="Z868" s="17">
        <v>43699.0</v>
      </c>
      <c r="AG868" s="15"/>
      <c r="AH868" s="16"/>
      <c r="AM868" s="15"/>
      <c r="AN868" s="16"/>
    </row>
    <row r="869">
      <c r="A869" s="13" t="s">
        <v>1765</v>
      </c>
      <c r="B869" s="10">
        <v>43305.0</v>
      </c>
      <c r="C869" s="11" t="s">
        <v>346</v>
      </c>
      <c r="D869" s="11" t="s">
        <v>38</v>
      </c>
      <c r="E869" s="11" t="s">
        <v>39</v>
      </c>
      <c r="F869" s="11" t="s">
        <v>40</v>
      </c>
      <c r="G869" s="11" t="s">
        <v>45</v>
      </c>
      <c r="H869" s="11" t="s">
        <v>112</v>
      </c>
      <c r="I869" s="11" t="s">
        <v>112</v>
      </c>
      <c r="J869" s="11">
        <v>30.0</v>
      </c>
      <c r="K869" s="12">
        <v>43724.0</v>
      </c>
      <c r="L869" s="11">
        <f t="shared" si="88"/>
        <v>14</v>
      </c>
      <c r="M869" s="11">
        <v>572070.0</v>
      </c>
      <c r="N869" s="11">
        <v>9784.0</v>
      </c>
      <c r="O869" s="13" t="s">
        <v>69</v>
      </c>
      <c r="P869" s="11">
        <v>0.0</v>
      </c>
      <c r="Q869" s="14">
        <v>0.0</v>
      </c>
      <c r="R869" s="11">
        <v>1.0</v>
      </c>
      <c r="S869">
        <f t="shared" si="1"/>
        <v>2018</v>
      </c>
      <c r="T869">
        <f t="shared" si="2"/>
        <v>7</v>
      </c>
      <c r="U869">
        <f t="shared" si="3"/>
        <v>24</v>
      </c>
      <c r="Z869" s="17">
        <v>43663.0</v>
      </c>
      <c r="AG869" s="15"/>
      <c r="AH869" s="16"/>
      <c r="AM869" s="15"/>
      <c r="AN869" s="16"/>
    </row>
    <row r="870">
      <c r="A870" s="13" t="s">
        <v>1766</v>
      </c>
      <c r="B870" s="10">
        <v>43305.0</v>
      </c>
      <c r="C870" s="11" t="s">
        <v>156</v>
      </c>
      <c r="D870" s="11" t="s">
        <v>97</v>
      </c>
      <c r="E870" s="11" t="s">
        <v>39</v>
      </c>
      <c r="F870" s="11" t="s">
        <v>40</v>
      </c>
      <c r="G870" s="11" t="s">
        <v>45</v>
      </c>
      <c r="H870" s="11" t="s">
        <v>84</v>
      </c>
      <c r="I870" s="11"/>
      <c r="J870" s="11">
        <v>20.0</v>
      </c>
      <c r="K870" s="12"/>
      <c r="L870" s="12"/>
      <c r="M870" s="11">
        <v>669140.0</v>
      </c>
      <c r="N870" s="11" t="s">
        <v>1767</v>
      </c>
      <c r="O870" s="13" t="s">
        <v>761</v>
      </c>
      <c r="P870" s="11">
        <v>0.0</v>
      </c>
      <c r="Q870" s="14">
        <v>0.0</v>
      </c>
      <c r="R870" s="11">
        <v>0.0</v>
      </c>
      <c r="S870">
        <f t="shared" si="1"/>
        <v>2018</v>
      </c>
      <c r="T870">
        <f t="shared" si="2"/>
        <v>7</v>
      </c>
      <c r="U870">
        <f t="shared" si="3"/>
        <v>24</v>
      </c>
      <c r="AG870" s="15"/>
      <c r="AH870" s="16"/>
      <c r="AM870" s="15"/>
      <c r="AN870" s="16"/>
    </row>
    <row r="871">
      <c r="A871" s="13" t="s">
        <v>1768</v>
      </c>
      <c r="B871" s="17">
        <v>43304.0</v>
      </c>
      <c r="C871" s="11" t="s">
        <v>167</v>
      </c>
      <c r="D871" s="11" t="s">
        <v>93</v>
      </c>
      <c r="E871" s="11" t="s">
        <v>39</v>
      </c>
      <c r="F871" s="11" t="s">
        <v>40</v>
      </c>
      <c r="G871" s="11" t="s">
        <v>45</v>
      </c>
      <c r="H871" s="11" t="s">
        <v>173</v>
      </c>
      <c r="I871" s="11" t="s">
        <v>1769</v>
      </c>
      <c r="J871" s="11">
        <v>22.0</v>
      </c>
      <c r="K871" s="12">
        <v>44320.0</v>
      </c>
      <c r="L871" s="11"/>
      <c r="M871" s="11">
        <v>663379.0</v>
      </c>
      <c r="N871" s="11" t="s">
        <v>1770</v>
      </c>
      <c r="O871" s="13"/>
      <c r="P871" s="11">
        <v>0.0</v>
      </c>
      <c r="Q871" s="14">
        <v>0.0</v>
      </c>
      <c r="R871" s="11">
        <v>1.0</v>
      </c>
      <c r="S871">
        <f t="shared" si="1"/>
        <v>2018</v>
      </c>
      <c r="T871">
        <f t="shared" si="2"/>
        <v>7</v>
      </c>
      <c r="U871">
        <f t="shared" si="3"/>
        <v>23</v>
      </c>
      <c r="V871" s="17"/>
      <c r="Z871" s="17"/>
      <c r="AG871" s="15"/>
      <c r="AH871" s="16"/>
      <c r="AM871" s="15"/>
      <c r="AN871" s="16"/>
    </row>
    <row r="872">
      <c r="A872" s="13" t="s">
        <v>1771</v>
      </c>
      <c r="B872" s="10">
        <v>43301.0</v>
      </c>
      <c r="C872" s="11" t="s">
        <v>44</v>
      </c>
      <c r="D872" s="11" t="s">
        <v>58</v>
      </c>
      <c r="E872" s="11" t="s">
        <v>39</v>
      </c>
      <c r="F872" s="11" t="s">
        <v>40</v>
      </c>
      <c r="G872" s="11" t="s">
        <v>45</v>
      </c>
      <c r="H872" s="11" t="s">
        <v>112</v>
      </c>
      <c r="I872" s="11" t="s">
        <v>1772</v>
      </c>
      <c r="J872" s="11">
        <v>24.0</v>
      </c>
      <c r="K872" s="12">
        <v>43647.0</v>
      </c>
      <c r="L872" s="11">
        <f t="shared" ref="L872:L874" si="89">ROUND(((K872-B872)/365)*12,0)</f>
        <v>11</v>
      </c>
      <c r="M872" s="11">
        <v>657611.0</v>
      </c>
      <c r="N872" s="11">
        <v>16840.0</v>
      </c>
      <c r="O872" s="13"/>
      <c r="P872" s="11">
        <v>0.0</v>
      </c>
      <c r="Q872" s="14">
        <v>0.0</v>
      </c>
      <c r="R872" s="11">
        <v>1.0</v>
      </c>
      <c r="S872">
        <f t="shared" si="1"/>
        <v>2018</v>
      </c>
      <c r="T872">
        <f t="shared" si="2"/>
        <v>7</v>
      </c>
      <c r="U872">
        <f t="shared" si="3"/>
        <v>20</v>
      </c>
      <c r="V872" s="17">
        <v>43435.0</v>
      </c>
      <c r="Z872" s="17">
        <v>43624.0</v>
      </c>
      <c r="AG872" s="15"/>
      <c r="AH872" s="16"/>
      <c r="AM872" s="15"/>
      <c r="AN872" s="16"/>
    </row>
    <row r="873">
      <c r="A873" s="13" t="s">
        <v>1773</v>
      </c>
      <c r="B873" s="10">
        <v>43300.0</v>
      </c>
      <c r="C873" s="11" t="s">
        <v>186</v>
      </c>
      <c r="D873" s="11" t="s">
        <v>221</v>
      </c>
      <c r="E873" s="11" t="s">
        <v>39</v>
      </c>
      <c r="F873" s="11" t="s">
        <v>40</v>
      </c>
      <c r="G873" s="11" t="s">
        <v>45</v>
      </c>
      <c r="H873" s="11" t="s">
        <v>957</v>
      </c>
      <c r="I873" s="11" t="s">
        <v>231</v>
      </c>
      <c r="J873" s="11">
        <v>23.0</v>
      </c>
      <c r="K873" s="12">
        <v>44064.0</v>
      </c>
      <c r="L873" s="11">
        <f t="shared" si="89"/>
        <v>25</v>
      </c>
      <c r="M873" s="11">
        <v>621129.0</v>
      </c>
      <c r="N873" s="11">
        <v>19686.0</v>
      </c>
      <c r="O873" s="13" t="s">
        <v>42</v>
      </c>
      <c r="P873" s="11">
        <v>0.0</v>
      </c>
      <c r="Q873" s="14">
        <v>0.0</v>
      </c>
      <c r="R873" s="11">
        <v>1.0</v>
      </c>
      <c r="S873">
        <f t="shared" si="1"/>
        <v>2018</v>
      </c>
      <c r="T873">
        <f t="shared" si="2"/>
        <v>7</v>
      </c>
      <c r="U873">
        <f t="shared" si="3"/>
        <v>19</v>
      </c>
      <c r="Z873" s="17">
        <v>44064.0</v>
      </c>
      <c r="AG873" s="15"/>
      <c r="AH873" s="16"/>
      <c r="AM873" s="15"/>
      <c r="AN873" s="16"/>
    </row>
    <row r="874">
      <c r="A874" s="13" t="s">
        <v>1774</v>
      </c>
      <c r="B874" s="10">
        <v>43298.0</v>
      </c>
      <c r="C874" s="11" t="s">
        <v>143</v>
      </c>
      <c r="D874" s="11" t="s">
        <v>88</v>
      </c>
      <c r="E874" s="11" t="s">
        <v>118</v>
      </c>
      <c r="F874" s="11" t="s">
        <v>40</v>
      </c>
      <c r="G874" s="11" t="s">
        <v>41</v>
      </c>
      <c r="H874" s="11"/>
      <c r="I874" s="11"/>
      <c r="J874" s="11">
        <v>21.0</v>
      </c>
      <c r="K874" s="12">
        <v>43560.0</v>
      </c>
      <c r="L874" s="11">
        <f t="shared" si="89"/>
        <v>9</v>
      </c>
      <c r="M874" s="11">
        <v>650520.0</v>
      </c>
      <c r="N874" s="11" t="s">
        <v>1775</v>
      </c>
      <c r="O874" s="13" t="s">
        <v>355</v>
      </c>
      <c r="P874" s="11">
        <v>0.0</v>
      </c>
      <c r="Q874" s="14">
        <v>0.0</v>
      </c>
      <c r="R874" s="11">
        <v>1.0</v>
      </c>
      <c r="S874">
        <f t="shared" si="1"/>
        <v>2018</v>
      </c>
      <c r="T874">
        <f t="shared" si="2"/>
        <v>7</v>
      </c>
      <c r="U874">
        <f t="shared" si="3"/>
        <v>17</v>
      </c>
      <c r="AG874" s="15"/>
      <c r="AH874" s="16"/>
      <c r="AM874" s="15"/>
      <c r="AN874" s="16"/>
    </row>
    <row r="875">
      <c r="A875" s="13" t="s">
        <v>1776</v>
      </c>
      <c r="B875" s="10">
        <v>43291.0</v>
      </c>
      <c r="C875" s="11" t="s">
        <v>346</v>
      </c>
      <c r="D875" s="11" t="s">
        <v>38</v>
      </c>
      <c r="E875" s="11" t="s">
        <v>39</v>
      </c>
      <c r="F875" s="11" t="s">
        <v>64</v>
      </c>
      <c r="G875" s="11" t="s">
        <v>45</v>
      </c>
      <c r="H875" s="11" t="s">
        <v>67</v>
      </c>
      <c r="I875" s="11"/>
      <c r="J875" s="11">
        <v>27.0</v>
      </c>
      <c r="K875" s="12"/>
      <c r="L875" s="12"/>
      <c r="M875" s="11">
        <v>543424.0</v>
      </c>
      <c r="N875" s="11">
        <v>8493.0</v>
      </c>
      <c r="O875" s="13" t="s">
        <v>69</v>
      </c>
      <c r="P875" s="11">
        <v>0.0</v>
      </c>
      <c r="Q875" s="14">
        <v>0.0</v>
      </c>
      <c r="R875" s="11">
        <v>0.0</v>
      </c>
      <c r="S875">
        <f t="shared" si="1"/>
        <v>2018</v>
      </c>
      <c r="T875">
        <f t="shared" si="2"/>
        <v>7</v>
      </c>
      <c r="U875">
        <f t="shared" si="3"/>
        <v>10</v>
      </c>
      <c r="AG875" s="15"/>
      <c r="AH875" s="16"/>
      <c r="AM875" s="15"/>
      <c r="AN875" s="16"/>
    </row>
    <row r="876">
      <c r="A876" s="13" t="s">
        <v>1777</v>
      </c>
      <c r="B876" s="10">
        <v>43283.0</v>
      </c>
      <c r="C876" s="11" t="s">
        <v>230</v>
      </c>
      <c r="D876" s="11" t="s">
        <v>221</v>
      </c>
      <c r="E876" s="11" t="s">
        <v>39</v>
      </c>
      <c r="F876" s="11" t="s">
        <v>40</v>
      </c>
      <c r="G876" s="11" t="s">
        <v>45</v>
      </c>
      <c r="H876" s="11" t="s">
        <v>258</v>
      </c>
      <c r="I876" s="11"/>
      <c r="J876" s="11">
        <v>19.0</v>
      </c>
      <c r="K876" s="12">
        <v>44324.0</v>
      </c>
      <c r="L876" s="11">
        <f t="shared" ref="L876:L877" si="90">ROUND(((K876-B876)/365)*12,0)</f>
        <v>34</v>
      </c>
      <c r="M876" s="11">
        <v>672277.0</v>
      </c>
      <c r="N876" s="11" t="s">
        <v>1778</v>
      </c>
      <c r="O876" s="13" t="s">
        <v>42</v>
      </c>
      <c r="P876" s="11">
        <v>0.0</v>
      </c>
      <c r="Q876" s="14">
        <v>0.0</v>
      </c>
      <c r="R876" s="11">
        <v>1.0</v>
      </c>
      <c r="S876">
        <f t="shared" si="1"/>
        <v>2018</v>
      </c>
      <c r="T876">
        <f t="shared" si="2"/>
        <v>7</v>
      </c>
      <c r="U876">
        <f t="shared" si="3"/>
        <v>2</v>
      </c>
      <c r="Y876" s="17">
        <v>43882.0</v>
      </c>
      <c r="Z876" s="17">
        <v>44324.0</v>
      </c>
      <c r="AG876" s="15"/>
      <c r="AH876" s="16"/>
      <c r="AM876" s="15"/>
      <c r="AN876" s="16"/>
    </row>
    <row r="877">
      <c r="A877" s="13" t="s">
        <v>1779</v>
      </c>
      <c r="B877" s="10">
        <v>43282.0</v>
      </c>
      <c r="C877" s="11" t="s">
        <v>150</v>
      </c>
      <c r="D877" s="11" t="s">
        <v>58</v>
      </c>
      <c r="E877" s="11" t="s">
        <v>39</v>
      </c>
      <c r="F877" s="11" t="s">
        <v>64</v>
      </c>
      <c r="G877" s="11" t="s">
        <v>45</v>
      </c>
      <c r="H877" s="11" t="s">
        <v>163</v>
      </c>
      <c r="I877" s="11" t="s">
        <v>391</v>
      </c>
      <c r="J877" s="11">
        <v>25.0</v>
      </c>
      <c r="K877" s="12">
        <v>44066.0</v>
      </c>
      <c r="L877" s="11">
        <f t="shared" si="90"/>
        <v>26</v>
      </c>
      <c r="M877" s="11">
        <v>605335.0</v>
      </c>
      <c r="N877" s="11">
        <v>16135.0</v>
      </c>
      <c r="O877" s="13"/>
      <c r="P877" s="11">
        <v>0.0</v>
      </c>
      <c r="Q877" s="14">
        <v>0.0</v>
      </c>
      <c r="R877" s="11">
        <v>1.0</v>
      </c>
      <c r="S877">
        <f t="shared" si="1"/>
        <v>2018</v>
      </c>
      <c r="T877">
        <f t="shared" si="2"/>
        <v>7</v>
      </c>
      <c r="U877">
        <f t="shared" si="3"/>
        <v>1</v>
      </c>
      <c r="AG877" s="15"/>
      <c r="AH877" s="16"/>
      <c r="AM877" s="15"/>
      <c r="AN877" s="16"/>
    </row>
    <row r="878">
      <c r="A878" s="13" t="s">
        <v>1780</v>
      </c>
      <c r="B878" s="10">
        <v>43279.0</v>
      </c>
      <c r="C878" s="11" t="s">
        <v>72</v>
      </c>
      <c r="D878" s="11" t="s">
        <v>709</v>
      </c>
      <c r="E878" s="11" t="s">
        <v>118</v>
      </c>
      <c r="F878" s="11" t="s">
        <v>40</v>
      </c>
      <c r="G878" s="11" t="s">
        <v>45</v>
      </c>
      <c r="H878" s="11" t="s">
        <v>46</v>
      </c>
      <c r="I878" s="11" t="s">
        <v>1781</v>
      </c>
      <c r="J878" s="11">
        <v>23.0</v>
      </c>
      <c r="K878" s="12"/>
      <c r="L878" s="12"/>
      <c r="M878" s="11">
        <v>664038.0</v>
      </c>
      <c r="N878" s="11" t="s">
        <v>1782</v>
      </c>
      <c r="O878" s="13" t="s">
        <v>761</v>
      </c>
      <c r="P878" s="11">
        <v>0.0</v>
      </c>
      <c r="Q878" s="14">
        <v>0.0</v>
      </c>
      <c r="R878" s="11">
        <v>0.0</v>
      </c>
      <c r="S878">
        <f t="shared" si="1"/>
        <v>2018</v>
      </c>
      <c r="T878">
        <f t="shared" si="2"/>
        <v>6</v>
      </c>
      <c r="U878">
        <f t="shared" si="3"/>
        <v>28</v>
      </c>
      <c r="AG878" s="15"/>
      <c r="AH878" s="16"/>
      <c r="AM878" s="15"/>
      <c r="AN878" s="16"/>
    </row>
    <row r="879">
      <c r="A879" s="13" t="s">
        <v>1783</v>
      </c>
      <c r="B879" s="10">
        <v>43277.0</v>
      </c>
      <c r="C879" s="11" t="s">
        <v>156</v>
      </c>
      <c r="D879" s="11" t="s">
        <v>88</v>
      </c>
      <c r="E879" s="11" t="s">
        <v>39</v>
      </c>
      <c r="F879" s="11" t="s">
        <v>40</v>
      </c>
      <c r="G879" s="11" t="s">
        <v>45</v>
      </c>
      <c r="H879" s="11" t="s">
        <v>56</v>
      </c>
      <c r="I879" s="11" t="s">
        <v>294</v>
      </c>
      <c r="J879" s="11">
        <v>24.0</v>
      </c>
      <c r="K879" s="12">
        <v>44329.0</v>
      </c>
      <c r="L879" s="11">
        <f t="shared" ref="L879:L881" si="91">ROUND(((K879-B879)/365)*12,0)</f>
        <v>35</v>
      </c>
      <c r="M879" s="11">
        <v>664125.0</v>
      </c>
      <c r="N879" s="11" t="s">
        <v>1784</v>
      </c>
      <c r="O879" s="13"/>
      <c r="P879" s="11">
        <v>0.0</v>
      </c>
      <c r="Q879" s="14">
        <v>0.0</v>
      </c>
      <c r="R879" s="11">
        <v>1.0</v>
      </c>
      <c r="S879">
        <f t="shared" si="1"/>
        <v>2018</v>
      </c>
      <c r="T879">
        <f t="shared" si="2"/>
        <v>6</v>
      </c>
      <c r="U879">
        <f t="shared" si="3"/>
        <v>26</v>
      </c>
      <c r="Z879" s="17">
        <v>44329.0</v>
      </c>
      <c r="AG879" s="15"/>
      <c r="AH879" s="16"/>
      <c r="AM879" s="15"/>
      <c r="AN879" s="16"/>
    </row>
    <row r="880">
      <c r="A880" s="13" t="s">
        <v>1785</v>
      </c>
      <c r="B880" s="10">
        <v>43276.0</v>
      </c>
      <c r="C880" s="11" t="s">
        <v>192</v>
      </c>
      <c r="D880" s="11" t="s">
        <v>93</v>
      </c>
      <c r="E880" s="11" t="s">
        <v>39</v>
      </c>
      <c r="F880" s="11" t="s">
        <v>40</v>
      </c>
      <c r="G880" s="11" t="s">
        <v>45</v>
      </c>
      <c r="H880" s="11" t="s">
        <v>56</v>
      </c>
      <c r="I880" s="11" t="s">
        <v>344</v>
      </c>
      <c r="J880" s="11">
        <v>21.0</v>
      </c>
      <c r="K880" s="12">
        <v>43634.0</v>
      </c>
      <c r="L880" s="11">
        <f t="shared" si="91"/>
        <v>12</v>
      </c>
      <c r="M880" s="11">
        <v>669435.0</v>
      </c>
      <c r="N880" s="11" t="s">
        <v>1786</v>
      </c>
      <c r="O880" s="13"/>
      <c r="P880" s="11">
        <v>0.0</v>
      </c>
      <c r="Q880" s="14">
        <v>0.0</v>
      </c>
      <c r="R880" s="11">
        <v>1.0</v>
      </c>
      <c r="S880">
        <f t="shared" si="1"/>
        <v>2018</v>
      </c>
      <c r="T880">
        <f t="shared" si="2"/>
        <v>6</v>
      </c>
      <c r="U880">
        <f t="shared" si="3"/>
        <v>25</v>
      </c>
      <c r="Z880" s="17">
        <v>43634.0</v>
      </c>
      <c r="AG880" s="15"/>
      <c r="AH880" s="16"/>
      <c r="AM880" s="15"/>
      <c r="AN880" s="16"/>
    </row>
    <row r="881">
      <c r="A881" s="13" t="s">
        <v>1787</v>
      </c>
      <c r="B881" s="10">
        <v>43276.0</v>
      </c>
      <c r="C881" s="11" t="s">
        <v>186</v>
      </c>
      <c r="D881" s="11" t="s">
        <v>97</v>
      </c>
      <c r="E881" s="11" t="s">
        <v>39</v>
      </c>
      <c r="F881" s="11" t="s">
        <v>40</v>
      </c>
      <c r="G881" s="11" t="s">
        <v>45</v>
      </c>
      <c r="H881" s="11" t="s">
        <v>163</v>
      </c>
      <c r="I881" s="11"/>
      <c r="J881" s="11">
        <v>20.0</v>
      </c>
      <c r="K881" s="12">
        <v>44321.0</v>
      </c>
      <c r="L881" s="11">
        <f t="shared" si="91"/>
        <v>34</v>
      </c>
      <c r="M881" s="11">
        <v>666208.0</v>
      </c>
      <c r="N881" s="11">
        <v>21859.0</v>
      </c>
      <c r="O881" s="13"/>
      <c r="P881" s="11">
        <v>0.0</v>
      </c>
      <c r="Q881" s="14">
        <v>0.0</v>
      </c>
      <c r="R881" s="11">
        <v>1.0</v>
      </c>
      <c r="S881">
        <f t="shared" si="1"/>
        <v>2018</v>
      </c>
      <c r="T881">
        <f t="shared" si="2"/>
        <v>6</v>
      </c>
      <c r="U881">
        <f t="shared" si="3"/>
        <v>25</v>
      </c>
      <c r="Z881" s="17">
        <v>43644.0</v>
      </c>
      <c r="AA881" s="17">
        <v>43466.0</v>
      </c>
      <c r="AB881" s="13" t="s">
        <v>1788</v>
      </c>
      <c r="AG881" s="15"/>
      <c r="AH881" s="16"/>
      <c r="AM881" s="15"/>
      <c r="AN881" s="16"/>
    </row>
    <row r="882">
      <c r="A882" s="13" t="s">
        <v>1789</v>
      </c>
      <c r="B882" s="10">
        <v>43273.0</v>
      </c>
      <c r="C882" s="11" t="s">
        <v>162</v>
      </c>
      <c r="D882" s="11" t="s">
        <v>97</v>
      </c>
      <c r="E882" s="11" t="s">
        <v>39</v>
      </c>
      <c r="F882" s="11" t="s">
        <v>40</v>
      </c>
      <c r="G882" s="11" t="s">
        <v>45</v>
      </c>
      <c r="H882" s="11" t="s">
        <v>236</v>
      </c>
      <c r="I882" s="11" t="s">
        <v>1790</v>
      </c>
      <c r="J882" s="11">
        <v>24.0</v>
      </c>
      <c r="K882" s="12"/>
      <c r="L882" s="12"/>
      <c r="M882" s="11">
        <v>669278.0</v>
      </c>
      <c r="N882" s="11" t="s">
        <v>1791</v>
      </c>
      <c r="O882" s="13"/>
      <c r="P882" s="11">
        <v>0.0</v>
      </c>
      <c r="Q882" s="14">
        <v>0.0</v>
      </c>
      <c r="R882" s="11">
        <v>0.0</v>
      </c>
      <c r="S882">
        <f t="shared" si="1"/>
        <v>2018</v>
      </c>
      <c r="T882">
        <f t="shared" si="2"/>
        <v>6</v>
      </c>
      <c r="U882">
        <f t="shared" si="3"/>
        <v>22</v>
      </c>
      <c r="AG882" s="15"/>
      <c r="AH882" s="16"/>
      <c r="AM882" s="15"/>
      <c r="AN882" s="16"/>
    </row>
    <row r="883">
      <c r="A883" s="13" t="s">
        <v>1792</v>
      </c>
      <c r="B883" s="10">
        <v>43273.0</v>
      </c>
      <c r="C883" s="11" t="s">
        <v>126</v>
      </c>
      <c r="D883" s="11" t="s">
        <v>88</v>
      </c>
      <c r="E883" s="11" t="s">
        <v>39</v>
      </c>
      <c r="F883" s="11" t="s">
        <v>40</v>
      </c>
      <c r="G883" s="11" t="s">
        <v>45</v>
      </c>
      <c r="H883" s="11" t="s">
        <v>67</v>
      </c>
      <c r="I883" s="11" t="s">
        <v>1793</v>
      </c>
      <c r="J883" s="11">
        <v>23.0</v>
      </c>
      <c r="K883" s="12"/>
      <c r="L883" s="12"/>
      <c r="M883" s="11">
        <v>656693.0</v>
      </c>
      <c r="N883" s="11" t="s">
        <v>1794</v>
      </c>
      <c r="O883" s="13"/>
      <c r="P883" s="11">
        <v>0.0</v>
      </c>
      <c r="Q883" s="14">
        <v>0.0</v>
      </c>
      <c r="R883" s="11">
        <v>0.0</v>
      </c>
      <c r="S883">
        <f t="shared" si="1"/>
        <v>2018</v>
      </c>
      <c r="T883">
        <f t="shared" si="2"/>
        <v>6</v>
      </c>
      <c r="U883">
        <f t="shared" si="3"/>
        <v>22</v>
      </c>
      <c r="AG883" s="15"/>
      <c r="AH883" s="16"/>
      <c r="AM883" s="15"/>
      <c r="AN883" s="16"/>
    </row>
    <row r="884">
      <c r="A884" s="13" t="s">
        <v>1795</v>
      </c>
      <c r="B884" s="10">
        <v>43270.0</v>
      </c>
      <c r="C884" s="11" t="s">
        <v>346</v>
      </c>
      <c r="D884" s="11" t="s">
        <v>221</v>
      </c>
      <c r="E884" s="11" t="s">
        <v>39</v>
      </c>
      <c r="F884" s="11" t="s">
        <v>40</v>
      </c>
      <c r="G884" s="11" t="s">
        <v>45</v>
      </c>
      <c r="H884" s="11" t="s">
        <v>163</v>
      </c>
      <c r="I884" s="11"/>
      <c r="J884" s="11">
        <v>19.0</v>
      </c>
      <c r="K884" s="12"/>
      <c r="L884" s="12"/>
      <c r="M884" s="11">
        <v>676672.0</v>
      </c>
      <c r="N884" s="11" t="s">
        <v>1796</v>
      </c>
      <c r="O884" s="13" t="s">
        <v>761</v>
      </c>
      <c r="P884" s="11">
        <v>0.0</v>
      </c>
      <c r="Q884" s="14">
        <v>0.0</v>
      </c>
      <c r="R884" s="11">
        <v>0.0</v>
      </c>
      <c r="S884">
        <f t="shared" si="1"/>
        <v>2018</v>
      </c>
      <c r="T884">
        <f t="shared" si="2"/>
        <v>6</v>
      </c>
      <c r="U884">
        <f t="shared" si="3"/>
        <v>19</v>
      </c>
      <c r="AG884" s="15"/>
      <c r="AH884" s="16"/>
      <c r="AM884" s="15"/>
      <c r="AN884" s="16"/>
    </row>
    <row r="885">
      <c r="A885" s="19" t="s">
        <v>1797</v>
      </c>
      <c r="B885" s="20">
        <v>43265.0</v>
      </c>
      <c r="C885" s="21" t="s">
        <v>162</v>
      </c>
      <c r="D885" s="21" t="s">
        <v>97</v>
      </c>
      <c r="E885" s="21" t="s">
        <v>39</v>
      </c>
      <c r="F885" s="21" t="s">
        <v>40</v>
      </c>
      <c r="G885" s="21" t="s">
        <v>41</v>
      </c>
      <c r="H885" s="21"/>
      <c r="I885" s="21"/>
      <c r="J885" s="18">
        <v>25.0</v>
      </c>
      <c r="K885" s="12">
        <v>44322.0</v>
      </c>
      <c r="L885" s="11">
        <f t="shared" ref="L885:L886" si="92">ROUND(((K885-B885)/365)*12,0)</f>
        <v>35</v>
      </c>
      <c r="M885" s="21">
        <v>600853.0</v>
      </c>
      <c r="N885" s="21" t="s">
        <v>1798</v>
      </c>
      <c r="O885" s="19"/>
      <c r="P885" s="21">
        <v>0.0</v>
      </c>
      <c r="Q885" s="23">
        <v>0.0</v>
      </c>
      <c r="R885" s="21">
        <v>1.0</v>
      </c>
      <c r="S885" s="33">
        <f t="shared" si="1"/>
        <v>2018</v>
      </c>
      <c r="T885" s="33">
        <f t="shared" si="2"/>
        <v>6</v>
      </c>
      <c r="U885" s="33">
        <f t="shared" si="3"/>
        <v>14</v>
      </c>
      <c r="V885" s="40"/>
      <c r="W885" s="24"/>
      <c r="X885" s="24"/>
      <c r="Y885" s="25"/>
      <c r="Z885" s="34">
        <v>43703.0</v>
      </c>
      <c r="AA885" s="24"/>
      <c r="AB885" s="24"/>
      <c r="AC885" s="24"/>
      <c r="AD885" s="24"/>
      <c r="AE885" s="24"/>
      <c r="AF885" s="24"/>
      <c r="AG885" s="26"/>
      <c r="AH885" s="27"/>
      <c r="AI885" s="24"/>
      <c r="AJ885" s="24"/>
      <c r="AK885" s="24"/>
      <c r="AL885" s="24"/>
      <c r="AM885" s="26"/>
      <c r="AN885" s="27"/>
      <c r="AO885" s="24"/>
      <c r="AP885" s="24"/>
    </row>
    <row r="886">
      <c r="A886" s="13" t="s">
        <v>1799</v>
      </c>
      <c r="B886" s="10">
        <v>43265.0</v>
      </c>
      <c r="C886" s="11" t="s">
        <v>156</v>
      </c>
      <c r="D886" s="11" t="s">
        <v>58</v>
      </c>
      <c r="E886" s="11" t="s">
        <v>39</v>
      </c>
      <c r="F886" s="11" t="s">
        <v>64</v>
      </c>
      <c r="G886" s="11" t="s">
        <v>45</v>
      </c>
      <c r="H886" s="11" t="s">
        <v>56</v>
      </c>
      <c r="I886" s="11" t="s">
        <v>1800</v>
      </c>
      <c r="J886" s="11">
        <v>24.0</v>
      </c>
      <c r="K886" s="12">
        <v>43660.0</v>
      </c>
      <c r="L886" s="11">
        <f t="shared" si="92"/>
        <v>13</v>
      </c>
      <c r="M886" s="11">
        <v>607455.0</v>
      </c>
      <c r="N886" s="11">
        <v>14706.0</v>
      </c>
      <c r="O886" s="13" t="s">
        <v>761</v>
      </c>
      <c r="P886" s="11">
        <v>0.0</v>
      </c>
      <c r="Q886" s="14">
        <v>0.0</v>
      </c>
      <c r="R886" s="11">
        <v>1.0</v>
      </c>
      <c r="S886">
        <f t="shared" si="1"/>
        <v>2018</v>
      </c>
      <c r="T886">
        <f t="shared" si="2"/>
        <v>6</v>
      </c>
      <c r="U886">
        <f t="shared" si="3"/>
        <v>14</v>
      </c>
      <c r="W886" s="17">
        <v>43503.0</v>
      </c>
      <c r="Z886" s="17">
        <v>43639.0</v>
      </c>
      <c r="AG886" s="15"/>
      <c r="AH886" s="16"/>
      <c r="AM886" s="15"/>
      <c r="AN886" s="16"/>
    </row>
    <row r="887">
      <c r="A887" s="13" t="s">
        <v>1801</v>
      </c>
      <c r="B887" s="17">
        <v>43263.0</v>
      </c>
      <c r="C887" s="11" t="s">
        <v>37</v>
      </c>
      <c r="D887" s="11" t="s">
        <v>93</v>
      </c>
      <c r="E887" s="11" t="s">
        <v>39</v>
      </c>
      <c r="F887" s="11" t="s">
        <v>40</v>
      </c>
      <c r="G887" s="11" t="s">
        <v>45</v>
      </c>
      <c r="H887" s="11" t="s">
        <v>236</v>
      </c>
      <c r="I887" s="11" t="s">
        <v>746</v>
      </c>
      <c r="J887" s="11">
        <v>21.0</v>
      </c>
      <c r="K887" s="12">
        <v>44349.0</v>
      </c>
      <c r="L887" s="12"/>
      <c r="M887" s="11">
        <v>663778.0</v>
      </c>
      <c r="N887" s="11" t="s">
        <v>1802</v>
      </c>
      <c r="O887" s="13"/>
      <c r="P887" s="11">
        <v>0.0</v>
      </c>
      <c r="Q887" s="14">
        <v>0.0</v>
      </c>
      <c r="R887" s="11">
        <v>1.0</v>
      </c>
      <c r="S887">
        <f t="shared" si="1"/>
        <v>2018</v>
      </c>
      <c r="T887">
        <f t="shared" si="2"/>
        <v>6</v>
      </c>
      <c r="U887">
        <f t="shared" si="3"/>
        <v>12</v>
      </c>
      <c r="V887" s="17">
        <v>43435.0</v>
      </c>
      <c r="W887" s="17">
        <v>43579.0</v>
      </c>
      <c r="AG887" s="15"/>
      <c r="AH887" s="16"/>
      <c r="AM887" s="15"/>
      <c r="AN887" s="16"/>
    </row>
    <row r="888">
      <c r="A888" s="13" t="s">
        <v>1803</v>
      </c>
      <c r="B888" s="10">
        <v>43262.0</v>
      </c>
      <c r="C888" s="11" t="s">
        <v>156</v>
      </c>
      <c r="D888" s="11" t="s">
        <v>97</v>
      </c>
      <c r="E888" s="11" t="s">
        <v>39</v>
      </c>
      <c r="F888" s="11" t="s">
        <v>40</v>
      </c>
      <c r="G888" s="11" t="s">
        <v>45</v>
      </c>
      <c r="H888" s="11" t="s">
        <v>67</v>
      </c>
      <c r="I888" s="11" t="s">
        <v>351</v>
      </c>
      <c r="J888" s="11">
        <v>21.0</v>
      </c>
      <c r="K888" s="12">
        <v>43680.0</v>
      </c>
      <c r="L888" s="11">
        <f>ROUND(((K888-B888)/365)*12,0)</f>
        <v>14</v>
      </c>
      <c r="M888" s="11">
        <v>675977.0</v>
      </c>
      <c r="N888" s="11" t="s">
        <v>1804</v>
      </c>
      <c r="O888" s="13" t="s">
        <v>662</v>
      </c>
      <c r="P888" s="11">
        <v>0.0</v>
      </c>
      <c r="Q888" s="14">
        <v>0.0</v>
      </c>
      <c r="R888" s="11">
        <v>1.0</v>
      </c>
      <c r="S888">
        <f t="shared" si="1"/>
        <v>2018</v>
      </c>
      <c r="T888">
        <f t="shared" si="2"/>
        <v>6</v>
      </c>
      <c r="U888">
        <f t="shared" si="3"/>
        <v>11</v>
      </c>
      <c r="Z888" s="17">
        <v>43657.0</v>
      </c>
      <c r="AG888" s="15"/>
      <c r="AH888" s="16"/>
      <c r="AM888" s="15"/>
      <c r="AN888" s="16"/>
    </row>
    <row r="889">
      <c r="A889" s="13" t="s">
        <v>1805</v>
      </c>
      <c r="B889" s="10">
        <v>43259.0</v>
      </c>
      <c r="C889" s="11" t="s">
        <v>162</v>
      </c>
      <c r="D889" s="11" t="s">
        <v>38</v>
      </c>
      <c r="E889" s="11" t="s">
        <v>39</v>
      </c>
      <c r="F889" s="11" t="s">
        <v>40</v>
      </c>
      <c r="G889" s="11" t="s">
        <v>45</v>
      </c>
      <c r="H889" s="11" t="s">
        <v>127</v>
      </c>
      <c r="I889" s="11" t="s">
        <v>1806</v>
      </c>
      <c r="J889" s="11">
        <v>29.0</v>
      </c>
      <c r="K889" s="12"/>
      <c r="L889" s="12"/>
      <c r="M889" s="11">
        <v>594992.0</v>
      </c>
      <c r="N889" s="11">
        <v>11012.0</v>
      </c>
      <c r="O889" s="13" t="s">
        <v>355</v>
      </c>
      <c r="P889" s="11">
        <v>0.0</v>
      </c>
      <c r="Q889" s="14">
        <v>0.0</v>
      </c>
      <c r="R889" s="11">
        <v>0.0</v>
      </c>
      <c r="S889">
        <f t="shared" si="1"/>
        <v>2018</v>
      </c>
      <c r="T889">
        <f t="shared" si="2"/>
        <v>6</v>
      </c>
      <c r="U889">
        <f t="shared" si="3"/>
        <v>8</v>
      </c>
      <c r="AG889" s="15"/>
      <c r="AH889" s="16"/>
      <c r="AM889" s="15"/>
      <c r="AN889" s="16"/>
    </row>
    <row r="890">
      <c r="A890" s="13" t="s">
        <v>172</v>
      </c>
      <c r="B890" s="10">
        <v>43258.0</v>
      </c>
      <c r="C890" s="11" t="s">
        <v>108</v>
      </c>
      <c r="D890" s="11" t="s">
        <v>38</v>
      </c>
      <c r="E890" s="11" t="s">
        <v>39</v>
      </c>
      <c r="F890" s="11" t="s">
        <v>64</v>
      </c>
      <c r="G890" s="11" t="s">
        <v>45</v>
      </c>
      <c r="H890" s="11" t="s">
        <v>173</v>
      </c>
      <c r="I890" s="11" t="s">
        <v>173</v>
      </c>
      <c r="J890" s="11">
        <v>25.0</v>
      </c>
      <c r="K890" s="12">
        <v>43723.0</v>
      </c>
      <c r="L890" s="11">
        <f>ROUND(((K890-B890)/365)*12,0)</f>
        <v>15</v>
      </c>
      <c r="M890" s="11">
        <v>656756.0</v>
      </c>
      <c r="N890" s="11">
        <v>16511.0</v>
      </c>
      <c r="O890" s="13" t="s">
        <v>494</v>
      </c>
      <c r="P890" s="11">
        <v>0.0</v>
      </c>
      <c r="Q890" s="14">
        <v>0.0</v>
      </c>
      <c r="R890" s="11">
        <v>1.0</v>
      </c>
      <c r="S890">
        <f t="shared" si="1"/>
        <v>2018</v>
      </c>
      <c r="T890">
        <f t="shared" si="2"/>
        <v>6</v>
      </c>
      <c r="U890">
        <f t="shared" si="3"/>
        <v>7</v>
      </c>
      <c r="Z890" s="17">
        <v>43702.0</v>
      </c>
      <c r="AA890" s="17">
        <v>43636.0</v>
      </c>
      <c r="AB890" s="13" t="s">
        <v>1807</v>
      </c>
      <c r="AG890" s="15"/>
      <c r="AH890" s="16"/>
      <c r="AM890" s="15"/>
      <c r="AN890" s="16"/>
    </row>
    <row r="891">
      <c r="A891" s="13" t="s">
        <v>1808</v>
      </c>
      <c r="B891" s="10">
        <v>43257.0</v>
      </c>
      <c r="C891" s="11" t="s">
        <v>44</v>
      </c>
      <c r="D891" s="11" t="s">
        <v>709</v>
      </c>
      <c r="E891" s="11" t="s">
        <v>39</v>
      </c>
      <c r="F891" s="11" t="s">
        <v>40</v>
      </c>
      <c r="G891" s="11" t="s">
        <v>45</v>
      </c>
      <c r="H891" s="11" t="s">
        <v>67</v>
      </c>
      <c r="I891" s="11"/>
      <c r="J891" s="11">
        <v>22.0</v>
      </c>
      <c r="K891" s="12"/>
      <c r="L891" s="12"/>
      <c r="M891" s="11">
        <v>656545.0</v>
      </c>
      <c r="N891" s="11" t="s">
        <v>1809</v>
      </c>
      <c r="O891" s="13"/>
      <c r="P891" s="11">
        <v>0.0</v>
      </c>
      <c r="Q891" s="14">
        <v>0.0</v>
      </c>
      <c r="R891" s="11">
        <v>0.0</v>
      </c>
      <c r="S891">
        <f t="shared" si="1"/>
        <v>2018</v>
      </c>
      <c r="T891">
        <f t="shared" si="2"/>
        <v>6</v>
      </c>
      <c r="U891">
        <f t="shared" si="3"/>
        <v>6</v>
      </c>
      <c r="AG891" s="15"/>
      <c r="AH891" s="16"/>
      <c r="AM891" s="15"/>
      <c r="AN891" s="16"/>
    </row>
    <row r="892">
      <c r="A892" s="13" t="s">
        <v>1810</v>
      </c>
      <c r="B892" s="10">
        <v>43256.0</v>
      </c>
      <c r="C892" s="11" t="s">
        <v>116</v>
      </c>
      <c r="D892" s="11" t="s">
        <v>58</v>
      </c>
      <c r="E892" s="11" t="s">
        <v>39</v>
      </c>
      <c r="F892" s="11" t="s">
        <v>40</v>
      </c>
      <c r="G892" s="11" t="s">
        <v>45</v>
      </c>
      <c r="H892" s="11" t="s">
        <v>67</v>
      </c>
      <c r="I892" s="11" t="s">
        <v>1303</v>
      </c>
      <c r="J892" s="11">
        <v>25.0</v>
      </c>
      <c r="K892" s="12"/>
      <c r="L892" s="12"/>
      <c r="M892" s="11">
        <v>656375.0</v>
      </c>
      <c r="N892" s="11" t="s">
        <v>1811</v>
      </c>
      <c r="O892" s="13"/>
      <c r="P892" s="11">
        <v>0.0</v>
      </c>
      <c r="Q892" s="14">
        <v>0.0</v>
      </c>
      <c r="R892" s="11">
        <v>0.0</v>
      </c>
      <c r="S892">
        <f t="shared" si="1"/>
        <v>2018</v>
      </c>
      <c r="T892">
        <f t="shared" si="2"/>
        <v>6</v>
      </c>
      <c r="U892">
        <f t="shared" si="3"/>
        <v>5</v>
      </c>
      <c r="Z892" s="17">
        <v>43649.0</v>
      </c>
      <c r="AG892" s="15"/>
      <c r="AH892" s="16"/>
      <c r="AM892" s="15"/>
      <c r="AN892" s="16"/>
    </row>
    <row r="893">
      <c r="A893" s="13" t="s">
        <v>1812</v>
      </c>
      <c r="B893" s="10">
        <v>43256.0</v>
      </c>
      <c r="C893" s="11" t="s">
        <v>83</v>
      </c>
      <c r="D893" s="11" t="s">
        <v>58</v>
      </c>
      <c r="E893" s="11" t="s">
        <v>39</v>
      </c>
      <c r="F893" s="11" t="s">
        <v>64</v>
      </c>
      <c r="G893" s="11" t="s">
        <v>45</v>
      </c>
      <c r="H893" s="11" t="s">
        <v>67</v>
      </c>
      <c r="I893" s="11" t="s">
        <v>1813</v>
      </c>
      <c r="J893" s="11">
        <v>28.0</v>
      </c>
      <c r="K893" s="12">
        <v>44069.0</v>
      </c>
      <c r="L893" s="11">
        <f>ROUND(((K893-B893)/365)*12,0)</f>
        <v>27</v>
      </c>
      <c r="M893" s="11">
        <v>595411.0</v>
      </c>
      <c r="N893" s="11">
        <v>12249.0</v>
      </c>
      <c r="O893" s="13" t="s">
        <v>69</v>
      </c>
      <c r="P893" s="11">
        <v>0.0</v>
      </c>
      <c r="Q893" s="14">
        <v>0.0</v>
      </c>
      <c r="R893" s="11">
        <v>1.0</v>
      </c>
      <c r="S893">
        <f t="shared" si="1"/>
        <v>2018</v>
      </c>
      <c r="T893">
        <f t="shared" si="2"/>
        <v>6</v>
      </c>
      <c r="U893">
        <f t="shared" si="3"/>
        <v>5</v>
      </c>
      <c r="Z893" s="17">
        <v>43683.0</v>
      </c>
      <c r="AG893" s="15"/>
      <c r="AH893" s="16"/>
      <c r="AM893" s="15"/>
      <c r="AN893" s="16"/>
    </row>
    <row r="894">
      <c r="A894" s="13" t="s">
        <v>1814</v>
      </c>
      <c r="B894" s="17">
        <v>43252.0</v>
      </c>
      <c r="C894" s="11" t="s">
        <v>143</v>
      </c>
      <c r="D894" s="11" t="s">
        <v>213</v>
      </c>
      <c r="E894" s="11" t="s">
        <v>39</v>
      </c>
      <c r="F894" s="11" t="s">
        <v>40</v>
      </c>
      <c r="G894" s="11" t="s">
        <v>45</v>
      </c>
      <c r="H894" s="11" t="s">
        <v>729</v>
      </c>
      <c r="I894" s="11" t="s">
        <v>566</v>
      </c>
      <c r="J894" s="11">
        <v>18.0</v>
      </c>
      <c r="K894" s="12">
        <v>44422.0</v>
      </c>
      <c r="L894" s="11"/>
      <c r="M894" s="11">
        <v>680732.0</v>
      </c>
      <c r="N894" s="11">
        <v>29878.0</v>
      </c>
      <c r="O894" s="13"/>
      <c r="P894" s="11">
        <v>0.0</v>
      </c>
      <c r="Q894" s="14">
        <v>0.0</v>
      </c>
      <c r="R894" s="11">
        <v>1.0</v>
      </c>
      <c r="S894">
        <f t="shared" si="1"/>
        <v>2018</v>
      </c>
      <c r="T894">
        <f t="shared" si="2"/>
        <v>6</v>
      </c>
      <c r="U894">
        <f t="shared" si="3"/>
        <v>1</v>
      </c>
      <c r="Z894" s="17"/>
      <c r="AG894" s="15"/>
      <c r="AH894" s="16"/>
      <c r="AM894" s="15"/>
      <c r="AN894" s="16"/>
    </row>
    <row r="895">
      <c r="A895" s="13" t="s">
        <v>1815</v>
      </c>
      <c r="B895" s="10">
        <v>43252.0</v>
      </c>
      <c r="C895" s="11" t="s">
        <v>111</v>
      </c>
      <c r="D895" s="11" t="s">
        <v>77</v>
      </c>
      <c r="E895" s="11" t="s">
        <v>39</v>
      </c>
      <c r="F895" s="11" t="s">
        <v>40</v>
      </c>
      <c r="G895" s="11" t="s">
        <v>41</v>
      </c>
      <c r="H895" s="11"/>
      <c r="I895" s="11"/>
      <c r="J895" s="11">
        <v>22.0</v>
      </c>
      <c r="K895" s="12">
        <v>44321.0</v>
      </c>
      <c r="L895" s="11">
        <f>ROUND(((K895-B895)/365)*12,0)</f>
        <v>35</v>
      </c>
      <c r="M895" s="11">
        <v>642575.0</v>
      </c>
      <c r="N895" s="11" t="s">
        <v>1816</v>
      </c>
      <c r="O895" s="13"/>
      <c r="P895" s="11">
        <v>0.0</v>
      </c>
      <c r="Q895" s="14">
        <v>0.0</v>
      </c>
      <c r="R895" s="11">
        <v>1.0</v>
      </c>
      <c r="S895">
        <f t="shared" si="1"/>
        <v>2018</v>
      </c>
      <c r="T895">
        <f t="shared" si="2"/>
        <v>6</v>
      </c>
      <c r="U895">
        <f t="shared" si="3"/>
        <v>1</v>
      </c>
      <c r="Z895" s="17">
        <v>43683.0</v>
      </c>
      <c r="AG895" s="15"/>
      <c r="AH895" s="16"/>
      <c r="AM895" s="15"/>
      <c r="AN895" s="16"/>
    </row>
    <row r="896">
      <c r="A896" s="13" t="s">
        <v>1817</v>
      </c>
      <c r="B896" s="17">
        <v>43252.0</v>
      </c>
      <c r="C896" s="11" t="s">
        <v>186</v>
      </c>
      <c r="D896" s="11" t="s">
        <v>213</v>
      </c>
      <c r="E896" s="11" t="s">
        <v>39</v>
      </c>
      <c r="F896" s="11" t="s">
        <v>40</v>
      </c>
      <c r="G896" s="11" t="s">
        <v>194</v>
      </c>
      <c r="H896" s="11"/>
      <c r="I896" s="11"/>
      <c r="J896" s="11">
        <v>17.0</v>
      </c>
      <c r="K896" s="12">
        <v>44439.0</v>
      </c>
      <c r="L896" s="12"/>
      <c r="M896" s="11">
        <v>678149.0</v>
      </c>
      <c r="N896" s="11" t="s">
        <v>1818</v>
      </c>
      <c r="O896" s="13"/>
      <c r="P896" s="11">
        <v>0.0</v>
      </c>
      <c r="Q896" s="14">
        <v>0.0</v>
      </c>
      <c r="R896" s="11">
        <v>1.0</v>
      </c>
      <c r="S896">
        <f t="shared" si="1"/>
        <v>2018</v>
      </c>
      <c r="T896">
        <f t="shared" si="2"/>
        <v>6</v>
      </c>
      <c r="U896">
        <f t="shared" si="3"/>
        <v>1</v>
      </c>
      <c r="AG896" s="15"/>
      <c r="AH896" s="16"/>
      <c r="AM896" s="15"/>
      <c r="AN896" s="16"/>
    </row>
    <row r="897">
      <c r="A897" s="13" t="s">
        <v>1819</v>
      </c>
      <c r="B897" s="10">
        <v>43250.0</v>
      </c>
      <c r="C897" s="11" t="s">
        <v>346</v>
      </c>
      <c r="D897" s="11" t="s">
        <v>38</v>
      </c>
      <c r="E897" s="41" t="s">
        <v>39</v>
      </c>
      <c r="F897" s="11" t="s">
        <v>40</v>
      </c>
      <c r="G897" s="41" t="s">
        <v>45</v>
      </c>
      <c r="H897" s="11" t="s">
        <v>163</v>
      </c>
      <c r="I897" s="11" t="s">
        <v>1599</v>
      </c>
      <c r="J897" s="11">
        <v>32.0</v>
      </c>
      <c r="K897" s="12"/>
      <c r="L897" s="12"/>
      <c r="M897" s="11">
        <v>502028.0</v>
      </c>
      <c r="N897" s="11">
        <v>1345.0</v>
      </c>
      <c r="O897" s="13" t="s">
        <v>69</v>
      </c>
      <c r="P897" s="11">
        <v>0.0</v>
      </c>
      <c r="Q897" s="14">
        <v>0.0</v>
      </c>
      <c r="R897" s="11">
        <v>0.0</v>
      </c>
      <c r="S897">
        <f t="shared" si="1"/>
        <v>2018</v>
      </c>
      <c r="T897">
        <f t="shared" si="2"/>
        <v>5</v>
      </c>
      <c r="U897">
        <f t="shared" si="3"/>
        <v>30</v>
      </c>
      <c r="AG897" s="15"/>
      <c r="AH897" s="16"/>
      <c r="AM897" s="15"/>
      <c r="AN897" s="16"/>
    </row>
    <row r="898">
      <c r="A898" s="13" t="s">
        <v>1820</v>
      </c>
      <c r="B898" s="10">
        <v>43249.0</v>
      </c>
      <c r="C898" s="11" t="s">
        <v>274</v>
      </c>
      <c r="D898" s="11" t="s">
        <v>221</v>
      </c>
      <c r="E898" s="11" t="s">
        <v>39</v>
      </c>
      <c r="F898" s="11" t="s">
        <v>40</v>
      </c>
      <c r="G898" s="11" t="s">
        <v>45</v>
      </c>
      <c r="H898" s="11" t="s">
        <v>412</v>
      </c>
      <c r="I898" s="11"/>
      <c r="J898" s="11">
        <v>20.0</v>
      </c>
      <c r="K898" s="12">
        <v>44376.0</v>
      </c>
      <c r="L898" s="11">
        <f t="shared" ref="L898:L906" si="93">ROUND(((K898-B898)/365)*12,0)</f>
        <v>37</v>
      </c>
      <c r="M898" s="11">
        <v>669230.0</v>
      </c>
      <c r="N898" s="11" t="s">
        <v>1821</v>
      </c>
      <c r="O898" s="13" t="s">
        <v>69</v>
      </c>
      <c r="P898" s="11">
        <v>0.0</v>
      </c>
      <c r="Q898" s="14">
        <v>0.0</v>
      </c>
      <c r="R898" s="11">
        <v>1.0</v>
      </c>
      <c r="S898">
        <f t="shared" si="1"/>
        <v>2018</v>
      </c>
      <c r="T898">
        <f t="shared" si="2"/>
        <v>5</v>
      </c>
      <c r="U898">
        <f t="shared" si="3"/>
        <v>29</v>
      </c>
      <c r="Z898" s="17">
        <v>44376.0</v>
      </c>
      <c r="AG898" s="15"/>
      <c r="AH898" s="16"/>
      <c r="AM898" s="15"/>
      <c r="AN898" s="16"/>
    </row>
    <row r="899">
      <c r="A899" s="13" t="s">
        <v>1822</v>
      </c>
      <c r="B899" s="10">
        <v>43244.0</v>
      </c>
      <c r="C899" s="11" t="s">
        <v>72</v>
      </c>
      <c r="D899" s="11" t="s">
        <v>213</v>
      </c>
      <c r="E899" s="11" t="s">
        <v>39</v>
      </c>
      <c r="F899" s="11" t="s">
        <v>40</v>
      </c>
      <c r="G899" s="11" t="s">
        <v>45</v>
      </c>
      <c r="H899" s="11" t="s">
        <v>320</v>
      </c>
      <c r="I899" s="11"/>
      <c r="J899" s="11">
        <v>18.0</v>
      </c>
      <c r="K899" s="12">
        <v>43642.0</v>
      </c>
      <c r="L899" s="11">
        <f t="shared" si="93"/>
        <v>13</v>
      </c>
      <c r="M899" s="11">
        <v>676215.0</v>
      </c>
      <c r="N899" s="11" t="s">
        <v>1823</v>
      </c>
      <c r="O899" s="13" t="s">
        <v>761</v>
      </c>
      <c r="P899" s="11">
        <v>0.0</v>
      </c>
      <c r="Q899" s="14">
        <v>0.0</v>
      </c>
      <c r="R899" s="11">
        <v>1.0</v>
      </c>
      <c r="S899">
        <f t="shared" si="1"/>
        <v>2018</v>
      </c>
      <c r="T899">
        <f t="shared" si="2"/>
        <v>5</v>
      </c>
      <c r="U899">
        <f t="shared" si="3"/>
        <v>24</v>
      </c>
      <c r="Z899" s="17">
        <v>43642.0</v>
      </c>
      <c r="AG899" s="15"/>
      <c r="AH899" s="16"/>
      <c r="AM899" s="15"/>
      <c r="AN899" s="16"/>
    </row>
    <row r="900">
      <c r="A900" s="13" t="s">
        <v>1824</v>
      </c>
      <c r="B900" s="10">
        <v>43242.0</v>
      </c>
      <c r="C900" s="11" t="s">
        <v>346</v>
      </c>
      <c r="D900" s="11" t="s">
        <v>38</v>
      </c>
      <c r="E900" s="11" t="s">
        <v>39</v>
      </c>
      <c r="F900" s="11" t="s">
        <v>40</v>
      </c>
      <c r="G900" s="11" t="s">
        <v>45</v>
      </c>
      <c r="H900" s="11" t="s">
        <v>451</v>
      </c>
      <c r="I900" s="11" t="s">
        <v>1825</v>
      </c>
      <c r="J900" s="11">
        <v>24.0</v>
      </c>
      <c r="K900" s="12">
        <v>43705.0</v>
      </c>
      <c r="L900" s="11">
        <f t="shared" si="93"/>
        <v>15</v>
      </c>
      <c r="M900" s="11">
        <v>641871.0</v>
      </c>
      <c r="N900" s="11">
        <v>15264.0</v>
      </c>
      <c r="O900" s="13" t="s">
        <v>69</v>
      </c>
      <c r="P900" s="11">
        <v>0.0</v>
      </c>
      <c r="Q900" s="14">
        <v>0.0</v>
      </c>
      <c r="R900" s="11">
        <v>1.0</v>
      </c>
      <c r="S900">
        <f t="shared" si="1"/>
        <v>2018</v>
      </c>
      <c r="T900">
        <f t="shared" si="2"/>
        <v>5</v>
      </c>
      <c r="U900">
        <f t="shared" si="3"/>
        <v>22</v>
      </c>
      <c r="W900" s="17">
        <v>43546.0</v>
      </c>
      <c r="Y900" s="17">
        <v>43644.0</v>
      </c>
      <c r="Z900" s="17">
        <v>43651.0</v>
      </c>
      <c r="AA900" s="17">
        <v>43665.0</v>
      </c>
      <c r="AB900" s="13" t="s">
        <v>1826</v>
      </c>
      <c r="AG900" s="15"/>
      <c r="AH900" s="16"/>
      <c r="AM900" s="15"/>
      <c r="AN900" s="16"/>
    </row>
    <row r="901">
      <c r="A901" s="13" t="s">
        <v>1827</v>
      </c>
      <c r="B901" s="10">
        <v>43235.0</v>
      </c>
      <c r="C901" s="11" t="s">
        <v>72</v>
      </c>
      <c r="D901" s="11" t="s">
        <v>97</v>
      </c>
      <c r="E901" s="11" t="s">
        <v>39</v>
      </c>
      <c r="F901" s="11" t="s">
        <v>64</v>
      </c>
      <c r="G901" s="11" t="s">
        <v>45</v>
      </c>
      <c r="H901" s="11" t="s">
        <v>139</v>
      </c>
      <c r="I901" s="11"/>
      <c r="J901" s="11">
        <v>19.0</v>
      </c>
      <c r="K901" s="12">
        <v>44321.0</v>
      </c>
      <c r="L901" s="11">
        <f t="shared" si="93"/>
        <v>36</v>
      </c>
      <c r="M901" s="11">
        <v>666130.0</v>
      </c>
      <c r="N901" s="11" t="s">
        <v>1828</v>
      </c>
      <c r="O901" s="13" t="s">
        <v>69</v>
      </c>
      <c r="P901" s="11">
        <v>0.0</v>
      </c>
      <c r="Q901" s="14">
        <v>0.0</v>
      </c>
      <c r="R901" s="11">
        <v>1.0</v>
      </c>
      <c r="S901">
        <f t="shared" si="1"/>
        <v>2018</v>
      </c>
      <c r="T901">
        <f t="shared" si="2"/>
        <v>5</v>
      </c>
      <c r="U901">
        <f t="shared" si="3"/>
        <v>15</v>
      </c>
      <c r="V901" s="17">
        <v>43423.0</v>
      </c>
      <c r="Z901" s="17">
        <v>43698.0</v>
      </c>
      <c r="AG901" s="15"/>
      <c r="AH901" s="16"/>
      <c r="AM901" s="15"/>
      <c r="AN901" s="16"/>
    </row>
    <row r="902">
      <c r="A902" s="13" t="s">
        <v>1829</v>
      </c>
      <c r="B902" s="10">
        <v>43234.0</v>
      </c>
      <c r="C902" s="11" t="s">
        <v>103</v>
      </c>
      <c r="D902" s="11" t="s">
        <v>88</v>
      </c>
      <c r="E902" s="11" t="s">
        <v>39</v>
      </c>
      <c r="F902" s="11" t="s">
        <v>64</v>
      </c>
      <c r="G902" s="11" t="s">
        <v>460</v>
      </c>
      <c r="H902" s="11"/>
      <c r="I902" s="11"/>
      <c r="J902" s="11">
        <v>21.0</v>
      </c>
      <c r="K902" s="12">
        <v>43646.0</v>
      </c>
      <c r="L902" s="11">
        <f t="shared" si="93"/>
        <v>14</v>
      </c>
      <c r="M902" s="11">
        <v>649143.0</v>
      </c>
      <c r="N902" s="11" t="s">
        <v>1830</v>
      </c>
      <c r="O902" s="13"/>
      <c r="P902" s="11">
        <v>0.0</v>
      </c>
      <c r="Q902" s="14">
        <v>0.0</v>
      </c>
      <c r="R902" s="11">
        <v>1.0</v>
      </c>
      <c r="S902">
        <f t="shared" si="1"/>
        <v>2018</v>
      </c>
      <c r="T902">
        <f t="shared" si="2"/>
        <v>5</v>
      </c>
      <c r="U902">
        <f t="shared" si="3"/>
        <v>14</v>
      </c>
      <c r="V902" s="17">
        <v>43348.0</v>
      </c>
      <c r="Z902" s="17">
        <v>43640.0</v>
      </c>
      <c r="AG902" s="15"/>
      <c r="AH902" s="16"/>
      <c r="AM902" s="15"/>
      <c r="AN902" s="16"/>
    </row>
    <row r="903">
      <c r="A903" s="13" t="s">
        <v>1831</v>
      </c>
      <c r="B903" s="10">
        <v>43227.0</v>
      </c>
      <c r="C903" s="11" t="s">
        <v>186</v>
      </c>
      <c r="D903" s="11" t="s">
        <v>77</v>
      </c>
      <c r="E903" s="11" t="s">
        <v>39</v>
      </c>
      <c r="F903" s="11" t="s">
        <v>40</v>
      </c>
      <c r="G903" s="11" t="s">
        <v>45</v>
      </c>
      <c r="H903" s="11"/>
      <c r="I903" s="11"/>
      <c r="J903" s="11">
        <v>24.0</v>
      </c>
      <c r="K903" s="12">
        <v>43659.0</v>
      </c>
      <c r="L903" s="11">
        <f t="shared" si="93"/>
        <v>14</v>
      </c>
      <c r="M903" s="11">
        <v>621079.0</v>
      </c>
      <c r="N903" s="11">
        <v>15106.0</v>
      </c>
      <c r="O903" s="13"/>
      <c r="P903" s="11">
        <v>0.0</v>
      </c>
      <c r="Q903" s="14">
        <v>0.0</v>
      </c>
      <c r="R903" s="11">
        <v>1.0</v>
      </c>
      <c r="S903">
        <f t="shared" si="1"/>
        <v>2018</v>
      </c>
      <c r="T903">
        <f t="shared" si="2"/>
        <v>5</v>
      </c>
      <c r="U903">
        <f t="shared" si="3"/>
        <v>7</v>
      </c>
      <c r="Z903" s="17">
        <v>43634.0</v>
      </c>
      <c r="AG903" s="15"/>
      <c r="AH903" s="16"/>
      <c r="AM903" s="15"/>
      <c r="AN903" s="16"/>
    </row>
    <row r="904">
      <c r="A904" s="13" t="s">
        <v>1832</v>
      </c>
      <c r="B904" s="10">
        <v>43224.0</v>
      </c>
      <c r="C904" s="11" t="s">
        <v>126</v>
      </c>
      <c r="D904" s="11" t="s">
        <v>38</v>
      </c>
      <c r="E904" s="11" t="s">
        <v>982</v>
      </c>
      <c r="F904" s="11" t="s">
        <v>40</v>
      </c>
      <c r="G904" s="11" t="s">
        <v>45</v>
      </c>
      <c r="H904" s="11" t="s">
        <v>127</v>
      </c>
      <c r="I904" s="11"/>
      <c r="J904" s="11">
        <v>24.0</v>
      </c>
      <c r="K904" s="12">
        <v>43552.0</v>
      </c>
      <c r="L904" s="11">
        <f t="shared" si="93"/>
        <v>11</v>
      </c>
      <c r="M904" s="11">
        <v>608369.0</v>
      </c>
      <c r="N904" s="11">
        <v>13624.0</v>
      </c>
      <c r="O904" s="13" t="s">
        <v>69</v>
      </c>
      <c r="P904" s="11">
        <v>0.0</v>
      </c>
      <c r="Q904" s="14">
        <v>0.0</v>
      </c>
      <c r="R904" s="11">
        <v>1.0</v>
      </c>
      <c r="S904">
        <f t="shared" si="1"/>
        <v>2018</v>
      </c>
      <c r="T904">
        <f t="shared" si="2"/>
        <v>5</v>
      </c>
      <c r="U904">
        <f t="shared" si="3"/>
        <v>4</v>
      </c>
      <c r="AA904" s="17">
        <v>43319.0</v>
      </c>
      <c r="AB904" s="13" t="s">
        <v>1833</v>
      </c>
      <c r="AG904" s="15"/>
      <c r="AH904" s="16"/>
      <c r="AM904" s="15"/>
      <c r="AN904" s="16"/>
    </row>
    <row r="905">
      <c r="A905" s="13" t="s">
        <v>1834</v>
      </c>
      <c r="B905" s="10">
        <v>43222.0</v>
      </c>
      <c r="C905" s="11" t="s">
        <v>167</v>
      </c>
      <c r="D905" s="11" t="s">
        <v>88</v>
      </c>
      <c r="E905" s="11" t="s">
        <v>39</v>
      </c>
      <c r="F905" s="11" t="s">
        <v>40</v>
      </c>
      <c r="G905" s="11" t="s">
        <v>45</v>
      </c>
      <c r="H905" s="11" t="s">
        <v>67</v>
      </c>
      <c r="I905" s="11" t="s">
        <v>925</v>
      </c>
      <c r="J905" s="11">
        <v>23.0</v>
      </c>
      <c r="K905" s="12">
        <v>43661.0</v>
      </c>
      <c r="L905" s="11">
        <f t="shared" si="93"/>
        <v>14</v>
      </c>
      <c r="M905" s="11">
        <v>641697.0</v>
      </c>
      <c r="N905" s="11" t="s">
        <v>1835</v>
      </c>
      <c r="O905" s="13"/>
      <c r="P905" s="11">
        <v>0.0</v>
      </c>
      <c r="Q905" s="14">
        <v>0.0</v>
      </c>
      <c r="R905" s="11">
        <v>1.0</v>
      </c>
      <c r="S905">
        <f t="shared" si="1"/>
        <v>2018</v>
      </c>
      <c r="T905">
        <f t="shared" si="2"/>
        <v>5</v>
      </c>
      <c r="U905">
        <f t="shared" si="3"/>
        <v>2</v>
      </c>
      <c r="Z905" s="17">
        <v>43646.0</v>
      </c>
      <c r="AG905" s="15"/>
      <c r="AH905" s="16"/>
      <c r="AM905" s="15"/>
      <c r="AN905" s="16"/>
    </row>
    <row r="906">
      <c r="A906" s="13" t="s">
        <v>1836</v>
      </c>
      <c r="B906" s="10">
        <v>43221.0</v>
      </c>
      <c r="C906" s="11" t="s">
        <v>192</v>
      </c>
      <c r="D906" s="11" t="s">
        <v>97</v>
      </c>
      <c r="E906" s="11" t="s">
        <v>39</v>
      </c>
      <c r="F906" s="11" t="s">
        <v>64</v>
      </c>
      <c r="G906" s="11" t="s">
        <v>41</v>
      </c>
      <c r="H906" s="11"/>
      <c r="I906" s="11"/>
      <c r="J906" s="11">
        <v>21.0</v>
      </c>
      <c r="K906" s="12">
        <v>44320.0</v>
      </c>
      <c r="L906" s="11">
        <f t="shared" si="93"/>
        <v>36</v>
      </c>
      <c r="M906" s="11">
        <v>650504.0</v>
      </c>
      <c r="N906" s="11" t="s">
        <v>1837</v>
      </c>
      <c r="O906" s="13"/>
      <c r="P906" s="11">
        <v>0.0</v>
      </c>
      <c r="Q906" s="14">
        <v>0.0</v>
      </c>
      <c r="R906" s="11">
        <v>1.0</v>
      </c>
      <c r="S906">
        <f t="shared" si="1"/>
        <v>2018</v>
      </c>
      <c r="T906">
        <f t="shared" si="2"/>
        <v>5</v>
      </c>
      <c r="U906">
        <f t="shared" si="3"/>
        <v>1</v>
      </c>
      <c r="Z906" s="17">
        <v>43631.0</v>
      </c>
      <c r="AG906" s="15"/>
      <c r="AH906" s="16"/>
      <c r="AM906" s="15"/>
      <c r="AN906" s="16"/>
    </row>
    <row r="907">
      <c r="A907" s="13" t="s">
        <v>1838</v>
      </c>
      <c r="B907" s="10">
        <v>43221.0</v>
      </c>
      <c r="C907" s="11" t="s">
        <v>55</v>
      </c>
      <c r="D907" s="11" t="s">
        <v>97</v>
      </c>
      <c r="E907" s="30" t="s">
        <v>39</v>
      </c>
      <c r="F907" s="11" t="s">
        <v>40</v>
      </c>
      <c r="G907" s="30" t="s">
        <v>45</v>
      </c>
      <c r="H907" s="11" t="s">
        <v>139</v>
      </c>
      <c r="I907" s="11"/>
      <c r="J907" s="11">
        <v>22.0</v>
      </c>
      <c r="K907" s="12"/>
      <c r="L907" s="12"/>
      <c r="M907" s="11">
        <v>656837.0</v>
      </c>
      <c r="N907" s="11" t="s">
        <v>1839</v>
      </c>
      <c r="O907" s="13"/>
      <c r="P907" s="11">
        <v>0.0</v>
      </c>
      <c r="Q907" s="14">
        <v>0.0</v>
      </c>
      <c r="R907" s="11">
        <v>0.0</v>
      </c>
      <c r="S907">
        <f t="shared" si="1"/>
        <v>2018</v>
      </c>
      <c r="T907">
        <f t="shared" si="2"/>
        <v>5</v>
      </c>
      <c r="U907">
        <f t="shared" si="3"/>
        <v>1</v>
      </c>
      <c r="AG907" s="15"/>
      <c r="AH907" s="16"/>
      <c r="AM907" s="15"/>
      <c r="AN907" s="16"/>
    </row>
    <row r="908">
      <c r="A908" s="13" t="s">
        <v>1840</v>
      </c>
      <c r="B908" s="17">
        <v>43221.0</v>
      </c>
      <c r="C908" s="11" t="s">
        <v>108</v>
      </c>
      <c r="D908" s="11" t="s">
        <v>93</v>
      </c>
      <c r="E908" s="11" t="s">
        <v>39</v>
      </c>
      <c r="F908" s="11" t="s">
        <v>64</v>
      </c>
      <c r="G908" s="11" t="s">
        <v>45</v>
      </c>
      <c r="H908" s="11" t="s">
        <v>56</v>
      </c>
      <c r="I908" s="11" t="s">
        <v>1746</v>
      </c>
      <c r="J908" s="11">
        <v>19.0</v>
      </c>
      <c r="K908" s="12">
        <v>44324.0</v>
      </c>
      <c r="L908" s="11"/>
      <c r="M908" s="11">
        <v>679711.0</v>
      </c>
      <c r="N908" s="11" t="s">
        <v>1841</v>
      </c>
      <c r="O908" s="13"/>
      <c r="P908" s="11">
        <v>0.0</v>
      </c>
      <c r="Q908" s="14">
        <v>0.0</v>
      </c>
      <c r="R908" s="11">
        <v>1.0</v>
      </c>
      <c r="S908">
        <f t="shared" si="1"/>
        <v>2018</v>
      </c>
      <c r="T908">
        <f t="shared" si="2"/>
        <v>5</v>
      </c>
      <c r="U908">
        <f t="shared" si="3"/>
        <v>1</v>
      </c>
      <c r="Z908" s="17"/>
      <c r="AG908" s="15"/>
      <c r="AH908" s="16"/>
      <c r="AM908" s="15"/>
      <c r="AN908" s="16"/>
    </row>
    <row r="909">
      <c r="A909" s="13" t="s">
        <v>1842</v>
      </c>
      <c r="B909" s="10">
        <v>43221.0</v>
      </c>
      <c r="C909" s="11" t="s">
        <v>156</v>
      </c>
      <c r="D909" s="11" t="s">
        <v>221</v>
      </c>
      <c r="E909" s="11" t="s">
        <v>39</v>
      </c>
      <c r="F909" s="11" t="s">
        <v>40</v>
      </c>
      <c r="G909" s="11" t="s">
        <v>1659</v>
      </c>
      <c r="H909" s="11"/>
      <c r="I909" s="11"/>
      <c r="J909" s="11">
        <v>23.0</v>
      </c>
      <c r="K909" s="12">
        <v>44322.0</v>
      </c>
      <c r="L909" s="11">
        <f t="shared" ref="L909:L914" si="94">ROUND(((K909-B909)/365)*12,0)</f>
        <v>36</v>
      </c>
      <c r="M909" s="11">
        <v>640737.0</v>
      </c>
      <c r="N909" s="11" t="s">
        <v>1843</v>
      </c>
      <c r="O909" s="13" t="s">
        <v>1407</v>
      </c>
      <c r="P909" s="11">
        <v>0.0</v>
      </c>
      <c r="Q909" s="14">
        <v>0.0</v>
      </c>
      <c r="R909" s="11">
        <v>1.0</v>
      </c>
      <c r="S909">
        <f t="shared" si="1"/>
        <v>2018</v>
      </c>
      <c r="T909">
        <f t="shared" si="2"/>
        <v>5</v>
      </c>
      <c r="U909">
        <f t="shared" si="3"/>
        <v>1</v>
      </c>
      <c r="Z909" s="17">
        <v>44322.0</v>
      </c>
      <c r="AG909" s="15"/>
      <c r="AH909" s="16"/>
      <c r="AM909" s="15"/>
      <c r="AN909" s="16"/>
    </row>
    <row r="910">
      <c r="A910" s="13" t="s">
        <v>1844</v>
      </c>
      <c r="B910" s="10">
        <v>43221.0</v>
      </c>
      <c r="C910" s="11" t="s">
        <v>235</v>
      </c>
      <c r="D910" s="11" t="s">
        <v>58</v>
      </c>
      <c r="E910" s="11" t="s">
        <v>39</v>
      </c>
      <c r="F910" s="11" t="s">
        <v>64</v>
      </c>
      <c r="G910" s="11" t="s">
        <v>45</v>
      </c>
      <c r="H910" s="11" t="s">
        <v>735</v>
      </c>
      <c r="I910" s="11" t="s">
        <v>735</v>
      </c>
      <c r="J910" s="11">
        <v>27.0</v>
      </c>
      <c r="K910" s="12">
        <v>43618.0</v>
      </c>
      <c r="L910" s="11">
        <f t="shared" si="94"/>
        <v>13</v>
      </c>
      <c r="M910" s="11">
        <v>571616.0</v>
      </c>
      <c r="N910" s="11">
        <v>14844.0</v>
      </c>
      <c r="O910" s="13"/>
      <c r="P910" s="11">
        <v>0.0</v>
      </c>
      <c r="Q910" s="14">
        <v>0.0</v>
      </c>
      <c r="R910" s="11">
        <v>1.0</v>
      </c>
      <c r="S910">
        <f t="shared" si="1"/>
        <v>2018</v>
      </c>
      <c r="T910">
        <f t="shared" si="2"/>
        <v>5</v>
      </c>
      <c r="U910">
        <f t="shared" si="3"/>
        <v>1</v>
      </c>
      <c r="Z910" s="17">
        <v>43618.0</v>
      </c>
      <c r="AG910" s="15"/>
      <c r="AH910" s="16"/>
      <c r="AM910" s="15"/>
      <c r="AN910" s="16"/>
    </row>
    <row r="911">
      <c r="A911" s="13" t="s">
        <v>1845</v>
      </c>
      <c r="B911" s="10">
        <v>43221.0</v>
      </c>
      <c r="C911" s="11" t="s">
        <v>76</v>
      </c>
      <c r="D911" s="11" t="s">
        <v>88</v>
      </c>
      <c r="E911" s="11" t="s">
        <v>39</v>
      </c>
      <c r="F911" s="11" t="s">
        <v>40</v>
      </c>
      <c r="G911" s="11" t="s">
        <v>45</v>
      </c>
      <c r="H911" s="11" t="s">
        <v>56</v>
      </c>
      <c r="I911" s="11" t="s">
        <v>1846</v>
      </c>
      <c r="J911" s="11">
        <v>23.0</v>
      </c>
      <c r="K911" s="12">
        <v>43681.0</v>
      </c>
      <c r="L911" s="11">
        <f t="shared" si="94"/>
        <v>15</v>
      </c>
      <c r="M911" s="11">
        <v>656620.0</v>
      </c>
      <c r="N911" s="11">
        <v>19881.0</v>
      </c>
      <c r="O911" s="13"/>
      <c r="P911" s="11">
        <v>0.0</v>
      </c>
      <c r="Q911" s="14">
        <v>0.0</v>
      </c>
      <c r="R911" s="11">
        <v>1.0</v>
      </c>
      <c r="S911">
        <f t="shared" si="1"/>
        <v>2018</v>
      </c>
      <c r="T911">
        <f t="shared" si="2"/>
        <v>5</v>
      </c>
      <c r="U911">
        <f t="shared" si="3"/>
        <v>1</v>
      </c>
      <c r="Z911" s="17">
        <v>43640.0</v>
      </c>
      <c r="AG911" s="15"/>
      <c r="AH911" s="16"/>
      <c r="AM911" s="15"/>
      <c r="AN911" s="16"/>
    </row>
    <row r="912">
      <c r="A912" s="13" t="s">
        <v>1847</v>
      </c>
      <c r="B912" s="10">
        <v>43217.0</v>
      </c>
      <c r="C912" s="11" t="s">
        <v>62</v>
      </c>
      <c r="D912" s="11" t="s">
        <v>93</v>
      </c>
      <c r="E912" s="11" t="s">
        <v>39</v>
      </c>
      <c r="F912" s="11" t="s">
        <v>40</v>
      </c>
      <c r="G912" s="11" t="s">
        <v>45</v>
      </c>
      <c r="H912" s="11" t="s">
        <v>1848</v>
      </c>
      <c r="I912" s="11" t="s">
        <v>451</v>
      </c>
      <c r="J912" s="11">
        <v>22.0</v>
      </c>
      <c r="K912" s="12">
        <v>43691.0</v>
      </c>
      <c r="L912" s="11">
        <f t="shared" si="94"/>
        <v>16</v>
      </c>
      <c r="M912" s="11">
        <v>657090.0</v>
      </c>
      <c r="N912" s="11" t="s">
        <v>1849</v>
      </c>
      <c r="O912" s="13"/>
      <c r="P912" s="11">
        <v>0.0</v>
      </c>
      <c r="Q912" s="14">
        <v>0.0</v>
      </c>
      <c r="R912" s="11">
        <v>1.0</v>
      </c>
      <c r="S912">
        <f t="shared" si="1"/>
        <v>2018</v>
      </c>
      <c r="T912">
        <f t="shared" si="2"/>
        <v>4</v>
      </c>
      <c r="U912">
        <f t="shared" si="3"/>
        <v>27</v>
      </c>
      <c r="W912" s="17"/>
      <c r="Z912" s="17">
        <v>43691.0</v>
      </c>
      <c r="AA912" s="17"/>
      <c r="AB912" s="13"/>
      <c r="AG912" s="15"/>
      <c r="AH912" s="16"/>
      <c r="AM912" s="15"/>
      <c r="AN912" s="16"/>
    </row>
    <row r="913">
      <c r="A913" s="13" t="s">
        <v>1850</v>
      </c>
      <c r="B913" s="10">
        <v>43215.0</v>
      </c>
      <c r="C913" s="11" t="s">
        <v>101</v>
      </c>
      <c r="D913" s="11" t="s">
        <v>38</v>
      </c>
      <c r="E913" s="11" t="s">
        <v>39</v>
      </c>
      <c r="F913" s="11" t="s">
        <v>40</v>
      </c>
      <c r="G913" s="11" t="s">
        <v>45</v>
      </c>
      <c r="H913" s="11" t="s">
        <v>67</v>
      </c>
      <c r="I913" s="11"/>
      <c r="J913" s="11">
        <v>25.0</v>
      </c>
      <c r="K913" s="12">
        <v>43737.0</v>
      </c>
      <c r="L913" s="11">
        <f t="shared" si="94"/>
        <v>17</v>
      </c>
      <c r="M913" s="11">
        <v>592836.0</v>
      </c>
      <c r="N913" s="11">
        <v>11836.0</v>
      </c>
      <c r="O913" s="13" t="s">
        <v>1407</v>
      </c>
      <c r="P913" s="11">
        <v>0.0</v>
      </c>
      <c r="Q913" s="14">
        <v>0.0</v>
      </c>
      <c r="R913" s="11">
        <v>1.0</v>
      </c>
      <c r="S913">
        <f t="shared" si="1"/>
        <v>2018</v>
      </c>
      <c r="T913">
        <f t="shared" si="2"/>
        <v>4</v>
      </c>
      <c r="U913">
        <f t="shared" si="3"/>
        <v>25</v>
      </c>
      <c r="W913" s="17">
        <v>43544.0</v>
      </c>
      <c r="Z913" s="17">
        <v>43899.0</v>
      </c>
      <c r="AA913" s="17">
        <v>43600.0</v>
      </c>
      <c r="AB913" s="13" t="s">
        <v>1851</v>
      </c>
      <c r="AG913" s="15"/>
      <c r="AH913" s="16"/>
      <c r="AM913" s="15"/>
      <c r="AN913" s="16"/>
    </row>
    <row r="914">
      <c r="A914" s="19" t="s">
        <v>1852</v>
      </c>
      <c r="B914" s="20">
        <v>43210.0</v>
      </c>
      <c r="C914" s="21" t="s">
        <v>175</v>
      </c>
      <c r="D914" s="21" t="s">
        <v>38</v>
      </c>
      <c r="E914" s="21" t="s">
        <v>39</v>
      </c>
      <c r="F914" s="21" t="s">
        <v>40</v>
      </c>
      <c r="G914" s="21" t="s">
        <v>41</v>
      </c>
      <c r="H914" s="21"/>
      <c r="I914" s="21"/>
      <c r="J914" s="21">
        <v>25.0</v>
      </c>
      <c r="K914" s="12">
        <v>43650.0</v>
      </c>
      <c r="L914" s="11">
        <f t="shared" si="94"/>
        <v>14</v>
      </c>
      <c r="M914" s="21">
        <v>659275.0</v>
      </c>
      <c r="N914" s="21">
        <v>17186.0</v>
      </c>
      <c r="O914" s="19" t="s">
        <v>42</v>
      </c>
      <c r="P914" s="21">
        <v>0.0</v>
      </c>
      <c r="Q914" s="23">
        <v>0.0</v>
      </c>
      <c r="R914" s="21">
        <v>1.0</v>
      </c>
      <c r="S914" s="33">
        <f t="shared" si="1"/>
        <v>2018</v>
      </c>
      <c r="T914" s="33">
        <f t="shared" si="2"/>
        <v>4</v>
      </c>
      <c r="U914">
        <f t="shared" si="3"/>
        <v>20</v>
      </c>
      <c r="V914" s="24"/>
      <c r="W914" s="24"/>
      <c r="X914" s="24"/>
      <c r="Y914" s="24"/>
      <c r="Z914" s="34">
        <v>43614.0</v>
      </c>
      <c r="AA914" s="24"/>
      <c r="AB914" s="24"/>
      <c r="AC914" s="24"/>
      <c r="AD914" s="24"/>
      <c r="AE914" s="24"/>
      <c r="AF914" s="24"/>
      <c r="AG914" s="26"/>
      <c r="AH914" s="27"/>
      <c r="AI914" s="24"/>
      <c r="AJ914" s="24"/>
      <c r="AK914" s="24"/>
      <c r="AL914" s="24"/>
      <c r="AM914" s="26"/>
      <c r="AN914" s="27"/>
      <c r="AO914" s="24"/>
      <c r="AP914" s="24"/>
    </row>
    <row r="915">
      <c r="A915" s="13" t="s">
        <v>1853</v>
      </c>
      <c r="B915" s="17">
        <v>43209.0</v>
      </c>
      <c r="C915" s="11" t="s">
        <v>346</v>
      </c>
      <c r="D915" s="11" t="s">
        <v>93</v>
      </c>
      <c r="E915" s="11" t="s">
        <v>39</v>
      </c>
      <c r="F915" s="11" t="s">
        <v>40</v>
      </c>
      <c r="G915" s="11" t="s">
        <v>45</v>
      </c>
      <c r="H915" s="11" t="s">
        <v>440</v>
      </c>
      <c r="I915" s="11" t="s">
        <v>440</v>
      </c>
      <c r="J915" s="11">
        <v>21.0</v>
      </c>
      <c r="K915" s="12">
        <v>44331.0</v>
      </c>
      <c r="L915" s="11"/>
      <c r="M915" s="11">
        <v>688896.0</v>
      </c>
      <c r="N915" s="11" t="s">
        <v>1854</v>
      </c>
      <c r="O915" s="13" t="s">
        <v>761</v>
      </c>
      <c r="P915" s="11">
        <v>0.0</v>
      </c>
      <c r="Q915" s="14">
        <v>0.0</v>
      </c>
      <c r="R915" s="11">
        <v>1.0</v>
      </c>
      <c r="S915" s="33">
        <f t="shared" si="1"/>
        <v>2018</v>
      </c>
      <c r="T915" s="33">
        <f t="shared" si="2"/>
        <v>4</v>
      </c>
      <c r="U915">
        <f t="shared" si="3"/>
        <v>19</v>
      </c>
      <c r="W915" s="42"/>
      <c r="Z915" s="17"/>
      <c r="AG915" s="15"/>
      <c r="AH915" s="16"/>
      <c r="AM915" s="15"/>
      <c r="AN915" s="16"/>
    </row>
    <row r="916">
      <c r="A916" s="13" t="s">
        <v>1855</v>
      </c>
      <c r="B916" s="10">
        <v>43208.0</v>
      </c>
      <c r="C916" s="11" t="s">
        <v>186</v>
      </c>
      <c r="D916" s="11" t="s">
        <v>88</v>
      </c>
      <c r="E916" s="11" t="s">
        <v>39</v>
      </c>
      <c r="F916" s="11" t="s">
        <v>40</v>
      </c>
      <c r="G916" s="11" t="s">
        <v>45</v>
      </c>
      <c r="H916" s="11" t="s">
        <v>109</v>
      </c>
      <c r="I916" s="11" t="s">
        <v>1856</v>
      </c>
      <c r="J916" s="11">
        <v>24.0</v>
      </c>
      <c r="K916" s="12">
        <v>43648.0</v>
      </c>
      <c r="L916" s="11">
        <f t="shared" ref="L916:L919" si="95">ROUND(((K916-B916)/365)*12,0)</f>
        <v>14</v>
      </c>
      <c r="M916" s="11">
        <v>622054.0</v>
      </c>
      <c r="N916" s="11" t="s">
        <v>1857</v>
      </c>
      <c r="O916" s="13"/>
      <c r="P916" s="11">
        <v>0.0</v>
      </c>
      <c r="Q916" s="14">
        <v>0.0</v>
      </c>
      <c r="R916" s="11">
        <v>1.0</v>
      </c>
      <c r="S916">
        <f t="shared" si="1"/>
        <v>2018</v>
      </c>
      <c r="T916">
        <f t="shared" si="2"/>
        <v>4</v>
      </c>
      <c r="U916">
        <f t="shared" si="3"/>
        <v>18</v>
      </c>
      <c r="W916" s="42"/>
      <c r="Z916" s="17">
        <v>43634.0</v>
      </c>
      <c r="AG916" s="15"/>
      <c r="AH916" s="16"/>
      <c r="AM916" s="15"/>
      <c r="AN916" s="16"/>
    </row>
    <row r="917">
      <c r="A917" s="13" t="s">
        <v>1858</v>
      </c>
      <c r="B917" s="10">
        <v>43207.0</v>
      </c>
      <c r="C917" s="11" t="s">
        <v>346</v>
      </c>
      <c r="D917" s="11" t="s">
        <v>38</v>
      </c>
      <c r="E917" s="11" t="s">
        <v>39</v>
      </c>
      <c r="F917" s="11" t="s">
        <v>40</v>
      </c>
      <c r="G917" s="11" t="s">
        <v>1659</v>
      </c>
      <c r="H917" s="11"/>
      <c r="I917" s="11"/>
      <c r="J917" s="11">
        <v>29.0</v>
      </c>
      <c r="K917" s="12">
        <v>43677.0</v>
      </c>
      <c r="L917" s="11">
        <f t="shared" si="95"/>
        <v>15</v>
      </c>
      <c r="M917" s="11">
        <v>500724.0</v>
      </c>
      <c r="N917" s="11">
        <v>8302.0</v>
      </c>
      <c r="O917" s="13" t="s">
        <v>69</v>
      </c>
      <c r="P917" s="11">
        <v>0.0</v>
      </c>
      <c r="Q917" s="14">
        <v>0.0</v>
      </c>
      <c r="R917" s="11">
        <v>1.0</v>
      </c>
      <c r="S917">
        <f t="shared" si="1"/>
        <v>2018</v>
      </c>
      <c r="T917">
        <f t="shared" si="2"/>
        <v>4</v>
      </c>
      <c r="U917">
        <f t="shared" si="3"/>
        <v>17</v>
      </c>
      <c r="W917" s="42">
        <v>43511.0</v>
      </c>
      <c r="Z917" s="17">
        <v>43615.0</v>
      </c>
      <c r="AG917" s="15"/>
      <c r="AH917" s="16"/>
      <c r="AM917" s="15"/>
      <c r="AN917" s="16"/>
    </row>
    <row r="918">
      <c r="A918" s="13" t="s">
        <v>1859</v>
      </c>
      <c r="B918" s="10">
        <v>43207.0</v>
      </c>
      <c r="C918" s="11" t="s">
        <v>37</v>
      </c>
      <c r="D918" s="11" t="s">
        <v>221</v>
      </c>
      <c r="E918" s="11" t="s">
        <v>39</v>
      </c>
      <c r="F918" s="11" t="s">
        <v>40</v>
      </c>
      <c r="G918" s="11" t="s">
        <v>45</v>
      </c>
      <c r="H918" s="11" t="s">
        <v>652</v>
      </c>
      <c r="I918" s="11"/>
      <c r="J918" s="11">
        <v>19.0</v>
      </c>
      <c r="K918" s="12">
        <v>43640.0</v>
      </c>
      <c r="L918" s="11">
        <f t="shared" si="95"/>
        <v>14</v>
      </c>
      <c r="M918" s="11">
        <v>676769.0</v>
      </c>
      <c r="N918" s="11" t="s">
        <v>1860</v>
      </c>
      <c r="O918" s="13" t="s">
        <v>761</v>
      </c>
      <c r="P918" s="11">
        <v>0.0</v>
      </c>
      <c r="Q918" s="14">
        <v>0.0</v>
      </c>
      <c r="R918" s="11">
        <v>1.0</v>
      </c>
      <c r="S918">
        <f t="shared" si="1"/>
        <v>2018</v>
      </c>
      <c r="T918">
        <f t="shared" si="2"/>
        <v>4</v>
      </c>
      <c r="U918">
        <f t="shared" si="3"/>
        <v>17</v>
      </c>
      <c r="Z918" s="17">
        <v>43640.0</v>
      </c>
      <c r="AG918" s="15"/>
      <c r="AH918" s="16"/>
      <c r="AM918" s="15"/>
      <c r="AN918" s="16"/>
    </row>
    <row r="919">
      <c r="A919" s="13" t="s">
        <v>1861</v>
      </c>
      <c r="B919" s="10">
        <v>43207.0</v>
      </c>
      <c r="C919" s="11" t="s">
        <v>49</v>
      </c>
      <c r="D919" s="11" t="s">
        <v>38</v>
      </c>
      <c r="E919" s="11" t="s">
        <v>104</v>
      </c>
      <c r="F919" s="11" t="s">
        <v>40</v>
      </c>
      <c r="G919" s="11" t="s">
        <v>45</v>
      </c>
      <c r="H919" s="11" t="s">
        <v>67</v>
      </c>
      <c r="I919" s="11"/>
      <c r="J919" s="11">
        <v>29.0</v>
      </c>
      <c r="K919" s="12">
        <v>43562.0</v>
      </c>
      <c r="L919" s="11">
        <f t="shared" si="95"/>
        <v>12</v>
      </c>
      <c r="M919" s="11">
        <v>518595.0</v>
      </c>
      <c r="N919" s="11">
        <v>7739.0</v>
      </c>
      <c r="O919" s="13" t="s">
        <v>1407</v>
      </c>
      <c r="P919" s="11">
        <v>0.0</v>
      </c>
      <c r="Q919" s="14">
        <v>0.0</v>
      </c>
      <c r="R919" s="11">
        <v>1.0</v>
      </c>
      <c r="S919">
        <f t="shared" si="1"/>
        <v>2018</v>
      </c>
      <c r="T919">
        <f t="shared" si="2"/>
        <v>4</v>
      </c>
      <c r="U919">
        <f t="shared" si="3"/>
        <v>17</v>
      </c>
      <c r="Z919" s="17">
        <v>43527.0</v>
      </c>
      <c r="AG919" s="15"/>
      <c r="AH919" s="16"/>
      <c r="AM919" s="15"/>
      <c r="AN919" s="16"/>
    </row>
    <row r="920">
      <c r="A920" s="13" t="s">
        <v>1862</v>
      </c>
      <c r="B920" s="10">
        <v>43202.0</v>
      </c>
      <c r="C920" s="11" t="s">
        <v>186</v>
      </c>
      <c r="D920" s="11" t="s">
        <v>58</v>
      </c>
      <c r="E920" s="11" t="s">
        <v>39</v>
      </c>
      <c r="F920" s="11" t="s">
        <v>40</v>
      </c>
      <c r="G920" s="11" t="s">
        <v>45</v>
      </c>
      <c r="H920" s="11" t="s">
        <v>112</v>
      </c>
      <c r="I920" s="11"/>
      <c r="J920" s="11">
        <v>25.0</v>
      </c>
      <c r="K920" s="12"/>
      <c r="L920" s="12"/>
      <c r="M920" s="11">
        <v>607185.0</v>
      </c>
      <c r="N920" s="11" t="s">
        <v>1863</v>
      </c>
      <c r="O920" s="13" t="s">
        <v>42</v>
      </c>
      <c r="P920" s="11">
        <v>0.0</v>
      </c>
      <c r="Q920" s="14">
        <v>0.0</v>
      </c>
      <c r="R920" s="11">
        <v>0.0</v>
      </c>
      <c r="S920">
        <f t="shared" si="1"/>
        <v>2018</v>
      </c>
      <c r="T920">
        <f t="shared" si="2"/>
        <v>4</v>
      </c>
      <c r="U920">
        <f t="shared" si="3"/>
        <v>12</v>
      </c>
      <c r="AG920" s="15"/>
      <c r="AH920" s="16"/>
      <c r="AM920" s="15"/>
      <c r="AN920" s="16"/>
    </row>
    <row r="921">
      <c r="A921" s="13" t="s">
        <v>1864</v>
      </c>
      <c r="B921" s="10">
        <v>43201.0</v>
      </c>
      <c r="C921" s="11" t="s">
        <v>274</v>
      </c>
      <c r="D921" s="11" t="s">
        <v>709</v>
      </c>
      <c r="E921" s="11" t="s">
        <v>39</v>
      </c>
      <c r="F921" s="11" t="s">
        <v>40</v>
      </c>
      <c r="G921" s="11" t="s">
        <v>45</v>
      </c>
      <c r="H921" s="11" t="s">
        <v>56</v>
      </c>
      <c r="I921" s="11" t="s">
        <v>136</v>
      </c>
      <c r="J921" s="11">
        <v>24.0</v>
      </c>
      <c r="K921" s="12"/>
      <c r="L921" s="12"/>
      <c r="M921" s="11">
        <v>676514.0</v>
      </c>
      <c r="N921" s="11" t="s">
        <v>1865</v>
      </c>
      <c r="O921" s="13"/>
      <c r="P921" s="11">
        <v>0.0</v>
      </c>
      <c r="Q921" s="14">
        <v>0.0</v>
      </c>
      <c r="R921" s="11">
        <v>0.0</v>
      </c>
      <c r="S921">
        <f t="shared" si="1"/>
        <v>2018</v>
      </c>
      <c r="T921">
        <f t="shared" si="2"/>
        <v>4</v>
      </c>
      <c r="U921">
        <f t="shared" si="3"/>
        <v>11</v>
      </c>
      <c r="AG921" s="15"/>
      <c r="AH921" s="16"/>
      <c r="AM921" s="15"/>
      <c r="AN921" s="16"/>
    </row>
    <row r="922">
      <c r="A922" s="13" t="s">
        <v>1866</v>
      </c>
      <c r="B922" s="10">
        <v>43200.0</v>
      </c>
      <c r="C922" s="11" t="s">
        <v>274</v>
      </c>
      <c r="D922" s="11" t="s">
        <v>77</v>
      </c>
      <c r="E922" s="11" t="s">
        <v>39</v>
      </c>
      <c r="F922" s="11" t="s">
        <v>64</v>
      </c>
      <c r="G922" s="11" t="s">
        <v>45</v>
      </c>
      <c r="H922" s="11" t="s">
        <v>735</v>
      </c>
      <c r="I922" s="11" t="s">
        <v>84</v>
      </c>
      <c r="J922" s="11">
        <v>23.0</v>
      </c>
      <c r="K922" s="12">
        <v>43644.0</v>
      </c>
      <c r="L922" s="11">
        <f t="shared" ref="L922:L928" si="96">ROUND(((K922-B922)/365)*12,0)</f>
        <v>15</v>
      </c>
      <c r="M922" s="11">
        <v>640462.0</v>
      </c>
      <c r="N922" s="11">
        <v>19343.0</v>
      </c>
      <c r="O922" s="13" t="s">
        <v>69</v>
      </c>
      <c r="P922" s="11">
        <v>0.0</v>
      </c>
      <c r="Q922" s="14">
        <v>0.0</v>
      </c>
      <c r="R922" s="11">
        <v>1.0</v>
      </c>
      <c r="S922">
        <f t="shared" si="1"/>
        <v>2018</v>
      </c>
      <c r="T922">
        <f t="shared" si="2"/>
        <v>4</v>
      </c>
      <c r="U922">
        <f t="shared" si="3"/>
        <v>10</v>
      </c>
      <c r="X922" s="17">
        <v>43497.0</v>
      </c>
      <c r="Z922" s="17">
        <v>43627.0</v>
      </c>
      <c r="AG922" s="15"/>
      <c r="AH922" s="16"/>
      <c r="AM922" s="15"/>
      <c r="AN922" s="16"/>
    </row>
    <row r="923">
      <c r="A923" s="13" t="s">
        <v>1867</v>
      </c>
      <c r="B923" s="10">
        <v>43196.0</v>
      </c>
      <c r="C923" s="11" t="s">
        <v>108</v>
      </c>
      <c r="D923" s="11" t="s">
        <v>38</v>
      </c>
      <c r="E923" s="11" t="s">
        <v>39</v>
      </c>
      <c r="F923" s="11" t="s">
        <v>40</v>
      </c>
      <c r="G923" s="11" t="s">
        <v>45</v>
      </c>
      <c r="H923" s="11" t="s">
        <v>957</v>
      </c>
      <c r="I923" s="11" t="s">
        <v>1868</v>
      </c>
      <c r="J923" s="11">
        <v>26.0</v>
      </c>
      <c r="K923" s="12">
        <v>43720.0</v>
      </c>
      <c r="L923" s="11">
        <f t="shared" si="96"/>
        <v>17</v>
      </c>
      <c r="M923" s="11">
        <v>621294.0</v>
      </c>
      <c r="N923" s="11">
        <v>15100.0</v>
      </c>
      <c r="O923" s="13" t="s">
        <v>494</v>
      </c>
      <c r="P923" s="11">
        <v>0.0</v>
      </c>
      <c r="Q923" s="14">
        <v>0.0</v>
      </c>
      <c r="R923" s="11">
        <v>1.0</v>
      </c>
      <c r="S923">
        <f t="shared" si="1"/>
        <v>2018</v>
      </c>
      <c r="T923">
        <f t="shared" si="2"/>
        <v>4</v>
      </c>
      <c r="U923">
        <f t="shared" si="3"/>
        <v>6</v>
      </c>
      <c r="V923" s="17">
        <v>43311.0</v>
      </c>
      <c r="Z923" s="17">
        <v>43639.0</v>
      </c>
      <c r="AG923" s="15"/>
      <c r="AH923" s="16"/>
      <c r="AM923" s="15"/>
      <c r="AN923" s="16"/>
    </row>
    <row r="924">
      <c r="A924" s="13" t="s">
        <v>1869</v>
      </c>
      <c r="B924" s="10">
        <v>43195.0</v>
      </c>
      <c r="C924" s="11" t="s">
        <v>62</v>
      </c>
      <c r="D924" s="11" t="s">
        <v>97</v>
      </c>
      <c r="E924" s="11" t="s">
        <v>39</v>
      </c>
      <c r="F924" s="11" t="s">
        <v>40</v>
      </c>
      <c r="G924" s="11" t="s">
        <v>41</v>
      </c>
      <c r="H924" s="11"/>
      <c r="I924" s="11"/>
      <c r="J924" s="11">
        <v>22.0</v>
      </c>
      <c r="K924" s="12">
        <v>44320.0</v>
      </c>
      <c r="L924" s="11">
        <f t="shared" si="96"/>
        <v>37</v>
      </c>
      <c r="M924" s="11">
        <v>642759.0</v>
      </c>
      <c r="N924" s="11">
        <v>18341.0</v>
      </c>
      <c r="O924" s="13" t="s">
        <v>1204</v>
      </c>
      <c r="P924" s="11">
        <v>0.0</v>
      </c>
      <c r="Q924" s="14">
        <v>0.0</v>
      </c>
      <c r="R924" s="11">
        <v>1.0</v>
      </c>
      <c r="S924">
        <f t="shared" si="1"/>
        <v>2018</v>
      </c>
      <c r="T924">
        <f t="shared" si="2"/>
        <v>4</v>
      </c>
      <c r="U924">
        <f t="shared" si="3"/>
        <v>5</v>
      </c>
      <c r="Z924" s="17">
        <v>43888.0</v>
      </c>
      <c r="AA924" s="17">
        <v>43623.0</v>
      </c>
      <c r="AB924" s="13" t="s">
        <v>1870</v>
      </c>
      <c r="AG924" s="15"/>
      <c r="AH924" s="16"/>
      <c r="AM924" s="15"/>
      <c r="AN924" s="16"/>
    </row>
    <row r="925">
      <c r="A925" s="13" t="s">
        <v>1871</v>
      </c>
      <c r="B925" s="10">
        <v>43194.0</v>
      </c>
      <c r="C925" s="11" t="s">
        <v>49</v>
      </c>
      <c r="D925" s="11" t="s">
        <v>97</v>
      </c>
      <c r="E925" s="11" t="s">
        <v>39</v>
      </c>
      <c r="F925" s="11" t="s">
        <v>40</v>
      </c>
      <c r="G925" s="11" t="s">
        <v>45</v>
      </c>
      <c r="H925" s="11" t="s">
        <v>73</v>
      </c>
      <c r="I925" s="11" t="s">
        <v>1872</v>
      </c>
      <c r="J925" s="11">
        <v>22.0</v>
      </c>
      <c r="K925" s="12">
        <v>43590.0</v>
      </c>
      <c r="L925" s="11">
        <f t="shared" si="96"/>
        <v>13</v>
      </c>
      <c r="M925" s="11">
        <v>670059.0</v>
      </c>
      <c r="N925" s="11">
        <v>22361.0</v>
      </c>
      <c r="O925" s="13"/>
      <c r="P925" s="11">
        <v>0.0</v>
      </c>
      <c r="Q925" s="14">
        <v>0.0</v>
      </c>
      <c r="R925" s="11">
        <v>1.0</v>
      </c>
      <c r="S925">
        <f t="shared" si="1"/>
        <v>2018</v>
      </c>
      <c r="T925">
        <f t="shared" si="2"/>
        <v>4</v>
      </c>
      <c r="U925">
        <f t="shared" si="3"/>
        <v>4</v>
      </c>
      <c r="Z925" s="17">
        <v>43590.0</v>
      </c>
      <c r="AG925" s="15"/>
      <c r="AH925" s="16"/>
      <c r="AM925" s="15"/>
      <c r="AN925" s="16"/>
    </row>
    <row r="926">
      <c r="A926" s="13" t="s">
        <v>1873</v>
      </c>
      <c r="B926" s="10">
        <v>43191.0</v>
      </c>
      <c r="C926" s="11" t="s">
        <v>167</v>
      </c>
      <c r="D926" s="11" t="s">
        <v>221</v>
      </c>
      <c r="E926" s="11" t="s">
        <v>39</v>
      </c>
      <c r="F926" s="11" t="s">
        <v>64</v>
      </c>
      <c r="G926" s="11" t="s">
        <v>41</v>
      </c>
      <c r="H926" s="11"/>
      <c r="I926" s="11"/>
      <c r="J926" s="11">
        <v>20.0</v>
      </c>
      <c r="K926" s="12">
        <v>43633.0</v>
      </c>
      <c r="L926" s="11">
        <f t="shared" si="96"/>
        <v>15</v>
      </c>
      <c r="M926" s="11">
        <v>660784.0</v>
      </c>
      <c r="N926" s="11" t="s">
        <v>1874</v>
      </c>
      <c r="O926" s="13"/>
      <c r="P926" s="11">
        <v>0.0</v>
      </c>
      <c r="Q926" s="14">
        <v>0.0</v>
      </c>
      <c r="R926" s="11">
        <v>1.0</v>
      </c>
      <c r="S926">
        <f t="shared" si="1"/>
        <v>2018</v>
      </c>
      <c r="T926">
        <f t="shared" si="2"/>
        <v>4</v>
      </c>
      <c r="U926">
        <f t="shared" si="3"/>
        <v>1</v>
      </c>
      <c r="Z926" s="17">
        <v>43633.0</v>
      </c>
      <c r="AG926" s="15"/>
      <c r="AH926" s="16"/>
      <c r="AM926" s="15"/>
      <c r="AN926" s="16"/>
    </row>
    <row r="927">
      <c r="A927" s="13" t="s">
        <v>1875</v>
      </c>
      <c r="B927" s="10">
        <v>43191.0</v>
      </c>
      <c r="C927" s="11" t="s">
        <v>274</v>
      </c>
      <c r="D927" s="11" t="s">
        <v>97</v>
      </c>
      <c r="E927" s="11" t="s">
        <v>39</v>
      </c>
      <c r="F927" s="11" t="s">
        <v>40</v>
      </c>
      <c r="G927" s="11" t="s">
        <v>45</v>
      </c>
      <c r="H927" s="11" t="s">
        <v>163</v>
      </c>
      <c r="I927" s="11"/>
      <c r="J927" s="11">
        <v>21.0</v>
      </c>
      <c r="K927" s="12">
        <v>43676.0</v>
      </c>
      <c r="L927" s="11">
        <f t="shared" si="96"/>
        <v>16</v>
      </c>
      <c r="M927" s="11">
        <v>663793.0</v>
      </c>
      <c r="N927" s="11" t="s">
        <v>1876</v>
      </c>
      <c r="O927" s="13"/>
      <c r="P927" s="11">
        <v>0.0</v>
      </c>
      <c r="Q927" s="14">
        <v>0.0</v>
      </c>
      <c r="R927" s="11">
        <v>1.0</v>
      </c>
      <c r="S927">
        <f t="shared" si="1"/>
        <v>2018</v>
      </c>
      <c r="T927">
        <f t="shared" si="2"/>
        <v>4</v>
      </c>
      <c r="U927">
        <f t="shared" si="3"/>
        <v>1</v>
      </c>
      <c r="Z927" s="17">
        <v>43648.0</v>
      </c>
      <c r="AA927" s="17">
        <v>43633.0</v>
      </c>
      <c r="AB927" s="13" t="s">
        <v>1877</v>
      </c>
      <c r="AG927" s="15"/>
      <c r="AH927" s="16"/>
      <c r="AM927" s="15"/>
      <c r="AN927" s="16"/>
    </row>
    <row r="928">
      <c r="A928" s="13" t="s">
        <v>1878</v>
      </c>
      <c r="B928" s="10">
        <v>43191.0</v>
      </c>
      <c r="C928" s="11" t="s">
        <v>274</v>
      </c>
      <c r="D928" s="11" t="s">
        <v>88</v>
      </c>
      <c r="E928" s="11" t="s">
        <v>39</v>
      </c>
      <c r="F928" s="11" t="s">
        <v>64</v>
      </c>
      <c r="G928" s="11" t="s">
        <v>45</v>
      </c>
      <c r="H928" s="11" t="s">
        <v>258</v>
      </c>
      <c r="I928" s="11" t="s">
        <v>258</v>
      </c>
      <c r="J928" s="11">
        <v>24.0</v>
      </c>
      <c r="K928" s="12">
        <v>44320.0</v>
      </c>
      <c r="L928" s="11">
        <f t="shared" si="96"/>
        <v>37</v>
      </c>
      <c r="M928" s="11">
        <v>662121.0</v>
      </c>
      <c r="N928" s="11" t="s">
        <v>1879</v>
      </c>
      <c r="O928" s="13"/>
      <c r="P928" s="11">
        <v>0.0</v>
      </c>
      <c r="Q928" s="14">
        <v>0.0</v>
      </c>
      <c r="R928" s="11">
        <v>1.0</v>
      </c>
      <c r="S928">
        <f t="shared" si="1"/>
        <v>2018</v>
      </c>
      <c r="T928">
        <f t="shared" si="2"/>
        <v>4</v>
      </c>
      <c r="U928">
        <f t="shared" si="3"/>
        <v>1</v>
      </c>
      <c r="Z928" s="17">
        <v>44320.0</v>
      </c>
      <c r="AG928" s="15"/>
      <c r="AH928" s="16"/>
      <c r="AM928" s="15"/>
      <c r="AN928" s="16"/>
    </row>
    <row r="929">
      <c r="A929" s="13" t="s">
        <v>1880</v>
      </c>
      <c r="B929" s="17">
        <v>43191.0</v>
      </c>
      <c r="C929" s="11" t="s">
        <v>62</v>
      </c>
      <c r="D929" s="11" t="s">
        <v>93</v>
      </c>
      <c r="E929" s="11" t="s">
        <v>39</v>
      </c>
      <c r="F929" s="11" t="s">
        <v>40</v>
      </c>
      <c r="G929" s="11" t="s">
        <v>45</v>
      </c>
      <c r="H929" s="11" t="s">
        <v>205</v>
      </c>
      <c r="I929" s="11" t="s">
        <v>878</v>
      </c>
      <c r="J929" s="11">
        <v>20.0</v>
      </c>
      <c r="K929" s="12">
        <v>44320.0</v>
      </c>
      <c r="L929" s="11"/>
      <c r="M929" s="11">
        <v>669192.0</v>
      </c>
      <c r="N929" s="11" t="s">
        <v>1881</v>
      </c>
      <c r="O929" s="13"/>
      <c r="P929" s="11">
        <v>0.0</v>
      </c>
      <c r="Q929" s="14">
        <v>0.0</v>
      </c>
      <c r="R929" s="11">
        <v>1.0</v>
      </c>
      <c r="S929">
        <f t="shared" si="1"/>
        <v>2018</v>
      </c>
      <c r="T929">
        <f t="shared" si="2"/>
        <v>4</v>
      </c>
      <c r="U929">
        <f t="shared" si="3"/>
        <v>1</v>
      </c>
      <c r="V929" s="17"/>
      <c r="AG929" s="15"/>
      <c r="AH929" s="16"/>
      <c r="AM929" s="15"/>
      <c r="AN929" s="16"/>
    </row>
    <row r="930">
      <c r="A930" s="13" t="s">
        <v>1882</v>
      </c>
      <c r="B930" s="10">
        <v>43191.0</v>
      </c>
      <c r="C930" s="11" t="s">
        <v>235</v>
      </c>
      <c r="D930" s="11" t="s">
        <v>709</v>
      </c>
      <c r="E930" s="11" t="s">
        <v>39</v>
      </c>
      <c r="F930" s="11" t="s">
        <v>64</v>
      </c>
      <c r="G930" s="11" t="s">
        <v>45</v>
      </c>
      <c r="H930" s="11" t="s">
        <v>56</v>
      </c>
      <c r="I930" s="11" t="s">
        <v>1883</v>
      </c>
      <c r="J930" s="11">
        <v>23.0</v>
      </c>
      <c r="K930" s="12">
        <v>43631.0</v>
      </c>
      <c r="L930" s="11">
        <f t="shared" ref="L930:L936" si="97">ROUND(((K930-B930)/365)*12,0)</f>
        <v>14</v>
      </c>
      <c r="M930" s="11">
        <v>656565.0</v>
      </c>
      <c r="N930" s="11" t="s">
        <v>1884</v>
      </c>
      <c r="O930" s="13"/>
      <c r="P930" s="11">
        <v>0.0</v>
      </c>
      <c r="Q930" s="14">
        <v>0.0</v>
      </c>
      <c r="R930" s="11">
        <v>1.0</v>
      </c>
      <c r="S930">
        <f t="shared" si="1"/>
        <v>2018</v>
      </c>
      <c r="T930">
        <f t="shared" si="2"/>
        <v>4</v>
      </c>
      <c r="U930">
        <f t="shared" si="3"/>
        <v>1</v>
      </c>
      <c r="Z930" s="17">
        <v>43631.0</v>
      </c>
      <c r="AG930" s="15"/>
      <c r="AH930" s="16"/>
      <c r="AM930" s="15"/>
      <c r="AN930" s="16"/>
    </row>
    <row r="931">
      <c r="A931" s="13" t="s">
        <v>1885</v>
      </c>
      <c r="B931" s="10">
        <v>43187.0</v>
      </c>
      <c r="C931" s="11" t="s">
        <v>175</v>
      </c>
      <c r="D931" s="11" t="s">
        <v>38</v>
      </c>
      <c r="E931" s="11" t="s">
        <v>118</v>
      </c>
      <c r="F931" s="11" t="s">
        <v>64</v>
      </c>
      <c r="G931" s="11" t="s">
        <v>45</v>
      </c>
      <c r="H931" s="11" t="s">
        <v>67</v>
      </c>
      <c r="I931" s="11" t="s">
        <v>1886</v>
      </c>
      <c r="J931" s="11">
        <v>28.0</v>
      </c>
      <c r="K931" s="12">
        <v>43588.0</v>
      </c>
      <c r="L931" s="11">
        <f t="shared" si="97"/>
        <v>13</v>
      </c>
      <c r="M931" s="11">
        <v>543105.0</v>
      </c>
      <c r="N931" s="11">
        <v>12649.0</v>
      </c>
      <c r="O931" s="13" t="s">
        <v>42</v>
      </c>
      <c r="P931" s="11">
        <v>0.0</v>
      </c>
      <c r="Q931" s="14">
        <v>0.0</v>
      </c>
      <c r="R931" s="11">
        <v>1.0</v>
      </c>
      <c r="S931">
        <f t="shared" si="1"/>
        <v>2018</v>
      </c>
      <c r="T931">
        <f t="shared" si="2"/>
        <v>3</v>
      </c>
      <c r="U931">
        <f t="shared" si="3"/>
        <v>28</v>
      </c>
      <c r="V931" s="17">
        <v>43345.0</v>
      </c>
      <c r="AG931" s="15"/>
      <c r="AH931" s="16"/>
      <c r="AM931" s="15"/>
      <c r="AN931" s="16"/>
    </row>
    <row r="932">
      <c r="A932" s="13" t="s">
        <v>1587</v>
      </c>
      <c r="B932" s="10">
        <v>43187.0</v>
      </c>
      <c r="C932" s="11" t="s">
        <v>186</v>
      </c>
      <c r="D932" s="11" t="s">
        <v>709</v>
      </c>
      <c r="E932" s="11" t="s">
        <v>39</v>
      </c>
      <c r="F932" s="11" t="s">
        <v>64</v>
      </c>
      <c r="G932" s="11" t="s">
        <v>45</v>
      </c>
      <c r="H932" s="11" t="s">
        <v>84</v>
      </c>
      <c r="I932" s="11"/>
      <c r="J932" s="11">
        <v>20.0</v>
      </c>
      <c r="K932" s="12">
        <v>44321.0</v>
      </c>
      <c r="L932" s="11">
        <f t="shared" si="97"/>
        <v>37</v>
      </c>
      <c r="M932" s="11">
        <v>666142.0</v>
      </c>
      <c r="N932" s="11">
        <v>21846.0</v>
      </c>
      <c r="O932" s="13" t="s">
        <v>42</v>
      </c>
      <c r="P932" s="11">
        <v>0.0</v>
      </c>
      <c r="Q932" s="14">
        <v>0.0</v>
      </c>
      <c r="R932" s="11">
        <v>1.0</v>
      </c>
      <c r="S932">
        <f t="shared" si="1"/>
        <v>2018</v>
      </c>
      <c r="T932">
        <f t="shared" si="2"/>
        <v>3</v>
      </c>
      <c r="U932">
        <f t="shared" si="3"/>
        <v>28</v>
      </c>
      <c r="V932" s="17">
        <v>43332.0</v>
      </c>
      <c r="W932" s="17">
        <v>43511.0</v>
      </c>
      <c r="Z932" s="17">
        <v>44321.0</v>
      </c>
      <c r="AG932" s="15"/>
      <c r="AH932" s="16"/>
      <c r="AM932" s="15"/>
      <c r="AN932" s="16"/>
    </row>
    <row r="933">
      <c r="A933" s="13" t="s">
        <v>1887</v>
      </c>
      <c r="B933" s="10">
        <v>43186.0</v>
      </c>
      <c r="C933" s="11" t="s">
        <v>116</v>
      </c>
      <c r="D933" s="11" t="s">
        <v>88</v>
      </c>
      <c r="E933" s="11" t="s">
        <v>39</v>
      </c>
      <c r="F933" s="11" t="s">
        <v>64</v>
      </c>
      <c r="G933" s="11" t="s">
        <v>45</v>
      </c>
      <c r="H933" s="11" t="s">
        <v>159</v>
      </c>
      <c r="I933" s="11" t="s">
        <v>637</v>
      </c>
      <c r="J933" s="11">
        <v>25.0</v>
      </c>
      <c r="K933" s="12">
        <v>43671.0</v>
      </c>
      <c r="L933" s="11">
        <f t="shared" si="97"/>
        <v>16</v>
      </c>
      <c r="M933" s="11">
        <v>605338.0</v>
      </c>
      <c r="N933" s="11">
        <v>16215.0</v>
      </c>
      <c r="O933" s="13" t="s">
        <v>761</v>
      </c>
      <c r="P933" s="11">
        <v>0.0</v>
      </c>
      <c r="Q933" s="14">
        <v>0.0</v>
      </c>
      <c r="R933" s="41">
        <v>1.0</v>
      </c>
      <c r="S933">
        <f t="shared" si="1"/>
        <v>2018</v>
      </c>
      <c r="T933">
        <f t="shared" si="2"/>
        <v>3</v>
      </c>
      <c r="U933">
        <f t="shared" si="3"/>
        <v>27</v>
      </c>
      <c r="Y933" s="17"/>
      <c r="Z933" s="17">
        <v>43633.0</v>
      </c>
      <c r="AG933" s="15"/>
      <c r="AH933" s="16"/>
      <c r="AM933" s="15"/>
      <c r="AN933" s="16"/>
    </row>
    <row r="934">
      <c r="A934" s="13" t="s">
        <v>1888</v>
      </c>
      <c r="B934" s="10">
        <v>43186.0</v>
      </c>
      <c r="C934" s="11" t="s">
        <v>49</v>
      </c>
      <c r="D934" s="11" t="s">
        <v>38</v>
      </c>
      <c r="E934" s="11" t="s">
        <v>39</v>
      </c>
      <c r="F934" s="11" t="s">
        <v>40</v>
      </c>
      <c r="G934" s="11" t="s">
        <v>41</v>
      </c>
      <c r="H934" s="11"/>
      <c r="I934" s="11"/>
      <c r="J934" s="11">
        <v>27.0</v>
      </c>
      <c r="K934" s="12">
        <v>43669.0</v>
      </c>
      <c r="L934" s="11">
        <f t="shared" si="97"/>
        <v>16</v>
      </c>
      <c r="M934" s="11">
        <v>606160.0</v>
      </c>
      <c r="N934" s="11">
        <v>12760.0</v>
      </c>
      <c r="O934" s="13" t="s">
        <v>1407</v>
      </c>
      <c r="P934" s="11">
        <v>0.0</v>
      </c>
      <c r="Q934" s="14">
        <v>0.0</v>
      </c>
      <c r="R934" s="11">
        <v>1.0</v>
      </c>
      <c r="S934">
        <f t="shared" si="1"/>
        <v>2018</v>
      </c>
      <c r="T934">
        <f t="shared" si="2"/>
        <v>3</v>
      </c>
      <c r="U934">
        <f t="shared" si="3"/>
        <v>27</v>
      </c>
      <c r="Z934" s="17">
        <v>43633.0</v>
      </c>
      <c r="AG934" s="15"/>
      <c r="AH934" s="16"/>
      <c r="AM934" s="15"/>
      <c r="AN934" s="16"/>
    </row>
    <row r="935">
      <c r="A935" s="13" t="s">
        <v>1889</v>
      </c>
      <c r="B935" s="10">
        <v>43185.0</v>
      </c>
      <c r="C935" s="11" t="s">
        <v>230</v>
      </c>
      <c r="D935" s="11" t="s">
        <v>38</v>
      </c>
      <c r="E935" s="11" t="s">
        <v>39</v>
      </c>
      <c r="F935" s="11" t="s">
        <v>40</v>
      </c>
      <c r="G935" s="11" t="s">
        <v>45</v>
      </c>
      <c r="H935" s="11" t="s">
        <v>74</v>
      </c>
      <c r="I935" s="11" t="s">
        <v>645</v>
      </c>
      <c r="J935" s="11">
        <v>31.0</v>
      </c>
      <c r="K935" s="12">
        <v>43633.0</v>
      </c>
      <c r="L935" s="11">
        <f t="shared" si="97"/>
        <v>15</v>
      </c>
      <c r="M935" s="11">
        <v>475479.0</v>
      </c>
      <c r="N935" s="11">
        <v>6316.0</v>
      </c>
      <c r="O935" s="13" t="s">
        <v>761</v>
      </c>
      <c r="P935" s="11">
        <v>0.0</v>
      </c>
      <c r="Q935" s="14">
        <v>0.0</v>
      </c>
      <c r="R935" s="11">
        <v>1.0</v>
      </c>
      <c r="S935">
        <f t="shared" si="1"/>
        <v>2018</v>
      </c>
      <c r="T935">
        <f t="shared" si="2"/>
        <v>3</v>
      </c>
      <c r="U935">
        <f t="shared" si="3"/>
        <v>26</v>
      </c>
      <c r="V935" s="17">
        <v>43325.0</v>
      </c>
      <c r="Y935" s="17">
        <v>43526.0</v>
      </c>
      <c r="Z935" s="17">
        <v>43621.0</v>
      </c>
      <c r="AG935" s="15"/>
      <c r="AH935" s="16"/>
      <c r="AM935" s="15"/>
      <c r="AN935" s="16"/>
    </row>
    <row r="936">
      <c r="A936" s="13" t="s">
        <v>1890</v>
      </c>
      <c r="B936" s="10">
        <v>43180.0</v>
      </c>
      <c r="C936" s="11" t="s">
        <v>274</v>
      </c>
      <c r="D936" s="11" t="s">
        <v>38</v>
      </c>
      <c r="E936" s="11" t="s">
        <v>39</v>
      </c>
      <c r="F936" s="11" t="s">
        <v>40</v>
      </c>
      <c r="G936" s="11" t="s">
        <v>1891</v>
      </c>
      <c r="H936" s="11"/>
      <c r="I936" s="11"/>
      <c r="J936" s="11">
        <v>26.0</v>
      </c>
      <c r="K936" s="12">
        <v>44407.0</v>
      </c>
      <c r="L936" s="11">
        <f t="shared" si="97"/>
        <v>40</v>
      </c>
      <c r="M936" s="11">
        <v>605194.0</v>
      </c>
      <c r="N936" s="11">
        <v>13654.0</v>
      </c>
      <c r="O936" s="13" t="s">
        <v>42</v>
      </c>
      <c r="P936" s="11">
        <v>0.0</v>
      </c>
      <c r="Q936" s="14">
        <v>0.0</v>
      </c>
      <c r="R936" s="11">
        <v>1.0</v>
      </c>
      <c r="S936">
        <f t="shared" si="1"/>
        <v>2018</v>
      </c>
      <c r="T936">
        <f t="shared" si="2"/>
        <v>3</v>
      </c>
      <c r="U936">
        <f t="shared" si="3"/>
        <v>21</v>
      </c>
      <c r="W936" s="17">
        <v>43500.0</v>
      </c>
      <c r="Y936" s="17">
        <v>43556.0</v>
      </c>
      <c r="Z936" s="17">
        <v>43602.0</v>
      </c>
      <c r="AA936" s="17">
        <v>43622.0</v>
      </c>
      <c r="AB936" s="13" t="s">
        <v>1892</v>
      </c>
      <c r="AG936" s="15"/>
      <c r="AH936" s="16"/>
      <c r="AM936" s="15"/>
      <c r="AN936" s="16"/>
    </row>
    <row r="937">
      <c r="A937" s="13" t="s">
        <v>1549</v>
      </c>
      <c r="B937" s="10">
        <v>43179.0</v>
      </c>
      <c r="C937" s="11" t="s">
        <v>55</v>
      </c>
      <c r="D937" s="11" t="s">
        <v>77</v>
      </c>
      <c r="E937" s="11" t="s">
        <v>39</v>
      </c>
      <c r="F937" s="11" t="s">
        <v>40</v>
      </c>
      <c r="G937" s="11" t="s">
        <v>45</v>
      </c>
      <c r="H937" s="11" t="s">
        <v>84</v>
      </c>
      <c r="I937" s="11" t="s">
        <v>382</v>
      </c>
      <c r="J937" s="11">
        <v>27.0</v>
      </c>
      <c r="K937" s="12"/>
      <c r="L937" s="12"/>
      <c r="M937" s="11">
        <v>623196.0</v>
      </c>
      <c r="N937" s="11" t="s">
        <v>1550</v>
      </c>
      <c r="O937" s="13" t="s">
        <v>1031</v>
      </c>
      <c r="P937" s="11">
        <v>0.0</v>
      </c>
      <c r="Q937" s="14">
        <v>0.0</v>
      </c>
      <c r="R937" s="11">
        <v>0.0</v>
      </c>
      <c r="S937">
        <f t="shared" si="1"/>
        <v>2018</v>
      </c>
      <c r="T937">
        <f t="shared" si="2"/>
        <v>3</v>
      </c>
      <c r="U937">
        <f t="shared" si="3"/>
        <v>20</v>
      </c>
      <c r="AG937" s="15"/>
      <c r="AH937" s="16"/>
      <c r="AM937" s="15"/>
      <c r="AN937" s="16"/>
    </row>
    <row r="938">
      <c r="A938" s="13" t="s">
        <v>1893</v>
      </c>
      <c r="B938" s="17">
        <v>43177.0</v>
      </c>
      <c r="C938" s="11" t="s">
        <v>167</v>
      </c>
      <c r="D938" s="11" t="s">
        <v>93</v>
      </c>
      <c r="E938" s="11" t="s">
        <v>39</v>
      </c>
      <c r="F938" s="11" t="s">
        <v>64</v>
      </c>
      <c r="G938" s="11" t="s">
        <v>45</v>
      </c>
      <c r="H938" s="11" t="s">
        <v>127</v>
      </c>
      <c r="I938" s="11" t="s">
        <v>1894</v>
      </c>
      <c r="J938" s="11">
        <v>20.0</v>
      </c>
      <c r="K938" s="12">
        <v>44321.0</v>
      </c>
      <c r="L938" s="11"/>
      <c r="M938" s="11">
        <v>677040.0</v>
      </c>
      <c r="N938" s="11" t="s">
        <v>1895</v>
      </c>
      <c r="O938" s="13"/>
      <c r="P938" s="11">
        <v>0.0</v>
      </c>
      <c r="Q938" s="14">
        <v>0.0</v>
      </c>
      <c r="R938" s="11">
        <v>1.0</v>
      </c>
      <c r="S938">
        <f t="shared" si="1"/>
        <v>2018</v>
      </c>
      <c r="T938">
        <f t="shared" si="2"/>
        <v>3</v>
      </c>
      <c r="U938">
        <f t="shared" si="3"/>
        <v>18</v>
      </c>
      <c r="V938" s="17"/>
      <c r="W938" s="17"/>
      <c r="Y938" s="17"/>
      <c r="Z938" s="17"/>
      <c r="AG938" s="15"/>
      <c r="AH938" s="16"/>
      <c r="AM938" s="15"/>
      <c r="AN938" s="16"/>
    </row>
    <row r="939">
      <c r="A939" s="13" t="s">
        <v>551</v>
      </c>
      <c r="B939" s="10">
        <v>43172.0</v>
      </c>
      <c r="C939" s="11" t="s">
        <v>156</v>
      </c>
      <c r="D939" s="11" t="s">
        <v>88</v>
      </c>
      <c r="E939" s="11" t="s">
        <v>39</v>
      </c>
      <c r="F939" s="11" t="s">
        <v>40</v>
      </c>
      <c r="G939" s="11" t="s">
        <v>225</v>
      </c>
      <c r="H939" s="11"/>
      <c r="I939" s="11"/>
      <c r="J939" s="11">
        <v>25.0</v>
      </c>
      <c r="K939" s="12">
        <v>43589.0</v>
      </c>
      <c r="L939" s="11">
        <f t="shared" ref="L939:L945" si="98">ROUND(((K939-B939)/365)*12,0)</f>
        <v>14</v>
      </c>
      <c r="M939" s="11">
        <v>592254.0</v>
      </c>
      <c r="N939" s="11">
        <v>15463.0</v>
      </c>
      <c r="O939" s="13" t="s">
        <v>761</v>
      </c>
      <c r="P939" s="11">
        <v>0.0</v>
      </c>
      <c r="Q939" s="14">
        <v>0.0</v>
      </c>
      <c r="R939" s="11">
        <v>1.0</v>
      </c>
      <c r="S939">
        <f t="shared" si="1"/>
        <v>2018</v>
      </c>
      <c r="T939">
        <f t="shared" si="2"/>
        <v>3</v>
      </c>
      <c r="U939">
        <f t="shared" si="3"/>
        <v>13</v>
      </c>
      <c r="V939" s="17">
        <v>43311.0</v>
      </c>
      <c r="W939" s="17">
        <v>43434.0</v>
      </c>
      <c r="Y939" s="17">
        <v>43536.0</v>
      </c>
      <c r="Z939" s="17">
        <v>43589.0</v>
      </c>
      <c r="AG939" s="15"/>
      <c r="AH939" s="16"/>
      <c r="AM939" s="15"/>
      <c r="AN939" s="16"/>
    </row>
    <row r="940">
      <c r="A940" s="13" t="s">
        <v>1896</v>
      </c>
      <c r="B940" s="10">
        <v>43168.0</v>
      </c>
      <c r="C940" s="11" t="s">
        <v>162</v>
      </c>
      <c r="D940" s="11" t="s">
        <v>58</v>
      </c>
      <c r="E940" s="11" t="s">
        <v>39</v>
      </c>
      <c r="F940" s="11" t="s">
        <v>64</v>
      </c>
      <c r="G940" s="11" t="s">
        <v>45</v>
      </c>
      <c r="H940" s="11" t="s">
        <v>46</v>
      </c>
      <c r="I940" s="11" t="s">
        <v>47</v>
      </c>
      <c r="J940" s="11">
        <v>27.0</v>
      </c>
      <c r="K940" s="12">
        <v>43634.0</v>
      </c>
      <c r="L940" s="11">
        <f t="shared" si="98"/>
        <v>15</v>
      </c>
      <c r="M940" s="11">
        <v>573009.0</v>
      </c>
      <c r="N940" s="11">
        <v>14857.0</v>
      </c>
      <c r="O940" s="13" t="s">
        <v>355</v>
      </c>
      <c r="P940" s="11">
        <v>0.0</v>
      </c>
      <c r="Q940" s="14">
        <v>0.0</v>
      </c>
      <c r="R940" s="11">
        <v>1.0</v>
      </c>
      <c r="S940">
        <f t="shared" si="1"/>
        <v>2018</v>
      </c>
      <c r="T940">
        <f t="shared" si="2"/>
        <v>3</v>
      </c>
      <c r="U940">
        <f t="shared" si="3"/>
        <v>9</v>
      </c>
      <c r="W940" s="17">
        <v>43501.0</v>
      </c>
      <c r="Z940" s="17">
        <v>43591.0</v>
      </c>
      <c r="AG940" s="15"/>
      <c r="AH940" s="16"/>
      <c r="AM940" s="15"/>
      <c r="AN940" s="16"/>
    </row>
    <row r="941">
      <c r="A941" s="13" t="s">
        <v>1897</v>
      </c>
      <c r="B941" s="10">
        <v>43168.0</v>
      </c>
      <c r="C941" s="11" t="s">
        <v>44</v>
      </c>
      <c r="D941" s="11" t="s">
        <v>58</v>
      </c>
      <c r="E941" s="11" t="s">
        <v>39</v>
      </c>
      <c r="F941" s="11" t="s">
        <v>40</v>
      </c>
      <c r="G941" s="11" t="s">
        <v>45</v>
      </c>
      <c r="H941" s="11" t="s">
        <v>67</v>
      </c>
      <c r="I941" s="11" t="s">
        <v>1898</v>
      </c>
      <c r="J941" s="11">
        <v>26.0</v>
      </c>
      <c r="K941" s="12">
        <v>44063.0</v>
      </c>
      <c r="L941" s="11">
        <f t="shared" si="98"/>
        <v>29</v>
      </c>
      <c r="M941" s="11">
        <v>657240.0</v>
      </c>
      <c r="N941" s="11">
        <v>16703.0</v>
      </c>
      <c r="O941" s="13" t="s">
        <v>42</v>
      </c>
      <c r="P941" s="11">
        <v>0.0</v>
      </c>
      <c r="Q941" s="14">
        <v>0.0</v>
      </c>
      <c r="R941" s="11">
        <v>1.0</v>
      </c>
      <c r="S941">
        <f t="shared" si="1"/>
        <v>2018</v>
      </c>
      <c r="T941">
        <f t="shared" si="2"/>
        <v>3</v>
      </c>
      <c r="U941">
        <f t="shared" si="3"/>
        <v>9</v>
      </c>
      <c r="Z941" s="17">
        <v>43640.0</v>
      </c>
      <c r="AG941" s="15"/>
      <c r="AH941" s="16"/>
      <c r="AM941" s="15"/>
      <c r="AN941" s="16"/>
    </row>
    <row r="942">
      <c r="A942" s="13" t="s">
        <v>1899</v>
      </c>
      <c r="B942" s="10">
        <v>43168.0</v>
      </c>
      <c r="C942" s="11" t="s">
        <v>55</v>
      </c>
      <c r="D942" s="11" t="s">
        <v>77</v>
      </c>
      <c r="E942" s="11" t="s">
        <v>39</v>
      </c>
      <c r="F942" s="11" t="s">
        <v>40</v>
      </c>
      <c r="G942" s="11" t="s">
        <v>45</v>
      </c>
      <c r="H942" s="11" t="s">
        <v>56</v>
      </c>
      <c r="I942" s="11" t="s">
        <v>775</v>
      </c>
      <c r="J942" s="11">
        <v>27.0</v>
      </c>
      <c r="K942" s="12">
        <v>43587.0</v>
      </c>
      <c r="L942" s="11">
        <f t="shared" si="98"/>
        <v>14</v>
      </c>
      <c r="M942" s="11">
        <v>644677.0</v>
      </c>
      <c r="N942" s="11" t="s">
        <v>1900</v>
      </c>
      <c r="O942" s="13" t="s">
        <v>1031</v>
      </c>
      <c r="P942" s="11">
        <v>0.0</v>
      </c>
      <c r="Q942" s="14">
        <v>0.0</v>
      </c>
      <c r="R942" s="11">
        <v>1.0</v>
      </c>
      <c r="S942">
        <f t="shared" si="1"/>
        <v>2018</v>
      </c>
      <c r="T942">
        <f t="shared" si="2"/>
        <v>3</v>
      </c>
      <c r="U942">
        <f t="shared" si="3"/>
        <v>9</v>
      </c>
      <c r="Z942" s="17">
        <v>43587.0</v>
      </c>
      <c r="AG942" s="15"/>
      <c r="AH942" s="16"/>
      <c r="AM942" s="15"/>
      <c r="AN942" s="16"/>
    </row>
    <row r="943">
      <c r="A943" s="13" t="s">
        <v>1901</v>
      </c>
      <c r="B943" s="17">
        <v>43168.0</v>
      </c>
      <c r="C943" s="11" t="s">
        <v>108</v>
      </c>
      <c r="D943" s="11" t="s">
        <v>93</v>
      </c>
      <c r="E943" s="11" t="s">
        <v>39</v>
      </c>
      <c r="F943" s="11" t="s">
        <v>40</v>
      </c>
      <c r="G943" s="11" t="s">
        <v>45</v>
      </c>
      <c r="H943" s="11" t="s">
        <v>236</v>
      </c>
      <c r="I943" s="11" t="s">
        <v>1902</v>
      </c>
      <c r="J943" s="11">
        <v>21.0</v>
      </c>
      <c r="K943" s="12">
        <v>43638.0</v>
      </c>
      <c r="L943" s="11">
        <f t="shared" si="98"/>
        <v>15</v>
      </c>
      <c r="M943" s="11">
        <v>663870.0</v>
      </c>
      <c r="N943" s="11" t="s">
        <v>1903</v>
      </c>
      <c r="O943" s="13" t="s">
        <v>355</v>
      </c>
      <c r="P943" s="11">
        <v>0.0</v>
      </c>
      <c r="Q943" s="14">
        <v>0.0</v>
      </c>
      <c r="R943" s="11">
        <v>1.0</v>
      </c>
      <c r="S943">
        <f t="shared" si="1"/>
        <v>2018</v>
      </c>
      <c r="T943">
        <f t="shared" si="2"/>
        <v>3</v>
      </c>
      <c r="U943">
        <f t="shared" si="3"/>
        <v>9</v>
      </c>
      <c r="Z943" s="17">
        <v>43638.0</v>
      </c>
      <c r="AG943" s="15"/>
      <c r="AH943" s="16"/>
      <c r="AM943" s="15"/>
      <c r="AN943" s="16"/>
    </row>
    <row r="944">
      <c r="A944" s="13" t="s">
        <v>1904</v>
      </c>
      <c r="B944" s="10">
        <v>43160.0</v>
      </c>
      <c r="C944" s="11" t="s">
        <v>162</v>
      </c>
      <c r="D944" s="11" t="s">
        <v>93</v>
      </c>
      <c r="E944" s="11" t="s">
        <v>39</v>
      </c>
      <c r="F944" s="11" t="s">
        <v>40</v>
      </c>
      <c r="G944" s="11" t="s">
        <v>45</v>
      </c>
      <c r="H944" s="11" t="s">
        <v>67</v>
      </c>
      <c r="I944" s="11" t="s">
        <v>373</v>
      </c>
      <c r="J944" s="11">
        <v>21.0</v>
      </c>
      <c r="K944" s="12">
        <v>43638.0</v>
      </c>
      <c r="L944" s="11">
        <f t="shared" si="98"/>
        <v>16</v>
      </c>
      <c r="M944" s="11">
        <v>663562.0</v>
      </c>
      <c r="N944" s="11">
        <v>25862.0</v>
      </c>
      <c r="O944" s="13"/>
      <c r="P944" s="11">
        <v>0.0</v>
      </c>
      <c r="Q944" s="14">
        <v>0.0</v>
      </c>
      <c r="R944" s="11">
        <v>1.0</v>
      </c>
      <c r="S944">
        <f t="shared" si="1"/>
        <v>2018</v>
      </c>
      <c r="T944">
        <f t="shared" si="2"/>
        <v>3</v>
      </c>
      <c r="U944">
        <f t="shared" si="3"/>
        <v>1</v>
      </c>
      <c r="Z944" s="17">
        <v>43638.0</v>
      </c>
      <c r="AG944" s="15"/>
      <c r="AH944" s="16"/>
      <c r="AM944" s="15"/>
      <c r="AN944" s="16"/>
    </row>
    <row r="945">
      <c r="A945" s="13" t="s">
        <v>1905</v>
      </c>
      <c r="B945" s="10">
        <v>43160.0</v>
      </c>
      <c r="C945" s="11" t="s">
        <v>126</v>
      </c>
      <c r="D945" s="11" t="s">
        <v>93</v>
      </c>
      <c r="E945" s="11" t="s">
        <v>39</v>
      </c>
      <c r="F945" s="11" t="s">
        <v>40</v>
      </c>
      <c r="G945" s="11" t="s">
        <v>45</v>
      </c>
      <c r="H945" s="11" t="s">
        <v>240</v>
      </c>
      <c r="I945" s="11" t="s">
        <v>1023</v>
      </c>
      <c r="J945" s="11">
        <v>23.0</v>
      </c>
      <c r="K945" s="12">
        <v>43634.0</v>
      </c>
      <c r="L945" s="11">
        <f t="shared" si="98"/>
        <v>16</v>
      </c>
      <c r="M945" s="11">
        <v>641865.0</v>
      </c>
      <c r="N945" s="11" t="s">
        <v>1906</v>
      </c>
      <c r="O945" s="13"/>
      <c r="P945" s="11">
        <v>0.0</v>
      </c>
      <c r="Q945" s="14">
        <v>0.0</v>
      </c>
      <c r="R945" s="11">
        <v>1.0</v>
      </c>
      <c r="S945">
        <f t="shared" si="1"/>
        <v>2018</v>
      </c>
      <c r="T945">
        <f t="shared" si="2"/>
        <v>3</v>
      </c>
      <c r="U945">
        <f t="shared" si="3"/>
        <v>1</v>
      </c>
      <c r="Z945" s="17">
        <v>43634.0</v>
      </c>
      <c r="AG945" s="15"/>
      <c r="AH945" s="16"/>
      <c r="AM945" s="15"/>
      <c r="AN945" s="16"/>
    </row>
    <row r="946">
      <c r="A946" s="13" t="s">
        <v>1907</v>
      </c>
      <c r="B946" s="17">
        <v>43160.0</v>
      </c>
      <c r="C946" s="11" t="s">
        <v>362</v>
      </c>
      <c r="D946" s="11" t="s">
        <v>221</v>
      </c>
      <c r="E946" s="11" t="s">
        <v>39</v>
      </c>
      <c r="F946" s="11" t="s">
        <v>64</v>
      </c>
      <c r="G946" s="11" t="s">
        <v>45</v>
      </c>
      <c r="H946" s="11" t="s">
        <v>163</v>
      </c>
      <c r="I946" s="11" t="s">
        <v>164</v>
      </c>
      <c r="J946" s="11">
        <v>22.0</v>
      </c>
      <c r="K946" s="12"/>
      <c r="L946" s="12"/>
      <c r="M946" s="11">
        <v>642190.0</v>
      </c>
      <c r="N946" s="11" t="s">
        <v>1908</v>
      </c>
      <c r="O946" s="13"/>
      <c r="P946" s="11">
        <v>0.0</v>
      </c>
      <c r="Q946" s="14">
        <v>0.0</v>
      </c>
      <c r="R946" s="11">
        <v>0.0</v>
      </c>
      <c r="S946">
        <f t="shared" si="1"/>
        <v>2018</v>
      </c>
      <c r="T946">
        <f t="shared" si="2"/>
        <v>3</v>
      </c>
      <c r="U946">
        <f t="shared" si="3"/>
        <v>1</v>
      </c>
      <c r="AG946" s="15"/>
      <c r="AH946" s="16"/>
      <c r="AM946" s="15"/>
      <c r="AN946" s="16"/>
    </row>
    <row r="947">
      <c r="A947" s="13" t="s">
        <v>1717</v>
      </c>
      <c r="B947" s="17">
        <v>43160.0</v>
      </c>
      <c r="C947" s="11" t="s">
        <v>83</v>
      </c>
      <c r="D947" s="11" t="s">
        <v>93</v>
      </c>
      <c r="E947" s="11" t="s">
        <v>39</v>
      </c>
      <c r="F947" s="11" t="s">
        <v>64</v>
      </c>
      <c r="G947" s="11" t="s">
        <v>45</v>
      </c>
      <c r="H947" s="11" t="s">
        <v>67</v>
      </c>
      <c r="I947" s="11" t="s">
        <v>208</v>
      </c>
      <c r="J947" s="11">
        <v>20.0</v>
      </c>
      <c r="K947" s="12">
        <v>43675.0</v>
      </c>
      <c r="L947" s="12"/>
      <c r="M947" s="11">
        <v>663451.0</v>
      </c>
      <c r="N947" s="11" t="s">
        <v>1718</v>
      </c>
      <c r="O947" s="13"/>
      <c r="P947" s="11">
        <v>0.0</v>
      </c>
      <c r="Q947" s="14">
        <v>0.0</v>
      </c>
      <c r="R947" s="11">
        <v>0.0</v>
      </c>
      <c r="S947">
        <f t="shared" si="1"/>
        <v>2018</v>
      </c>
      <c r="T947">
        <f t="shared" si="2"/>
        <v>3</v>
      </c>
      <c r="U947">
        <f t="shared" si="3"/>
        <v>1</v>
      </c>
      <c r="Z947" s="17">
        <v>43675.0</v>
      </c>
      <c r="AG947" s="15"/>
      <c r="AH947" s="16"/>
      <c r="AM947" s="15"/>
      <c r="AN947" s="16"/>
    </row>
    <row r="948">
      <c r="A948" s="13" t="s">
        <v>1909</v>
      </c>
      <c r="B948" s="10">
        <v>43160.0</v>
      </c>
      <c r="C948" s="11" t="s">
        <v>235</v>
      </c>
      <c r="D948" s="11" t="s">
        <v>221</v>
      </c>
      <c r="E948" s="11" t="s">
        <v>39</v>
      </c>
      <c r="F948" s="11" t="s">
        <v>40</v>
      </c>
      <c r="G948" s="11" t="s">
        <v>41</v>
      </c>
      <c r="H948" s="11"/>
      <c r="I948" s="11"/>
      <c r="J948" s="11">
        <v>19.0</v>
      </c>
      <c r="K948" s="12">
        <v>44378.0</v>
      </c>
      <c r="L948" s="11">
        <f t="shared" ref="L948:L951" si="99">ROUND(((K948-B948)/365)*12,0)</f>
        <v>40</v>
      </c>
      <c r="M948" s="11">
        <v>672647.0</v>
      </c>
      <c r="N948" s="11" t="s">
        <v>1910</v>
      </c>
      <c r="O948" s="13"/>
      <c r="P948" s="11">
        <v>0.0</v>
      </c>
      <c r="Q948" s="14">
        <v>0.0</v>
      </c>
      <c r="R948" s="11">
        <v>1.0</v>
      </c>
      <c r="S948">
        <f t="shared" si="1"/>
        <v>2018</v>
      </c>
      <c r="T948">
        <f t="shared" si="2"/>
        <v>3</v>
      </c>
      <c r="U948">
        <f t="shared" si="3"/>
        <v>1</v>
      </c>
      <c r="AG948" s="15"/>
      <c r="AH948" s="16"/>
      <c r="AM948" s="15"/>
      <c r="AN948" s="16"/>
    </row>
    <row r="949">
      <c r="A949" s="13" t="s">
        <v>1911</v>
      </c>
      <c r="B949" s="10">
        <v>43158.0</v>
      </c>
      <c r="C949" s="11" t="s">
        <v>156</v>
      </c>
      <c r="D949" s="11" t="s">
        <v>58</v>
      </c>
      <c r="E949" s="11" t="s">
        <v>39</v>
      </c>
      <c r="F949" s="11" t="s">
        <v>40</v>
      </c>
      <c r="G949" s="11" t="s">
        <v>45</v>
      </c>
      <c r="H949" s="11" t="s">
        <v>163</v>
      </c>
      <c r="I949" s="11" t="s">
        <v>1912</v>
      </c>
      <c r="J949" s="11">
        <v>23.0</v>
      </c>
      <c r="K949" s="12">
        <v>44297.0</v>
      </c>
      <c r="L949" s="11">
        <f t="shared" si="99"/>
        <v>37</v>
      </c>
      <c r="M949" s="11">
        <v>641703.0</v>
      </c>
      <c r="N949" s="11">
        <v>16466.0</v>
      </c>
      <c r="O949" s="13" t="s">
        <v>761</v>
      </c>
      <c r="P949" s="11">
        <v>0.0</v>
      </c>
      <c r="Q949" s="14">
        <v>0.0</v>
      </c>
      <c r="R949" s="11">
        <v>1.0</v>
      </c>
      <c r="S949">
        <f t="shared" si="1"/>
        <v>2018</v>
      </c>
      <c r="T949">
        <f t="shared" si="2"/>
        <v>2</v>
      </c>
      <c r="U949">
        <f t="shared" si="3"/>
        <v>27</v>
      </c>
      <c r="V949" s="17">
        <v>43297.0</v>
      </c>
      <c r="Y949" s="17">
        <v>43536.0</v>
      </c>
      <c r="Z949" s="17">
        <v>44277.0</v>
      </c>
      <c r="AA949" s="17">
        <v>43598.0</v>
      </c>
      <c r="AB949" s="13" t="s">
        <v>1913</v>
      </c>
      <c r="AC949" s="17">
        <v>43624.0</v>
      </c>
      <c r="AD949" s="13" t="s">
        <v>1914</v>
      </c>
      <c r="AG949" s="15"/>
      <c r="AH949" s="16"/>
      <c r="AM949" s="15"/>
      <c r="AN949" s="16"/>
    </row>
    <row r="950">
      <c r="A950" s="13" t="s">
        <v>1915</v>
      </c>
      <c r="B950" s="17">
        <v>43153.0</v>
      </c>
      <c r="C950" s="11" t="s">
        <v>101</v>
      </c>
      <c r="D950" s="11" t="s">
        <v>93</v>
      </c>
      <c r="E950" s="11" t="s">
        <v>39</v>
      </c>
      <c r="F950" s="11" t="s">
        <v>64</v>
      </c>
      <c r="G950" s="11" t="s">
        <v>45</v>
      </c>
      <c r="H950" s="11" t="s">
        <v>84</v>
      </c>
      <c r="I950" s="11" t="s">
        <v>391</v>
      </c>
      <c r="J950" s="11">
        <v>22.0</v>
      </c>
      <c r="K950" s="12">
        <v>43648.0</v>
      </c>
      <c r="L950" s="11">
        <f t="shared" si="99"/>
        <v>16</v>
      </c>
      <c r="M950" s="11">
        <v>663947.0</v>
      </c>
      <c r="N950" s="11">
        <v>26231.0</v>
      </c>
      <c r="O950" s="13" t="s">
        <v>761</v>
      </c>
      <c r="P950" s="11">
        <v>0.0</v>
      </c>
      <c r="Q950" s="14">
        <v>0.0</v>
      </c>
      <c r="R950" s="11">
        <v>1.0</v>
      </c>
      <c r="S950">
        <f t="shared" si="1"/>
        <v>2018</v>
      </c>
      <c r="T950">
        <f t="shared" si="2"/>
        <v>2</v>
      </c>
      <c r="U950">
        <f t="shared" si="3"/>
        <v>22</v>
      </c>
      <c r="AG950" s="15"/>
      <c r="AH950" s="16"/>
      <c r="AM950" s="15"/>
      <c r="AN950" s="16"/>
    </row>
    <row r="951">
      <c r="A951" s="13" t="s">
        <v>1916</v>
      </c>
      <c r="B951" s="10">
        <v>43146.0</v>
      </c>
      <c r="C951" s="11" t="s">
        <v>111</v>
      </c>
      <c r="D951" s="11" t="s">
        <v>58</v>
      </c>
      <c r="E951" s="11" t="s">
        <v>39</v>
      </c>
      <c r="F951" s="11" t="s">
        <v>40</v>
      </c>
      <c r="G951" s="11" t="s">
        <v>45</v>
      </c>
      <c r="H951" s="11" t="s">
        <v>84</v>
      </c>
      <c r="I951" s="11" t="s">
        <v>512</v>
      </c>
      <c r="J951" s="11">
        <v>23.0</v>
      </c>
      <c r="K951" s="12">
        <v>43614.0</v>
      </c>
      <c r="L951" s="11">
        <f t="shared" si="99"/>
        <v>15</v>
      </c>
      <c r="M951" s="11">
        <v>650530.0</v>
      </c>
      <c r="N951" s="11">
        <v>19457.0</v>
      </c>
      <c r="O951" s="13" t="s">
        <v>761</v>
      </c>
      <c r="P951" s="11">
        <v>0.0</v>
      </c>
      <c r="Q951" s="14">
        <v>0.0</v>
      </c>
      <c r="R951" s="11">
        <v>1.0</v>
      </c>
      <c r="S951">
        <f t="shared" si="1"/>
        <v>2018</v>
      </c>
      <c r="T951">
        <f t="shared" si="2"/>
        <v>2</v>
      </c>
      <c r="U951">
        <f t="shared" si="3"/>
        <v>15</v>
      </c>
      <c r="Z951" s="17">
        <v>43588.0</v>
      </c>
      <c r="AG951" s="15"/>
      <c r="AH951" s="16"/>
      <c r="AM951" s="15"/>
      <c r="AN951" s="16"/>
    </row>
    <row r="952">
      <c r="A952" s="13" t="s">
        <v>1917</v>
      </c>
      <c r="B952" s="10">
        <v>43144.0</v>
      </c>
      <c r="C952" s="11" t="s">
        <v>55</v>
      </c>
      <c r="D952" s="11" t="s">
        <v>221</v>
      </c>
      <c r="E952" s="11" t="s">
        <v>39</v>
      </c>
      <c r="F952" s="11" t="s">
        <v>64</v>
      </c>
      <c r="G952" s="11" t="s">
        <v>45</v>
      </c>
      <c r="H952" s="11" t="s">
        <v>240</v>
      </c>
      <c r="I952" s="11" t="s">
        <v>159</v>
      </c>
      <c r="J952" s="11">
        <v>25.0</v>
      </c>
      <c r="K952" s="12"/>
      <c r="L952" s="11"/>
      <c r="M952" s="11">
        <v>657784.0</v>
      </c>
      <c r="N952" s="11" t="s">
        <v>1918</v>
      </c>
      <c r="O952" s="13" t="s">
        <v>1031</v>
      </c>
      <c r="P952" s="11">
        <v>0.0</v>
      </c>
      <c r="Q952" s="14">
        <v>0.0</v>
      </c>
      <c r="R952" s="11">
        <v>0.0</v>
      </c>
      <c r="S952">
        <f t="shared" si="1"/>
        <v>2018</v>
      </c>
      <c r="T952">
        <f t="shared" si="2"/>
        <v>2</v>
      </c>
      <c r="U952">
        <f t="shared" si="3"/>
        <v>13</v>
      </c>
      <c r="Z952" s="17"/>
      <c r="AG952" s="15"/>
      <c r="AH952" s="16"/>
      <c r="AM952" s="15"/>
      <c r="AN952" s="16"/>
    </row>
    <row r="953">
      <c r="A953" s="13" t="s">
        <v>1919</v>
      </c>
      <c r="B953" s="10">
        <v>43132.0</v>
      </c>
      <c r="C953" s="11" t="s">
        <v>175</v>
      </c>
      <c r="D953" s="11" t="s">
        <v>93</v>
      </c>
      <c r="E953" s="11" t="s">
        <v>39</v>
      </c>
      <c r="F953" s="11" t="s">
        <v>64</v>
      </c>
      <c r="G953" s="11" t="s">
        <v>45</v>
      </c>
      <c r="H953" s="11" t="s">
        <v>139</v>
      </c>
      <c r="I953" s="11" t="s">
        <v>1071</v>
      </c>
      <c r="J953" s="11">
        <v>20.0</v>
      </c>
      <c r="K953" s="12">
        <v>43634.0</v>
      </c>
      <c r="L953" s="11">
        <f t="shared" ref="L953:L954" si="100">ROUND(((K953-B953)/365)*12,0)</f>
        <v>17</v>
      </c>
      <c r="M953" s="11">
        <v>663471.0</v>
      </c>
      <c r="N953" s="11" t="s">
        <v>1920</v>
      </c>
      <c r="O953" s="13"/>
      <c r="P953" s="11">
        <v>0.0</v>
      </c>
      <c r="Q953" s="14">
        <v>0.0</v>
      </c>
      <c r="R953" s="11">
        <v>1.0</v>
      </c>
      <c r="S953">
        <f t="shared" si="1"/>
        <v>2018</v>
      </c>
      <c r="T953">
        <f t="shared" si="2"/>
        <v>2</v>
      </c>
      <c r="U953">
        <f t="shared" si="3"/>
        <v>1</v>
      </c>
      <c r="Z953" s="17">
        <v>43634.0</v>
      </c>
      <c r="AG953" s="15"/>
      <c r="AH953" s="16"/>
      <c r="AM953" s="15"/>
      <c r="AN953" s="16"/>
    </row>
    <row r="954">
      <c r="A954" s="13" t="s">
        <v>1921</v>
      </c>
      <c r="B954" s="10">
        <v>43132.0</v>
      </c>
      <c r="C954" s="11" t="s">
        <v>156</v>
      </c>
      <c r="D954" s="11" t="s">
        <v>77</v>
      </c>
      <c r="E954" s="11" t="s">
        <v>39</v>
      </c>
      <c r="F954" s="11" t="s">
        <v>40</v>
      </c>
      <c r="G954" s="11" t="s">
        <v>45</v>
      </c>
      <c r="H954" s="11" t="s">
        <v>67</v>
      </c>
      <c r="I954" s="11"/>
      <c r="J954" s="11">
        <v>26.0</v>
      </c>
      <c r="K954" s="12">
        <v>43623.0</v>
      </c>
      <c r="L954" s="11">
        <f t="shared" si="100"/>
        <v>16</v>
      </c>
      <c r="M954" s="11">
        <v>571479.0</v>
      </c>
      <c r="N954" s="11">
        <v>10657.0</v>
      </c>
      <c r="O954" s="13"/>
      <c r="P954" s="11">
        <v>0.0</v>
      </c>
      <c r="Q954" s="14">
        <v>0.0</v>
      </c>
      <c r="R954" s="11">
        <v>1.0</v>
      </c>
      <c r="S954">
        <f t="shared" si="1"/>
        <v>2018</v>
      </c>
      <c r="T954">
        <f t="shared" si="2"/>
        <v>2</v>
      </c>
      <c r="U954">
        <f t="shared" si="3"/>
        <v>1</v>
      </c>
      <c r="Z954" s="17">
        <v>43610.0</v>
      </c>
      <c r="AG954" s="15"/>
      <c r="AH954" s="16"/>
      <c r="AM954" s="15"/>
      <c r="AN954" s="16"/>
    </row>
    <row r="955">
      <c r="A955" s="13" t="s">
        <v>1922</v>
      </c>
      <c r="B955" s="10">
        <v>43131.0</v>
      </c>
      <c r="C955" s="11" t="s">
        <v>186</v>
      </c>
      <c r="D955" s="11" t="s">
        <v>97</v>
      </c>
      <c r="E955" s="11" t="s">
        <v>39</v>
      </c>
      <c r="F955" s="11" t="s">
        <v>40</v>
      </c>
      <c r="G955" s="11" t="s">
        <v>45</v>
      </c>
      <c r="H955" s="11" t="s">
        <v>67</v>
      </c>
      <c r="I955" s="11"/>
      <c r="J955" s="11">
        <v>22.0</v>
      </c>
      <c r="K955" s="12"/>
      <c r="L955" s="12"/>
      <c r="M955" s="11">
        <v>641773.0</v>
      </c>
      <c r="N955" s="11" t="s">
        <v>1923</v>
      </c>
      <c r="O955" s="13"/>
      <c r="P955" s="11">
        <v>0.0</v>
      </c>
      <c r="Q955" s="14">
        <v>0.0</v>
      </c>
      <c r="R955" s="11">
        <v>0.0</v>
      </c>
      <c r="S955">
        <f t="shared" si="1"/>
        <v>2018</v>
      </c>
      <c r="T955">
        <f t="shared" si="2"/>
        <v>1</v>
      </c>
      <c r="U955">
        <f t="shared" si="3"/>
        <v>31</v>
      </c>
      <c r="Z955" s="17"/>
      <c r="AG955" s="15"/>
      <c r="AH955" s="16"/>
      <c r="AM955" s="15"/>
      <c r="AN955" s="16"/>
    </row>
    <row r="956">
      <c r="A956" s="13" t="s">
        <v>1924</v>
      </c>
      <c r="B956" s="10">
        <v>43101.0</v>
      </c>
      <c r="C956" s="11" t="s">
        <v>116</v>
      </c>
      <c r="D956" s="11" t="s">
        <v>221</v>
      </c>
      <c r="E956" s="11" t="s">
        <v>39</v>
      </c>
      <c r="F956" s="11" t="s">
        <v>40</v>
      </c>
      <c r="G956" s="11" t="s">
        <v>1659</v>
      </c>
      <c r="H956" s="11"/>
      <c r="I956" s="11"/>
      <c r="J956" s="11">
        <v>19.0</v>
      </c>
      <c r="K956" s="12">
        <v>43637.0</v>
      </c>
      <c r="L956" s="12"/>
      <c r="M956" s="11">
        <v>667347.0</v>
      </c>
      <c r="N956" s="11" t="s">
        <v>1925</v>
      </c>
      <c r="O956" s="13"/>
      <c r="P956" s="11">
        <v>0.0</v>
      </c>
      <c r="Q956" s="14">
        <v>0.0</v>
      </c>
      <c r="R956" s="11">
        <v>1.0</v>
      </c>
      <c r="S956">
        <f t="shared" si="1"/>
        <v>2018</v>
      </c>
      <c r="T956">
        <f t="shared" si="2"/>
        <v>1</v>
      </c>
      <c r="U956">
        <f t="shared" si="3"/>
        <v>1</v>
      </c>
      <c r="Z956" s="17">
        <v>43637.0</v>
      </c>
      <c r="AG956" s="15"/>
      <c r="AH956" s="16"/>
      <c r="AM956" s="15"/>
      <c r="AN956" s="16"/>
    </row>
    <row r="957">
      <c r="A957" s="13" t="s">
        <v>1143</v>
      </c>
      <c r="B957" s="17">
        <v>43101.0</v>
      </c>
      <c r="C957" s="11" t="s">
        <v>72</v>
      </c>
      <c r="D957" s="11" t="s">
        <v>93</v>
      </c>
      <c r="E957" s="11" t="s">
        <v>39</v>
      </c>
      <c r="F957" s="11" t="s">
        <v>40</v>
      </c>
      <c r="G957" s="11" t="s">
        <v>45</v>
      </c>
      <c r="H957" s="11" t="s">
        <v>317</v>
      </c>
      <c r="I957" s="11" t="s">
        <v>1144</v>
      </c>
      <c r="J957" s="11">
        <v>20.0</v>
      </c>
      <c r="K957" s="12">
        <v>43661.0</v>
      </c>
      <c r="L957" s="12"/>
      <c r="M957" s="11">
        <v>687770.0</v>
      </c>
      <c r="N957" s="11" t="s">
        <v>1145</v>
      </c>
      <c r="O957" s="13"/>
      <c r="P957" s="11">
        <v>0.0</v>
      </c>
      <c r="Q957" s="14">
        <v>0.0</v>
      </c>
      <c r="R957" s="11">
        <v>1.0</v>
      </c>
      <c r="S957">
        <f t="shared" si="1"/>
        <v>2018</v>
      </c>
      <c r="T957">
        <f t="shared" si="2"/>
        <v>1</v>
      </c>
      <c r="U957">
        <f t="shared" si="3"/>
        <v>1</v>
      </c>
      <c r="Z957" s="17"/>
      <c r="AG957" s="15"/>
      <c r="AH957" s="16"/>
      <c r="AM957" s="15"/>
      <c r="AN957" s="16"/>
    </row>
    <row r="958">
      <c r="A958" s="13" t="s">
        <v>1926</v>
      </c>
      <c r="B958" s="10">
        <v>43101.0</v>
      </c>
      <c r="C958" s="11" t="s">
        <v>143</v>
      </c>
      <c r="D958" s="11" t="s">
        <v>97</v>
      </c>
      <c r="E958" s="11" t="s">
        <v>39</v>
      </c>
      <c r="F958" s="11" t="s">
        <v>40</v>
      </c>
      <c r="G958" s="11" t="s">
        <v>45</v>
      </c>
      <c r="H958" s="11" t="s">
        <v>56</v>
      </c>
      <c r="I958" s="11" t="s">
        <v>112</v>
      </c>
      <c r="J958" s="11">
        <v>23.0</v>
      </c>
      <c r="K958" s="12">
        <v>43606.0</v>
      </c>
      <c r="L958" s="12"/>
      <c r="M958" s="11">
        <v>667722.0</v>
      </c>
      <c r="N958" s="11" t="s">
        <v>1927</v>
      </c>
      <c r="O958" s="13"/>
      <c r="P958" s="11">
        <v>0.0</v>
      </c>
      <c r="Q958" s="14">
        <v>0.0</v>
      </c>
      <c r="R958" s="11">
        <v>1.0</v>
      </c>
      <c r="S958">
        <f t="shared" si="1"/>
        <v>2018</v>
      </c>
      <c r="T958">
        <f t="shared" si="2"/>
        <v>1</v>
      </c>
      <c r="U958">
        <f t="shared" si="3"/>
        <v>1</v>
      </c>
      <c r="Z958" s="17">
        <v>43606.0</v>
      </c>
      <c r="AG958" s="15"/>
      <c r="AH958" s="16"/>
      <c r="AM958" s="15"/>
      <c r="AN958" s="16"/>
    </row>
    <row r="959">
      <c r="A959" s="13" t="s">
        <v>1928</v>
      </c>
      <c r="B959" s="17">
        <v>43101.0</v>
      </c>
      <c r="C959" s="11" t="s">
        <v>143</v>
      </c>
      <c r="D959" s="11" t="s">
        <v>93</v>
      </c>
      <c r="E959" s="11" t="s">
        <v>39</v>
      </c>
      <c r="F959" s="11" t="s">
        <v>64</v>
      </c>
      <c r="G959" s="11" t="s">
        <v>45</v>
      </c>
      <c r="H959" s="11" t="s">
        <v>56</v>
      </c>
      <c r="I959" s="11" t="s">
        <v>1929</v>
      </c>
      <c r="J959" s="11">
        <v>20.0</v>
      </c>
      <c r="K959" s="12">
        <v>44324.0</v>
      </c>
      <c r="L959" s="12"/>
      <c r="M959" s="11">
        <v>690544.0</v>
      </c>
      <c r="N959" s="11">
        <v>27753.0</v>
      </c>
      <c r="O959" s="13"/>
      <c r="P959" s="11">
        <v>0.0</v>
      </c>
      <c r="Q959" s="14">
        <v>0.0</v>
      </c>
      <c r="R959" s="11">
        <v>1.0</v>
      </c>
      <c r="S959">
        <f t="shared" si="1"/>
        <v>2018</v>
      </c>
      <c r="T959">
        <f t="shared" si="2"/>
        <v>1</v>
      </c>
      <c r="U959">
        <f t="shared" si="3"/>
        <v>1</v>
      </c>
      <c r="Z959" s="17"/>
      <c r="AG959" s="15"/>
      <c r="AH959" s="16"/>
      <c r="AM959" s="15"/>
      <c r="AN959" s="16"/>
    </row>
    <row r="960">
      <c r="A960" s="13" t="s">
        <v>1621</v>
      </c>
      <c r="B960" s="17">
        <v>43101.0</v>
      </c>
      <c r="C960" s="11" t="s">
        <v>44</v>
      </c>
      <c r="D960" s="11" t="s">
        <v>93</v>
      </c>
      <c r="E960" s="11" t="s">
        <v>39</v>
      </c>
      <c r="F960" s="11" t="s">
        <v>40</v>
      </c>
      <c r="G960" s="11" t="s">
        <v>45</v>
      </c>
      <c r="H960" s="11" t="s">
        <v>46</v>
      </c>
      <c r="I960" s="11" t="s">
        <v>476</v>
      </c>
      <c r="J960" s="11">
        <v>21.0</v>
      </c>
      <c r="K960" s="12">
        <v>44719.0</v>
      </c>
      <c r="L960" s="12"/>
      <c r="M960" s="11">
        <v>680922.0</v>
      </c>
      <c r="N960" s="11" t="s">
        <v>1622</v>
      </c>
      <c r="O960" s="13"/>
      <c r="P960" s="11">
        <v>0.0</v>
      </c>
      <c r="Q960" s="14">
        <v>0.0</v>
      </c>
      <c r="R960" s="11">
        <v>1.0</v>
      </c>
      <c r="S960">
        <f t="shared" si="1"/>
        <v>2018</v>
      </c>
      <c r="T960">
        <f t="shared" si="2"/>
        <v>1</v>
      </c>
      <c r="U960">
        <f t="shared" si="3"/>
        <v>1</v>
      </c>
      <c r="AG960" s="15"/>
      <c r="AH960" s="16"/>
      <c r="AM960" s="15"/>
      <c r="AN960" s="16"/>
    </row>
    <row r="961">
      <c r="A961" s="13" t="s">
        <v>1930</v>
      </c>
      <c r="B961" s="17">
        <v>43101.0</v>
      </c>
      <c r="C961" s="11" t="s">
        <v>111</v>
      </c>
      <c r="D961" s="11" t="s">
        <v>221</v>
      </c>
      <c r="E961" s="11" t="s">
        <v>39</v>
      </c>
      <c r="F961" s="11" t="s">
        <v>40</v>
      </c>
      <c r="G961" s="11" t="s">
        <v>45</v>
      </c>
      <c r="H961" s="11" t="s">
        <v>194</v>
      </c>
      <c r="I961" s="11"/>
      <c r="J961" s="11">
        <v>23.0</v>
      </c>
      <c r="K961" s="12">
        <v>43632.0</v>
      </c>
      <c r="L961" s="12"/>
      <c r="M961" s="11">
        <v>675048.0</v>
      </c>
      <c r="N961" s="11" t="s">
        <v>1931</v>
      </c>
      <c r="O961" s="13"/>
      <c r="P961" s="11">
        <v>0.0</v>
      </c>
      <c r="Q961" s="14">
        <v>0.0</v>
      </c>
      <c r="R961" s="11">
        <v>1.0</v>
      </c>
      <c r="S961">
        <f t="shared" si="1"/>
        <v>2018</v>
      </c>
      <c r="T961">
        <f t="shared" si="2"/>
        <v>1</v>
      </c>
      <c r="U961">
        <f t="shared" si="3"/>
        <v>1</v>
      </c>
      <c r="Z961" s="17">
        <v>43632.0</v>
      </c>
      <c r="AG961" s="15"/>
      <c r="AH961" s="16"/>
      <c r="AM961" s="15"/>
      <c r="AN961" s="16"/>
    </row>
    <row r="962">
      <c r="A962" s="13" t="s">
        <v>1932</v>
      </c>
      <c r="B962" s="17">
        <v>43101.0</v>
      </c>
      <c r="C962" s="11" t="s">
        <v>52</v>
      </c>
      <c r="D962" s="11" t="s">
        <v>77</v>
      </c>
      <c r="E962" s="11" t="s">
        <v>39</v>
      </c>
      <c r="F962" s="11" t="s">
        <v>40</v>
      </c>
      <c r="G962" s="11" t="s">
        <v>45</v>
      </c>
      <c r="H962" s="11" t="s">
        <v>56</v>
      </c>
      <c r="I962" s="11" t="s">
        <v>1746</v>
      </c>
      <c r="J962" s="11">
        <v>23.0</v>
      </c>
      <c r="K962" s="12">
        <v>43616.0</v>
      </c>
      <c r="L962" s="12"/>
      <c r="M962" s="11">
        <v>663321.0</v>
      </c>
      <c r="N962" s="11">
        <v>19281.0</v>
      </c>
      <c r="O962" s="13"/>
      <c r="P962" s="11">
        <v>0.0</v>
      </c>
      <c r="Q962" s="14">
        <v>0.0</v>
      </c>
      <c r="R962" s="11">
        <v>1.0</v>
      </c>
      <c r="S962">
        <f t="shared" si="1"/>
        <v>2018</v>
      </c>
      <c r="T962">
        <f t="shared" si="2"/>
        <v>1</v>
      </c>
      <c r="U962">
        <f t="shared" si="3"/>
        <v>1</v>
      </c>
      <c r="Z962" s="17">
        <v>43593.0</v>
      </c>
      <c r="AG962" s="15"/>
      <c r="AH962" s="16"/>
      <c r="AM962" s="15"/>
      <c r="AN962" s="16"/>
    </row>
    <row r="963">
      <c r="A963" s="13" t="s">
        <v>1933</v>
      </c>
      <c r="B963" s="17">
        <v>43101.0</v>
      </c>
      <c r="C963" s="11" t="s">
        <v>52</v>
      </c>
      <c r="D963" s="11" t="s">
        <v>77</v>
      </c>
      <c r="E963" s="11" t="s">
        <v>39</v>
      </c>
      <c r="F963" s="11" t="s">
        <v>40</v>
      </c>
      <c r="G963" s="11" t="s">
        <v>45</v>
      </c>
      <c r="H963" s="11" t="s">
        <v>451</v>
      </c>
      <c r="I963" s="11" t="s">
        <v>1934</v>
      </c>
      <c r="J963" s="11">
        <v>25.0</v>
      </c>
      <c r="K963" s="12">
        <v>43614.0</v>
      </c>
      <c r="L963" s="12"/>
      <c r="M963" s="11">
        <v>657044.0</v>
      </c>
      <c r="N963" s="11">
        <v>16647.0</v>
      </c>
      <c r="O963" s="13"/>
      <c r="P963" s="11">
        <v>0.0</v>
      </c>
      <c r="Q963" s="14">
        <v>0.0</v>
      </c>
      <c r="R963" s="11">
        <v>1.0</v>
      </c>
      <c r="S963">
        <f t="shared" si="1"/>
        <v>2018</v>
      </c>
      <c r="T963">
        <f t="shared" si="2"/>
        <v>1</v>
      </c>
      <c r="U963">
        <f t="shared" si="3"/>
        <v>1</v>
      </c>
      <c r="Z963" s="17">
        <v>43606.0</v>
      </c>
      <c r="AG963" s="15"/>
      <c r="AH963" s="16"/>
      <c r="AM963" s="15"/>
      <c r="AN963" s="16"/>
    </row>
    <row r="964">
      <c r="A964" s="13" t="s">
        <v>1935</v>
      </c>
      <c r="B964" s="10">
        <v>43101.0</v>
      </c>
      <c r="C964" s="11" t="s">
        <v>346</v>
      </c>
      <c r="D964" s="11" t="s">
        <v>93</v>
      </c>
      <c r="E964" s="11" t="s">
        <v>39</v>
      </c>
      <c r="F964" s="11" t="s">
        <v>40</v>
      </c>
      <c r="G964" s="11" t="s">
        <v>45</v>
      </c>
      <c r="H964" s="11" t="s">
        <v>127</v>
      </c>
      <c r="I964" s="11" t="s">
        <v>1936</v>
      </c>
      <c r="J964" s="11">
        <v>22.0</v>
      </c>
      <c r="K964" s="12">
        <v>43633.0</v>
      </c>
      <c r="L964" s="12"/>
      <c r="M964" s="11">
        <v>687877.0</v>
      </c>
      <c r="N964" s="11" t="s">
        <v>1937</v>
      </c>
      <c r="O964" s="13"/>
      <c r="P964" s="11">
        <v>0.0</v>
      </c>
      <c r="Q964" s="14">
        <v>0.0</v>
      </c>
      <c r="R964" s="11">
        <v>1.0</v>
      </c>
      <c r="S964">
        <f t="shared" si="1"/>
        <v>2018</v>
      </c>
      <c r="T964">
        <f t="shared" si="2"/>
        <v>1</v>
      </c>
      <c r="U964">
        <f t="shared" si="3"/>
        <v>1</v>
      </c>
      <c r="AG964" s="15"/>
      <c r="AH964" s="16"/>
      <c r="AM964" s="15"/>
      <c r="AN964" s="16"/>
    </row>
    <row r="965">
      <c r="A965" s="13" t="s">
        <v>1938</v>
      </c>
      <c r="B965" s="17">
        <v>43101.0</v>
      </c>
      <c r="C965" s="11" t="s">
        <v>346</v>
      </c>
      <c r="D965" s="11" t="s">
        <v>93</v>
      </c>
      <c r="E965" s="11" t="s">
        <v>39</v>
      </c>
      <c r="F965" s="11" t="s">
        <v>40</v>
      </c>
      <c r="G965" s="11" t="s">
        <v>45</v>
      </c>
      <c r="H965" s="11" t="s">
        <v>67</v>
      </c>
      <c r="I965" s="11" t="s">
        <v>190</v>
      </c>
      <c r="J965" s="11">
        <v>21.0</v>
      </c>
      <c r="K965" s="12">
        <v>44322.0</v>
      </c>
      <c r="L965" s="12"/>
      <c r="M965" s="11">
        <v>663739.0</v>
      </c>
      <c r="N965" s="11" t="s">
        <v>1939</v>
      </c>
      <c r="O965" s="13"/>
      <c r="P965" s="11">
        <v>0.0</v>
      </c>
      <c r="Q965" s="14">
        <v>0.0</v>
      </c>
      <c r="R965" s="11">
        <v>1.0</v>
      </c>
      <c r="S965">
        <f t="shared" si="1"/>
        <v>2018</v>
      </c>
      <c r="T965">
        <f t="shared" si="2"/>
        <v>1</v>
      </c>
      <c r="U965">
        <f t="shared" si="3"/>
        <v>1</v>
      </c>
      <c r="AG965" s="15"/>
      <c r="AH965" s="16"/>
      <c r="AM965" s="15"/>
      <c r="AN965" s="16"/>
    </row>
    <row r="966">
      <c r="A966" s="13" t="s">
        <v>1940</v>
      </c>
      <c r="B966" s="17">
        <v>43101.0</v>
      </c>
      <c r="C966" s="11" t="s">
        <v>346</v>
      </c>
      <c r="D966" s="11" t="s">
        <v>93</v>
      </c>
      <c r="E966" s="11" t="s">
        <v>39</v>
      </c>
      <c r="F966" s="11" t="s">
        <v>40</v>
      </c>
      <c r="G966" s="11" t="s">
        <v>45</v>
      </c>
      <c r="H966" s="11" t="s">
        <v>231</v>
      </c>
      <c r="I966" s="11" t="s">
        <v>1941</v>
      </c>
      <c r="J966" s="11">
        <v>20.0</v>
      </c>
      <c r="K966" s="12">
        <v>44787.0</v>
      </c>
      <c r="L966" s="12"/>
      <c r="M966" s="11">
        <v>690382.0</v>
      </c>
      <c r="N966" s="11" t="s">
        <v>1942</v>
      </c>
      <c r="O966" s="13"/>
      <c r="P966" s="11">
        <v>0.0</v>
      </c>
      <c r="Q966" s="14">
        <v>0.0</v>
      </c>
      <c r="R966" s="11">
        <v>1.0</v>
      </c>
      <c r="S966">
        <f t="shared" si="1"/>
        <v>2018</v>
      </c>
      <c r="T966">
        <f t="shared" si="2"/>
        <v>1</v>
      </c>
      <c r="U966">
        <f t="shared" si="3"/>
        <v>1</v>
      </c>
      <c r="Z966" s="17">
        <v>44787.0</v>
      </c>
      <c r="AG966" s="15"/>
      <c r="AH966" s="16"/>
      <c r="AM966" s="15"/>
      <c r="AN966" s="16"/>
    </row>
    <row r="967">
      <c r="A967" s="13" t="s">
        <v>1943</v>
      </c>
      <c r="B967" s="17">
        <v>43101.0</v>
      </c>
      <c r="C967" s="11" t="s">
        <v>346</v>
      </c>
      <c r="D967" s="11" t="s">
        <v>213</v>
      </c>
      <c r="E967" s="11" t="s">
        <v>39</v>
      </c>
      <c r="F967" s="11" t="s">
        <v>40</v>
      </c>
      <c r="G967" s="11" t="s">
        <v>45</v>
      </c>
      <c r="H967" s="11" t="s">
        <v>112</v>
      </c>
      <c r="I967" s="11" t="s">
        <v>379</v>
      </c>
      <c r="J967" s="11">
        <v>20.0</v>
      </c>
      <c r="K967" s="12">
        <v>44778.0</v>
      </c>
      <c r="L967" s="12"/>
      <c r="M967" s="11">
        <v>676502.0</v>
      </c>
      <c r="N967" s="11" t="s">
        <v>1944</v>
      </c>
      <c r="O967" s="13"/>
      <c r="P967" s="11">
        <v>0.0</v>
      </c>
      <c r="Q967" s="14">
        <v>0.0</v>
      </c>
      <c r="R967" s="11">
        <v>1.0</v>
      </c>
      <c r="S967">
        <f t="shared" si="1"/>
        <v>2018</v>
      </c>
      <c r="T967">
        <f t="shared" si="2"/>
        <v>1</v>
      </c>
      <c r="U967">
        <f t="shared" si="3"/>
        <v>1</v>
      </c>
      <c r="Z967" s="17">
        <v>44778.0</v>
      </c>
      <c r="AG967" s="15"/>
      <c r="AH967" s="16"/>
      <c r="AM967" s="15"/>
      <c r="AN967" s="16"/>
    </row>
    <row r="968">
      <c r="A968" s="13" t="s">
        <v>1945</v>
      </c>
      <c r="B968" s="17">
        <v>43101.0</v>
      </c>
      <c r="C968" s="11" t="s">
        <v>37</v>
      </c>
      <c r="D968" s="11" t="s">
        <v>97</v>
      </c>
      <c r="E968" s="11" t="s">
        <v>39</v>
      </c>
      <c r="F968" s="11" t="s">
        <v>40</v>
      </c>
      <c r="G968" s="11" t="s">
        <v>45</v>
      </c>
      <c r="H968" s="11" t="s">
        <v>56</v>
      </c>
      <c r="I968" s="11" t="s">
        <v>379</v>
      </c>
      <c r="J968" s="11">
        <v>23.0</v>
      </c>
      <c r="K968" s="12">
        <v>43660.0</v>
      </c>
      <c r="L968" s="12"/>
      <c r="M968" s="11">
        <v>668995.0</v>
      </c>
      <c r="N968" s="11" t="s">
        <v>1946</v>
      </c>
      <c r="O968" s="13"/>
      <c r="P968" s="11">
        <v>0.0</v>
      </c>
      <c r="Q968" s="14">
        <v>0.0</v>
      </c>
      <c r="R968" s="11">
        <v>1.0</v>
      </c>
      <c r="S968">
        <f t="shared" si="1"/>
        <v>2018</v>
      </c>
      <c r="T968">
        <f t="shared" si="2"/>
        <v>1</v>
      </c>
      <c r="U968">
        <f t="shared" si="3"/>
        <v>1</v>
      </c>
      <c r="Z968" s="17">
        <v>43630.0</v>
      </c>
      <c r="AG968" s="15"/>
      <c r="AH968" s="16"/>
      <c r="AM968" s="15"/>
      <c r="AN968" s="16"/>
    </row>
    <row r="969">
      <c r="A969" s="13" t="s">
        <v>1947</v>
      </c>
      <c r="B969" s="17">
        <v>43101.0</v>
      </c>
      <c r="C969" s="11" t="s">
        <v>55</v>
      </c>
      <c r="D969" s="11" t="s">
        <v>93</v>
      </c>
      <c r="E969" s="11" t="s">
        <v>39</v>
      </c>
      <c r="F969" s="11" t="s">
        <v>64</v>
      </c>
      <c r="G969" s="11" t="s">
        <v>45</v>
      </c>
      <c r="H969" s="11" t="s">
        <v>56</v>
      </c>
      <c r="I969" s="11" t="s">
        <v>259</v>
      </c>
      <c r="J969" s="11">
        <v>19.0</v>
      </c>
      <c r="K969" s="12">
        <v>44665.0</v>
      </c>
      <c r="L969" s="12"/>
      <c r="M969" s="11">
        <v>669080.0</v>
      </c>
      <c r="N969" s="11" t="s">
        <v>1948</v>
      </c>
      <c r="O969" s="13"/>
      <c r="P969" s="11">
        <v>0.0</v>
      </c>
      <c r="Q969" s="14">
        <v>0.0</v>
      </c>
      <c r="R969" s="11">
        <v>1.0</v>
      </c>
      <c r="S969">
        <f t="shared" si="1"/>
        <v>2018</v>
      </c>
      <c r="T969">
        <f t="shared" si="2"/>
        <v>1</v>
      </c>
      <c r="U969">
        <f t="shared" si="3"/>
        <v>1</v>
      </c>
      <c r="AG969" s="15"/>
      <c r="AH969" s="16"/>
      <c r="AM969" s="15"/>
      <c r="AN969" s="16"/>
    </row>
    <row r="970">
      <c r="A970" s="13" t="s">
        <v>1949</v>
      </c>
      <c r="B970" s="17">
        <v>43101.0</v>
      </c>
      <c r="C970" s="11" t="s">
        <v>103</v>
      </c>
      <c r="D970" s="11" t="s">
        <v>77</v>
      </c>
      <c r="E970" s="11" t="s">
        <v>39</v>
      </c>
      <c r="F970" s="11" t="s">
        <v>40</v>
      </c>
      <c r="G970" s="11" t="s">
        <v>45</v>
      </c>
      <c r="H970" s="11" t="s">
        <v>240</v>
      </c>
      <c r="I970" s="11" t="s">
        <v>1023</v>
      </c>
      <c r="J970" s="11">
        <v>26.0</v>
      </c>
      <c r="K970" s="12"/>
      <c r="L970" s="12"/>
      <c r="M970" s="11">
        <v>592492.0</v>
      </c>
      <c r="N970" s="11" t="s">
        <v>1950</v>
      </c>
      <c r="O970" s="13"/>
      <c r="P970" s="11">
        <v>0.0</v>
      </c>
      <c r="Q970" s="14">
        <v>0.0</v>
      </c>
      <c r="R970" s="11">
        <v>0.0</v>
      </c>
      <c r="S970">
        <f t="shared" si="1"/>
        <v>2018</v>
      </c>
      <c r="T970">
        <f t="shared" si="2"/>
        <v>1</v>
      </c>
      <c r="U970">
        <f t="shared" si="3"/>
        <v>1</v>
      </c>
      <c r="AG970" s="15"/>
      <c r="AH970" s="16"/>
      <c r="AM970" s="15"/>
      <c r="AN970" s="16"/>
    </row>
    <row r="971">
      <c r="A971" s="13" t="s">
        <v>1265</v>
      </c>
      <c r="B971" s="17">
        <v>43101.0</v>
      </c>
      <c r="C971" s="11" t="s">
        <v>103</v>
      </c>
      <c r="D971" s="11" t="s">
        <v>93</v>
      </c>
      <c r="E971" s="11" t="s">
        <v>39</v>
      </c>
      <c r="F971" s="11" t="s">
        <v>40</v>
      </c>
      <c r="G971" s="11" t="s">
        <v>45</v>
      </c>
      <c r="H971" s="11" t="s">
        <v>67</v>
      </c>
      <c r="I971" s="11" t="s">
        <v>190</v>
      </c>
      <c r="J971" s="11">
        <v>21.0</v>
      </c>
      <c r="K971" s="12">
        <v>44325.0</v>
      </c>
      <c r="L971" s="12"/>
      <c r="M971" s="11">
        <v>663537.0</v>
      </c>
      <c r="N971" s="11" t="s">
        <v>1266</v>
      </c>
      <c r="O971" s="13"/>
      <c r="P971" s="11">
        <v>0.0</v>
      </c>
      <c r="Q971" s="14">
        <v>0.0</v>
      </c>
      <c r="R971" s="11">
        <v>1.0</v>
      </c>
      <c r="S971">
        <f t="shared" si="1"/>
        <v>2018</v>
      </c>
      <c r="T971">
        <f t="shared" si="2"/>
        <v>1</v>
      </c>
      <c r="U971">
        <f t="shared" si="3"/>
        <v>1</v>
      </c>
      <c r="AG971" s="15"/>
      <c r="AH971" s="16"/>
      <c r="AM971" s="15"/>
      <c r="AN971" s="16"/>
    </row>
    <row r="972">
      <c r="A972" s="13" t="s">
        <v>1951</v>
      </c>
      <c r="B972" s="17">
        <v>43101.0</v>
      </c>
      <c r="C972" s="11" t="s">
        <v>103</v>
      </c>
      <c r="D972" s="11" t="s">
        <v>221</v>
      </c>
      <c r="E972" s="11" t="s">
        <v>39</v>
      </c>
      <c r="F972" s="11" t="s">
        <v>64</v>
      </c>
      <c r="G972" s="11" t="s">
        <v>45</v>
      </c>
      <c r="H972" s="11" t="s">
        <v>127</v>
      </c>
      <c r="I972" s="11" t="s">
        <v>1952</v>
      </c>
      <c r="J972" s="11">
        <v>22.0</v>
      </c>
      <c r="K972" s="12">
        <v>44322.0</v>
      </c>
      <c r="L972" s="12"/>
      <c r="M972" s="11">
        <v>670146.0</v>
      </c>
      <c r="N972" s="11" t="s">
        <v>1953</v>
      </c>
      <c r="O972" s="13"/>
      <c r="P972" s="11">
        <v>0.0</v>
      </c>
      <c r="Q972" s="14">
        <v>0.0</v>
      </c>
      <c r="R972" s="11">
        <v>1.0</v>
      </c>
      <c r="S972">
        <f t="shared" si="1"/>
        <v>2018</v>
      </c>
      <c r="T972">
        <f t="shared" si="2"/>
        <v>1</v>
      </c>
      <c r="U972">
        <f t="shared" si="3"/>
        <v>1</v>
      </c>
      <c r="Z972" s="17">
        <v>44322.0</v>
      </c>
      <c r="AG972" s="15"/>
      <c r="AH972" s="16"/>
      <c r="AM972" s="15"/>
      <c r="AN972" s="16"/>
    </row>
    <row r="973">
      <c r="A973" s="13" t="s">
        <v>1954</v>
      </c>
      <c r="B973" s="17">
        <v>43101.0</v>
      </c>
      <c r="C973" s="11" t="s">
        <v>108</v>
      </c>
      <c r="D973" s="11" t="s">
        <v>213</v>
      </c>
      <c r="E973" s="11" t="s">
        <v>39</v>
      </c>
      <c r="F973" s="11" t="s">
        <v>40</v>
      </c>
      <c r="G973" s="11" t="s">
        <v>45</v>
      </c>
      <c r="H973" s="11" t="s">
        <v>276</v>
      </c>
      <c r="I973" s="11"/>
      <c r="J973" s="11">
        <v>16.0</v>
      </c>
      <c r="K973" s="12">
        <v>43672.0</v>
      </c>
      <c r="L973" s="12"/>
      <c r="M973" s="11">
        <v>687512.0</v>
      </c>
      <c r="N973" s="11" t="s">
        <v>1955</v>
      </c>
      <c r="O973" s="13" t="s">
        <v>494</v>
      </c>
      <c r="P973" s="11">
        <v>0.0</v>
      </c>
      <c r="Q973" s="14">
        <v>0.0</v>
      </c>
      <c r="R973" s="11">
        <v>1.0</v>
      </c>
      <c r="S973">
        <f t="shared" si="1"/>
        <v>2018</v>
      </c>
      <c r="T973">
        <f t="shared" si="2"/>
        <v>1</v>
      </c>
      <c r="U973">
        <f t="shared" si="3"/>
        <v>1</v>
      </c>
      <c r="AG973" s="15"/>
      <c r="AH973" s="16"/>
      <c r="AM973" s="15"/>
      <c r="AN973" s="16"/>
    </row>
    <row r="974">
      <c r="A974" s="13" t="s">
        <v>1956</v>
      </c>
      <c r="B974" s="17">
        <v>43101.0</v>
      </c>
      <c r="C974" s="11" t="s">
        <v>108</v>
      </c>
      <c r="D974" s="11" t="s">
        <v>213</v>
      </c>
      <c r="E974" s="11" t="s">
        <v>118</v>
      </c>
      <c r="F974" s="11" t="s">
        <v>64</v>
      </c>
      <c r="G974" s="11" t="s">
        <v>45</v>
      </c>
      <c r="H974" s="11" t="s">
        <v>67</v>
      </c>
      <c r="I974" s="11" t="s">
        <v>451</v>
      </c>
      <c r="J974" s="11">
        <v>17.0</v>
      </c>
      <c r="K974" s="12">
        <v>44777.0</v>
      </c>
      <c r="L974" s="12"/>
      <c r="M974" s="11">
        <v>689141.0</v>
      </c>
      <c r="N974" s="11" t="s">
        <v>1957</v>
      </c>
      <c r="O974" s="13"/>
      <c r="P974" s="11">
        <v>0.0</v>
      </c>
      <c r="Q974" s="14">
        <v>0.0</v>
      </c>
      <c r="R974" s="11">
        <v>1.0</v>
      </c>
      <c r="S974">
        <f t="shared" si="1"/>
        <v>2018</v>
      </c>
      <c r="T974">
        <f t="shared" si="2"/>
        <v>1</v>
      </c>
      <c r="U974">
        <f t="shared" si="3"/>
        <v>1</v>
      </c>
      <c r="Z974" s="17">
        <v>44777.0</v>
      </c>
      <c r="AG974" s="15"/>
      <c r="AH974" s="16"/>
      <c r="AM974" s="15"/>
      <c r="AN974" s="16"/>
    </row>
    <row r="975">
      <c r="A975" s="13" t="s">
        <v>1958</v>
      </c>
      <c r="B975" s="17">
        <v>43101.0</v>
      </c>
      <c r="C975" s="11" t="s">
        <v>362</v>
      </c>
      <c r="D975" s="11" t="s">
        <v>38</v>
      </c>
      <c r="E975" s="11" t="s">
        <v>39</v>
      </c>
      <c r="F975" s="11" t="s">
        <v>64</v>
      </c>
      <c r="G975" s="11" t="s">
        <v>45</v>
      </c>
      <c r="H975" s="11" t="s">
        <v>67</v>
      </c>
      <c r="I975" s="11"/>
      <c r="J975" s="11">
        <v>28.0</v>
      </c>
      <c r="K975" s="12">
        <v>44037.0</v>
      </c>
      <c r="L975" s="12"/>
      <c r="M975" s="11">
        <v>543867.0</v>
      </c>
      <c r="N975" s="11">
        <v>5530.0</v>
      </c>
      <c r="O975" s="13"/>
      <c r="P975" s="11">
        <v>0.0</v>
      </c>
      <c r="Q975" s="14">
        <v>0.0</v>
      </c>
      <c r="R975" s="11">
        <v>1.0</v>
      </c>
      <c r="S975">
        <f t="shared" si="1"/>
        <v>2018</v>
      </c>
      <c r="T975">
        <f t="shared" si="2"/>
        <v>1</v>
      </c>
      <c r="U975">
        <f t="shared" si="3"/>
        <v>1</v>
      </c>
      <c r="Z975" s="17">
        <v>43885.0</v>
      </c>
      <c r="AG975" s="15"/>
      <c r="AH975" s="16"/>
      <c r="AM975" s="15"/>
      <c r="AN975" s="16"/>
    </row>
    <row r="976">
      <c r="A976" s="13" t="s">
        <v>1959</v>
      </c>
      <c r="B976" s="17">
        <v>43101.0</v>
      </c>
      <c r="C976" s="11" t="s">
        <v>175</v>
      </c>
      <c r="D976" s="11" t="s">
        <v>709</v>
      </c>
      <c r="E976" s="11" t="s">
        <v>39</v>
      </c>
      <c r="F976" s="11" t="s">
        <v>40</v>
      </c>
      <c r="G976" s="11" t="s">
        <v>45</v>
      </c>
      <c r="H976" s="11" t="s">
        <v>236</v>
      </c>
      <c r="I976" s="11" t="s">
        <v>1960</v>
      </c>
      <c r="J976" s="11">
        <v>24.0</v>
      </c>
      <c r="K976" s="12"/>
      <c r="L976" s="12"/>
      <c r="M976" s="11">
        <v>670366.0</v>
      </c>
      <c r="N976" s="11" t="s">
        <v>1961</v>
      </c>
      <c r="O976" s="13"/>
      <c r="P976" s="11">
        <v>0.0</v>
      </c>
      <c r="Q976" s="14">
        <v>0.0</v>
      </c>
      <c r="R976" s="11">
        <v>0.0</v>
      </c>
      <c r="S976">
        <f t="shared" si="1"/>
        <v>2018</v>
      </c>
      <c r="T976">
        <f t="shared" si="2"/>
        <v>1</v>
      </c>
      <c r="U976">
        <f t="shared" si="3"/>
        <v>1</v>
      </c>
      <c r="Z976" s="17">
        <v>43692.0</v>
      </c>
      <c r="AG976" s="15"/>
      <c r="AH976" s="16"/>
      <c r="AM976" s="15"/>
      <c r="AN976" s="16"/>
    </row>
    <row r="977">
      <c r="A977" s="13" t="s">
        <v>1010</v>
      </c>
      <c r="B977" s="17">
        <v>43101.0</v>
      </c>
      <c r="C977" s="11" t="s">
        <v>175</v>
      </c>
      <c r="D977" s="11" t="s">
        <v>93</v>
      </c>
      <c r="E977" s="11" t="s">
        <v>39</v>
      </c>
      <c r="F977" s="11" t="s">
        <v>64</v>
      </c>
      <c r="G977" s="11" t="s">
        <v>194</v>
      </c>
      <c r="H977" s="11"/>
      <c r="I977" s="11"/>
      <c r="J977" s="11">
        <v>20.0</v>
      </c>
      <c r="K977" s="12">
        <v>44360.0</v>
      </c>
      <c r="L977" s="12"/>
      <c r="M977" s="11">
        <v>681870.0</v>
      </c>
      <c r="N977" s="11">
        <v>24978.0</v>
      </c>
      <c r="O977" s="13"/>
      <c r="P977" s="11">
        <v>0.0</v>
      </c>
      <c r="Q977" s="14">
        <v>0.0</v>
      </c>
      <c r="R977" s="11">
        <v>1.0</v>
      </c>
      <c r="S977">
        <f t="shared" si="1"/>
        <v>2018</v>
      </c>
      <c r="T977">
        <f t="shared" si="2"/>
        <v>1</v>
      </c>
      <c r="U977">
        <f t="shared" si="3"/>
        <v>1</v>
      </c>
      <c r="AG977" s="15"/>
      <c r="AH977" s="16"/>
      <c r="AM977" s="15"/>
      <c r="AN977" s="16"/>
    </row>
    <row r="978">
      <c r="A978" s="13" t="s">
        <v>1962</v>
      </c>
      <c r="B978" s="17">
        <v>43101.0</v>
      </c>
      <c r="C978" s="11" t="s">
        <v>230</v>
      </c>
      <c r="D978" s="11" t="s">
        <v>221</v>
      </c>
      <c r="E978" s="11" t="s">
        <v>39</v>
      </c>
      <c r="F978" s="11" t="s">
        <v>40</v>
      </c>
      <c r="G978" s="11" t="s">
        <v>41</v>
      </c>
      <c r="H978" s="11"/>
      <c r="I978" s="11"/>
      <c r="J978" s="11">
        <v>21.0</v>
      </c>
      <c r="K978" s="12"/>
      <c r="L978" s="12"/>
      <c r="M978" s="11">
        <v>668406.0</v>
      </c>
      <c r="N978" s="11" t="s">
        <v>1963</v>
      </c>
      <c r="O978" s="13"/>
      <c r="P978" s="11">
        <v>0.0</v>
      </c>
      <c r="Q978" s="14">
        <v>0.0</v>
      </c>
      <c r="R978" s="11">
        <v>0.0</v>
      </c>
      <c r="S978">
        <f t="shared" si="1"/>
        <v>2018</v>
      </c>
      <c r="T978">
        <f t="shared" si="2"/>
        <v>1</v>
      </c>
      <c r="U978">
        <f t="shared" si="3"/>
        <v>1</v>
      </c>
      <c r="AG978" s="15"/>
      <c r="AH978" s="16"/>
      <c r="AM978" s="15"/>
      <c r="AN978" s="16"/>
    </row>
    <row r="979">
      <c r="A979" s="13" t="s">
        <v>1964</v>
      </c>
      <c r="B979" s="17">
        <v>43101.0</v>
      </c>
      <c r="C979" s="11" t="s">
        <v>62</v>
      </c>
      <c r="D979" s="11" t="s">
        <v>77</v>
      </c>
      <c r="E979" s="11" t="s">
        <v>39</v>
      </c>
      <c r="F979" s="11" t="s">
        <v>40</v>
      </c>
      <c r="G979" s="11" t="s">
        <v>45</v>
      </c>
      <c r="H979" s="11" t="s">
        <v>729</v>
      </c>
      <c r="I979" s="37" t="s">
        <v>276</v>
      </c>
      <c r="J979" s="11">
        <v>23.0</v>
      </c>
      <c r="K979" s="12">
        <v>44320.0</v>
      </c>
      <c r="L979" s="12"/>
      <c r="M979" s="11">
        <v>669018.0</v>
      </c>
      <c r="N979" s="11" t="s">
        <v>1965</v>
      </c>
      <c r="O979" s="13"/>
      <c r="P979" s="11">
        <v>0.0</v>
      </c>
      <c r="Q979" s="14">
        <v>0.0</v>
      </c>
      <c r="R979" s="11">
        <v>1.0</v>
      </c>
      <c r="S979">
        <f t="shared" si="1"/>
        <v>2018</v>
      </c>
      <c r="T979">
        <f t="shared" si="2"/>
        <v>1</v>
      </c>
      <c r="U979">
        <f t="shared" si="3"/>
        <v>1</v>
      </c>
      <c r="Z979" s="17">
        <v>43663.0</v>
      </c>
      <c r="AG979" s="15"/>
      <c r="AH979" s="16"/>
      <c r="AM979" s="15"/>
      <c r="AN979" s="16"/>
    </row>
    <row r="980">
      <c r="A980" s="13" t="s">
        <v>1966</v>
      </c>
      <c r="B980" s="10">
        <v>43101.0</v>
      </c>
      <c r="C980" s="11" t="s">
        <v>62</v>
      </c>
      <c r="D980" s="11" t="s">
        <v>93</v>
      </c>
      <c r="E980" s="11" t="s">
        <v>39</v>
      </c>
      <c r="F980" s="11" t="s">
        <v>40</v>
      </c>
      <c r="G980" s="11" t="s">
        <v>45</v>
      </c>
      <c r="H980" s="11" t="s">
        <v>84</v>
      </c>
      <c r="I980" s="37" t="s">
        <v>736</v>
      </c>
      <c r="J980" s="11">
        <v>20.0</v>
      </c>
      <c r="K980" s="12">
        <v>44425.0</v>
      </c>
      <c r="L980" s="12"/>
      <c r="M980" s="11">
        <v>686924.0</v>
      </c>
      <c r="N980" s="11" t="s">
        <v>1967</v>
      </c>
      <c r="O980" s="13"/>
      <c r="P980" s="11">
        <v>0.0</v>
      </c>
      <c r="Q980" s="14">
        <v>0.0</v>
      </c>
      <c r="R980" s="11">
        <v>1.0</v>
      </c>
      <c r="S980">
        <f t="shared" si="1"/>
        <v>2018</v>
      </c>
      <c r="T980">
        <f t="shared" si="2"/>
        <v>1</v>
      </c>
      <c r="U980">
        <f t="shared" si="3"/>
        <v>1</v>
      </c>
      <c r="Z980" s="17"/>
      <c r="AG980" s="15"/>
      <c r="AH980" s="16"/>
      <c r="AM980" s="15"/>
      <c r="AN980" s="16"/>
    </row>
    <row r="981">
      <c r="A981" s="13" t="s">
        <v>1968</v>
      </c>
      <c r="B981" s="17">
        <v>43101.0</v>
      </c>
      <c r="C981" s="11" t="s">
        <v>156</v>
      </c>
      <c r="D981" s="11" t="s">
        <v>77</v>
      </c>
      <c r="E981" s="11" t="s">
        <v>982</v>
      </c>
      <c r="F981" s="11" t="s">
        <v>40</v>
      </c>
      <c r="G981" s="11" t="s">
        <v>45</v>
      </c>
      <c r="H981" s="11" t="s">
        <v>67</v>
      </c>
      <c r="I981" s="37" t="s">
        <v>373</v>
      </c>
      <c r="J981" s="11">
        <v>24.0</v>
      </c>
      <c r="K981" s="12">
        <v>43642.0</v>
      </c>
      <c r="L981" s="12"/>
      <c r="M981" s="11">
        <v>665285.0</v>
      </c>
      <c r="N981" s="11" t="s">
        <v>1969</v>
      </c>
      <c r="O981" s="13"/>
      <c r="P981" s="11">
        <v>0.0</v>
      </c>
      <c r="Q981" s="14">
        <v>0.0</v>
      </c>
      <c r="R981" s="11">
        <v>1.0</v>
      </c>
      <c r="S981">
        <f t="shared" si="1"/>
        <v>2018</v>
      </c>
      <c r="T981">
        <f t="shared" si="2"/>
        <v>1</v>
      </c>
      <c r="U981">
        <f t="shared" si="3"/>
        <v>1</v>
      </c>
      <c r="Z981" s="17">
        <v>43598.0</v>
      </c>
      <c r="AG981" s="15"/>
      <c r="AH981" s="16"/>
      <c r="AM981" s="15"/>
      <c r="AN981" s="16"/>
    </row>
    <row r="982">
      <c r="A982" s="13" t="s">
        <v>1970</v>
      </c>
      <c r="B982" s="17">
        <v>43101.0</v>
      </c>
      <c r="C982" s="11" t="s">
        <v>186</v>
      </c>
      <c r="D982" s="11" t="s">
        <v>709</v>
      </c>
      <c r="E982" s="11" t="s">
        <v>39</v>
      </c>
      <c r="F982" s="11" t="s">
        <v>40</v>
      </c>
      <c r="G982" s="11" t="s">
        <v>45</v>
      </c>
      <c r="H982" s="11" t="s">
        <v>317</v>
      </c>
      <c r="I982" s="11" t="s">
        <v>1971</v>
      </c>
      <c r="J982" s="11">
        <v>20.0</v>
      </c>
      <c r="K982" s="12">
        <v>44324.0</v>
      </c>
      <c r="L982" s="11"/>
      <c r="M982" s="11">
        <v>676699.0</v>
      </c>
      <c r="N982" s="11" t="s">
        <v>1972</v>
      </c>
      <c r="O982" s="13"/>
      <c r="P982" s="11">
        <v>0.0</v>
      </c>
      <c r="Q982" s="14">
        <v>0.0</v>
      </c>
      <c r="R982" s="11">
        <v>1.0</v>
      </c>
      <c r="S982">
        <f t="shared" si="1"/>
        <v>2018</v>
      </c>
      <c r="T982">
        <f t="shared" si="2"/>
        <v>1</v>
      </c>
      <c r="U982">
        <f t="shared" si="3"/>
        <v>1</v>
      </c>
      <c r="Z982" s="17">
        <v>44324.0</v>
      </c>
      <c r="AG982" s="15"/>
      <c r="AH982" s="16"/>
      <c r="AM982" s="15"/>
      <c r="AN982" s="16"/>
    </row>
    <row r="983">
      <c r="A983" s="13" t="s">
        <v>1973</v>
      </c>
      <c r="B983" s="17">
        <v>43101.0</v>
      </c>
      <c r="C983" s="11" t="s">
        <v>235</v>
      </c>
      <c r="D983" s="11" t="s">
        <v>97</v>
      </c>
      <c r="E983" s="11" t="s">
        <v>39</v>
      </c>
      <c r="F983" s="11" t="s">
        <v>40</v>
      </c>
      <c r="G983" s="11" t="s">
        <v>45</v>
      </c>
      <c r="H983" s="11" t="s">
        <v>236</v>
      </c>
      <c r="I983" s="11" t="s">
        <v>1974</v>
      </c>
      <c r="J983" s="11">
        <v>22.0</v>
      </c>
      <c r="K983" s="12">
        <v>43600.0</v>
      </c>
      <c r="L983" s="12"/>
      <c r="M983" s="11">
        <v>670436.0</v>
      </c>
      <c r="N983" s="11" t="s">
        <v>1975</v>
      </c>
      <c r="O983" s="13"/>
      <c r="P983" s="11">
        <v>0.0</v>
      </c>
      <c r="Q983" s="14">
        <v>0.0</v>
      </c>
      <c r="R983" s="11">
        <v>1.0</v>
      </c>
      <c r="S983">
        <f t="shared" si="1"/>
        <v>2018</v>
      </c>
      <c r="T983">
        <f t="shared" si="2"/>
        <v>1</v>
      </c>
      <c r="U983">
        <f t="shared" si="3"/>
        <v>1</v>
      </c>
      <c r="Z983" s="17">
        <v>43600.0</v>
      </c>
      <c r="AG983" s="15"/>
      <c r="AH983" s="16"/>
      <c r="AM983" s="15"/>
      <c r="AN983" s="16"/>
    </row>
    <row r="984">
      <c r="A984" s="13" t="s">
        <v>1976</v>
      </c>
      <c r="B984" s="10">
        <v>43101.0</v>
      </c>
      <c r="C984" s="11" t="s">
        <v>235</v>
      </c>
      <c r="D984" s="11" t="s">
        <v>93</v>
      </c>
      <c r="E984" s="11" t="s">
        <v>39</v>
      </c>
      <c r="F984" s="11" t="s">
        <v>64</v>
      </c>
      <c r="G984" s="11" t="s">
        <v>45</v>
      </c>
      <c r="H984" s="11" t="s">
        <v>735</v>
      </c>
      <c r="I984" s="11" t="s">
        <v>735</v>
      </c>
      <c r="J984" s="11">
        <v>19.0</v>
      </c>
      <c r="K984" s="12">
        <v>44433.0</v>
      </c>
      <c r="L984" s="11"/>
      <c r="M984" s="11">
        <v>680436.0</v>
      </c>
      <c r="N984" s="11" t="s">
        <v>1977</v>
      </c>
      <c r="O984" s="13"/>
      <c r="P984" s="11">
        <v>0.0</v>
      </c>
      <c r="Q984" s="14">
        <v>0.0</v>
      </c>
      <c r="R984" s="11">
        <v>1.0</v>
      </c>
      <c r="S984">
        <f t="shared" si="1"/>
        <v>2018</v>
      </c>
      <c r="T984">
        <f t="shared" si="2"/>
        <v>1</v>
      </c>
      <c r="U984">
        <f t="shared" si="3"/>
        <v>1</v>
      </c>
      <c r="AG984" s="15"/>
      <c r="AH984" s="16"/>
      <c r="AM984" s="15"/>
      <c r="AN984" s="16"/>
    </row>
    <row r="985">
      <c r="A985" s="13" t="s">
        <v>1978</v>
      </c>
      <c r="B985" s="17">
        <v>43101.0</v>
      </c>
      <c r="C985" s="11" t="s">
        <v>76</v>
      </c>
      <c r="D985" s="11" t="s">
        <v>93</v>
      </c>
      <c r="E985" s="11" t="s">
        <v>118</v>
      </c>
      <c r="F985" s="11" t="s">
        <v>40</v>
      </c>
      <c r="G985" s="11" t="s">
        <v>45</v>
      </c>
      <c r="H985" s="11" t="s">
        <v>163</v>
      </c>
      <c r="I985" s="11" t="s">
        <v>789</v>
      </c>
      <c r="J985" s="11">
        <v>20.0</v>
      </c>
      <c r="K985" s="12">
        <v>43641.0</v>
      </c>
      <c r="L985" s="11"/>
      <c r="M985" s="11">
        <v>680959.0</v>
      </c>
      <c r="N985" s="11" t="s">
        <v>1979</v>
      </c>
      <c r="O985" s="13"/>
      <c r="P985" s="11">
        <v>0.0</v>
      </c>
      <c r="Q985" s="14">
        <v>0.0</v>
      </c>
      <c r="R985" s="11">
        <v>1.0</v>
      </c>
      <c r="S985">
        <f t="shared" si="1"/>
        <v>2018</v>
      </c>
      <c r="T985">
        <f t="shared" si="2"/>
        <v>1</v>
      </c>
      <c r="U985">
        <f t="shared" si="3"/>
        <v>1</v>
      </c>
      <c r="AG985" s="15"/>
      <c r="AH985" s="16"/>
      <c r="AM985" s="15"/>
      <c r="AN985" s="16"/>
    </row>
    <row r="986">
      <c r="A986" s="13" t="s">
        <v>1980</v>
      </c>
      <c r="B986" s="17">
        <v>43070.0</v>
      </c>
      <c r="C986" s="11" t="s">
        <v>126</v>
      </c>
      <c r="D986" s="11" t="s">
        <v>213</v>
      </c>
      <c r="E986" s="11" t="s">
        <v>39</v>
      </c>
      <c r="F986" s="11" t="s">
        <v>40</v>
      </c>
      <c r="G986" s="11" t="s">
        <v>45</v>
      </c>
      <c r="H986" s="11" t="s">
        <v>56</v>
      </c>
      <c r="I986" s="11" t="s">
        <v>208</v>
      </c>
      <c r="J986" s="11">
        <v>18.0</v>
      </c>
      <c r="K986" s="12">
        <v>44323.0</v>
      </c>
      <c r="L986" s="11"/>
      <c r="M986" s="11">
        <v>690925.0</v>
      </c>
      <c r="N986" s="11">
        <v>27494.0</v>
      </c>
      <c r="O986" s="13" t="s">
        <v>42</v>
      </c>
      <c r="P986" s="11">
        <v>0.0</v>
      </c>
      <c r="Q986" s="14">
        <v>0.0</v>
      </c>
      <c r="R986" s="11">
        <v>1.0</v>
      </c>
      <c r="S986">
        <f t="shared" si="1"/>
        <v>2017</v>
      </c>
      <c r="T986">
        <f t="shared" si="2"/>
        <v>12</v>
      </c>
      <c r="U986">
        <f t="shared" si="3"/>
        <v>1</v>
      </c>
      <c r="AG986" s="15"/>
      <c r="AH986" s="16"/>
      <c r="AM986" s="15"/>
      <c r="AN986" s="16"/>
    </row>
    <row r="987">
      <c r="A987" s="13" t="s">
        <v>1981</v>
      </c>
      <c r="B987" s="17">
        <v>43047.0</v>
      </c>
      <c r="C987" s="11" t="s">
        <v>358</v>
      </c>
      <c r="D987" s="11" t="s">
        <v>93</v>
      </c>
      <c r="E987" s="11" t="s">
        <v>39</v>
      </c>
      <c r="F987" s="11" t="s">
        <v>64</v>
      </c>
      <c r="G987" s="11" t="s">
        <v>45</v>
      </c>
      <c r="H987" s="11" t="s">
        <v>67</v>
      </c>
      <c r="I987" s="11" t="s">
        <v>190</v>
      </c>
      <c r="J987" s="11">
        <v>20.0</v>
      </c>
      <c r="K987" s="12"/>
      <c r="L987" s="11"/>
      <c r="M987" s="11">
        <v>663771.0</v>
      </c>
      <c r="N987" s="11"/>
      <c r="O987" s="13"/>
      <c r="P987" s="11">
        <v>0.0</v>
      </c>
      <c r="Q987" s="14">
        <v>0.0</v>
      </c>
      <c r="R987" s="11">
        <v>0.0</v>
      </c>
      <c r="S987">
        <f t="shared" si="1"/>
        <v>2017</v>
      </c>
      <c r="T987">
        <f t="shared" si="2"/>
        <v>11</v>
      </c>
      <c r="U987">
        <f t="shared" si="3"/>
        <v>8</v>
      </c>
      <c r="AG987" s="15"/>
      <c r="AH987" s="16"/>
      <c r="AM987" s="15"/>
      <c r="AN987" s="16"/>
    </row>
    <row r="988">
      <c r="A988" s="19" t="s">
        <v>1982</v>
      </c>
      <c r="B988" s="20">
        <v>43027.0</v>
      </c>
      <c r="C988" s="21" t="s">
        <v>55</v>
      </c>
      <c r="D988" s="21" t="s">
        <v>97</v>
      </c>
      <c r="E988" s="21" t="s">
        <v>39</v>
      </c>
      <c r="F988" s="21" t="s">
        <v>40</v>
      </c>
      <c r="G988" s="21" t="s">
        <v>45</v>
      </c>
      <c r="H988" s="21" t="s">
        <v>127</v>
      </c>
      <c r="I988" s="21" t="s">
        <v>1983</v>
      </c>
      <c r="J988" s="21">
        <v>23.0</v>
      </c>
      <c r="K988" s="35"/>
      <c r="L988" s="35"/>
      <c r="M988" s="21">
        <v>669709.0</v>
      </c>
      <c r="N988" s="21" t="s">
        <v>1984</v>
      </c>
      <c r="O988" s="38" t="s">
        <v>1031</v>
      </c>
      <c r="P988" s="21">
        <v>0.0</v>
      </c>
      <c r="Q988" s="23">
        <v>0.0</v>
      </c>
      <c r="R988" s="18">
        <v>0.0</v>
      </c>
      <c r="S988" s="33">
        <f t="shared" si="1"/>
        <v>2017</v>
      </c>
      <c r="T988" s="33">
        <f t="shared" si="2"/>
        <v>10</v>
      </c>
      <c r="U988" s="33">
        <f t="shared" si="3"/>
        <v>19</v>
      </c>
      <c r="V988" s="24"/>
      <c r="W988" s="24"/>
      <c r="X988" s="24"/>
      <c r="Y988" s="24"/>
      <c r="Z988" s="24"/>
      <c r="AA988" s="24"/>
      <c r="AB988" s="24"/>
      <c r="AC988" s="24"/>
      <c r="AD988" s="24"/>
      <c r="AE988" s="24"/>
      <c r="AF988" s="24"/>
      <c r="AG988" s="26"/>
      <c r="AH988" s="27"/>
      <c r="AI988" s="24"/>
      <c r="AJ988" s="24"/>
      <c r="AK988" s="24"/>
      <c r="AL988" s="24"/>
      <c r="AM988" s="26"/>
      <c r="AN988" s="27"/>
      <c r="AO988" s="24"/>
      <c r="AP988" s="24"/>
    </row>
    <row r="989">
      <c r="A989" s="13" t="s">
        <v>1985</v>
      </c>
      <c r="B989" s="17">
        <v>43011.0</v>
      </c>
      <c r="C989" s="11" t="s">
        <v>143</v>
      </c>
      <c r="D989" s="11" t="s">
        <v>93</v>
      </c>
      <c r="E989" s="11" t="s">
        <v>39</v>
      </c>
      <c r="F989" s="11" t="s">
        <v>40</v>
      </c>
      <c r="G989" s="11" t="s">
        <v>45</v>
      </c>
      <c r="H989" s="11" t="s">
        <v>46</v>
      </c>
      <c r="I989" s="11" t="s">
        <v>127</v>
      </c>
      <c r="J989" s="11">
        <v>21.0</v>
      </c>
      <c r="K989" s="12">
        <v>43632.0</v>
      </c>
      <c r="L989" s="11">
        <f>ROUND(((K989-B989)/365)*12,0)</f>
        <v>20</v>
      </c>
      <c r="M989" s="11">
        <v>656764.0</v>
      </c>
      <c r="N989" s="11" t="s">
        <v>1986</v>
      </c>
      <c r="O989" s="13"/>
      <c r="P989" s="11">
        <v>0.0</v>
      </c>
      <c r="Q989" s="14">
        <v>0.0</v>
      </c>
      <c r="R989" s="11">
        <v>1.0</v>
      </c>
      <c r="S989">
        <f t="shared" si="1"/>
        <v>2017</v>
      </c>
      <c r="T989">
        <f t="shared" si="2"/>
        <v>10</v>
      </c>
      <c r="U989">
        <f t="shared" si="3"/>
        <v>3</v>
      </c>
      <c r="AG989" s="15"/>
      <c r="AH989" s="16"/>
      <c r="AM989" s="15"/>
      <c r="AN989" s="16"/>
    </row>
    <row r="990">
      <c r="A990" s="13" t="s">
        <v>1987</v>
      </c>
      <c r="B990" s="17">
        <v>43009.0</v>
      </c>
      <c r="C990" s="11" t="s">
        <v>346</v>
      </c>
      <c r="D990" s="11" t="s">
        <v>213</v>
      </c>
      <c r="E990" s="11" t="s">
        <v>39</v>
      </c>
      <c r="F990" s="11" t="s">
        <v>40</v>
      </c>
      <c r="G990" s="11" t="s">
        <v>45</v>
      </c>
      <c r="H990" s="11" t="s">
        <v>73</v>
      </c>
      <c r="I990" s="11" t="s">
        <v>746</v>
      </c>
      <c r="J990" s="11">
        <v>18.0</v>
      </c>
      <c r="K990" s="12">
        <v>44418.0</v>
      </c>
      <c r="L990" s="12"/>
      <c r="M990" s="11">
        <v>676077.0</v>
      </c>
      <c r="N990" s="11" t="s">
        <v>1988</v>
      </c>
      <c r="O990" s="13"/>
      <c r="P990" s="11">
        <v>0.0</v>
      </c>
      <c r="Q990" s="14">
        <v>0.0</v>
      </c>
      <c r="R990" s="11">
        <v>1.0</v>
      </c>
      <c r="S990">
        <f t="shared" si="1"/>
        <v>2017</v>
      </c>
      <c r="T990">
        <f t="shared" si="2"/>
        <v>10</v>
      </c>
      <c r="U990">
        <f t="shared" si="3"/>
        <v>1</v>
      </c>
      <c r="Z990" s="17"/>
      <c r="AG990" s="15"/>
      <c r="AH990" s="16"/>
      <c r="AM990" s="15"/>
      <c r="AN990" s="16"/>
    </row>
    <row r="991">
      <c r="A991" s="13" t="s">
        <v>1989</v>
      </c>
      <c r="B991" s="17">
        <v>43009.0</v>
      </c>
      <c r="C991" s="11" t="s">
        <v>150</v>
      </c>
      <c r="D991" s="11" t="s">
        <v>93</v>
      </c>
      <c r="E991" s="11" t="s">
        <v>39</v>
      </c>
      <c r="F991" s="11" t="s">
        <v>40</v>
      </c>
      <c r="G991" s="11" t="s">
        <v>45</v>
      </c>
      <c r="H991" s="11" t="s">
        <v>109</v>
      </c>
      <c r="I991" s="11" t="s">
        <v>1990</v>
      </c>
      <c r="J991" s="11">
        <v>19.0</v>
      </c>
      <c r="K991" s="12">
        <v>44422.0</v>
      </c>
      <c r="L991" s="12"/>
      <c r="M991" s="11">
        <v>687885.0</v>
      </c>
      <c r="N991" s="11" t="s">
        <v>1991</v>
      </c>
      <c r="O991" s="13"/>
      <c r="P991" s="11">
        <v>0.0</v>
      </c>
      <c r="Q991" s="14">
        <v>0.0</v>
      </c>
      <c r="R991" s="11">
        <v>1.0</v>
      </c>
      <c r="S991">
        <f t="shared" si="1"/>
        <v>2017</v>
      </c>
      <c r="T991">
        <f t="shared" si="2"/>
        <v>10</v>
      </c>
      <c r="U991">
        <f t="shared" si="3"/>
        <v>1</v>
      </c>
      <c r="Z991" s="17"/>
      <c r="AG991" s="15"/>
      <c r="AH991" s="16"/>
      <c r="AM991" s="15"/>
      <c r="AN991" s="16"/>
    </row>
    <row r="992">
      <c r="A992" s="13" t="s">
        <v>1992</v>
      </c>
      <c r="B992" s="17">
        <v>43009.0</v>
      </c>
      <c r="C992" s="11" t="s">
        <v>175</v>
      </c>
      <c r="D992" s="11" t="s">
        <v>93</v>
      </c>
      <c r="E992" s="11" t="s">
        <v>39</v>
      </c>
      <c r="F992" s="11" t="s">
        <v>40</v>
      </c>
      <c r="G992" s="11" t="s">
        <v>45</v>
      </c>
      <c r="H992" s="11" t="s">
        <v>56</v>
      </c>
      <c r="I992" s="11" t="s">
        <v>669</v>
      </c>
      <c r="J992" s="11">
        <v>20.0</v>
      </c>
      <c r="K992" s="12">
        <v>44410.0</v>
      </c>
      <c r="L992" s="12"/>
      <c r="M992" s="11">
        <v>667434.0</v>
      </c>
      <c r="N992" s="11" t="s">
        <v>1993</v>
      </c>
      <c r="O992" s="13"/>
      <c r="P992" s="11">
        <v>0.0</v>
      </c>
      <c r="Q992" s="14">
        <v>0.0</v>
      </c>
      <c r="R992" s="11">
        <v>1.0</v>
      </c>
      <c r="S992">
        <f t="shared" si="1"/>
        <v>2017</v>
      </c>
      <c r="T992">
        <f t="shared" si="2"/>
        <v>10</v>
      </c>
      <c r="U992">
        <f t="shared" si="3"/>
        <v>1</v>
      </c>
      <c r="Z992" s="17"/>
      <c r="AG992" s="15"/>
      <c r="AH992" s="16"/>
      <c r="AM992" s="15"/>
      <c r="AN992" s="16"/>
    </row>
    <row r="993">
      <c r="A993" s="13" t="s">
        <v>1994</v>
      </c>
      <c r="B993" s="10">
        <v>43004.0</v>
      </c>
      <c r="C993" s="11" t="s">
        <v>162</v>
      </c>
      <c r="D993" s="11" t="s">
        <v>38</v>
      </c>
      <c r="E993" s="11" t="s">
        <v>39</v>
      </c>
      <c r="F993" s="11" t="s">
        <v>40</v>
      </c>
      <c r="G993" s="11" t="s">
        <v>45</v>
      </c>
      <c r="H993" s="11" t="s">
        <v>412</v>
      </c>
      <c r="I993" s="11" t="s">
        <v>616</v>
      </c>
      <c r="J993" s="11">
        <v>29.0</v>
      </c>
      <c r="K993" s="12"/>
      <c r="L993" s="12"/>
      <c r="M993" s="11">
        <v>519322.0</v>
      </c>
      <c r="N993" s="11">
        <v>6983.0</v>
      </c>
      <c r="O993" s="13" t="s">
        <v>355</v>
      </c>
      <c r="P993" s="11">
        <v>0.0</v>
      </c>
      <c r="Q993" s="14">
        <v>0.0</v>
      </c>
      <c r="R993" s="11">
        <v>0.0</v>
      </c>
      <c r="S993">
        <f t="shared" si="1"/>
        <v>2017</v>
      </c>
      <c r="T993">
        <f t="shared" si="2"/>
        <v>9</v>
      </c>
      <c r="U993">
        <f t="shared" si="3"/>
        <v>26</v>
      </c>
      <c r="Z993" s="17">
        <v>43609.0</v>
      </c>
      <c r="AG993" s="15"/>
      <c r="AH993" s="16"/>
      <c r="AM993" s="15"/>
      <c r="AN993" s="16"/>
    </row>
    <row r="994">
      <c r="A994" s="13" t="s">
        <v>1995</v>
      </c>
      <c r="B994" s="10">
        <v>42997.0</v>
      </c>
      <c r="C994" s="11" t="s">
        <v>55</v>
      </c>
      <c r="D994" s="11" t="s">
        <v>221</v>
      </c>
      <c r="E994" s="11" t="s">
        <v>39</v>
      </c>
      <c r="F994" s="11" t="s">
        <v>40</v>
      </c>
      <c r="G994" s="11" t="s">
        <v>45</v>
      </c>
      <c r="H994" s="11" t="s">
        <v>56</v>
      </c>
      <c r="I994" s="11"/>
      <c r="J994" s="11">
        <v>20.0</v>
      </c>
      <c r="K994" s="12">
        <v>43633.0</v>
      </c>
      <c r="L994" s="11">
        <f>ROUND(((K994-B994)/365)*12,0)</f>
        <v>21</v>
      </c>
      <c r="M994" s="11">
        <v>663534.0</v>
      </c>
      <c r="N994" s="11">
        <v>25413.0</v>
      </c>
      <c r="O994" s="13" t="s">
        <v>1031</v>
      </c>
      <c r="P994" s="11">
        <v>0.0</v>
      </c>
      <c r="Q994" s="14">
        <v>0.0</v>
      </c>
      <c r="R994" s="11">
        <v>1.0</v>
      </c>
      <c r="S994">
        <f t="shared" si="1"/>
        <v>2017</v>
      </c>
      <c r="T994">
        <f t="shared" si="2"/>
        <v>9</v>
      </c>
      <c r="U994">
        <f t="shared" si="3"/>
        <v>19</v>
      </c>
      <c r="Z994" s="17"/>
      <c r="AG994" s="15"/>
      <c r="AH994" s="16"/>
      <c r="AM994" s="15"/>
      <c r="AN994" s="16"/>
    </row>
    <row r="995">
      <c r="A995" s="13" t="s">
        <v>1996</v>
      </c>
      <c r="B995" s="10">
        <v>42997.0</v>
      </c>
      <c r="C995" s="11" t="s">
        <v>150</v>
      </c>
      <c r="D995" s="11" t="s">
        <v>38</v>
      </c>
      <c r="E995" s="11" t="s">
        <v>39</v>
      </c>
      <c r="F995" s="11" t="s">
        <v>40</v>
      </c>
      <c r="G995" s="11" t="s">
        <v>194</v>
      </c>
      <c r="H995" s="11"/>
      <c r="I995" s="11"/>
      <c r="J995" s="11">
        <v>24.0</v>
      </c>
      <c r="K995" s="12"/>
      <c r="L995" s="12"/>
      <c r="M995" s="11">
        <v>592279.0</v>
      </c>
      <c r="N995" s="11">
        <v>15853.0</v>
      </c>
      <c r="O995" s="13" t="s">
        <v>761</v>
      </c>
      <c r="P995" s="11">
        <v>0.0</v>
      </c>
      <c r="Q995" s="14">
        <v>0.0</v>
      </c>
      <c r="R995" s="11">
        <v>0.0</v>
      </c>
      <c r="S995">
        <f t="shared" si="1"/>
        <v>2017</v>
      </c>
      <c r="T995">
        <f t="shared" si="2"/>
        <v>9</v>
      </c>
      <c r="U995">
        <f t="shared" si="3"/>
        <v>19</v>
      </c>
      <c r="AG995" s="15"/>
      <c r="AH995" s="16"/>
      <c r="AM995" s="15"/>
      <c r="AN995" s="16"/>
    </row>
    <row r="996">
      <c r="A996" s="13" t="s">
        <v>1997</v>
      </c>
      <c r="B996" s="10">
        <v>42992.0</v>
      </c>
      <c r="C996" s="11" t="s">
        <v>49</v>
      </c>
      <c r="D996" s="11" t="s">
        <v>38</v>
      </c>
      <c r="E996" s="11" t="s">
        <v>270</v>
      </c>
      <c r="F996" s="11" t="s">
        <v>40</v>
      </c>
      <c r="G996" s="11" t="s">
        <v>45</v>
      </c>
      <c r="H996" s="11" t="s">
        <v>59</v>
      </c>
      <c r="I996" s="11" t="s">
        <v>1998</v>
      </c>
      <c r="J996" s="11">
        <v>28.0</v>
      </c>
      <c r="K996" s="12"/>
      <c r="L996" s="12"/>
      <c r="M996" s="11">
        <v>608061.0</v>
      </c>
      <c r="N996" s="11">
        <v>12495.0</v>
      </c>
      <c r="O996" s="13" t="s">
        <v>761</v>
      </c>
      <c r="P996" s="11">
        <v>0.0</v>
      </c>
      <c r="Q996" s="14">
        <v>0.0</v>
      </c>
      <c r="R996" s="11">
        <v>0.0</v>
      </c>
      <c r="S996">
        <f t="shared" si="1"/>
        <v>2017</v>
      </c>
      <c r="T996">
        <f t="shared" si="2"/>
        <v>9</v>
      </c>
      <c r="U996">
        <f t="shared" si="3"/>
        <v>14</v>
      </c>
      <c r="Z996" s="17">
        <v>43286.0</v>
      </c>
      <c r="AA996" s="17">
        <v>43297.0</v>
      </c>
      <c r="AB996" s="13" t="s">
        <v>1999</v>
      </c>
      <c r="AG996" s="15"/>
      <c r="AH996" s="16"/>
      <c r="AM996" s="15"/>
      <c r="AN996" s="16"/>
    </row>
    <row r="997">
      <c r="A997" s="13" t="s">
        <v>2000</v>
      </c>
      <c r="B997" s="10">
        <v>42984.0</v>
      </c>
      <c r="C997" s="11" t="s">
        <v>62</v>
      </c>
      <c r="D997" s="11" t="s">
        <v>77</v>
      </c>
      <c r="E997" s="11" t="s">
        <v>39</v>
      </c>
      <c r="F997" s="11" t="s">
        <v>40</v>
      </c>
      <c r="G997" s="11" t="s">
        <v>45</v>
      </c>
      <c r="H997" s="11" t="s">
        <v>73</v>
      </c>
      <c r="I997" s="11" t="s">
        <v>2001</v>
      </c>
      <c r="J997" s="11">
        <v>24.0</v>
      </c>
      <c r="K997" s="12">
        <v>43559.0</v>
      </c>
      <c r="L997" s="11">
        <f>ROUND(((K997-B997)/365)*12,0)</f>
        <v>19</v>
      </c>
      <c r="M997" s="11">
        <v>656322.0</v>
      </c>
      <c r="N997" s="11">
        <v>17264.0</v>
      </c>
      <c r="O997" s="13"/>
      <c r="P997" s="11">
        <v>0.0</v>
      </c>
      <c r="Q997" s="14">
        <v>0.0</v>
      </c>
      <c r="R997" s="11">
        <v>1.0</v>
      </c>
      <c r="S997">
        <f t="shared" si="1"/>
        <v>2017</v>
      </c>
      <c r="T997">
        <f t="shared" si="2"/>
        <v>9</v>
      </c>
      <c r="U997">
        <f t="shared" si="3"/>
        <v>6</v>
      </c>
      <c r="Z997" s="17">
        <v>43311.0</v>
      </c>
      <c r="AG997" s="15"/>
      <c r="AH997" s="16"/>
      <c r="AM997" s="15"/>
      <c r="AN997" s="16"/>
    </row>
    <row r="998">
      <c r="A998" s="13" t="s">
        <v>2002</v>
      </c>
      <c r="B998" s="10">
        <v>42979.0</v>
      </c>
      <c r="C998" s="11" t="s">
        <v>49</v>
      </c>
      <c r="D998" s="11" t="s">
        <v>97</v>
      </c>
      <c r="E998" s="11" t="s">
        <v>39</v>
      </c>
      <c r="F998" s="11" t="s">
        <v>40</v>
      </c>
      <c r="G998" s="11" t="s">
        <v>45</v>
      </c>
      <c r="H998" s="11" t="s">
        <v>84</v>
      </c>
      <c r="I998" s="11" t="s">
        <v>2003</v>
      </c>
      <c r="J998" s="11">
        <v>22.0</v>
      </c>
      <c r="K998" s="12"/>
      <c r="L998" s="11"/>
      <c r="M998" s="11">
        <v>663998.0</v>
      </c>
      <c r="N998" s="11" t="s">
        <v>2004</v>
      </c>
      <c r="O998" s="13"/>
      <c r="P998" s="11">
        <v>0.0</v>
      </c>
      <c r="Q998" s="14">
        <v>0.0</v>
      </c>
      <c r="R998" s="11">
        <v>0.0</v>
      </c>
      <c r="S998">
        <f t="shared" si="1"/>
        <v>2017</v>
      </c>
      <c r="T998">
        <f t="shared" si="2"/>
        <v>9</v>
      </c>
      <c r="U998">
        <f t="shared" si="3"/>
        <v>1</v>
      </c>
      <c r="AG998" s="15"/>
      <c r="AH998" s="16"/>
      <c r="AM998" s="15"/>
      <c r="AN998" s="16"/>
    </row>
    <row r="999">
      <c r="A999" s="13" t="s">
        <v>2005</v>
      </c>
      <c r="B999" s="10">
        <v>42977.0</v>
      </c>
      <c r="C999" s="11" t="s">
        <v>49</v>
      </c>
      <c r="D999" s="11" t="s">
        <v>709</v>
      </c>
      <c r="E999" s="11" t="s">
        <v>39</v>
      </c>
      <c r="F999" s="11" t="s">
        <v>40</v>
      </c>
      <c r="G999" s="11" t="s">
        <v>41</v>
      </c>
      <c r="H999" s="11"/>
      <c r="I999" s="11"/>
      <c r="J999" s="11">
        <v>23.0</v>
      </c>
      <c r="K999" s="12"/>
      <c r="L999" s="12"/>
      <c r="M999" s="11">
        <v>664286.0</v>
      </c>
      <c r="N999" s="11" t="s">
        <v>2006</v>
      </c>
      <c r="O999" s="13" t="s">
        <v>1407</v>
      </c>
      <c r="P999" s="11">
        <v>0.0</v>
      </c>
      <c r="Q999" s="14">
        <v>0.0</v>
      </c>
      <c r="R999" s="11">
        <v>0.0</v>
      </c>
      <c r="S999">
        <f t="shared" si="1"/>
        <v>2017</v>
      </c>
      <c r="T999">
        <f t="shared" si="2"/>
        <v>8</v>
      </c>
      <c r="U999">
        <f t="shared" si="3"/>
        <v>30</v>
      </c>
      <c r="AG999" s="15"/>
      <c r="AH999" s="16"/>
      <c r="AM999" s="15"/>
      <c r="AN999" s="16"/>
    </row>
    <row r="1000">
      <c r="A1000" s="13" t="s">
        <v>587</v>
      </c>
      <c r="B1000" s="10">
        <v>42977.0</v>
      </c>
      <c r="C1000" s="11" t="s">
        <v>83</v>
      </c>
      <c r="D1000" s="11" t="s">
        <v>38</v>
      </c>
      <c r="E1000" s="11" t="s">
        <v>39</v>
      </c>
      <c r="F1000" s="11" t="s">
        <v>40</v>
      </c>
      <c r="G1000" s="11" t="s">
        <v>45</v>
      </c>
      <c r="H1000" s="11" t="s">
        <v>74</v>
      </c>
      <c r="I1000" s="11" t="s">
        <v>588</v>
      </c>
      <c r="J1000" s="11">
        <v>27.0</v>
      </c>
      <c r="K1000" s="12">
        <v>43554.0</v>
      </c>
      <c r="L1000" s="11">
        <f t="shared" ref="L1000:L1006" si="101">ROUND(((K1000-B1000)/365)*12,0)</f>
        <v>19</v>
      </c>
      <c r="M1000" s="11">
        <v>572096.0</v>
      </c>
      <c r="N1000" s="11">
        <v>10745.0</v>
      </c>
      <c r="O1000" s="13" t="s">
        <v>69</v>
      </c>
      <c r="P1000" s="11">
        <v>0.0</v>
      </c>
      <c r="Q1000" s="14">
        <v>0.0</v>
      </c>
      <c r="R1000" s="11">
        <v>1.0</v>
      </c>
      <c r="S1000">
        <f t="shared" si="1"/>
        <v>2017</v>
      </c>
      <c r="T1000">
        <f t="shared" si="2"/>
        <v>8</v>
      </c>
      <c r="U1000">
        <f t="shared" si="3"/>
        <v>30</v>
      </c>
      <c r="AG1000" s="15"/>
      <c r="AH1000" s="16"/>
      <c r="AM1000" s="15"/>
      <c r="AN1000" s="16"/>
    </row>
    <row r="1001">
      <c r="A1001" s="13" t="s">
        <v>2007</v>
      </c>
      <c r="B1001" s="10">
        <v>42976.0</v>
      </c>
      <c r="C1001" s="11" t="s">
        <v>126</v>
      </c>
      <c r="D1001" s="11" t="s">
        <v>38</v>
      </c>
      <c r="E1001" s="11" t="s">
        <v>39</v>
      </c>
      <c r="F1001" s="11" t="s">
        <v>64</v>
      </c>
      <c r="G1001" s="11" t="s">
        <v>45</v>
      </c>
      <c r="H1001" s="11" t="s">
        <v>243</v>
      </c>
      <c r="I1001" s="11" t="s">
        <v>654</v>
      </c>
      <c r="J1001" s="11">
        <v>29.0</v>
      </c>
      <c r="K1001" s="12">
        <v>43585.0</v>
      </c>
      <c r="L1001" s="11">
        <f t="shared" si="101"/>
        <v>20</v>
      </c>
      <c r="M1001" s="11">
        <v>594795.0</v>
      </c>
      <c r="N1001" s="11">
        <v>11203.0</v>
      </c>
      <c r="O1001" s="13" t="s">
        <v>69</v>
      </c>
      <c r="P1001" s="11">
        <v>0.0</v>
      </c>
      <c r="Q1001" s="14">
        <v>0.0</v>
      </c>
      <c r="R1001" s="11">
        <v>1.0</v>
      </c>
      <c r="S1001">
        <f t="shared" si="1"/>
        <v>2017</v>
      </c>
      <c r="T1001">
        <f t="shared" si="2"/>
        <v>8</v>
      </c>
      <c r="U1001">
        <f t="shared" si="3"/>
        <v>29</v>
      </c>
      <c r="Z1001" s="17">
        <v>43562.0</v>
      </c>
      <c r="AG1001" s="15"/>
      <c r="AH1001" s="16"/>
      <c r="AM1001" s="15"/>
      <c r="AN1001" s="16"/>
    </row>
    <row r="1002">
      <c r="A1002" s="13" t="s">
        <v>2008</v>
      </c>
      <c r="B1002" s="10">
        <v>42976.0</v>
      </c>
      <c r="C1002" s="11" t="s">
        <v>49</v>
      </c>
      <c r="D1002" s="11" t="s">
        <v>88</v>
      </c>
      <c r="E1002" s="11" t="s">
        <v>39</v>
      </c>
      <c r="F1002" s="11" t="s">
        <v>40</v>
      </c>
      <c r="G1002" s="11" t="s">
        <v>45</v>
      </c>
      <c r="H1002" s="11" t="s">
        <v>84</v>
      </c>
      <c r="I1002" s="11"/>
      <c r="J1002" s="11">
        <v>21.0</v>
      </c>
      <c r="K1002" s="12">
        <v>44371.0</v>
      </c>
      <c r="L1002" s="11">
        <f t="shared" si="101"/>
        <v>46</v>
      </c>
      <c r="M1002" s="11">
        <v>664990.0</v>
      </c>
      <c r="N1002" s="11" t="s">
        <v>2009</v>
      </c>
      <c r="O1002" s="13"/>
      <c r="P1002" s="11">
        <v>0.0</v>
      </c>
      <c r="Q1002" s="14">
        <v>0.0</v>
      </c>
      <c r="R1002" s="11">
        <v>1.0</v>
      </c>
      <c r="S1002">
        <f t="shared" si="1"/>
        <v>2017</v>
      </c>
      <c r="T1002">
        <f t="shared" si="2"/>
        <v>8</v>
      </c>
      <c r="U1002">
        <f t="shared" si="3"/>
        <v>29</v>
      </c>
      <c r="Z1002" s="17">
        <v>43646.0</v>
      </c>
      <c r="AG1002" s="15"/>
      <c r="AH1002" s="16"/>
      <c r="AM1002" s="15"/>
      <c r="AN1002" s="16"/>
    </row>
    <row r="1003">
      <c r="A1003" s="13" t="s">
        <v>2010</v>
      </c>
      <c r="B1003" s="17">
        <v>42970.0</v>
      </c>
      <c r="C1003" s="11" t="s">
        <v>55</v>
      </c>
      <c r="D1003" s="11" t="s">
        <v>93</v>
      </c>
      <c r="E1003" s="11" t="s">
        <v>39</v>
      </c>
      <c r="F1003" s="11" t="s">
        <v>40</v>
      </c>
      <c r="G1003" s="11" t="s">
        <v>45</v>
      </c>
      <c r="H1003" s="11" t="s">
        <v>182</v>
      </c>
      <c r="I1003" s="11" t="s">
        <v>179</v>
      </c>
      <c r="J1003" s="11">
        <v>21.0</v>
      </c>
      <c r="K1003" s="12">
        <v>43567.0</v>
      </c>
      <c r="L1003" s="11">
        <f t="shared" si="101"/>
        <v>20</v>
      </c>
      <c r="M1003" s="11">
        <v>656876.0</v>
      </c>
      <c r="N1003" s="11">
        <v>25385.0</v>
      </c>
      <c r="O1003" s="13" t="s">
        <v>42</v>
      </c>
      <c r="P1003" s="11">
        <v>0.0</v>
      </c>
      <c r="Q1003" s="14">
        <v>0.0</v>
      </c>
      <c r="R1003" s="11">
        <v>1.0</v>
      </c>
      <c r="S1003">
        <f t="shared" si="1"/>
        <v>2017</v>
      </c>
      <c r="T1003">
        <f t="shared" si="2"/>
        <v>8</v>
      </c>
      <c r="U1003">
        <f t="shared" si="3"/>
        <v>23</v>
      </c>
      <c r="AG1003" s="15"/>
      <c r="AH1003" s="16"/>
      <c r="AM1003" s="15"/>
      <c r="AN1003" s="16"/>
    </row>
    <row r="1004">
      <c r="A1004" s="13" t="s">
        <v>2011</v>
      </c>
      <c r="B1004" s="10">
        <v>42969.0</v>
      </c>
      <c r="C1004" s="11" t="s">
        <v>101</v>
      </c>
      <c r="D1004" s="11" t="s">
        <v>58</v>
      </c>
      <c r="E1004" s="11" t="s">
        <v>39</v>
      </c>
      <c r="F1004" s="11" t="s">
        <v>40</v>
      </c>
      <c r="G1004" s="11" t="s">
        <v>41</v>
      </c>
      <c r="H1004" s="11"/>
      <c r="I1004" s="11"/>
      <c r="J1004" s="11">
        <v>28.0</v>
      </c>
      <c r="K1004" s="12">
        <v>43560.0</v>
      </c>
      <c r="L1004" s="11">
        <f t="shared" si="101"/>
        <v>19</v>
      </c>
      <c r="M1004" s="11">
        <v>523989.0</v>
      </c>
      <c r="N1004" s="11">
        <v>3862.0</v>
      </c>
      <c r="O1004" s="13" t="s">
        <v>761</v>
      </c>
      <c r="P1004" s="11">
        <v>0.0</v>
      </c>
      <c r="Q1004" s="14">
        <v>0.0</v>
      </c>
      <c r="R1004" s="11">
        <v>1.0</v>
      </c>
      <c r="S1004">
        <f t="shared" si="1"/>
        <v>2017</v>
      </c>
      <c r="T1004">
        <f t="shared" si="2"/>
        <v>8</v>
      </c>
      <c r="U1004">
        <f t="shared" si="3"/>
        <v>22</v>
      </c>
      <c r="Z1004" s="17">
        <v>43523.0</v>
      </c>
      <c r="AG1004" s="15"/>
      <c r="AH1004" s="16"/>
      <c r="AM1004" s="15"/>
      <c r="AN1004" s="16"/>
    </row>
    <row r="1005">
      <c r="A1005" s="13" t="s">
        <v>166</v>
      </c>
      <c r="B1005" s="10">
        <v>42969.0</v>
      </c>
      <c r="C1005" s="11" t="s">
        <v>167</v>
      </c>
      <c r="D1005" s="11" t="s">
        <v>88</v>
      </c>
      <c r="E1005" s="11" t="s">
        <v>39</v>
      </c>
      <c r="F1005" s="11" t="s">
        <v>64</v>
      </c>
      <c r="G1005" s="11" t="s">
        <v>45</v>
      </c>
      <c r="H1005" s="11" t="s">
        <v>159</v>
      </c>
      <c r="I1005" s="11"/>
      <c r="J1005" s="11">
        <v>21.0</v>
      </c>
      <c r="K1005" s="12">
        <v>43310.0</v>
      </c>
      <c r="L1005" s="11">
        <f t="shared" si="101"/>
        <v>11</v>
      </c>
      <c r="M1005" s="11">
        <v>657006.0</v>
      </c>
      <c r="N1005" s="11">
        <v>17312.0</v>
      </c>
      <c r="O1005" s="13"/>
      <c r="P1005" s="11">
        <v>0.0</v>
      </c>
      <c r="Q1005" s="14">
        <v>0.0</v>
      </c>
      <c r="R1005" s="11">
        <v>1.0</v>
      </c>
      <c r="S1005">
        <f t="shared" si="1"/>
        <v>2017</v>
      </c>
      <c r="T1005">
        <f t="shared" si="2"/>
        <v>8</v>
      </c>
      <c r="U1005">
        <f t="shared" si="3"/>
        <v>22</v>
      </c>
      <c r="Z1005" s="17">
        <v>43284.0</v>
      </c>
      <c r="AG1005" s="15"/>
      <c r="AH1005" s="16"/>
      <c r="AM1005" s="15"/>
      <c r="AN1005" s="16"/>
    </row>
    <row r="1006">
      <c r="A1006" s="13" t="s">
        <v>2012</v>
      </c>
      <c r="B1006" s="10">
        <v>42962.0</v>
      </c>
      <c r="C1006" s="11" t="s">
        <v>150</v>
      </c>
      <c r="D1006" s="11" t="s">
        <v>221</v>
      </c>
      <c r="E1006" s="11" t="s">
        <v>39</v>
      </c>
      <c r="F1006" s="11" t="s">
        <v>40</v>
      </c>
      <c r="G1006" s="11" t="s">
        <v>45</v>
      </c>
      <c r="H1006" s="11" t="s">
        <v>67</v>
      </c>
      <c r="I1006" s="11"/>
      <c r="J1006" s="11">
        <v>19.0</v>
      </c>
      <c r="K1006" s="12">
        <v>43563.0</v>
      </c>
      <c r="L1006" s="11">
        <f t="shared" si="101"/>
        <v>20</v>
      </c>
      <c r="M1006" s="11">
        <v>666151.0</v>
      </c>
      <c r="N1006" s="11" t="s">
        <v>2013</v>
      </c>
      <c r="O1006" s="13" t="s">
        <v>69</v>
      </c>
      <c r="P1006" s="11">
        <v>0.0</v>
      </c>
      <c r="Q1006" s="14">
        <v>0.0</v>
      </c>
      <c r="R1006" s="11">
        <v>1.0</v>
      </c>
      <c r="S1006">
        <f t="shared" si="1"/>
        <v>2017</v>
      </c>
      <c r="T1006">
        <f t="shared" si="2"/>
        <v>8</v>
      </c>
      <c r="U1006">
        <f t="shared" si="3"/>
        <v>15</v>
      </c>
      <c r="W1006" s="17">
        <v>43288.0</v>
      </c>
      <c r="Z1006" s="17">
        <v>43563.0</v>
      </c>
      <c r="AG1006" s="15"/>
      <c r="AH1006" s="16"/>
      <c r="AM1006" s="15"/>
      <c r="AN1006" s="16"/>
    </row>
    <row r="1007">
      <c r="A1007" s="19" t="s">
        <v>2014</v>
      </c>
      <c r="B1007" s="29">
        <v>42961.0</v>
      </c>
      <c r="C1007" s="21" t="s">
        <v>186</v>
      </c>
      <c r="D1007" s="21" t="s">
        <v>88</v>
      </c>
      <c r="E1007" s="21" t="s">
        <v>39</v>
      </c>
      <c r="F1007" s="21" t="s">
        <v>40</v>
      </c>
      <c r="G1007" s="21" t="s">
        <v>45</v>
      </c>
      <c r="H1007" s="21" t="s">
        <v>74</v>
      </c>
      <c r="I1007" s="21" t="s">
        <v>74</v>
      </c>
      <c r="J1007" s="21">
        <v>23.0</v>
      </c>
      <c r="K1007" s="22">
        <v>43559.0</v>
      </c>
      <c r="L1007" s="19"/>
      <c r="M1007" s="21">
        <v>664126.0</v>
      </c>
      <c r="N1007" s="21">
        <v>17998.0</v>
      </c>
      <c r="O1007" s="19"/>
      <c r="P1007" s="21">
        <v>0.0</v>
      </c>
      <c r="Q1007" s="23">
        <v>0.0</v>
      </c>
      <c r="R1007" s="21">
        <v>1.0</v>
      </c>
      <c r="S1007" s="33">
        <f t="shared" si="1"/>
        <v>2017</v>
      </c>
      <c r="T1007" s="33">
        <f t="shared" si="2"/>
        <v>8</v>
      </c>
      <c r="U1007" s="33">
        <f t="shared" si="3"/>
        <v>14</v>
      </c>
      <c r="V1007" s="24"/>
      <c r="W1007" s="24"/>
      <c r="X1007" s="24"/>
      <c r="Y1007" s="24"/>
      <c r="Z1007" s="25">
        <v>43559.0</v>
      </c>
      <c r="AA1007" s="24"/>
      <c r="AB1007" s="24"/>
      <c r="AC1007" s="24"/>
      <c r="AD1007" s="24"/>
      <c r="AE1007" s="24"/>
      <c r="AF1007" s="24"/>
      <c r="AG1007" s="26"/>
      <c r="AH1007" s="27"/>
      <c r="AI1007" s="24"/>
      <c r="AJ1007" s="24"/>
      <c r="AK1007" s="24"/>
      <c r="AL1007" s="24"/>
      <c r="AM1007" s="26"/>
      <c r="AN1007" s="27"/>
      <c r="AO1007" s="24"/>
      <c r="AP1007" s="24"/>
    </row>
    <row r="1008">
      <c r="A1008" s="13" t="s">
        <v>2015</v>
      </c>
      <c r="B1008" s="10">
        <v>42951.0</v>
      </c>
      <c r="C1008" s="11" t="s">
        <v>37</v>
      </c>
      <c r="D1008" s="11" t="s">
        <v>38</v>
      </c>
      <c r="E1008" s="11" t="s">
        <v>39</v>
      </c>
      <c r="F1008" s="11" t="s">
        <v>40</v>
      </c>
      <c r="G1008" s="11" t="s">
        <v>41</v>
      </c>
      <c r="H1008" s="11"/>
      <c r="I1008" s="11"/>
      <c r="J1008" s="11">
        <v>33.0</v>
      </c>
      <c r="K1008" s="12">
        <v>43554.0</v>
      </c>
      <c r="L1008" s="11">
        <f>ROUND(((K1008-B1008)/365)*12,0)</f>
        <v>20</v>
      </c>
      <c r="M1008" s="11">
        <v>450172.0</v>
      </c>
      <c r="N1008" s="11">
        <v>3990.0</v>
      </c>
      <c r="O1008" s="13" t="s">
        <v>355</v>
      </c>
      <c r="P1008" s="11">
        <v>0.0</v>
      </c>
      <c r="Q1008" s="14">
        <v>0.0</v>
      </c>
      <c r="R1008" s="11">
        <v>1.0</v>
      </c>
      <c r="S1008">
        <f t="shared" si="1"/>
        <v>2017</v>
      </c>
      <c r="T1008">
        <f t="shared" si="2"/>
        <v>8</v>
      </c>
      <c r="U1008">
        <f t="shared" si="3"/>
        <v>4</v>
      </c>
      <c r="AG1008" s="15"/>
      <c r="AH1008" s="16"/>
      <c r="AM1008" s="15"/>
      <c r="AN1008" s="16"/>
    </row>
    <row r="1009">
      <c r="A1009" s="13" t="s">
        <v>2016</v>
      </c>
      <c r="B1009" s="10">
        <v>42950.0</v>
      </c>
      <c r="C1009" s="11" t="s">
        <v>55</v>
      </c>
      <c r="D1009" s="11" t="s">
        <v>221</v>
      </c>
      <c r="E1009" s="11" t="s">
        <v>39</v>
      </c>
      <c r="F1009" s="11" t="s">
        <v>64</v>
      </c>
      <c r="G1009" s="11" t="s">
        <v>53</v>
      </c>
      <c r="H1009" s="11"/>
      <c r="I1009" s="11"/>
      <c r="J1009" s="11">
        <v>18.0</v>
      </c>
      <c r="K1009" s="12"/>
      <c r="L1009" s="12"/>
      <c r="M1009" s="11">
        <v>668551.0</v>
      </c>
      <c r="N1009" s="11" t="s">
        <v>2017</v>
      </c>
      <c r="O1009" s="13"/>
      <c r="P1009" s="11">
        <v>0.0</v>
      </c>
      <c r="Q1009" s="14">
        <v>0.0</v>
      </c>
      <c r="R1009" s="11">
        <v>0.0</v>
      </c>
      <c r="S1009">
        <f t="shared" si="1"/>
        <v>2017</v>
      </c>
      <c r="T1009">
        <f t="shared" si="2"/>
        <v>8</v>
      </c>
      <c r="U1009">
        <f t="shared" si="3"/>
        <v>3</v>
      </c>
      <c r="AG1009" s="15"/>
      <c r="AH1009" s="16"/>
      <c r="AM1009" s="15"/>
      <c r="AN1009" s="16"/>
    </row>
    <row r="1010">
      <c r="A1010" s="13" t="s">
        <v>2018</v>
      </c>
      <c r="B1010" s="10">
        <v>42948.0</v>
      </c>
      <c r="C1010" s="11" t="s">
        <v>126</v>
      </c>
      <c r="D1010" s="11" t="s">
        <v>58</v>
      </c>
      <c r="E1010" s="11" t="s">
        <v>118</v>
      </c>
      <c r="F1010" s="11" t="s">
        <v>40</v>
      </c>
      <c r="G1010" s="11" t="s">
        <v>45</v>
      </c>
      <c r="H1010" s="11" t="s">
        <v>56</v>
      </c>
      <c r="I1010" s="11" t="s">
        <v>669</v>
      </c>
      <c r="J1010" s="11">
        <v>28.0</v>
      </c>
      <c r="K1010" s="12">
        <v>44061.0</v>
      </c>
      <c r="L1010" s="11">
        <f t="shared" ref="L1010:L1015" si="102">ROUND(((K1010-B1010)/365)*12,0)</f>
        <v>37</v>
      </c>
      <c r="M1010" s="11">
        <v>518649.0</v>
      </c>
      <c r="N1010" s="11">
        <v>11369.0</v>
      </c>
      <c r="O1010" s="13" t="s">
        <v>42</v>
      </c>
      <c r="P1010" s="11">
        <v>0.0</v>
      </c>
      <c r="Q1010" s="14">
        <v>0.0</v>
      </c>
      <c r="R1010" s="11">
        <v>1.0</v>
      </c>
      <c r="S1010">
        <f t="shared" si="1"/>
        <v>2017</v>
      </c>
      <c r="T1010">
        <f t="shared" si="2"/>
        <v>8</v>
      </c>
      <c r="U1010">
        <f t="shared" si="3"/>
        <v>1</v>
      </c>
      <c r="Z1010" s="17">
        <v>43305.0</v>
      </c>
      <c r="AG1010" s="15"/>
      <c r="AH1010" s="16"/>
      <c r="AM1010" s="15"/>
      <c r="AN1010" s="16"/>
    </row>
    <row r="1011">
      <c r="A1011" s="13" t="s">
        <v>2019</v>
      </c>
      <c r="B1011" s="10">
        <v>42948.0</v>
      </c>
      <c r="C1011" s="11" t="s">
        <v>103</v>
      </c>
      <c r="D1011" s="11" t="s">
        <v>93</v>
      </c>
      <c r="E1011" s="11" t="s">
        <v>39</v>
      </c>
      <c r="F1011" s="11" t="s">
        <v>40</v>
      </c>
      <c r="G1011" s="11" t="s">
        <v>45</v>
      </c>
      <c r="H1011" s="11" t="s">
        <v>67</v>
      </c>
      <c r="I1011" s="37" t="s">
        <v>373</v>
      </c>
      <c r="J1011" s="11">
        <v>22.0</v>
      </c>
      <c r="K1011" s="12">
        <v>43562.0</v>
      </c>
      <c r="L1011" s="11">
        <f t="shared" si="102"/>
        <v>20</v>
      </c>
      <c r="M1011" s="11">
        <v>682489.0</v>
      </c>
      <c r="N1011" s="11" t="s">
        <v>2020</v>
      </c>
      <c r="O1011" s="13" t="s">
        <v>69</v>
      </c>
      <c r="P1011" s="11">
        <v>0.0</v>
      </c>
      <c r="Q1011" s="14">
        <v>0.0</v>
      </c>
      <c r="R1011" s="11">
        <v>1.0</v>
      </c>
      <c r="S1011">
        <f t="shared" si="1"/>
        <v>2017</v>
      </c>
      <c r="T1011">
        <f t="shared" si="2"/>
        <v>8</v>
      </c>
      <c r="U1011">
        <f t="shared" si="3"/>
        <v>1</v>
      </c>
      <c r="AG1011" s="15"/>
      <c r="AH1011" s="16"/>
      <c r="AM1011" s="15"/>
      <c r="AN1011" s="16"/>
    </row>
    <row r="1012">
      <c r="A1012" s="13" t="s">
        <v>1609</v>
      </c>
      <c r="B1012" s="10">
        <v>42947.0</v>
      </c>
      <c r="C1012" s="11" t="s">
        <v>175</v>
      </c>
      <c r="D1012" s="11" t="s">
        <v>97</v>
      </c>
      <c r="E1012" s="11" t="s">
        <v>39</v>
      </c>
      <c r="F1012" s="11" t="s">
        <v>40</v>
      </c>
      <c r="G1012" s="11" t="s">
        <v>53</v>
      </c>
      <c r="H1012" s="11"/>
      <c r="I1012" s="11"/>
      <c r="J1012" s="11">
        <v>19.0</v>
      </c>
      <c r="K1012" s="12">
        <v>44322.0</v>
      </c>
      <c r="L1012" s="11">
        <f t="shared" si="102"/>
        <v>45</v>
      </c>
      <c r="M1012" s="11">
        <v>659262.0</v>
      </c>
      <c r="N1012" s="11">
        <v>18593.0</v>
      </c>
      <c r="O1012" s="13" t="s">
        <v>42</v>
      </c>
      <c r="P1012" s="11">
        <v>0.0</v>
      </c>
      <c r="Q1012" s="14">
        <v>0.0</v>
      </c>
      <c r="R1012" s="11">
        <v>1.0</v>
      </c>
      <c r="S1012">
        <f t="shared" si="1"/>
        <v>2017</v>
      </c>
      <c r="T1012">
        <f t="shared" si="2"/>
        <v>7</v>
      </c>
      <c r="U1012">
        <f t="shared" si="3"/>
        <v>31</v>
      </c>
      <c r="Z1012" s="17">
        <v>43542.0</v>
      </c>
      <c r="AG1012" s="15"/>
      <c r="AH1012" s="16"/>
      <c r="AM1012" s="15"/>
      <c r="AN1012" s="16"/>
    </row>
    <row r="1013">
      <c r="A1013" s="13" t="s">
        <v>2021</v>
      </c>
      <c r="B1013" s="10">
        <v>42943.0</v>
      </c>
      <c r="C1013" s="11" t="s">
        <v>143</v>
      </c>
      <c r="D1013" s="11" t="s">
        <v>58</v>
      </c>
      <c r="E1013" s="11" t="s">
        <v>39</v>
      </c>
      <c r="F1013" s="11" t="s">
        <v>40</v>
      </c>
      <c r="G1013" s="11" t="s">
        <v>45</v>
      </c>
      <c r="H1013" s="11" t="s">
        <v>73</v>
      </c>
      <c r="I1013" s="11" t="s">
        <v>746</v>
      </c>
      <c r="J1013" s="11">
        <v>22.0</v>
      </c>
      <c r="K1013" s="12">
        <v>44051.0</v>
      </c>
      <c r="L1013" s="11">
        <f t="shared" si="102"/>
        <v>36</v>
      </c>
      <c r="M1013" s="11">
        <v>641420.0</v>
      </c>
      <c r="N1013" s="11">
        <v>19159.0</v>
      </c>
      <c r="O1013" s="13" t="s">
        <v>761</v>
      </c>
      <c r="P1013" s="11">
        <v>0.0</v>
      </c>
      <c r="Q1013" s="14">
        <v>0.0</v>
      </c>
      <c r="R1013" s="11">
        <v>1.0</v>
      </c>
      <c r="S1013">
        <f t="shared" si="1"/>
        <v>2017</v>
      </c>
      <c r="T1013">
        <f t="shared" si="2"/>
        <v>7</v>
      </c>
      <c r="U1013">
        <f t="shared" si="3"/>
        <v>27</v>
      </c>
      <c r="V1013" s="17">
        <v>43113.0</v>
      </c>
      <c r="Z1013" s="17">
        <v>43316.0</v>
      </c>
      <c r="AG1013" s="15"/>
      <c r="AH1013" s="16"/>
      <c r="AM1013" s="15"/>
      <c r="AN1013" s="16"/>
    </row>
    <row r="1014">
      <c r="A1014" s="13" t="s">
        <v>2022</v>
      </c>
      <c r="B1014" s="10">
        <v>42942.0</v>
      </c>
      <c r="C1014" s="11" t="s">
        <v>49</v>
      </c>
      <c r="D1014" s="11" t="s">
        <v>97</v>
      </c>
      <c r="E1014" s="11" t="s">
        <v>39</v>
      </c>
      <c r="F1014" s="11" t="s">
        <v>40</v>
      </c>
      <c r="G1014" s="11" t="s">
        <v>45</v>
      </c>
      <c r="H1014" s="11" t="s">
        <v>652</v>
      </c>
      <c r="I1014" s="11" t="s">
        <v>2023</v>
      </c>
      <c r="J1014" s="11">
        <v>22.0</v>
      </c>
      <c r="K1014" s="12">
        <v>43582.0</v>
      </c>
      <c r="L1014" s="11">
        <f t="shared" si="102"/>
        <v>21</v>
      </c>
      <c r="M1014" s="11">
        <v>670138.0</v>
      </c>
      <c r="N1014" s="11" t="s">
        <v>2024</v>
      </c>
      <c r="O1014" s="13" t="s">
        <v>1407</v>
      </c>
      <c r="P1014" s="11">
        <v>0.0</v>
      </c>
      <c r="Q1014" s="14">
        <v>0.0</v>
      </c>
      <c r="R1014" s="11">
        <v>1.0</v>
      </c>
      <c r="S1014">
        <f t="shared" si="1"/>
        <v>2017</v>
      </c>
      <c r="T1014">
        <f t="shared" si="2"/>
        <v>7</v>
      </c>
      <c r="U1014">
        <f t="shared" si="3"/>
        <v>26</v>
      </c>
      <c r="Z1014" s="17">
        <v>43308.0</v>
      </c>
      <c r="AG1014" s="15"/>
      <c r="AH1014" s="16"/>
      <c r="AM1014" s="15"/>
      <c r="AN1014" s="16"/>
    </row>
    <row r="1015">
      <c r="A1015" s="19" t="s">
        <v>2025</v>
      </c>
      <c r="B1015" s="20">
        <v>42941.0</v>
      </c>
      <c r="C1015" s="21" t="s">
        <v>162</v>
      </c>
      <c r="D1015" s="21" t="s">
        <v>77</v>
      </c>
      <c r="E1015" s="21" t="s">
        <v>118</v>
      </c>
      <c r="F1015" s="21" t="s">
        <v>64</v>
      </c>
      <c r="G1015" s="21" t="s">
        <v>45</v>
      </c>
      <c r="H1015" s="21" t="s">
        <v>84</v>
      </c>
      <c r="I1015" s="21"/>
      <c r="J1015" s="21">
        <v>21.0</v>
      </c>
      <c r="K1015" s="32">
        <v>43195.0</v>
      </c>
      <c r="L1015" s="11">
        <f t="shared" si="102"/>
        <v>8</v>
      </c>
      <c r="M1015" s="21">
        <v>641802.0</v>
      </c>
      <c r="N1015" s="21" t="s">
        <v>2026</v>
      </c>
      <c r="O1015" s="19"/>
      <c r="P1015" s="21">
        <v>0.0</v>
      </c>
      <c r="Q1015" s="23">
        <v>0.0</v>
      </c>
      <c r="R1015" s="21">
        <v>1.0</v>
      </c>
      <c r="S1015" s="33">
        <f t="shared" si="1"/>
        <v>2017</v>
      </c>
      <c r="T1015" s="33">
        <f t="shared" si="2"/>
        <v>7</v>
      </c>
      <c r="U1015">
        <f t="shared" si="3"/>
        <v>25</v>
      </c>
      <c r="V1015" s="24"/>
      <c r="W1015" s="24"/>
      <c r="X1015" s="24"/>
      <c r="Y1015" s="24"/>
      <c r="Z1015" s="24"/>
      <c r="AA1015" s="24"/>
      <c r="AB1015" s="24"/>
      <c r="AC1015" s="24"/>
      <c r="AD1015" s="24"/>
      <c r="AE1015" s="24"/>
      <c r="AF1015" s="24"/>
      <c r="AG1015" s="26"/>
      <c r="AH1015" s="27"/>
      <c r="AI1015" s="24"/>
      <c r="AJ1015" s="24"/>
      <c r="AK1015" s="24"/>
      <c r="AL1015" s="24"/>
      <c r="AM1015" s="26"/>
      <c r="AN1015" s="27"/>
      <c r="AO1015" s="24"/>
      <c r="AP1015" s="24"/>
    </row>
    <row r="1016">
      <c r="A1016" s="13" t="s">
        <v>2027</v>
      </c>
      <c r="B1016" s="10">
        <v>42941.0</v>
      </c>
      <c r="C1016" s="11" t="s">
        <v>162</v>
      </c>
      <c r="D1016" s="11" t="s">
        <v>221</v>
      </c>
      <c r="E1016" s="11" t="s">
        <v>39</v>
      </c>
      <c r="F1016" s="11" t="s">
        <v>40</v>
      </c>
      <c r="G1016" s="11" t="s">
        <v>194</v>
      </c>
      <c r="H1016" s="11"/>
      <c r="I1016" s="11"/>
      <c r="J1016" s="11">
        <v>19.0</v>
      </c>
      <c r="K1016" s="12"/>
      <c r="L1016" s="12"/>
      <c r="M1016" s="11">
        <v>647332.0</v>
      </c>
      <c r="N1016" s="11" t="s">
        <v>2028</v>
      </c>
      <c r="O1016" s="13" t="s">
        <v>355</v>
      </c>
      <c r="P1016" s="11">
        <v>0.0</v>
      </c>
      <c r="Q1016" s="14">
        <v>0.0</v>
      </c>
      <c r="R1016" s="11">
        <v>0.0</v>
      </c>
      <c r="S1016">
        <f t="shared" si="1"/>
        <v>2017</v>
      </c>
      <c r="T1016">
        <f t="shared" si="2"/>
        <v>7</v>
      </c>
      <c r="U1016">
        <f t="shared" si="3"/>
        <v>25</v>
      </c>
      <c r="AG1016" s="15"/>
      <c r="AH1016" s="16"/>
      <c r="AM1016" s="15"/>
      <c r="AN1016" s="16"/>
    </row>
    <row r="1017">
      <c r="A1017" s="38" t="s">
        <v>2029</v>
      </c>
      <c r="B1017" s="20">
        <v>42940.0</v>
      </c>
      <c r="C1017" s="21" t="s">
        <v>186</v>
      </c>
      <c r="D1017" s="21" t="s">
        <v>58</v>
      </c>
      <c r="E1017" s="21" t="s">
        <v>39</v>
      </c>
      <c r="F1017" s="21" t="s">
        <v>40</v>
      </c>
      <c r="G1017" s="21" t="s">
        <v>45</v>
      </c>
      <c r="H1017" s="21" t="s">
        <v>84</v>
      </c>
      <c r="I1017" s="21" t="s">
        <v>2030</v>
      </c>
      <c r="J1017" s="21">
        <v>25.0</v>
      </c>
      <c r="K1017" s="12">
        <v>43563.0</v>
      </c>
      <c r="L1017" s="11">
        <f>ROUND(((K1017-B1017)/365)*12,0)</f>
        <v>20</v>
      </c>
      <c r="M1017" s="21">
        <v>592346.0</v>
      </c>
      <c r="N1017" s="21">
        <v>14663.0</v>
      </c>
      <c r="O1017" s="19" t="s">
        <v>42</v>
      </c>
      <c r="P1017" s="21">
        <v>0.0</v>
      </c>
      <c r="Q1017" s="23">
        <v>0.0</v>
      </c>
      <c r="R1017" s="21">
        <v>1.0</v>
      </c>
      <c r="S1017" s="33">
        <f t="shared" si="1"/>
        <v>2017</v>
      </c>
      <c r="T1017" s="33">
        <f t="shared" si="2"/>
        <v>7</v>
      </c>
      <c r="U1017">
        <f t="shared" si="3"/>
        <v>24</v>
      </c>
      <c r="V1017" s="24"/>
      <c r="W1017" s="24"/>
      <c r="X1017" s="24"/>
      <c r="Y1017" s="24"/>
      <c r="Z1017" s="34">
        <v>43329.0</v>
      </c>
      <c r="AA1017" s="24"/>
      <c r="AB1017" s="24"/>
      <c r="AC1017" s="24"/>
      <c r="AD1017" s="24"/>
      <c r="AE1017" s="24"/>
      <c r="AF1017" s="24"/>
      <c r="AG1017" s="26"/>
      <c r="AH1017" s="27"/>
      <c r="AI1017" s="24"/>
      <c r="AJ1017" s="24"/>
      <c r="AK1017" s="24"/>
      <c r="AL1017" s="24"/>
      <c r="AM1017" s="26"/>
      <c r="AN1017" s="27"/>
      <c r="AO1017" s="24"/>
      <c r="AP1017" s="24"/>
    </row>
    <row r="1018">
      <c r="A1018" s="13" t="s">
        <v>2031</v>
      </c>
      <c r="B1018" s="10">
        <v>42937.0</v>
      </c>
      <c r="C1018" s="11" t="s">
        <v>62</v>
      </c>
      <c r="D1018" s="11" t="s">
        <v>709</v>
      </c>
      <c r="E1018" s="11" t="s">
        <v>39</v>
      </c>
      <c r="F1018" s="11" t="s">
        <v>40</v>
      </c>
      <c r="G1018" s="11" t="s">
        <v>45</v>
      </c>
      <c r="H1018" s="11" t="s">
        <v>59</v>
      </c>
      <c r="I1018" s="11" t="s">
        <v>2032</v>
      </c>
      <c r="J1018" s="11">
        <v>20.0</v>
      </c>
      <c r="K1018" s="12"/>
      <c r="L1018" s="12"/>
      <c r="M1018" s="11">
        <v>676612.0</v>
      </c>
      <c r="N1018" s="11" t="s">
        <v>2033</v>
      </c>
      <c r="O1018" s="13"/>
      <c r="P1018" s="11">
        <v>0.0</v>
      </c>
      <c r="Q1018" s="14">
        <v>0.0</v>
      </c>
      <c r="R1018" s="11">
        <v>0.0</v>
      </c>
      <c r="S1018" s="33">
        <f t="shared" si="1"/>
        <v>2017</v>
      </c>
      <c r="T1018" s="33">
        <f t="shared" si="2"/>
        <v>7</v>
      </c>
      <c r="U1018">
        <f t="shared" si="3"/>
        <v>21</v>
      </c>
      <c r="V1018" s="17"/>
      <c r="Z1018" s="17">
        <v>43283.0</v>
      </c>
      <c r="AG1018" s="15"/>
      <c r="AH1018" s="16"/>
      <c r="AM1018" s="15"/>
      <c r="AN1018" s="16"/>
    </row>
    <row r="1019">
      <c r="A1019" s="13" t="s">
        <v>2034</v>
      </c>
      <c r="B1019" s="10">
        <v>42935.0</v>
      </c>
      <c r="C1019" s="11" t="s">
        <v>49</v>
      </c>
      <c r="D1019" s="11" t="s">
        <v>97</v>
      </c>
      <c r="E1019" s="11" t="s">
        <v>39</v>
      </c>
      <c r="F1019" s="11" t="s">
        <v>64</v>
      </c>
      <c r="G1019" s="11" t="s">
        <v>45</v>
      </c>
      <c r="H1019" s="11" t="s">
        <v>84</v>
      </c>
      <c r="I1019" s="11"/>
      <c r="J1019" s="11">
        <v>21.0</v>
      </c>
      <c r="K1019" s="12">
        <v>43563.0</v>
      </c>
      <c r="L1019" s="11">
        <f t="shared" ref="L1019:L1021" si="103">ROUND(((K1019-B1019)/365)*12,0)</f>
        <v>21</v>
      </c>
      <c r="M1019" s="11">
        <v>663378.0</v>
      </c>
      <c r="N1019" s="11">
        <v>21065.0</v>
      </c>
      <c r="O1019" s="13"/>
      <c r="P1019" s="11">
        <v>0.0</v>
      </c>
      <c r="Q1019" s="14">
        <v>0.0</v>
      </c>
      <c r="R1019" s="11">
        <v>1.0</v>
      </c>
      <c r="S1019">
        <f t="shared" si="1"/>
        <v>2017</v>
      </c>
      <c r="T1019">
        <f t="shared" si="2"/>
        <v>7</v>
      </c>
      <c r="U1019">
        <f t="shared" si="3"/>
        <v>19</v>
      </c>
      <c r="Z1019" s="17">
        <v>43563.0</v>
      </c>
      <c r="AG1019" s="15"/>
      <c r="AH1019" s="16"/>
      <c r="AM1019" s="15"/>
      <c r="AN1019" s="16"/>
    </row>
    <row r="1020">
      <c r="A1020" s="13" t="s">
        <v>805</v>
      </c>
      <c r="B1020" s="10">
        <v>42935.0</v>
      </c>
      <c r="C1020" s="11" t="s">
        <v>76</v>
      </c>
      <c r="D1020" s="11" t="s">
        <v>38</v>
      </c>
      <c r="E1020" s="11" t="s">
        <v>39</v>
      </c>
      <c r="F1020" s="11" t="s">
        <v>40</v>
      </c>
      <c r="G1020" s="11" t="s">
        <v>45</v>
      </c>
      <c r="H1020" s="11" t="s">
        <v>67</v>
      </c>
      <c r="I1020" s="11"/>
      <c r="J1020" s="11">
        <v>24.0</v>
      </c>
      <c r="K1020" s="12">
        <v>43356.0</v>
      </c>
      <c r="L1020" s="11">
        <f t="shared" si="103"/>
        <v>14</v>
      </c>
      <c r="M1020" s="11">
        <v>605452.0</v>
      </c>
      <c r="N1020" s="11">
        <v>12972.0</v>
      </c>
      <c r="O1020" s="13" t="s">
        <v>42</v>
      </c>
      <c r="P1020" s="11">
        <v>0.0</v>
      </c>
      <c r="Q1020" s="14">
        <v>0.0</v>
      </c>
      <c r="R1020" s="11">
        <v>1.0</v>
      </c>
      <c r="S1020">
        <f t="shared" si="1"/>
        <v>2017</v>
      </c>
      <c r="T1020">
        <f t="shared" si="2"/>
        <v>7</v>
      </c>
      <c r="U1020">
        <f t="shared" si="3"/>
        <v>19</v>
      </c>
      <c r="V1020" s="17">
        <v>43101.0</v>
      </c>
      <c r="W1020" s="17">
        <v>43282.0</v>
      </c>
      <c r="Z1020" s="17">
        <v>43318.0</v>
      </c>
      <c r="AG1020" s="15"/>
      <c r="AH1020" s="16"/>
      <c r="AM1020" s="15"/>
      <c r="AN1020" s="16"/>
    </row>
    <row r="1021">
      <c r="A1021" s="13" t="s">
        <v>2035</v>
      </c>
      <c r="B1021" s="10">
        <v>42934.0</v>
      </c>
      <c r="C1021" s="11" t="s">
        <v>108</v>
      </c>
      <c r="D1021" s="11" t="s">
        <v>38</v>
      </c>
      <c r="E1021" s="11" t="s">
        <v>39</v>
      </c>
      <c r="F1021" s="11" t="s">
        <v>40</v>
      </c>
      <c r="G1021" s="11" t="s">
        <v>41</v>
      </c>
      <c r="H1021" s="11"/>
      <c r="I1021" s="11"/>
      <c r="J1021" s="11">
        <v>28.0</v>
      </c>
      <c r="K1021" s="12">
        <v>43555.0</v>
      </c>
      <c r="L1021" s="11">
        <f t="shared" si="103"/>
        <v>20</v>
      </c>
      <c r="M1021" s="11">
        <v>501381.0</v>
      </c>
      <c r="N1021" s="11">
        <v>5372.0</v>
      </c>
      <c r="O1021" s="13" t="s">
        <v>355</v>
      </c>
      <c r="P1021" s="11">
        <v>0.0</v>
      </c>
      <c r="Q1021" s="14">
        <v>0.0</v>
      </c>
      <c r="R1021" s="11">
        <v>1.0</v>
      </c>
      <c r="S1021">
        <f t="shared" si="1"/>
        <v>2017</v>
      </c>
      <c r="T1021">
        <f t="shared" si="2"/>
        <v>7</v>
      </c>
      <c r="U1021">
        <f t="shared" si="3"/>
        <v>18</v>
      </c>
      <c r="V1021" s="17">
        <v>43118.0</v>
      </c>
      <c r="W1021" s="17">
        <v>43243.0</v>
      </c>
      <c r="Z1021" s="17">
        <v>43318.0</v>
      </c>
      <c r="AA1021" s="17">
        <v>43337.0</v>
      </c>
      <c r="AB1021" s="13" t="s">
        <v>2036</v>
      </c>
      <c r="AG1021" s="15"/>
      <c r="AH1021" s="16"/>
      <c r="AM1021" s="15"/>
      <c r="AN1021" s="16"/>
    </row>
    <row r="1022">
      <c r="A1022" s="13" t="s">
        <v>2037</v>
      </c>
      <c r="B1022" s="10">
        <v>42930.0</v>
      </c>
      <c r="C1022" s="11" t="s">
        <v>175</v>
      </c>
      <c r="D1022" s="11" t="s">
        <v>58</v>
      </c>
      <c r="E1022" s="11" t="s">
        <v>39</v>
      </c>
      <c r="F1022" s="11" t="s">
        <v>40</v>
      </c>
      <c r="G1022" s="11" t="s">
        <v>199</v>
      </c>
      <c r="H1022" s="11"/>
      <c r="I1022" s="11"/>
      <c r="J1022" s="11">
        <v>28.0</v>
      </c>
      <c r="K1022" s="12"/>
      <c r="L1022" s="12"/>
      <c r="M1022" s="11">
        <v>516589.0</v>
      </c>
      <c r="N1022" s="11">
        <v>3507.0</v>
      </c>
      <c r="O1022" s="13"/>
      <c r="P1022" s="11">
        <v>0.0</v>
      </c>
      <c r="Q1022" s="14">
        <v>0.0</v>
      </c>
      <c r="R1022" s="11">
        <v>0.0</v>
      </c>
      <c r="S1022">
        <f t="shared" si="1"/>
        <v>2017</v>
      </c>
      <c r="T1022">
        <f t="shared" si="2"/>
        <v>7</v>
      </c>
      <c r="U1022">
        <f t="shared" si="3"/>
        <v>14</v>
      </c>
      <c r="AG1022" s="15"/>
      <c r="AH1022" s="16"/>
      <c r="AM1022" s="15"/>
      <c r="AN1022" s="16"/>
    </row>
    <row r="1023">
      <c r="A1023" s="13" t="s">
        <v>2038</v>
      </c>
      <c r="B1023" s="10">
        <v>42922.0</v>
      </c>
      <c r="C1023" s="11" t="s">
        <v>230</v>
      </c>
      <c r="D1023" s="11" t="s">
        <v>38</v>
      </c>
      <c r="E1023" s="11" t="s">
        <v>39</v>
      </c>
      <c r="F1023" s="11" t="s">
        <v>64</v>
      </c>
      <c r="G1023" s="11" t="s">
        <v>45</v>
      </c>
      <c r="H1023" s="11" t="s">
        <v>669</v>
      </c>
      <c r="I1023" s="11" t="s">
        <v>669</v>
      </c>
      <c r="J1023" s="11">
        <v>28.0</v>
      </c>
      <c r="K1023" s="12">
        <v>43556.0</v>
      </c>
      <c r="L1023" s="11">
        <f t="shared" ref="L1023:L1029" si="104">ROUND(((K1023-B1023)/365)*12,0)</f>
        <v>21</v>
      </c>
      <c r="M1023" s="11">
        <v>592767.0</v>
      </c>
      <c r="N1023" s="11">
        <v>11760.0</v>
      </c>
      <c r="O1023" s="13" t="s">
        <v>761</v>
      </c>
      <c r="P1023" s="11">
        <v>0.0</v>
      </c>
      <c r="Q1023" s="14">
        <v>0.0</v>
      </c>
      <c r="R1023" s="11">
        <v>1.0</v>
      </c>
      <c r="S1023">
        <f t="shared" si="1"/>
        <v>2017</v>
      </c>
      <c r="T1023">
        <f t="shared" si="2"/>
        <v>7</v>
      </c>
      <c r="U1023">
        <f t="shared" si="3"/>
        <v>6</v>
      </c>
      <c r="Z1023" s="17">
        <v>43342.0</v>
      </c>
      <c r="AG1023" s="15"/>
      <c r="AH1023" s="16"/>
      <c r="AM1023" s="15"/>
      <c r="AN1023" s="16"/>
    </row>
    <row r="1024">
      <c r="A1024" s="13" t="s">
        <v>2039</v>
      </c>
      <c r="B1024" s="10">
        <v>42917.0</v>
      </c>
      <c r="C1024" s="11" t="s">
        <v>111</v>
      </c>
      <c r="D1024" s="11" t="s">
        <v>88</v>
      </c>
      <c r="E1024" s="11" t="s">
        <v>39</v>
      </c>
      <c r="F1024" s="11" t="s">
        <v>40</v>
      </c>
      <c r="G1024" s="11" t="s">
        <v>45</v>
      </c>
      <c r="H1024" s="11" t="s">
        <v>59</v>
      </c>
      <c r="I1024" s="11" t="s">
        <v>2040</v>
      </c>
      <c r="J1024" s="11">
        <v>21.0</v>
      </c>
      <c r="K1024" s="12">
        <v>43560.0</v>
      </c>
      <c r="L1024" s="11">
        <f t="shared" si="104"/>
        <v>21</v>
      </c>
      <c r="M1024" s="11">
        <v>671345.0</v>
      </c>
      <c r="N1024" s="11">
        <v>19531.0</v>
      </c>
      <c r="O1024" s="13"/>
      <c r="P1024" s="11">
        <v>0.0</v>
      </c>
      <c r="Q1024" s="14">
        <v>0.0</v>
      </c>
      <c r="R1024" s="11">
        <v>1.0</v>
      </c>
      <c r="S1024">
        <f t="shared" si="1"/>
        <v>2017</v>
      </c>
      <c r="T1024">
        <f t="shared" si="2"/>
        <v>7</v>
      </c>
      <c r="U1024">
        <f t="shared" si="3"/>
        <v>1</v>
      </c>
      <c r="AG1024" s="15"/>
      <c r="AH1024" s="16"/>
      <c r="AM1024" s="15"/>
      <c r="AN1024" s="16"/>
    </row>
    <row r="1025">
      <c r="A1025" s="13" t="s">
        <v>2041</v>
      </c>
      <c r="B1025" s="10">
        <v>42917.0</v>
      </c>
      <c r="C1025" s="11" t="s">
        <v>126</v>
      </c>
      <c r="D1025" s="11" t="s">
        <v>88</v>
      </c>
      <c r="E1025" s="11" t="s">
        <v>39</v>
      </c>
      <c r="F1025" s="11" t="s">
        <v>64</v>
      </c>
      <c r="G1025" s="11" t="s">
        <v>45</v>
      </c>
      <c r="H1025" s="11" t="s">
        <v>127</v>
      </c>
      <c r="I1025" s="11" t="s">
        <v>2042</v>
      </c>
      <c r="J1025" s="11">
        <v>24.0</v>
      </c>
      <c r="K1025" s="12">
        <v>43559.0</v>
      </c>
      <c r="L1025" s="11">
        <f t="shared" si="104"/>
        <v>21</v>
      </c>
      <c r="M1025" s="11">
        <v>663434.0</v>
      </c>
      <c r="N1025" s="11" t="s">
        <v>2043</v>
      </c>
      <c r="O1025" s="13"/>
      <c r="P1025" s="11">
        <v>0.0</v>
      </c>
      <c r="Q1025" s="14">
        <v>0.0</v>
      </c>
      <c r="R1025" s="11">
        <v>1.0</v>
      </c>
      <c r="S1025">
        <f t="shared" si="1"/>
        <v>2017</v>
      </c>
      <c r="T1025">
        <f t="shared" si="2"/>
        <v>7</v>
      </c>
      <c r="U1025">
        <f t="shared" si="3"/>
        <v>1</v>
      </c>
      <c r="Z1025" s="17">
        <v>43305.0</v>
      </c>
      <c r="AG1025" s="15"/>
      <c r="AH1025" s="16"/>
      <c r="AM1025" s="15"/>
      <c r="AN1025" s="16"/>
    </row>
    <row r="1026">
      <c r="A1026" s="13" t="s">
        <v>2044</v>
      </c>
      <c r="B1026" s="10">
        <v>42917.0</v>
      </c>
      <c r="C1026" s="11" t="s">
        <v>150</v>
      </c>
      <c r="D1026" s="11" t="s">
        <v>77</v>
      </c>
      <c r="E1026" s="11" t="s">
        <v>39</v>
      </c>
      <c r="F1026" s="11" t="s">
        <v>40</v>
      </c>
      <c r="G1026" s="11" t="s">
        <v>53</v>
      </c>
      <c r="H1026" s="11"/>
      <c r="I1026" s="11"/>
      <c r="J1026" s="11">
        <v>22.0</v>
      </c>
      <c r="K1026" s="12">
        <v>43561.0</v>
      </c>
      <c r="L1026" s="11">
        <f t="shared" si="104"/>
        <v>21</v>
      </c>
      <c r="M1026" s="11">
        <v>532936.0</v>
      </c>
      <c r="N1026" s="11" t="s">
        <v>2045</v>
      </c>
      <c r="O1026" s="13"/>
      <c r="P1026" s="11">
        <v>0.0</v>
      </c>
      <c r="Q1026" s="14">
        <v>0.0</v>
      </c>
      <c r="R1026" s="11">
        <v>1.0</v>
      </c>
      <c r="S1026">
        <f t="shared" si="1"/>
        <v>2017</v>
      </c>
      <c r="T1026">
        <f t="shared" si="2"/>
        <v>7</v>
      </c>
      <c r="U1026">
        <f t="shared" si="3"/>
        <v>1</v>
      </c>
      <c r="Z1026" s="17">
        <v>43313.0</v>
      </c>
      <c r="AG1026" s="15"/>
      <c r="AH1026" s="16"/>
      <c r="AM1026" s="15"/>
      <c r="AN1026" s="16"/>
    </row>
    <row r="1027">
      <c r="A1027" s="13" t="s">
        <v>2046</v>
      </c>
      <c r="B1027" s="10">
        <v>42917.0</v>
      </c>
      <c r="C1027" s="11" t="s">
        <v>62</v>
      </c>
      <c r="D1027" s="11" t="s">
        <v>93</v>
      </c>
      <c r="E1027" s="11" t="s">
        <v>118</v>
      </c>
      <c r="F1027" s="11" t="s">
        <v>64</v>
      </c>
      <c r="G1027" s="11" t="s">
        <v>45</v>
      </c>
      <c r="H1027" s="11" t="s">
        <v>67</v>
      </c>
      <c r="I1027" s="11" t="s">
        <v>2047</v>
      </c>
      <c r="J1027" s="11">
        <v>19.0</v>
      </c>
      <c r="K1027" s="12">
        <v>43270.0</v>
      </c>
      <c r="L1027" s="11">
        <f t="shared" si="104"/>
        <v>12</v>
      </c>
      <c r="M1027" s="11">
        <v>676762.0</v>
      </c>
      <c r="N1027" s="11" t="s">
        <v>2048</v>
      </c>
      <c r="O1027" s="13"/>
      <c r="P1027" s="11">
        <v>0.0</v>
      </c>
      <c r="Q1027" s="14">
        <v>0.0</v>
      </c>
      <c r="R1027" s="11">
        <v>1.0</v>
      </c>
      <c r="S1027">
        <f t="shared" si="1"/>
        <v>2017</v>
      </c>
      <c r="T1027">
        <f t="shared" si="2"/>
        <v>7</v>
      </c>
      <c r="U1027">
        <f t="shared" si="3"/>
        <v>1</v>
      </c>
      <c r="AG1027" s="15"/>
      <c r="AH1027" s="16"/>
      <c r="AM1027" s="15"/>
      <c r="AN1027" s="16"/>
    </row>
    <row r="1028">
      <c r="A1028" s="13" t="s">
        <v>2049</v>
      </c>
      <c r="B1028" s="10">
        <v>42913.0</v>
      </c>
      <c r="C1028" s="11" t="s">
        <v>116</v>
      </c>
      <c r="D1028" s="11" t="s">
        <v>58</v>
      </c>
      <c r="E1028" s="11" t="s">
        <v>39</v>
      </c>
      <c r="F1028" s="11" t="s">
        <v>40</v>
      </c>
      <c r="G1028" s="11" t="s">
        <v>45</v>
      </c>
      <c r="H1028" s="11" t="s">
        <v>67</v>
      </c>
      <c r="I1028" s="11" t="s">
        <v>2050</v>
      </c>
      <c r="J1028" s="11">
        <v>22.0</v>
      </c>
      <c r="K1028" s="12">
        <v>43603.0</v>
      </c>
      <c r="L1028" s="11">
        <f t="shared" si="104"/>
        <v>23</v>
      </c>
      <c r="M1028" s="11">
        <v>622256.0</v>
      </c>
      <c r="N1028" s="11">
        <v>17792.0</v>
      </c>
      <c r="O1028" s="13" t="s">
        <v>761</v>
      </c>
      <c r="P1028" s="11">
        <v>0.0</v>
      </c>
      <c r="Q1028" s="14">
        <v>0.0</v>
      </c>
      <c r="R1028" s="11">
        <v>1.0</v>
      </c>
      <c r="S1028">
        <f t="shared" si="1"/>
        <v>2017</v>
      </c>
      <c r="T1028">
        <f t="shared" si="2"/>
        <v>6</v>
      </c>
      <c r="U1028">
        <f t="shared" si="3"/>
        <v>27</v>
      </c>
      <c r="Z1028" s="17">
        <v>43326.0</v>
      </c>
      <c r="AG1028" s="15"/>
      <c r="AH1028" s="16"/>
      <c r="AM1028" s="15"/>
      <c r="AN1028" s="16"/>
    </row>
    <row r="1029">
      <c r="A1029" s="13" t="s">
        <v>2051</v>
      </c>
      <c r="B1029" s="10">
        <v>42913.0</v>
      </c>
      <c r="C1029" s="11" t="s">
        <v>138</v>
      </c>
      <c r="D1029" s="11" t="s">
        <v>58</v>
      </c>
      <c r="E1029" s="11" t="s">
        <v>39</v>
      </c>
      <c r="F1029" s="11" t="s">
        <v>64</v>
      </c>
      <c r="G1029" s="11" t="s">
        <v>45</v>
      </c>
      <c r="H1029" s="11" t="s">
        <v>56</v>
      </c>
      <c r="I1029" s="11" t="s">
        <v>2052</v>
      </c>
      <c r="J1029" s="11">
        <v>30.0</v>
      </c>
      <c r="K1029" s="12">
        <v>43617.0</v>
      </c>
      <c r="L1029" s="11">
        <f t="shared" si="104"/>
        <v>23</v>
      </c>
      <c r="M1029" s="11">
        <v>476595.0</v>
      </c>
      <c r="N1029" s="11">
        <v>8337.0</v>
      </c>
      <c r="O1029" s="13"/>
      <c r="P1029" s="11">
        <v>0.0</v>
      </c>
      <c r="Q1029" s="14">
        <v>0.0</v>
      </c>
      <c r="R1029" s="11">
        <v>1.0</v>
      </c>
      <c r="S1029">
        <f t="shared" si="1"/>
        <v>2017</v>
      </c>
      <c r="T1029">
        <f t="shared" si="2"/>
        <v>6</v>
      </c>
      <c r="U1029">
        <f t="shared" si="3"/>
        <v>27</v>
      </c>
      <c r="V1029" s="17">
        <v>43024.0</v>
      </c>
      <c r="Z1029" s="17">
        <v>43559.0</v>
      </c>
      <c r="AG1029" s="15"/>
      <c r="AH1029" s="16"/>
      <c r="AM1029" s="15"/>
      <c r="AN1029" s="16"/>
    </row>
    <row r="1030">
      <c r="A1030" s="13" t="s">
        <v>2053</v>
      </c>
      <c r="B1030" s="10">
        <v>42909.0</v>
      </c>
      <c r="C1030" s="11" t="s">
        <v>143</v>
      </c>
      <c r="D1030" s="11" t="s">
        <v>38</v>
      </c>
      <c r="E1030" s="11" t="s">
        <v>39</v>
      </c>
      <c r="F1030" s="11" t="s">
        <v>40</v>
      </c>
      <c r="G1030" s="11" t="s">
        <v>45</v>
      </c>
      <c r="H1030" s="11" t="s">
        <v>129</v>
      </c>
      <c r="I1030" s="11" t="s">
        <v>129</v>
      </c>
      <c r="J1030" s="11">
        <v>29.0</v>
      </c>
      <c r="K1030" s="12"/>
      <c r="L1030" s="12"/>
      <c r="M1030" s="11">
        <v>474029.0</v>
      </c>
      <c r="N1030" s="11">
        <v>9080.0</v>
      </c>
      <c r="O1030" s="13" t="s">
        <v>761</v>
      </c>
      <c r="P1030" s="11">
        <v>0.0</v>
      </c>
      <c r="Q1030" s="14">
        <v>0.0</v>
      </c>
      <c r="R1030" s="11">
        <v>0.0</v>
      </c>
      <c r="S1030">
        <f t="shared" si="1"/>
        <v>2017</v>
      </c>
      <c r="T1030">
        <f t="shared" si="2"/>
        <v>6</v>
      </c>
      <c r="U1030">
        <f t="shared" si="3"/>
        <v>23</v>
      </c>
      <c r="AG1030" s="15"/>
      <c r="AH1030" s="16"/>
      <c r="AM1030" s="15"/>
      <c r="AN1030" s="16"/>
    </row>
    <row r="1031">
      <c r="A1031" s="13" t="s">
        <v>2054</v>
      </c>
      <c r="B1031" s="17">
        <v>42909.0</v>
      </c>
      <c r="C1031" s="11" t="s">
        <v>37</v>
      </c>
      <c r="D1031" s="11" t="s">
        <v>93</v>
      </c>
      <c r="E1031" s="11" t="s">
        <v>39</v>
      </c>
      <c r="F1031" s="11" t="s">
        <v>64</v>
      </c>
      <c r="G1031" s="11" t="s">
        <v>45</v>
      </c>
      <c r="H1031" s="11" t="s">
        <v>139</v>
      </c>
      <c r="I1031" s="11" t="s">
        <v>566</v>
      </c>
      <c r="J1031" s="11">
        <v>20.0</v>
      </c>
      <c r="K1031" s="12">
        <v>43327.0</v>
      </c>
      <c r="L1031" s="11">
        <f t="shared" ref="L1031:L1038" si="105">ROUND(((K1031-B1031)/365)*12,0)</f>
        <v>14</v>
      </c>
      <c r="M1031" s="11">
        <v>663700.0</v>
      </c>
      <c r="N1031" s="11" t="s">
        <v>2055</v>
      </c>
      <c r="O1031" s="13" t="s">
        <v>761</v>
      </c>
      <c r="P1031" s="11">
        <v>0.0</v>
      </c>
      <c r="Q1031" s="14">
        <v>0.0</v>
      </c>
      <c r="R1031" s="11">
        <v>1.0</v>
      </c>
      <c r="S1031">
        <f t="shared" si="1"/>
        <v>2017</v>
      </c>
      <c r="T1031">
        <f t="shared" si="2"/>
        <v>6</v>
      </c>
      <c r="U1031">
        <f t="shared" si="3"/>
        <v>23</v>
      </c>
      <c r="AG1031" s="15"/>
      <c r="AH1031" s="16"/>
      <c r="AM1031" s="15"/>
      <c r="AN1031" s="16"/>
    </row>
    <row r="1032">
      <c r="A1032" s="13" t="s">
        <v>2056</v>
      </c>
      <c r="B1032" s="10">
        <v>42907.0</v>
      </c>
      <c r="C1032" s="11" t="s">
        <v>52</v>
      </c>
      <c r="D1032" s="11" t="s">
        <v>97</v>
      </c>
      <c r="E1032" s="11" t="s">
        <v>39</v>
      </c>
      <c r="F1032" s="11" t="s">
        <v>40</v>
      </c>
      <c r="G1032" s="11" t="s">
        <v>1002</v>
      </c>
      <c r="H1032" s="11"/>
      <c r="I1032" s="11"/>
      <c r="J1032" s="11">
        <v>20.0</v>
      </c>
      <c r="K1032" s="12">
        <v>43308.0</v>
      </c>
      <c r="L1032" s="11">
        <f t="shared" si="105"/>
        <v>13</v>
      </c>
      <c r="M1032" s="11">
        <v>656031.0</v>
      </c>
      <c r="N1032" s="11" t="s">
        <v>2057</v>
      </c>
      <c r="O1032" s="13"/>
      <c r="P1032" s="11">
        <v>0.0</v>
      </c>
      <c r="Q1032" s="14">
        <v>0.0</v>
      </c>
      <c r="R1032" s="11">
        <v>1.0</v>
      </c>
      <c r="S1032">
        <f t="shared" si="1"/>
        <v>2017</v>
      </c>
      <c r="T1032">
        <f t="shared" si="2"/>
        <v>6</v>
      </c>
      <c r="U1032">
        <f t="shared" si="3"/>
        <v>21</v>
      </c>
      <c r="Z1032" s="17">
        <v>43273.0</v>
      </c>
      <c r="AG1032" s="15"/>
      <c r="AH1032" s="16"/>
      <c r="AM1032" s="15"/>
      <c r="AN1032" s="16"/>
    </row>
    <row r="1033">
      <c r="A1033" s="13" t="s">
        <v>2058</v>
      </c>
      <c r="B1033" s="10">
        <v>42907.0</v>
      </c>
      <c r="C1033" s="11" t="s">
        <v>52</v>
      </c>
      <c r="D1033" s="11" t="s">
        <v>38</v>
      </c>
      <c r="E1033" s="11" t="s">
        <v>39</v>
      </c>
      <c r="F1033" s="11" t="s">
        <v>40</v>
      </c>
      <c r="G1033" s="11" t="s">
        <v>41</v>
      </c>
      <c r="H1033" s="11"/>
      <c r="I1033" s="11"/>
      <c r="J1033" s="11">
        <v>24.0</v>
      </c>
      <c r="K1033" s="12">
        <v>43678.0</v>
      </c>
      <c r="L1033" s="11">
        <f t="shared" si="105"/>
        <v>25</v>
      </c>
      <c r="M1033" s="11">
        <v>594311.0</v>
      </c>
      <c r="N1033" s="11">
        <v>14665.0</v>
      </c>
      <c r="O1033" s="13" t="s">
        <v>2059</v>
      </c>
      <c r="P1033" s="11">
        <v>0.0</v>
      </c>
      <c r="Q1033" s="14">
        <v>0.0</v>
      </c>
      <c r="R1033" s="11">
        <v>1.0</v>
      </c>
      <c r="S1033">
        <f t="shared" si="1"/>
        <v>2017</v>
      </c>
      <c r="T1033">
        <f t="shared" si="2"/>
        <v>6</v>
      </c>
      <c r="U1033">
        <f t="shared" si="3"/>
        <v>21</v>
      </c>
      <c r="Z1033" s="17">
        <v>43589.0</v>
      </c>
      <c r="AA1033" s="17">
        <v>43282.0</v>
      </c>
      <c r="AB1033" s="13" t="s">
        <v>2060</v>
      </c>
      <c r="AG1033" s="15"/>
      <c r="AH1033" s="16"/>
      <c r="AM1033" s="15"/>
      <c r="AN1033" s="16"/>
    </row>
    <row r="1034">
      <c r="A1034" s="13" t="s">
        <v>2061</v>
      </c>
      <c r="B1034" s="10">
        <v>42907.0</v>
      </c>
      <c r="C1034" s="11" t="s">
        <v>108</v>
      </c>
      <c r="D1034" s="11" t="s">
        <v>58</v>
      </c>
      <c r="E1034" s="11" t="s">
        <v>2062</v>
      </c>
      <c r="F1034" s="11" t="s">
        <v>271</v>
      </c>
      <c r="G1034" s="11" t="s">
        <v>53</v>
      </c>
      <c r="H1034" s="11"/>
      <c r="I1034" s="11"/>
      <c r="J1034" s="11">
        <v>20.0</v>
      </c>
      <c r="K1034" s="12">
        <v>43196.0</v>
      </c>
      <c r="L1034" s="11">
        <f t="shared" si="105"/>
        <v>10</v>
      </c>
      <c r="M1034" s="11">
        <v>650402.0</v>
      </c>
      <c r="N1034" s="11">
        <v>16997.0</v>
      </c>
      <c r="O1034" s="13" t="s">
        <v>1407</v>
      </c>
      <c r="P1034" s="11">
        <v>0.0</v>
      </c>
      <c r="Q1034" s="14">
        <v>0.0</v>
      </c>
      <c r="R1034" s="11">
        <v>1.0</v>
      </c>
      <c r="S1034">
        <f t="shared" si="1"/>
        <v>2017</v>
      </c>
      <c r="T1034">
        <f t="shared" si="2"/>
        <v>6</v>
      </c>
      <c r="U1034">
        <f t="shared" si="3"/>
        <v>21</v>
      </c>
      <c r="AG1034" s="15"/>
      <c r="AH1034" s="16"/>
      <c r="AM1034" s="15"/>
      <c r="AN1034" s="16"/>
    </row>
    <row r="1035">
      <c r="A1035" s="13" t="s">
        <v>242</v>
      </c>
      <c r="B1035" s="10">
        <v>42906.0</v>
      </c>
      <c r="C1035" s="11" t="s">
        <v>37</v>
      </c>
      <c r="D1035" s="11" t="s">
        <v>97</v>
      </c>
      <c r="E1035" s="11" t="s">
        <v>39</v>
      </c>
      <c r="F1035" s="11" t="s">
        <v>64</v>
      </c>
      <c r="G1035" s="11" t="s">
        <v>45</v>
      </c>
      <c r="H1035" s="11" t="s">
        <v>243</v>
      </c>
      <c r="I1035" s="11"/>
      <c r="J1035" s="11">
        <v>20.0</v>
      </c>
      <c r="K1035" s="12">
        <v>43564.0</v>
      </c>
      <c r="L1035" s="11">
        <f t="shared" si="105"/>
        <v>22</v>
      </c>
      <c r="M1035" s="11">
        <v>666129.0</v>
      </c>
      <c r="N1035" s="11">
        <v>21844.0</v>
      </c>
      <c r="O1035" s="13" t="s">
        <v>761</v>
      </c>
      <c r="P1035" s="11">
        <v>0.0</v>
      </c>
      <c r="Q1035" s="14">
        <v>0.0</v>
      </c>
      <c r="R1035" s="11">
        <v>1.0</v>
      </c>
      <c r="S1035">
        <f t="shared" si="1"/>
        <v>2017</v>
      </c>
      <c r="T1035">
        <f t="shared" si="2"/>
        <v>6</v>
      </c>
      <c r="U1035">
        <f t="shared" si="3"/>
        <v>20</v>
      </c>
      <c r="Z1035" s="17">
        <v>43564.0</v>
      </c>
      <c r="AG1035" s="15"/>
      <c r="AH1035" s="16"/>
      <c r="AM1035" s="15"/>
      <c r="AN1035" s="16"/>
    </row>
    <row r="1036">
      <c r="A1036" s="13" t="s">
        <v>2063</v>
      </c>
      <c r="B1036" s="10">
        <v>42905.0</v>
      </c>
      <c r="C1036" s="11" t="s">
        <v>37</v>
      </c>
      <c r="D1036" s="11" t="s">
        <v>97</v>
      </c>
      <c r="E1036" s="11" t="s">
        <v>39</v>
      </c>
      <c r="F1036" s="11" t="s">
        <v>40</v>
      </c>
      <c r="G1036" s="11" t="s">
        <v>45</v>
      </c>
      <c r="H1036" s="11" t="s">
        <v>652</v>
      </c>
      <c r="I1036" s="11"/>
      <c r="J1036" s="11">
        <v>21.0</v>
      </c>
      <c r="K1036" s="12">
        <v>43562.0</v>
      </c>
      <c r="L1036" s="11">
        <f t="shared" si="105"/>
        <v>22</v>
      </c>
      <c r="M1036" s="11">
        <v>656548.0</v>
      </c>
      <c r="N1036" s="11">
        <v>20631.0</v>
      </c>
      <c r="O1036" s="13" t="s">
        <v>761</v>
      </c>
      <c r="P1036" s="11">
        <v>0.0</v>
      </c>
      <c r="Q1036" s="14">
        <v>0.0</v>
      </c>
      <c r="R1036" s="11">
        <v>1.0</v>
      </c>
      <c r="S1036">
        <f t="shared" si="1"/>
        <v>2017</v>
      </c>
      <c r="T1036">
        <f t="shared" si="2"/>
        <v>6</v>
      </c>
      <c r="U1036">
        <f t="shared" si="3"/>
        <v>19</v>
      </c>
      <c r="Z1036" s="17">
        <v>43272.0</v>
      </c>
      <c r="AG1036" s="15"/>
      <c r="AH1036" s="16"/>
      <c r="AM1036" s="15"/>
      <c r="AN1036" s="16"/>
    </row>
    <row r="1037">
      <c r="A1037" s="13" t="s">
        <v>2064</v>
      </c>
      <c r="B1037" s="10">
        <v>42899.0</v>
      </c>
      <c r="C1037" s="11" t="s">
        <v>52</v>
      </c>
      <c r="D1037" s="11" t="s">
        <v>213</v>
      </c>
      <c r="E1037" s="11" t="s">
        <v>279</v>
      </c>
      <c r="F1037" s="11" t="s">
        <v>40</v>
      </c>
      <c r="G1037" s="11" t="s">
        <v>45</v>
      </c>
      <c r="H1037" s="11" t="s">
        <v>84</v>
      </c>
      <c r="I1037" s="11"/>
      <c r="J1037" s="11">
        <v>17.0</v>
      </c>
      <c r="K1037" s="12">
        <v>43269.0</v>
      </c>
      <c r="L1037" s="11">
        <f t="shared" si="105"/>
        <v>12</v>
      </c>
      <c r="M1037" s="11">
        <v>669309.0</v>
      </c>
      <c r="N1037" s="11" t="s">
        <v>2065</v>
      </c>
      <c r="O1037" s="13" t="s">
        <v>761</v>
      </c>
      <c r="P1037" s="11">
        <v>0.0</v>
      </c>
      <c r="Q1037" s="14">
        <v>0.0</v>
      </c>
      <c r="R1037" s="11">
        <v>1.0</v>
      </c>
      <c r="S1037">
        <f t="shared" si="1"/>
        <v>2017</v>
      </c>
      <c r="T1037">
        <f t="shared" si="2"/>
        <v>6</v>
      </c>
      <c r="U1037">
        <f t="shared" si="3"/>
        <v>13</v>
      </c>
      <c r="AG1037" s="15"/>
      <c r="AH1037" s="16"/>
      <c r="AM1037" s="15"/>
      <c r="AN1037" s="16"/>
    </row>
    <row r="1038">
      <c r="A1038" s="13" t="s">
        <v>2066</v>
      </c>
      <c r="B1038" s="17">
        <v>42892.0</v>
      </c>
      <c r="C1038" s="11" t="s">
        <v>55</v>
      </c>
      <c r="D1038" s="11" t="s">
        <v>97</v>
      </c>
      <c r="E1038" s="11" t="s">
        <v>39</v>
      </c>
      <c r="F1038" s="11" t="s">
        <v>40</v>
      </c>
      <c r="G1038" s="11" t="s">
        <v>45</v>
      </c>
      <c r="H1038" s="11" t="s">
        <v>109</v>
      </c>
      <c r="I1038" s="11" t="s">
        <v>2067</v>
      </c>
      <c r="J1038" s="11">
        <v>23.0</v>
      </c>
      <c r="K1038" s="12">
        <v>43559.0</v>
      </c>
      <c r="L1038" s="11">
        <f t="shared" si="105"/>
        <v>22</v>
      </c>
      <c r="M1038" s="11">
        <v>670299.0</v>
      </c>
      <c r="N1038" s="11" t="s">
        <v>2068</v>
      </c>
      <c r="O1038" s="13" t="s">
        <v>1031</v>
      </c>
      <c r="P1038" s="11">
        <v>0.0</v>
      </c>
      <c r="Q1038" s="14">
        <v>0.0</v>
      </c>
      <c r="R1038" s="11">
        <v>1.0</v>
      </c>
      <c r="S1038">
        <f t="shared" si="1"/>
        <v>2017</v>
      </c>
      <c r="T1038">
        <f t="shared" si="2"/>
        <v>6</v>
      </c>
      <c r="U1038">
        <f t="shared" si="3"/>
        <v>6</v>
      </c>
      <c r="Z1038" s="17">
        <v>43374.0</v>
      </c>
      <c r="AG1038" s="15"/>
      <c r="AH1038" s="16"/>
      <c r="AM1038" s="15"/>
      <c r="AN1038" s="16"/>
    </row>
    <row r="1039">
      <c r="A1039" s="19" t="s">
        <v>2069</v>
      </c>
      <c r="B1039" s="20">
        <v>42892.0</v>
      </c>
      <c r="C1039" s="21" t="s">
        <v>55</v>
      </c>
      <c r="D1039" s="18" t="s">
        <v>221</v>
      </c>
      <c r="E1039" s="21" t="s">
        <v>39</v>
      </c>
      <c r="F1039" s="21" t="s">
        <v>40</v>
      </c>
      <c r="G1039" s="21" t="s">
        <v>53</v>
      </c>
      <c r="H1039" s="21"/>
      <c r="I1039" s="21"/>
      <c r="J1039" s="18">
        <v>21.0</v>
      </c>
      <c r="K1039" s="43"/>
      <c r="L1039" s="43"/>
      <c r="M1039" s="21">
        <v>642510.0</v>
      </c>
      <c r="N1039" s="21" t="s">
        <v>2070</v>
      </c>
      <c r="O1039" s="19"/>
      <c r="P1039" s="21">
        <v>0.0</v>
      </c>
      <c r="Q1039" s="23">
        <v>0.0</v>
      </c>
      <c r="R1039" s="18">
        <v>1.0</v>
      </c>
      <c r="S1039" s="33">
        <f t="shared" si="1"/>
        <v>2017</v>
      </c>
      <c r="T1039" s="33">
        <f t="shared" si="2"/>
        <v>6</v>
      </c>
      <c r="U1039">
        <f t="shared" si="3"/>
        <v>6</v>
      </c>
      <c r="V1039" s="24"/>
      <c r="W1039" s="24"/>
      <c r="X1039" s="24"/>
      <c r="Y1039" s="24"/>
      <c r="Z1039" s="24"/>
      <c r="AA1039" s="24"/>
      <c r="AB1039" s="24"/>
      <c r="AC1039" s="24"/>
      <c r="AD1039" s="24"/>
      <c r="AE1039" s="24"/>
      <c r="AF1039" s="24"/>
      <c r="AG1039" s="26"/>
      <c r="AH1039" s="27"/>
      <c r="AI1039" s="24"/>
      <c r="AJ1039" s="24"/>
      <c r="AK1039" s="24"/>
      <c r="AL1039" s="24"/>
      <c r="AM1039" s="26"/>
      <c r="AN1039" s="27"/>
      <c r="AO1039" s="24"/>
      <c r="AP1039" s="24"/>
    </row>
    <row r="1040">
      <c r="A1040" s="13" t="s">
        <v>63</v>
      </c>
      <c r="B1040" s="17">
        <v>42887.0</v>
      </c>
      <c r="C1040" s="11" t="s">
        <v>72</v>
      </c>
      <c r="D1040" s="11" t="s">
        <v>93</v>
      </c>
      <c r="E1040" s="11" t="s">
        <v>39</v>
      </c>
      <c r="F1040" s="11" t="s">
        <v>64</v>
      </c>
      <c r="G1040" s="11" t="s">
        <v>45</v>
      </c>
      <c r="H1040" s="11" t="s">
        <v>65</v>
      </c>
      <c r="I1040" s="11" t="s">
        <v>65</v>
      </c>
      <c r="J1040" s="11">
        <v>20.0</v>
      </c>
      <c r="K1040" s="12">
        <v>43641.0</v>
      </c>
      <c r="L1040" s="11"/>
      <c r="M1040" s="11">
        <v>687888.0</v>
      </c>
      <c r="N1040" s="11">
        <v>26056.0</v>
      </c>
      <c r="O1040" s="13"/>
      <c r="P1040" s="11">
        <v>0.0</v>
      </c>
      <c r="Q1040" s="14">
        <v>0.0</v>
      </c>
      <c r="R1040" s="11">
        <v>1.0</v>
      </c>
      <c r="S1040" s="33">
        <f t="shared" si="1"/>
        <v>2017</v>
      </c>
      <c r="T1040" s="33">
        <f t="shared" si="2"/>
        <v>6</v>
      </c>
      <c r="U1040">
        <f t="shared" si="3"/>
        <v>1</v>
      </c>
      <c r="Z1040" s="17"/>
      <c r="AG1040" s="15"/>
      <c r="AH1040" s="16"/>
      <c r="AM1040" s="15"/>
      <c r="AN1040" s="16"/>
    </row>
    <row r="1041">
      <c r="A1041" s="13" t="s">
        <v>2071</v>
      </c>
      <c r="B1041" s="17">
        <v>42887.0</v>
      </c>
      <c r="C1041" s="11" t="s">
        <v>358</v>
      </c>
      <c r="D1041" s="11" t="s">
        <v>93</v>
      </c>
      <c r="E1041" s="11" t="s">
        <v>39</v>
      </c>
      <c r="F1041" s="11" t="s">
        <v>40</v>
      </c>
      <c r="G1041" s="11" t="s">
        <v>45</v>
      </c>
      <c r="H1041" s="11" t="s">
        <v>46</v>
      </c>
      <c r="I1041" s="11" t="s">
        <v>46</v>
      </c>
      <c r="J1041" s="11">
        <v>18.0</v>
      </c>
      <c r="K1041" s="12">
        <v>43637.0</v>
      </c>
      <c r="L1041" s="11"/>
      <c r="M1041" s="11">
        <v>668716.0</v>
      </c>
      <c r="N1041" s="11" t="s">
        <v>2072</v>
      </c>
      <c r="O1041" s="13"/>
      <c r="P1041" s="11">
        <v>0.0</v>
      </c>
      <c r="Q1041" s="14">
        <v>0.0</v>
      </c>
      <c r="R1041" s="11">
        <v>1.0</v>
      </c>
      <c r="S1041" s="33">
        <f t="shared" si="1"/>
        <v>2017</v>
      </c>
      <c r="T1041" s="33">
        <f t="shared" si="2"/>
        <v>6</v>
      </c>
      <c r="U1041">
        <f t="shared" si="3"/>
        <v>1</v>
      </c>
      <c r="Z1041" s="17"/>
      <c r="AG1041" s="15"/>
      <c r="AH1041" s="16"/>
      <c r="AM1041" s="15"/>
      <c r="AN1041" s="16"/>
    </row>
    <row r="1042">
      <c r="A1042" s="13" t="s">
        <v>2073</v>
      </c>
      <c r="B1042" s="10">
        <v>42887.0</v>
      </c>
      <c r="C1042" s="11" t="s">
        <v>346</v>
      </c>
      <c r="D1042" s="11" t="s">
        <v>97</v>
      </c>
      <c r="E1042" s="11" t="s">
        <v>39</v>
      </c>
      <c r="F1042" s="11" t="s">
        <v>40</v>
      </c>
      <c r="G1042" s="11" t="s">
        <v>45</v>
      </c>
      <c r="H1042" s="11" t="s">
        <v>412</v>
      </c>
      <c r="I1042" s="11" t="s">
        <v>2074</v>
      </c>
      <c r="J1042" s="11">
        <v>22.0</v>
      </c>
      <c r="K1042" s="12">
        <v>43336.0</v>
      </c>
      <c r="L1042" s="11">
        <f>ROUND(((K1042-B1042)/365)*12,0)</f>
        <v>15</v>
      </c>
      <c r="M1042" s="11">
        <v>663386.0</v>
      </c>
      <c r="N1042" s="11" t="s">
        <v>2075</v>
      </c>
      <c r="O1042" s="13"/>
      <c r="P1042" s="11">
        <v>0.0</v>
      </c>
      <c r="Q1042" s="14">
        <v>0.0</v>
      </c>
      <c r="R1042" s="11">
        <v>1.0</v>
      </c>
      <c r="S1042" s="33">
        <f t="shared" si="1"/>
        <v>2017</v>
      </c>
      <c r="T1042" s="33">
        <f t="shared" si="2"/>
        <v>6</v>
      </c>
      <c r="U1042">
        <f t="shared" si="3"/>
        <v>1</v>
      </c>
      <c r="Z1042" s="17">
        <v>43319.0</v>
      </c>
      <c r="AG1042" s="15"/>
      <c r="AH1042" s="16"/>
      <c r="AM1042" s="15"/>
      <c r="AN1042" s="16"/>
    </row>
    <row r="1043">
      <c r="A1043" s="13" t="s">
        <v>2076</v>
      </c>
      <c r="B1043" s="10">
        <v>42887.0</v>
      </c>
      <c r="C1043" s="11" t="s">
        <v>49</v>
      </c>
      <c r="D1043" s="11" t="s">
        <v>97</v>
      </c>
      <c r="E1043" s="11" t="s">
        <v>39</v>
      </c>
      <c r="F1043" s="11" t="s">
        <v>64</v>
      </c>
      <c r="G1043" s="11" t="s">
        <v>225</v>
      </c>
      <c r="H1043" s="11"/>
      <c r="I1043" s="11"/>
      <c r="J1043" s="11">
        <v>21.0</v>
      </c>
      <c r="K1043" s="12"/>
      <c r="L1043" s="12"/>
      <c r="M1043" s="11">
        <v>656563.0</v>
      </c>
      <c r="N1043" s="11" t="s">
        <v>2077</v>
      </c>
      <c r="O1043" s="13"/>
      <c r="P1043" s="11">
        <v>0.0</v>
      </c>
      <c r="Q1043" s="14">
        <v>0.0</v>
      </c>
      <c r="R1043" s="11">
        <v>1.0</v>
      </c>
      <c r="S1043">
        <f t="shared" si="1"/>
        <v>2017</v>
      </c>
      <c r="T1043">
        <f t="shared" si="2"/>
        <v>6</v>
      </c>
      <c r="U1043">
        <f t="shared" si="3"/>
        <v>1</v>
      </c>
      <c r="Z1043" s="17">
        <v>43270.0</v>
      </c>
      <c r="AG1043" s="15"/>
      <c r="AH1043" s="16"/>
      <c r="AM1043" s="15"/>
      <c r="AN1043" s="16"/>
    </row>
    <row r="1044">
      <c r="A1044" s="13" t="s">
        <v>2078</v>
      </c>
      <c r="B1044" s="10">
        <v>42887.0</v>
      </c>
      <c r="C1044" s="11" t="s">
        <v>175</v>
      </c>
      <c r="D1044" s="11" t="s">
        <v>213</v>
      </c>
      <c r="E1044" s="11" t="s">
        <v>39</v>
      </c>
      <c r="F1044" s="11" t="s">
        <v>64</v>
      </c>
      <c r="G1044" s="11" t="s">
        <v>45</v>
      </c>
      <c r="H1044" s="11" t="s">
        <v>412</v>
      </c>
      <c r="I1044" s="11" t="s">
        <v>1066</v>
      </c>
      <c r="J1044" s="11">
        <v>18.0</v>
      </c>
      <c r="K1044" s="12"/>
      <c r="L1044" s="12"/>
      <c r="M1044" s="11">
        <v>694461.0</v>
      </c>
      <c r="N1044" s="11"/>
      <c r="O1044" s="13"/>
      <c r="P1044" s="11">
        <v>0.0</v>
      </c>
      <c r="Q1044" s="14">
        <v>0.0</v>
      </c>
      <c r="R1044" s="11">
        <v>1.0</v>
      </c>
      <c r="S1044" s="33">
        <f t="shared" si="1"/>
        <v>2017</v>
      </c>
      <c r="T1044" s="33">
        <f t="shared" si="2"/>
        <v>6</v>
      </c>
      <c r="U1044">
        <f t="shared" si="3"/>
        <v>1</v>
      </c>
      <c r="Z1044" s="17"/>
      <c r="AG1044" s="15"/>
      <c r="AH1044" s="16"/>
      <c r="AM1044" s="15"/>
      <c r="AN1044" s="16"/>
    </row>
    <row r="1045">
      <c r="A1045" s="13" t="s">
        <v>2079</v>
      </c>
      <c r="B1045" s="17">
        <v>42886.0</v>
      </c>
      <c r="C1045" s="11" t="s">
        <v>37</v>
      </c>
      <c r="D1045" s="11" t="s">
        <v>93</v>
      </c>
      <c r="E1045" s="11" t="s">
        <v>39</v>
      </c>
      <c r="F1045" s="11" t="s">
        <v>40</v>
      </c>
      <c r="G1045" s="11" t="s">
        <v>45</v>
      </c>
      <c r="H1045" s="11" t="s">
        <v>127</v>
      </c>
      <c r="I1045" s="11" t="s">
        <v>2080</v>
      </c>
      <c r="J1045" s="11">
        <v>21.0</v>
      </c>
      <c r="K1045" s="12">
        <v>43274.0</v>
      </c>
      <c r="L1045" s="11">
        <f t="shared" ref="L1045:L1047" si="106">ROUND(((K1045-B1045)/365)*12,0)</f>
        <v>13</v>
      </c>
      <c r="M1045" s="11">
        <v>675963.0</v>
      </c>
      <c r="N1045" s="11" t="s">
        <v>2081</v>
      </c>
      <c r="O1045" s="13"/>
      <c r="P1045" s="11">
        <v>0.0</v>
      </c>
      <c r="Q1045" s="14">
        <v>0.0</v>
      </c>
      <c r="R1045" s="11">
        <v>1.0</v>
      </c>
      <c r="S1045">
        <f t="shared" si="1"/>
        <v>2017</v>
      </c>
      <c r="T1045">
        <f t="shared" si="2"/>
        <v>5</v>
      </c>
      <c r="U1045">
        <f t="shared" si="3"/>
        <v>31</v>
      </c>
      <c r="AG1045" s="15"/>
      <c r="AH1045" s="16"/>
      <c r="AM1045" s="15"/>
      <c r="AN1045" s="16"/>
    </row>
    <row r="1046">
      <c r="A1046" s="13" t="s">
        <v>1333</v>
      </c>
      <c r="B1046" s="10">
        <v>42886.0</v>
      </c>
      <c r="C1046" s="11" t="s">
        <v>103</v>
      </c>
      <c r="D1046" s="11" t="s">
        <v>77</v>
      </c>
      <c r="E1046" s="11" t="s">
        <v>39</v>
      </c>
      <c r="F1046" s="11" t="s">
        <v>40</v>
      </c>
      <c r="G1046" s="11" t="s">
        <v>45</v>
      </c>
      <c r="H1046" s="11" t="s">
        <v>73</v>
      </c>
      <c r="I1046" s="11" t="s">
        <v>746</v>
      </c>
      <c r="J1046" s="11">
        <v>24.0</v>
      </c>
      <c r="K1046" s="12">
        <v>43304.0</v>
      </c>
      <c r="L1046" s="11">
        <f t="shared" si="106"/>
        <v>14</v>
      </c>
      <c r="M1046" s="11">
        <v>595897.0</v>
      </c>
      <c r="N1046" s="11">
        <v>16074.0</v>
      </c>
      <c r="O1046" s="13" t="s">
        <v>42</v>
      </c>
      <c r="P1046" s="11">
        <v>0.0</v>
      </c>
      <c r="Q1046" s="14">
        <v>0.0</v>
      </c>
      <c r="R1046" s="11">
        <v>1.0</v>
      </c>
      <c r="S1046">
        <f t="shared" si="1"/>
        <v>2017</v>
      </c>
      <c r="T1046">
        <f t="shared" si="2"/>
        <v>5</v>
      </c>
      <c r="U1046">
        <f t="shared" si="3"/>
        <v>31</v>
      </c>
      <c r="W1046" s="17">
        <v>43194.0</v>
      </c>
      <c r="Z1046" s="17">
        <v>43297.0</v>
      </c>
      <c r="AA1046" s="17">
        <v>43315.0</v>
      </c>
      <c r="AB1046" s="13" t="s">
        <v>2082</v>
      </c>
      <c r="AG1046" s="15"/>
      <c r="AH1046" s="16"/>
      <c r="AM1046" s="15"/>
      <c r="AN1046" s="16"/>
    </row>
    <row r="1047">
      <c r="A1047" s="13" t="s">
        <v>2083</v>
      </c>
      <c r="B1047" s="10">
        <v>42885.0</v>
      </c>
      <c r="C1047" s="11" t="s">
        <v>346</v>
      </c>
      <c r="D1047" s="11" t="s">
        <v>221</v>
      </c>
      <c r="E1047" s="11" t="s">
        <v>39</v>
      </c>
      <c r="F1047" s="11" t="s">
        <v>64</v>
      </c>
      <c r="G1047" s="11" t="s">
        <v>45</v>
      </c>
      <c r="H1047" s="11" t="s">
        <v>163</v>
      </c>
      <c r="I1047" s="11" t="s">
        <v>163</v>
      </c>
      <c r="J1047" s="11">
        <v>22.0</v>
      </c>
      <c r="K1047" s="12">
        <v>43305.0</v>
      </c>
      <c r="L1047" s="11">
        <f t="shared" si="106"/>
        <v>14</v>
      </c>
      <c r="M1047" s="11">
        <v>657060.0</v>
      </c>
      <c r="N1047" s="11" t="s">
        <v>2084</v>
      </c>
      <c r="O1047" s="13"/>
      <c r="P1047" s="11">
        <v>0.0</v>
      </c>
      <c r="Q1047" s="14">
        <v>0.0</v>
      </c>
      <c r="R1047" s="11">
        <v>1.0</v>
      </c>
      <c r="S1047">
        <f t="shared" si="1"/>
        <v>2017</v>
      </c>
      <c r="T1047">
        <f t="shared" si="2"/>
        <v>5</v>
      </c>
      <c r="U1047">
        <f t="shared" si="3"/>
        <v>30</v>
      </c>
      <c r="Z1047" s="17">
        <v>43305.0</v>
      </c>
      <c r="AG1047" s="15"/>
      <c r="AH1047" s="16"/>
      <c r="AM1047" s="15"/>
      <c r="AN1047" s="16"/>
    </row>
    <row r="1048">
      <c r="A1048" s="13" t="s">
        <v>2085</v>
      </c>
      <c r="B1048" s="17">
        <v>42885.0</v>
      </c>
      <c r="C1048" s="11" t="s">
        <v>83</v>
      </c>
      <c r="D1048" s="11" t="s">
        <v>93</v>
      </c>
      <c r="E1048" s="11" t="s">
        <v>39</v>
      </c>
      <c r="F1048" s="11" t="s">
        <v>40</v>
      </c>
      <c r="G1048" s="11" t="s">
        <v>45</v>
      </c>
      <c r="H1048" s="11" t="s">
        <v>669</v>
      </c>
      <c r="I1048" s="11" t="s">
        <v>2086</v>
      </c>
      <c r="J1048" s="11">
        <v>18.0</v>
      </c>
      <c r="K1048" s="12">
        <v>43636.0</v>
      </c>
      <c r="L1048" s="11"/>
      <c r="M1048" s="11">
        <v>685401.0</v>
      </c>
      <c r="N1048" s="11" t="s">
        <v>2087</v>
      </c>
      <c r="O1048" s="13"/>
      <c r="P1048" s="11">
        <v>0.0</v>
      </c>
      <c r="Q1048" s="14">
        <v>0.0</v>
      </c>
      <c r="R1048" s="11">
        <v>1.0</v>
      </c>
      <c r="S1048">
        <f t="shared" si="1"/>
        <v>2017</v>
      </c>
      <c r="T1048">
        <f t="shared" si="2"/>
        <v>5</v>
      </c>
      <c r="U1048">
        <f t="shared" si="3"/>
        <v>30</v>
      </c>
      <c r="Z1048" s="17"/>
      <c r="AG1048" s="15"/>
      <c r="AH1048" s="16"/>
      <c r="AM1048" s="15"/>
      <c r="AN1048" s="16"/>
    </row>
    <row r="1049">
      <c r="A1049" s="13" t="s">
        <v>2088</v>
      </c>
      <c r="B1049" s="10">
        <v>42878.0</v>
      </c>
      <c r="C1049" s="11" t="s">
        <v>162</v>
      </c>
      <c r="D1049" s="11" t="s">
        <v>58</v>
      </c>
      <c r="E1049" s="11" t="s">
        <v>39</v>
      </c>
      <c r="F1049" s="11" t="s">
        <v>40</v>
      </c>
      <c r="G1049" s="11" t="s">
        <v>45</v>
      </c>
      <c r="H1049" s="11" t="s">
        <v>127</v>
      </c>
      <c r="I1049" s="11" t="s">
        <v>127</v>
      </c>
      <c r="J1049" s="11">
        <v>31.0</v>
      </c>
      <c r="K1049" s="12">
        <v>43344.0</v>
      </c>
      <c r="L1049" s="11">
        <f t="shared" ref="L1049:L1051" si="107">ROUND(((K1049-B1049)/365)*12,0)</f>
        <v>15</v>
      </c>
      <c r="M1049" s="11">
        <v>543942.0</v>
      </c>
      <c r="N1049" s="11">
        <v>8532.0</v>
      </c>
      <c r="O1049" s="13" t="s">
        <v>355</v>
      </c>
      <c r="P1049" s="11">
        <v>0.0</v>
      </c>
      <c r="Q1049" s="14">
        <v>0.0</v>
      </c>
      <c r="R1049" s="11">
        <v>1.0</v>
      </c>
      <c r="S1049">
        <f t="shared" si="1"/>
        <v>2017</v>
      </c>
      <c r="T1049">
        <f t="shared" si="2"/>
        <v>5</v>
      </c>
      <c r="U1049">
        <f t="shared" si="3"/>
        <v>23</v>
      </c>
      <c r="Z1049" s="17">
        <v>43277.0</v>
      </c>
      <c r="AG1049" s="15"/>
      <c r="AH1049" s="16"/>
      <c r="AM1049" s="15"/>
      <c r="AN1049" s="16"/>
    </row>
    <row r="1050">
      <c r="A1050" s="13" t="s">
        <v>2089</v>
      </c>
      <c r="B1050" s="10">
        <v>42874.0</v>
      </c>
      <c r="C1050" s="11" t="s">
        <v>116</v>
      </c>
      <c r="D1050" s="11" t="s">
        <v>97</v>
      </c>
      <c r="E1050" s="11" t="s">
        <v>39</v>
      </c>
      <c r="F1050" s="11" t="s">
        <v>40</v>
      </c>
      <c r="G1050" s="11" t="s">
        <v>41</v>
      </c>
      <c r="H1050" s="11"/>
      <c r="I1050" s="11"/>
      <c r="J1050" s="11">
        <v>22.0</v>
      </c>
      <c r="K1050" s="12">
        <v>43561.0</v>
      </c>
      <c r="L1050" s="11">
        <f t="shared" si="107"/>
        <v>23</v>
      </c>
      <c r="M1050" s="11">
        <v>650306.0</v>
      </c>
      <c r="N1050" s="11" t="s">
        <v>2090</v>
      </c>
      <c r="O1050" s="13" t="s">
        <v>2091</v>
      </c>
      <c r="P1050" s="11">
        <v>0.0</v>
      </c>
      <c r="Q1050" s="14">
        <v>0.0</v>
      </c>
      <c r="R1050" s="11">
        <v>1.0</v>
      </c>
      <c r="S1050">
        <f t="shared" si="1"/>
        <v>2017</v>
      </c>
      <c r="T1050">
        <f t="shared" si="2"/>
        <v>5</v>
      </c>
      <c r="U1050">
        <f t="shared" si="3"/>
        <v>19</v>
      </c>
      <c r="Z1050" s="17">
        <v>43323.0</v>
      </c>
      <c r="AG1050" s="15"/>
      <c r="AH1050" s="16"/>
      <c r="AM1050" s="15"/>
      <c r="AN1050" s="16"/>
    </row>
    <row r="1051">
      <c r="A1051" s="13" t="s">
        <v>2092</v>
      </c>
      <c r="B1051" s="10">
        <v>42872.0</v>
      </c>
      <c r="C1051" s="11" t="s">
        <v>192</v>
      </c>
      <c r="D1051" s="11" t="s">
        <v>58</v>
      </c>
      <c r="E1051" s="11" t="s">
        <v>39</v>
      </c>
      <c r="F1051" s="11" t="s">
        <v>64</v>
      </c>
      <c r="G1051" s="11" t="s">
        <v>194</v>
      </c>
      <c r="H1051" s="11"/>
      <c r="I1051" s="11"/>
      <c r="J1051" s="11">
        <v>25.0</v>
      </c>
      <c r="K1051" s="39">
        <v>43561.0</v>
      </c>
      <c r="L1051" s="11">
        <f t="shared" si="107"/>
        <v>23</v>
      </c>
      <c r="M1051" s="11">
        <v>592361.0</v>
      </c>
      <c r="N1051" s="11" t="s">
        <v>2093</v>
      </c>
      <c r="O1051" s="13" t="s">
        <v>603</v>
      </c>
      <c r="P1051" s="11">
        <v>0.0</v>
      </c>
      <c r="Q1051" s="14">
        <v>0.0</v>
      </c>
      <c r="R1051" s="11">
        <v>1.0</v>
      </c>
      <c r="S1051">
        <f t="shared" si="1"/>
        <v>2017</v>
      </c>
      <c r="T1051">
        <f t="shared" si="2"/>
        <v>5</v>
      </c>
      <c r="U1051">
        <f t="shared" si="3"/>
        <v>17</v>
      </c>
      <c r="Z1051" s="17">
        <v>43257.0</v>
      </c>
      <c r="AG1051" s="15"/>
      <c r="AH1051" s="16"/>
      <c r="AM1051" s="15"/>
      <c r="AN1051" s="16"/>
    </row>
    <row r="1052">
      <c r="A1052" s="13" t="s">
        <v>2094</v>
      </c>
      <c r="B1052" s="10">
        <v>42872.0</v>
      </c>
      <c r="C1052" s="11" t="s">
        <v>156</v>
      </c>
      <c r="D1052" s="11" t="s">
        <v>38</v>
      </c>
      <c r="E1052" s="11" t="s">
        <v>39</v>
      </c>
      <c r="F1052" s="11" t="s">
        <v>40</v>
      </c>
      <c r="G1052" s="11" t="s">
        <v>45</v>
      </c>
      <c r="H1052" s="11" t="s">
        <v>56</v>
      </c>
      <c r="I1052" s="11" t="s">
        <v>1533</v>
      </c>
      <c r="J1052" s="11">
        <v>29.0</v>
      </c>
      <c r="K1052" s="12"/>
      <c r="L1052" s="12"/>
      <c r="M1052" s="11">
        <v>474521.0</v>
      </c>
      <c r="N1052" s="11">
        <v>10481.0</v>
      </c>
      <c r="O1052" s="13" t="s">
        <v>42</v>
      </c>
      <c r="P1052" s="11">
        <v>0.0</v>
      </c>
      <c r="Q1052" s="14">
        <v>0.0</v>
      </c>
      <c r="R1052" s="11">
        <v>0.0</v>
      </c>
      <c r="S1052">
        <f t="shared" si="1"/>
        <v>2017</v>
      </c>
      <c r="T1052">
        <f t="shared" si="2"/>
        <v>5</v>
      </c>
      <c r="U1052">
        <f t="shared" si="3"/>
        <v>17</v>
      </c>
      <c r="AG1052" s="15"/>
      <c r="AH1052" s="16"/>
      <c r="AM1052" s="15"/>
      <c r="AN1052" s="16"/>
    </row>
    <row r="1053">
      <c r="A1053" s="13" t="s">
        <v>2095</v>
      </c>
      <c r="B1053" s="10">
        <v>42871.0</v>
      </c>
      <c r="C1053" s="11" t="s">
        <v>62</v>
      </c>
      <c r="D1053" s="11" t="s">
        <v>88</v>
      </c>
      <c r="E1053" s="11" t="s">
        <v>39</v>
      </c>
      <c r="F1053" s="11" t="s">
        <v>40</v>
      </c>
      <c r="G1053" s="11" t="s">
        <v>45</v>
      </c>
      <c r="H1053" s="11" t="s">
        <v>73</v>
      </c>
      <c r="I1053" s="11" t="s">
        <v>2096</v>
      </c>
      <c r="J1053" s="11">
        <v>26.0</v>
      </c>
      <c r="K1053" s="39">
        <v>43319.0</v>
      </c>
      <c r="L1053" s="11">
        <f t="shared" ref="L1053:L1059" si="108">ROUND(((K1053-B1053)/365)*12,0)</f>
        <v>15</v>
      </c>
      <c r="M1053" s="11">
        <v>571687.0</v>
      </c>
      <c r="N1053" s="11" t="s">
        <v>2097</v>
      </c>
      <c r="O1053" s="13"/>
      <c r="P1053" s="11">
        <v>0.0</v>
      </c>
      <c r="Q1053" s="14">
        <v>0.0</v>
      </c>
      <c r="R1053" s="11">
        <v>1.0</v>
      </c>
      <c r="S1053">
        <f t="shared" si="1"/>
        <v>2017</v>
      </c>
      <c r="T1053">
        <f t="shared" si="2"/>
        <v>5</v>
      </c>
      <c r="U1053">
        <f t="shared" si="3"/>
        <v>16</v>
      </c>
      <c r="Z1053" s="17">
        <v>43303.0</v>
      </c>
      <c r="AG1053" s="15"/>
      <c r="AH1053" s="16"/>
      <c r="AM1053" s="15"/>
      <c r="AN1053" s="16"/>
    </row>
    <row r="1054">
      <c r="A1054" s="13" t="s">
        <v>54</v>
      </c>
      <c r="B1054" s="10">
        <v>42865.0</v>
      </c>
      <c r="C1054" s="11" t="s">
        <v>101</v>
      </c>
      <c r="D1054" s="11" t="s">
        <v>38</v>
      </c>
      <c r="E1054" s="11" t="s">
        <v>39</v>
      </c>
      <c r="F1054" s="11" t="s">
        <v>40</v>
      </c>
      <c r="G1054" s="11" t="s">
        <v>45</v>
      </c>
      <c r="H1054" s="11" t="s">
        <v>56</v>
      </c>
      <c r="I1054" s="11"/>
      <c r="J1054" s="11">
        <v>26.0</v>
      </c>
      <c r="K1054" s="12">
        <v>43276.0</v>
      </c>
      <c r="L1054" s="11">
        <f t="shared" si="108"/>
        <v>14</v>
      </c>
      <c r="M1054" s="11">
        <v>571946.0</v>
      </c>
      <c r="N1054" s="11">
        <v>10197.0</v>
      </c>
      <c r="O1054" s="13" t="s">
        <v>69</v>
      </c>
      <c r="P1054" s="11">
        <v>0.0</v>
      </c>
      <c r="Q1054" s="14">
        <v>0.0</v>
      </c>
      <c r="R1054" s="11">
        <v>1.0</v>
      </c>
      <c r="S1054">
        <f t="shared" si="1"/>
        <v>2017</v>
      </c>
      <c r="T1054">
        <f t="shared" si="2"/>
        <v>5</v>
      </c>
      <c r="U1054">
        <f t="shared" si="3"/>
        <v>10</v>
      </c>
      <c r="V1054" s="17">
        <v>43017.0</v>
      </c>
      <c r="X1054" s="17">
        <v>43172.0</v>
      </c>
      <c r="Y1054" s="17">
        <v>43215.0</v>
      </c>
      <c r="Z1054" s="17">
        <v>43249.0</v>
      </c>
      <c r="AG1054" s="15"/>
      <c r="AH1054" s="16"/>
      <c r="AM1054" s="15"/>
      <c r="AN1054" s="16"/>
    </row>
    <row r="1055">
      <c r="A1055" s="13" t="s">
        <v>2098</v>
      </c>
      <c r="B1055" s="10">
        <v>42863.0</v>
      </c>
      <c r="C1055" s="11" t="s">
        <v>62</v>
      </c>
      <c r="D1055" s="11" t="s">
        <v>58</v>
      </c>
      <c r="E1055" s="11" t="s">
        <v>39</v>
      </c>
      <c r="F1055" s="11" t="s">
        <v>40</v>
      </c>
      <c r="G1055" s="11" t="s">
        <v>45</v>
      </c>
      <c r="H1055" s="11" t="s">
        <v>67</v>
      </c>
      <c r="I1055" s="11" t="s">
        <v>2099</v>
      </c>
      <c r="J1055" s="11">
        <v>25.0</v>
      </c>
      <c r="K1055" s="12">
        <v>43560.0</v>
      </c>
      <c r="L1055" s="11">
        <f t="shared" si="108"/>
        <v>23</v>
      </c>
      <c r="M1055" s="11">
        <v>592438.0</v>
      </c>
      <c r="N1055" s="11" t="s">
        <v>2100</v>
      </c>
      <c r="O1055" s="13"/>
      <c r="P1055" s="11">
        <v>0.0</v>
      </c>
      <c r="Q1055" s="14">
        <v>0.0</v>
      </c>
      <c r="R1055" s="11">
        <v>1.0</v>
      </c>
      <c r="S1055">
        <f t="shared" si="1"/>
        <v>2017</v>
      </c>
      <c r="T1055">
        <f t="shared" si="2"/>
        <v>5</v>
      </c>
      <c r="U1055">
        <f t="shared" si="3"/>
        <v>8</v>
      </c>
      <c r="Z1055" s="17">
        <v>43228.0</v>
      </c>
      <c r="AG1055" s="15"/>
      <c r="AH1055" s="16"/>
      <c r="AM1055" s="15"/>
      <c r="AN1055" s="16"/>
    </row>
    <row r="1056">
      <c r="A1056" s="13" t="s">
        <v>2101</v>
      </c>
      <c r="B1056" s="10">
        <v>42858.0</v>
      </c>
      <c r="C1056" s="11" t="s">
        <v>49</v>
      </c>
      <c r="D1056" s="11" t="s">
        <v>97</v>
      </c>
      <c r="E1056" s="11" t="s">
        <v>279</v>
      </c>
      <c r="F1056" s="11" t="s">
        <v>40</v>
      </c>
      <c r="G1056" s="11" t="s">
        <v>45</v>
      </c>
      <c r="H1056" s="11" t="s">
        <v>231</v>
      </c>
      <c r="I1056" s="11" t="s">
        <v>746</v>
      </c>
      <c r="J1056" s="11">
        <v>22.0</v>
      </c>
      <c r="K1056" s="12">
        <v>43195.0</v>
      </c>
      <c r="L1056" s="11">
        <f t="shared" si="108"/>
        <v>11</v>
      </c>
      <c r="M1056" s="11">
        <v>669723.0</v>
      </c>
      <c r="N1056" s="11" t="s">
        <v>2102</v>
      </c>
      <c r="O1056" s="13"/>
      <c r="P1056" s="11">
        <v>0.0</v>
      </c>
      <c r="Q1056" s="14">
        <v>0.0</v>
      </c>
      <c r="R1056" s="11">
        <v>1.0</v>
      </c>
      <c r="S1056">
        <f t="shared" si="1"/>
        <v>2017</v>
      </c>
      <c r="T1056">
        <f t="shared" si="2"/>
        <v>5</v>
      </c>
      <c r="U1056">
        <f t="shared" si="3"/>
        <v>3</v>
      </c>
      <c r="AG1056" s="15"/>
      <c r="AH1056" s="16"/>
      <c r="AM1056" s="15"/>
      <c r="AN1056" s="16"/>
    </row>
    <row r="1057">
      <c r="A1057" s="13" t="s">
        <v>2103</v>
      </c>
      <c r="B1057" s="17">
        <v>42858.0</v>
      </c>
      <c r="C1057" s="11" t="s">
        <v>108</v>
      </c>
      <c r="D1057" s="11" t="s">
        <v>93</v>
      </c>
      <c r="E1057" s="11" t="s">
        <v>39</v>
      </c>
      <c r="F1057" s="11" t="s">
        <v>40</v>
      </c>
      <c r="G1057" s="11" t="s">
        <v>45</v>
      </c>
      <c r="H1057" s="11" t="s">
        <v>163</v>
      </c>
      <c r="I1057" s="11" t="s">
        <v>173</v>
      </c>
      <c r="J1057" s="11">
        <v>21.0</v>
      </c>
      <c r="K1057" s="12">
        <v>43273.0</v>
      </c>
      <c r="L1057" s="11">
        <f t="shared" si="108"/>
        <v>14</v>
      </c>
      <c r="M1057" s="11">
        <v>657376.0</v>
      </c>
      <c r="N1057" s="11">
        <v>19899.0</v>
      </c>
      <c r="O1057" s="13" t="s">
        <v>1407</v>
      </c>
      <c r="P1057" s="11">
        <v>0.0</v>
      </c>
      <c r="Q1057" s="14">
        <v>0.0</v>
      </c>
      <c r="R1057" s="11">
        <v>1.0</v>
      </c>
      <c r="S1057">
        <f t="shared" si="1"/>
        <v>2017</v>
      </c>
      <c r="T1057">
        <f t="shared" si="2"/>
        <v>5</v>
      </c>
      <c r="U1057">
        <f t="shared" si="3"/>
        <v>3</v>
      </c>
      <c r="W1057" s="17">
        <v>43151.0</v>
      </c>
      <c r="Y1057" s="17">
        <v>43242.0</v>
      </c>
      <c r="AG1057" s="15"/>
      <c r="AH1057" s="16"/>
      <c r="AM1057" s="15"/>
      <c r="AN1057" s="16"/>
    </row>
    <row r="1058">
      <c r="A1058" s="13" t="s">
        <v>2104</v>
      </c>
      <c r="B1058" s="10">
        <v>42857.0</v>
      </c>
      <c r="C1058" s="11" t="s">
        <v>52</v>
      </c>
      <c r="D1058" s="11" t="s">
        <v>58</v>
      </c>
      <c r="E1058" s="11" t="s">
        <v>39</v>
      </c>
      <c r="F1058" s="11" t="s">
        <v>40</v>
      </c>
      <c r="G1058" s="11" t="s">
        <v>45</v>
      </c>
      <c r="H1058" s="11" t="s">
        <v>56</v>
      </c>
      <c r="I1058" s="11" t="s">
        <v>640</v>
      </c>
      <c r="J1058" s="11">
        <v>26.0</v>
      </c>
      <c r="K1058" s="12">
        <v>43296.0</v>
      </c>
      <c r="L1058" s="11">
        <f t="shared" si="108"/>
        <v>14</v>
      </c>
      <c r="M1058" s="11">
        <v>572086.0</v>
      </c>
      <c r="N1058" s="11">
        <v>13393.0</v>
      </c>
      <c r="O1058" s="13" t="s">
        <v>1407</v>
      </c>
      <c r="P1058" s="11">
        <v>0.0</v>
      </c>
      <c r="Q1058" s="14">
        <v>0.0</v>
      </c>
      <c r="R1058" s="11">
        <v>1.0</v>
      </c>
      <c r="S1058">
        <f t="shared" si="1"/>
        <v>2017</v>
      </c>
      <c r="T1058">
        <f t="shared" si="2"/>
        <v>5</v>
      </c>
      <c r="U1058">
        <f t="shared" si="3"/>
        <v>2</v>
      </c>
      <c r="W1058" s="17">
        <v>43172.0</v>
      </c>
      <c r="Z1058" s="17">
        <v>43271.0</v>
      </c>
      <c r="AG1058" s="15"/>
      <c r="AH1058" s="16"/>
      <c r="AM1058" s="15"/>
      <c r="AN1058" s="16"/>
    </row>
    <row r="1059">
      <c r="A1059" s="13" t="s">
        <v>2105</v>
      </c>
      <c r="B1059" s="10">
        <v>42857.0</v>
      </c>
      <c r="C1059" s="11" t="s">
        <v>103</v>
      </c>
      <c r="D1059" s="11" t="s">
        <v>38</v>
      </c>
      <c r="E1059" s="11" t="s">
        <v>39</v>
      </c>
      <c r="F1059" s="11" t="s">
        <v>64</v>
      </c>
      <c r="G1059" s="11" t="s">
        <v>45</v>
      </c>
      <c r="H1059" s="11" t="s">
        <v>729</v>
      </c>
      <c r="I1059" s="11" t="s">
        <v>2106</v>
      </c>
      <c r="J1059" s="11">
        <v>29.0</v>
      </c>
      <c r="K1059" s="12">
        <v>43586.0</v>
      </c>
      <c r="L1059" s="11">
        <f t="shared" si="108"/>
        <v>24</v>
      </c>
      <c r="M1059" s="11">
        <v>594951.0</v>
      </c>
      <c r="N1059" s="11">
        <v>10976.0</v>
      </c>
      <c r="O1059" s="13" t="s">
        <v>1407</v>
      </c>
      <c r="P1059" s="11">
        <v>0.0</v>
      </c>
      <c r="Q1059" s="14">
        <v>0.0</v>
      </c>
      <c r="R1059" s="11">
        <v>1.0</v>
      </c>
      <c r="S1059">
        <f t="shared" si="1"/>
        <v>2017</v>
      </c>
      <c r="T1059">
        <f t="shared" si="2"/>
        <v>5</v>
      </c>
      <c r="U1059">
        <f t="shared" si="3"/>
        <v>2</v>
      </c>
      <c r="Y1059" s="17">
        <v>43204.0</v>
      </c>
      <c r="Z1059" s="17">
        <v>43298.0</v>
      </c>
      <c r="AG1059" s="15"/>
      <c r="AH1059" s="16"/>
      <c r="AM1059" s="15"/>
      <c r="AN1059" s="16"/>
    </row>
    <row r="1060">
      <c r="A1060" s="13" t="s">
        <v>2107</v>
      </c>
      <c r="B1060" s="10">
        <v>42856.0</v>
      </c>
      <c r="C1060" s="11" t="s">
        <v>44</v>
      </c>
      <c r="D1060" s="11" t="s">
        <v>97</v>
      </c>
      <c r="E1060" s="11" t="s">
        <v>39</v>
      </c>
      <c r="F1060" s="11" t="s">
        <v>40</v>
      </c>
      <c r="G1060" s="11" t="s">
        <v>53</v>
      </c>
      <c r="H1060" s="11"/>
      <c r="I1060" s="11"/>
      <c r="J1060" s="11">
        <v>21.0</v>
      </c>
      <c r="K1060" s="12"/>
      <c r="L1060" s="30"/>
      <c r="M1060" s="11">
        <v>642297.0</v>
      </c>
      <c r="N1060" s="11" t="s">
        <v>2108</v>
      </c>
      <c r="O1060" s="13"/>
      <c r="P1060" s="11">
        <v>0.0</v>
      </c>
      <c r="Q1060" s="14">
        <v>0.0</v>
      </c>
      <c r="R1060" s="11">
        <v>0.0</v>
      </c>
      <c r="S1060">
        <f t="shared" si="1"/>
        <v>2017</v>
      </c>
      <c r="T1060">
        <f t="shared" si="2"/>
        <v>5</v>
      </c>
      <c r="U1060">
        <f t="shared" si="3"/>
        <v>1</v>
      </c>
      <c r="Z1060" s="17">
        <v>43271.0</v>
      </c>
      <c r="AG1060" s="15"/>
      <c r="AH1060" s="16"/>
      <c r="AM1060" s="15"/>
      <c r="AN1060" s="16"/>
    </row>
    <row r="1061">
      <c r="A1061" s="13" t="s">
        <v>2109</v>
      </c>
      <c r="B1061" s="17">
        <v>42856.0</v>
      </c>
      <c r="C1061" s="11" t="s">
        <v>126</v>
      </c>
      <c r="D1061" s="11" t="s">
        <v>93</v>
      </c>
      <c r="E1061" s="11" t="s">
        <v>39</v>
      </c>
      <c r="F1061" s="11" t="s">
        <v>40</v>
      </c>
      <c r="G1061" s="11" t="s">
        <v>45</v>
      </c>
      <c r="H1061" s="11" t="s">
        <v>320</v>
      </c>
      <c r="I1061" s="11" t="s">
        <v>320</v>
      </c>
      <c r="J1061" s="11">
        <v>20.0</v>
      </c>
      <c r="K1061" s="12">
        <v>43563.0</v>
      </c>
      <c r="L1061" s="11">
        <f t="shared" ref="L1061:L1071" si="109">ROUND(((K1061-B1061)/365)*12,0)</f>
        <v>23</v>
      </c>
      <c r="M1061" s="11">
        <v>675627.0</v>
      </c>
      <c r="N1061" s="11">
        <v>23221.0</v>
      </c>
      <c r="O1061" s="13"/>
      <c r="P1061" s="11">
        <v>0.0</v>
      </c>
      <c r="Q1061" s="14">
        <v>0.0</v>
      </c>
      <c r="R1061" s="11">
        <v>1.0</v>
      </c>
      <c r="S1061">
        <f t="shared" si="1"/>
        <v>2017</v>
      </c>
      <c r="T1061">
        <f t="shared" si="2"/>
        <v>5</v>
      </c>
      <c r="U1061">
        <f t="shared" si="3"/>
        <v>1</v>
      </c>
      <c r="Z1061" s="17"/>
      <c r="AG1061" s="15"/>
      <c r="AH1061" s="16"/>
      <c r="AM1061" s="15"/>
      <c r="AN1061" s="16"/>
    </row>
    <row r="1062">
      <c r="A1062" s="13" t="s">
        <v>2110</v>
      </c>
      <c r="B1062" s="17">
        <v>42856.0</v>
      </c>
      <c r="C1062" s="11" t="s">
        <v>175</v>
      </c>
      <c r="D1062" s="11" t="s">
        <v>88</v>
      </c>
      <c r="E1062" s="11" t="s">
        <v>39</v>
      </c>
      <c r="F1062" s="11" t="s">
        <v>40</v>
      </c>
      <c r="G1062" s="11" t="s">
        <v>225</v>
      </c>
      <c r="H1062" s="11"/>
      <c r="I1062" s="11"/>
      <c r="J1062" s="11">
        <v>21.0</v>
      </c>
      <c r="K1062" s="12">
        <v>43559.0</v>
      </c>
      <c r="L1062" s="11">
        <f t="shared" si="109"/>
        <v>23</v>
      </c>
      <c r="M1062" s="11">
        <v>656329.0</v>
      </c>
      <c r="N1062" s="11" t="s">
        <v>2111</v>
      </c>
      <c r="O1062" s="13"/>
      <c r="P1062" s="11">
        <v>0.0</v>
      </c>
      <c r="Q1062" s="14">
        <v>0.0</v>
      </c>
      <c r="R1062" s="11">
        <v>1.0</v>
      </c>
      <c r="S1062">
        <f t="shared" si="1"/>
        <v>2017</v>
      </c>
      <c r="T1062">
        <f t="shared" si="2"/>
        <v>5</v>
      </c>
      <c r="U1062">
        <f t="shared" si="3"/>
        <v>1</v>
      </c>
      <c r="Z1062" s="17">
        <v>43283.0</v>
      </c>
      <c r="AG1062" s="15"/>
      <c r="AH1062" s="16"/>
      <c r="AM1062" s="15"/>
      <c r="AN1062" s="16"/>
    </row>
    <row r="1063">
      <c r="A1063" s="13" t="s">
        <v>2112</v>
      </c>
      <c r="B1063" s="10">
        <v>42856.0</v>
      </c>
      <c r="C1063" s="11" t="s">
        <v>62</v>
      </c>
      <c r="D1063" s="11" t="s">
        <v>709</v>
      </c>
      <c r="E1063" s="11" t="s">
        <v>39</v>
      </c>
      <c r="F1063" s="11" t="s">
        <v>64</v>
      </c>
      <c r="G1063" s="11" t="s">
        <v>45</v>
      </c>
      <c r="H1063" s="11" t="s">
        <v>163</v>
      </c>
      <c r="I1063" s="11" t="s">
        <v>559</v>
      </c>
      <c r="J1063" s="11">
        <v>21.0</v>
      </c>
      <c r="K1063" s="12">
        <v>43198.0</v>
      </c>
      <c r="L1063" s="11">
        <f t="shared" si="109"/>
        <v>11</v>
      </c>
      <c r="M1063" s="11">
        <v>656683.0</v>
      </c>
      <c r="N1063" s="11" t="s">
        <v>2113</v>
      </c>
      <c r="O1063" s="13"/>
      <c r="P1063" s="11">
        <v>0.0</v>
      </c>
      <c r="Q1063" s="14">
        <v>0.0</v>
      </c>
      <c r="R1063" s="11">
        <v>1.0</v>
      </c>
      <c r="S1063">
        <f t="shared" si="1"/>
        <v>2017</v>
      </c>
      <c r="T1063">
        <f t="shared" si="2"/>
        <v>5</v>
      </c>
      <c r="U1063">
        <f t="shared" si="3"/>
        <v>1</v>
      </c>
      <c r="Z1063" s="17">
        <v>42974.0</v>
      </c>
      <c r="AG1063" s="15"/>
      <c r="AH1063" s="16"/>
      <c r="AM1063" s="15"/>
      <c r="AN1063" s="16"/>
    </row>
    <row r="1064">
      <c r="A1064" s="13" t="s">
        <v>2114</v>
      </c>
      <c r="B1064" s="17">
        <v>42856.0</v>
      </c>
      <c r="C1064" s="11" t="s">
        <v>156</v>
      </c>
      <c r="D1064" s="11" t="s">
        <v>93</v>
      </c>
      <c r="E1064" s="11" t="s">
        <v>39</v>
      </c>
      <c r="F1064" s="11" t="s">
        <v>40</v>
      </c>
      <c r="G1064" s="11" t="s">
        <v>45</v>
      </c>
      <c r="H1064" s="11" t="s">
        <v>56</v>
      </c>
      <c r="I1064" s="11" t="s">
        <v>2115</v>
      </c>
      <c r="J1064" s="11">
        <v>21.0</v>
      </c>
      <c r="K1064" s="12">
        <v>43269.0</v>
      </c>
      <c r="L1064" s="11">
        <f t="shared" si="109"/>
        <v>14</v>
      </c>
      <c r="M1064" s="11">
        <v>676726.0</v>
      </c>
      <c r="N1064" s="11" t="s">
        <v>2116</v>
      </c>
      <c r="O1064" s="13"/>
      <c r="P1064" s="11">
        <v>0.0</v>
      </c>
      <c r="Q1064" s="14">
        <v>0.0</v>
      </c>
      <c r="R1064" s="11">
        <v>1.0</v>
      </c>
      <c r="S1064">
        <f t="shared" si="1"/>
        <v>2017</v>
      </c>
      <c r="T1064">
        <f t="shared" si="2"/>
        <v>5</v>
      </c>
      <c r="U1064">
        <f t="shared" si="3"/>
        <v>1</v>
      </c>
      <c r="AG1064" s="15"/>
      <c r="AH1064" s="16"/>
      <c r="AM1064" s="15"/>
      <c r="AN1064" s="16"/>
    </row>
    <row r="1065">
      <c r="A1065" s="13" t="s">
        <v>2117</v>
      </c>
      <c r="B1065" s="10">
        <v>42856.0</v>
      </c>
      <c r="C1065" s="11" t="s">
        <v>186</v>
      </c>
      <c r="D1065" s="11" t="s">
        <v>88</v>
      </c>
      <c r="E1065" s="11" t="s">
        <v>39</v>
      </c>
      <c r="F1065" s="11" t="s">
        <v>40</v>
      </c>
      <c r="G1065" s="11" t="s">
        <v>45</v>
      </c>
      <c r="H1065" s="11" t="s">
        <v>56</v>
      </c>
      <c r="I1065" s="11" t="s">
        <v>2118</v>
      </c>
      <c r="J1065" s="11">
        <v>24.0</v>
      </c>
      <c r="K1065" s="12">
        <v>43282.0</v>
      </c>
      <c r="L1065" s="11">
        <f t="shared" si="109"/>
        <v>14</v>
      </c>
      <c r="M1065" s="11">
        <v>664194.0</v>
      </c>
      <c r="N1065" s="11" t="s">
        <v>2119</v>
      </c>
      <c r="O1065" s="13"/>
      <c r="P1065" s="11">
        <v>0.0</v>
      </c>
      <c r="Q1065" s="14">
        <v>0.0</v>
      </c>
      <c r="R1065" s="11">
        <v>1.0</v>
      </c>
      <c r="S1065">
        <f t="shared" si="1"/>
        <v>2017</v>
      </c>
      <c r="T1065">
        <f t="shared" si="2"/>
        <v>5</v>
      </c>
      <c r="U1065">
        <f t="shared" si="3"/>
        <v>1</v>
      </c>
      <c r="Z1065" s="17">
        <v>43266.0</v>
      </c>
      <c r="AG1065" s="15"/>
      <c r="AH1065" s="16"/>
      <c r="AM1065" s="15"/>
      <c r="AN1065" s="16"/>
    </row>
    <row r="1066">
      <c r="A1066" s="13" t="s">
        <v>747</v>
      </c>
      <c r="B1066" s="10">
        <v>42851.0</v>
      </c>
      <c r="C1066" s="11" t="s">
        <v>274</v>
      </c>
      <c r="D1066" s="11" t="s">
        <v>88</v>
      </c>
      <c r="E1066" s="11" t="s">
        <v>39</v>
      </c>
      <c r="F1066" s="11" t="s">
        <v>40</v>
      </c>
      <c r="G1066" s="11" t="s">
        <v>45</v>
      </c>
      <c r="H1066" s="11" t="s">
        <v>67</v>
      </c>
      <c r="I1066" s="11" t="s">
        <v>748</v>
      </c>
      <c r="J1066" s="11">
        <v>21.0</v>
      </c>
      <c r="K1066" s="12">
        <v>43559.0</v>
      </c>
      <c r="L1066" s="11">
        <f t="shared" si="109"/>
        <v>23</v>
      </c>
      <c r="M1066" s="11">
        <v>641726.0</v>
      </c>
      <c r="N1066" s="11">
        <v>19345.0</v>
      </c>
      <c r="O1066" s="13"/>
      <c r="P1066" s="11">
        <v>0.0</v>
      </c>
      <c r="Q1066" s="14">
        <v>0.0</v>
      </c>
      <c r="R1066" s="11">
        <v>1.0</v>
      </c>
      <c r="S1066">
        <f t="shared" si="1"/>
        <v>2017</v>
      </c>
      <c r="T1066">
        <f t="shared" si="2"/>
        <v>4</v>
      </c>
      <c r="U1066">
        <f t="shared" si="3"/>
        <v>26</v>
      </c>
      <c r="V1066" s="17">
        <v>43007.0</v>
      </c>
      <c r="W1066" s="17">
        <v>43143.0</v>
      </c>
      <c r="Y1066" s="17">
        <v>43211.0</v>
      </c>
      <c r="Z1066" s="17">
        <v>43270.0</v>
      </c>
      <c r="AG1066" s="15"/>
      <c r="AH1066" s="16"/>
      <c r="AM1066" s="15"/>
      <c r="AN1066" s="16"/>
    </row>
    <row r="1067">
      <c r="A1067" s="13" t="s">
        <v>2120</v>
      </c>
      <c r="B1067" s="10">
        <v>42851.0</v>
      </c>
      <c r="C1067" s="11" t="s">
        <v>186</v>
      </c>
      <c r="D1067" s="11" t="s">
        <v>88</v>
      </c>
      <c r="E1067" s="11" t="s">
        <v>39</v>
      </c>
      <c r="F1067" s="11" t="s">
        <v>64</v>
      </c>
      <c r="G1067" s="11" t="s">
        <v>45</v>
      </c>
      <c r="H1067" s="11" t="s">
        <v>59</v>
      </c>
      <c r="I1067" s="11"/>
      <c r="J1067" s="11">
        <v>22.0</v>
      </c>
      <c r="K1067" s="12">
        <v>43294.0</v>
      </c>
      <c r="L1067" s="11">
        <f t="shared" si="109"/>
        <v>15</v>
      </c>
      <c r="M1067" s="11">
        <v>643478.0</v>
      </c>
      <c r="N1067" s="11">
        <v>17035.0</v>
      </c>
      <c r="O1067" s="13" t="s">
        <v>42</v>
      </c>
      <c r="P1067" s="11">
        <v>0.0</v>
      </c>
      <c r="Q1067" s="14">
        <v>0.0</v>
      </c>
      <c r="R1067" s="11">
        <v>1.0</v>
      </c>
      <c r="S1067">
        <f t="shared" si="1"/>
        <v>2017</v>
      </c>
      <c r="T1067">
        <f t="shared" si="2"/>
        <v>4</v>
      </c>
      <c r="U1067">
        <f t="shared" si="3"/>
        <v>26</v>
      </c>
      <c r="Z1067" s="17">
        <v>43275.0</v>
      </c>
      <c r="AG1067" s="15"/>
      <c r="AH1067" s="16"/>
      <c r="AM1067" s="15"/>
      <c r="AN1067" s="16"/>
    </row>
    <row r="1068">
      <c r="A1068" s="13" t="s">
        <v>2121</v>
      </c>
      <c r="B1068" s="10">
        <v>42846.0</v>
      </c>
      <c r="C1068" s="11" t="s">
        <v>175</v>
      </c>
      <c r="D1068" s="11" t="s">
        <v>77</v>
      </c>
      <c r="E1068" s="11" t="s">
        <v>39</v>
      </c>
      <c r="F1068" s="11" t="s">
        <v>40</v>
      </c>
      <c r="G1068" s="11" t="s">
        <v>45</v>
      </c>
      <c r="H1068" s="11" t="s">
        <v>127</v>
      </c>
      <c r="I1068" s="11" t="s">
        <v>1159</v>
      </c>
      <c r="J1068" s="11">
        <v>29.0</v>
      </c>
      <c r="K1068" s="12">
        <v>43235.0</v>
      </c>
      <c r="L1068" s="11">
        <f t="shared" si="109"/>
        <v>13</v>
      </c>
      <c r="M1068" s="11">
        <v>607725.0</v>
      </c>
      <c r="N1068" s="11" t="s">
        <v>2122</v>
      </c>
      <c r="O1068" s="13"/>
      <c r="P1068" s="11">
        <v>0.0</v>
      </c>
      <c r="Q1068" s="14">
        <v>0.0</v>
      </c>
      <c r="R1068" s="11">
        <v>1.0</v>
      </c>
      <c r="S1068">
        <f t="shared" si="1"/>
        <v>2017</v>
      </c>
      <c r="T1068">
        <f t="shared" si="2"/>
        <v>4</v>
      </c>
      <c r="U1068">
        <f t="shared" si="3"/>
        <v>21</v>
      </c>
      <c r="AG1068" s="15"/>
      <c r="AH1068" s="16"/>
      <c r="AM1068" s="15"/>
      <c r="AN1068" s="16"/>
    </row>
    <row r="1069">
      <c r="A1069" s="13" t="s">
        <v>2123</v>
      </c>
      <c r="B1069" s="10">
        <v>42844.0</v>
      </c>
      <c r="C1069" s="11" t="s">
        <v>362</v>
      </c>
      <c r="D1069" s="11" t="s">
        <v>221</v>
      </c>
      <c r="E1069" s="11" t="s">
        <v>39</v>
      </c>
      <c r="F1069" s="11" t="s">
        <v>40</v>
      </c>
      <c r="G1069" s="11" t="s">
        <v>45</v>
      </c>
      <c r="H1069" s="11" t="s">
        <v>182</v>
      </c>
      <c r="I1069" s="11" t="s">
        <v>179</v>
      </c>
      <c r="J1069" s="11">
        <v>22.0</v>
      </c>
      <c r="K1069" s="12">
        <v>43267.0</v>
      </c>
      <c r="L1069" s="11">
        <f t="shared" si="109"/>
        <v>14</v>
      </c>
      <c r="M1069" s="11">
        <v>641986.0</v>
      </c>
      <c r="N1069" s="11" t="s">
        <v>2124</v>
      </c>
      <c r="O1069" s="13"/>
      <c r="P1069" s="11">
        <v>0.0</v>
      </c>
      <c r="Q1069" s="14">
        <v>0.0</v>
      </c>
      <c r="R1069" s="11">
        <v>1.0</v>
      </c>
      <c r="S1069">
        <f t="shared" si="1"/>
        <v>2017</v>
      </c>
      <c r="T1069">
        <f t="shared" si="2"/>
        <v>4</v>
      </c>
      <c r="U1069">
        <f t="shared" si="3"/>
        <v>19</v>
      </c>
      <c r="AG1069" s="15"/>
      <c r="AH1069" s="16"/>
      <c r="AM1069" s="15"/>
      <c r="AN1069" s="16"/>
    </row>
    <row r="1070">
      <c r="A1070" s="13" t="s">
        <v>2125</v>
      </c>
      <c r="B1070" s="10">
        <v>42843.0</v>
      </c>
      <c r="C1070" s="11" t="s">
        <v>138</v>
      </c>
      <c r="D1070" s="11" t="s">
        <v>58</v>
      </c>
      <c r="E1070" s="11" t="s">
        <v>39</v>
      </c>
      <c r="F1070" s="11" t="s">
        <v>40</v>
      </c>
      <c r="G1070" s="11" t="s">
        <v>483</v>
      </c>
      <c r="H1070" s="11"/>
      <c r="I1070" s="11"/>
      <c r="J1070" s="11">
        <v>28.0</v>
      </c>
      <c r="K1070" s="12">
        <v>43556.0</v>
      </c>
      <c r="L1070" s="11">
        <f t="shared" si="109"/>
        <v>23</v>
      </c>
      <c r="M1070" s="11">
        <v>645848.0</v>
      </c>
      <c r="N1070" s="11">
        <v>15580.0</v>
      </c>
      <c r="O1070" s="13" t="s">
        <v>761</v>
      </c>
      <c r="P1070" s="11">
        <v>0.0</v>
      </c>
      <c r="Q1070" s="14">
        <v>0.0</v>
      </c>
      <c r="R1070" s="11">
        <v>1.0</v>
      </c>
      <c r="S1070">
        <f t="shared" si="1"/>
        <v>2017</v>
      </c>
      <c r="T1070">
        <f t="shared" si="2"/>
        <v>4</v>
      </c>
      <c r="U1070">
        <f t="shared" si="3"/>
        <v>18</v>
      </c>
      <c r="Z1070" s="17">
        <v>43276.0</v>
      </c>
      <c r="AG1070" s="15"/>
      <c r="AH1070" s="16"/>
      <c r="AM1070" s="15"/>
      <c r="AN1070" s="16"/>
    </row>
    <row r="1071">
      <c r="A1071" s="13" t="s">
        <v>2126</v>
      </c>
      <c r="B1071" s="10">
        <v>42843.0</v>
      </c>
      <c r="C1071" s="11" t="s">
        <v>108</v>
      </c>
      <c r="D1071" s="11" t="s">
        <v>88</v>
      </c>
      <c r="E1071" s="11" t="s">
        <v>39</v>
      </c>
      <c r="F1071" s="11" t="s">
        <v>40</v>
      </c>
      <c r="G1071" s="11" t="s">
        <v>45</v>
      </c>
      <c r="H1071" s="11" t="s">
        <v>67</v>
      </c>
      <c r="I1071" s="11" t="s">
        <v>190</v>
      </c>
      <c r="J1071" s="11">
        <v>23.0</v>
      </c>
      <c r="K1071" s="12">
        <v>43604.0</v>
      </c>
      <c r="L1071" s="11">
        <f t="shared" si="109"/>
        <v>25</v>
      </c>
      <c r="M1071" s="11">
        <v>621076.0</v>
      </c>
      <c r="N1071" s="11">
        <v>18331.0</v>
      </c>
      <c r="O1071" s="13" t="s">
        <v>69</v>
      </c>
      <c r="P1071" s="11">
        <v>0.0</v>
      </c>
      <c r="Q1071" s="14">
        <v>0.0</v>
      </c>
      <c r="R1071" s="11">
        <v>1.0</v>
      </c>
      <c r="S1071">
        <f t="shared" si="1"/>
        <v>2017</v>
      </c>
      <c r="T1071">
        <f t="shared" si="2"/>
        <v>4</v>
      </c>
      <c r="U1071">
        <f t="shared" si="3"/>
        <v>18</v>
      </c>
      <c r="Y1071" s="17">
        <v>43211.0</v>
      </c>
      <c r="Z1071" s="17">
        <v>43604.0</v>
      </c>
      <c r="AG1071" s="15"/>
      <c r="AH1071" s="16"/>
      <c r="AM1071" s="15"/>
      <c r="AN1071" s="16"/>
    </row>
    <row r="1072">
      <c r="A1072" s="13" t="s">
        <v>2127</v>
      </c>
      <c r="B1072" s="17">
        <v>42839.0</v>
      </c>
      <c r="C1072" s="11" t="s">
        <v>175</v>
      </c>
      <c r="D1072" s="11" t="s">
        <v>93</v>
      </c>
      <c r="E1072" s="11" t="s">
        <v>39</v>
      </c>
      <c r="F1072" s="11" t="s">
        <v>40</v>
      </c>
      <c r="G1072" s="11" t="s">
        <v>53</v>
      </c>
      <c r="H1072" s="11"/>
      <c r="I1072" s="11"/>
      <c r="J1072" s="11">
        <v>26.0</v>
      </c>
      <c r="K1072" s="12">
        <v>44658.0</v>
      </c>
      <c r="L1072" s="30"/>
      <c r="M1072" s="11">
        <v>663158.0</v>
      </c>
      <c r="N1072" s="11">
        <v>30115.0</v>
      </c>
      <c r="O1072" s="13"/>
      <c r="P1072" s="11">
        <v>0.0</v>
      </c>
      <c r="Q1072" s="14">
        <v>0.0</v>
      </c>
      <c r="R1072" s="11">
        <v>1.0</v>
      </c>
      <c r="S1072">
        <f t="shared" si="1"/>
        <v>2017</v>
      </c>
      <c r="T1072">
        <f t="shared" si="2"/>
        <v>4</v>
      </c>
      <c r="U1072">
        <f t="shared" si="3"/>
        <v>14</v>
      </c>
      <c r="AG1072" s="15"/>
      <c r="AH1072" s="16"/>
      <c r="AM1072" s="15"/>
      <c r="AN1072" s="16"/>
    </row>
    <row r="1073">
      <c r="A1073" s="13" t="s">
        <v>2128</v>
      </c>
      <c r="B1073" s="17">
        <v>42838.0</v>
      </c>
      <c r="C1073" s="11" t="s">
        <v>138</v>
      </c>
      <c r="D1073" s="11" t="s">
        <v>93</v>
      </c>
      <c r="E1073" s="11" t="s">
        <v>39</v>
      </c>
      <c r="F1073" s="11" t="s">
        <v>40</v>
      </c>
      <c r="G1073" s="11" t="s">
        <v>45</v>
      </c>
      <c r="H1073" s="11" t="s">
        <v>56</v>
      </c>
      <c r="I1073" s="11" t="s">
        <v>379</v>
      </c>
      <c r="J1073" s="11">
        <v>20.0</v>
      </c>
      <c r="K1073" s="12">
        <v>43641.0</v>
      </c>
      <c r="L1073" s="30"/>
      <c r="M1073" s="11">
        <v>663578.0</v>
      </c>
      <c r="N1073" s="11" t="s">
        <v>2129</v>
      </c>
      <c r="O1073" s="13"/>
      <c r="P1073" s="11">
        <v>0.0</v>
      </c>
      <c r="Q1073" s="14">
        <v>0.0</v>
      </c>
      <c r="R1073" s="11">
        <v>1.0</v>
      </c>
      <c r="S1073">
        <f t="shared" si="1"/>
        <v>2017</v>
      </c>
      <c r="T1073">
        <f t="shared" si="2"/>
        <v>4</v>
      </c>
      <c r="U1073">
        <f t="shared" si="3"/>
        <v>13</v>
      </c>
      <c r="AG1073" s="15"/>
      <c r="AH1073" s="16"/>
      <c r="AM1073" s="15"/>
      <c r="AN1073" s="16"/>
    </row>
    <row r="1074">
      <c r="A1074" s="13" t="s">
        <v>2130</v>
      </c>
      <c r="B1074" s="10">
        <v>42838.0</v>
      </c>
      <c r="C1074" s="11" t="s">
        <v>49</v>
      </c>
      <c r="D1074" s="11" t="s">
        <v>97</v>
      </c>
      <c r="E1074" s="11" t="s">
        <v>39</v>
      </c>
      <c r="F1074" s="11" t="s">
        <v>40</v>
      </c>
      <c r="G1074" s="11" t="s">
        <v>45</v>
      </c>
      <c r="H1074" s="11" t="s">
        <v>159</v>
      </c>
      <c r="I1074" s="11" t="s">
        <v>2131</v>
      </c>
      <c r="J1074" s="11">
        <v>25.0</v>
      </c>
      <c r="K1074" s="12"/>
      <c r="L1074" s="30"/>
      <c r="M1074" s="11">
        <v>664735.0</v>
      </c>
      <c r="N1074" s="11" t="s">
        <v>2132</v>
      </c>
      <c r="O1074" s="13"/>
      <c r="P1074" s="11">
        <v>0.0</v>
      </c>
      <c r="Q1074" s="14">
        <v>0.0</v>
      </c>
      <c r="R1074" s="11">
        <v>0.0</v>
      </c>
      <c r="S1074">
        <f t="shared" si="1"/>
        <v>2017</v>
      </c>
      <c r="T1074">
        <f t="shared" si="2"/>
        <v>4</v>
      </c>
      <c r="U1074">
        <f t="shared" si="3"/>
        <v>13</v>
      </c>
      <c r="AG1074" s="15"/>
      <c r="AH1074" s="16"/>
      <c r="AM1074" s="15"/>
      <c r="AN1074" s="16"/>
    </row>
    <row r="1075">
      <c r="A1075" s="13" t="s">
        <v>2133</v>
      </c>
      <c r="B1075" s="10">
        <v>42837.0</v>
      </c>
      <c r="C1075" s="11" t="s">
        <v>192</v>
      </c>
      <c r="D1075" s="11" t="s">
        <v>221</v>
      </c>
      <c r="E1075" s="11" t="s">
        <v>39</v>
      </c>
      <c r="F1075" s="11" t="s">
        <v>40</v>
      </c>
      <c r="G1075" s="11" t="s">
        <v>45</v>
      </c>
      <c r="H1075" s="11" t="s">
        <v>109</v>
      </c>
      <c r="I1075" s="11"/>
      <c r="J1075" s="11">
        <v>20.0</v>
      </c>
      <c r="K1075" s="12">
        <v>43315.0</v>
      </c>
      <c r="L1075" s="11">
        <f t="shared" ref="L1075:L1076" si="110">ROUND(((K1075-B1075)/365)*12,0)</f>
        <v>16</v>
      </c>
      <c r="M1075" s="11">
        <v>663841.0</v>
      </c>
      <c r="N1075" s="11" t="s">
        <v>2134</v>
      </c>
      <c r="O1075" s="13"/>
      <c r="P1075" s="11">
        <v>0.0</v>
      </c>
      <c r="Q1075" s="14">
        <v>0.0</v>
      </c>
      <c r="R1075" s="11">
        <v>1.0</v>
      </c>
      <c r="S1075">
        <f t="shared" si="1"/>
        <v>2017</v>
      </c>
      <c r="T1075">
        <f t="shared" si="2"/>
        <v>4</v>
      </c>
      <c r="U1075">
        <f t="shared" si="3"/>
        <v>12</v>
      </c>
      <c r="AG1075" s="15"/>
      <c r="AH1075" s="16"/>
      <c r="AM1075" s="15"/>
      <c r="AN1075" s="16"/>
    </row>
    <row r="1076">
      <c r="A1076" s="13" t="s">
        <v>2135</v>
      </c>
      <c r="B1076" s="10">
        <v>42833.0</v>
      </c>
      <c r="C1076" s="11" t="s">
        <v>62</v>
      </c>
      <c r="D1076" s="11" t="s">
        <v>97</v>
      </c>
      <c r="E1076" s="11" t="s">
        <v>39</v>
      </c>
      <c r="F1076" s="11" t="s">
        <v>40</v>
      </c>
      <c r="G1076" s="11" t="s">
        <v>45</v>
      </c>
      <c r="H1076" s="11" t="s">
        <v>73</v>
      </c>
      <c r="I1076" s="11" t="s">
        <v>2136</v>
      </c>
      <c r="J1076" s="11">
        <v>23.0</v>
      </c>
      <c r="K1076" s="12">
        <v>43226.0</v>
      </c>
      <c r="L1076" s="11">
        <f t="shared" si="110"/>
        <v>13</v>
      </c>
      <c r="M1076" s="11">
        <v>608350.0</v>
      </c>
      <c r="N1076" s="11" t="s">
        <v>2137</v>
      </c>
      <c r="O1076" s="13"/>
      <c r="P1076" s="11">
        <v>0.0</v>
      </c>
      <c r="Q1076" s="14">
        <v>0.0</v>
      </c>
      <c r="R1076" s="11">
        <v>1.0</v>
      </c>
      <c r="S1076">
        <f t="shared" si="1"/>
        <v>2017</v>
      </c>
      <c r="T1076">
        <f t="shared" si="2"/>
        <v>4</v>
      </c>
      <c r="U1076">
        <f t="shared" si="3"/>
        <v>8</v>
      </c>
      <c r="AG1076" s="15"/>
      <c r="AH1076" s="16"/>
      <c r="AM1076" s="15"/>
      <c r="AN1076" s="16"/>
    </row>
    <row r="1077">
      <c r="A1077" s="13" t="s">
        <v>2138</v>
      </c>
      <c r="B1077" s="17">
        <v>42830.0</v>
      </c>
      <c r="C1077" s="11" t="s">
        <v>138</v>
      </c>
      <c r="D1077" s="11" t="s">
        <v>93</v>
      </c>
      <c r="E1077" s="11" t="s">
        <v>982</v>
      </c>
      <c r="F1077" s="11" t="s">
        <v>40</v>
      </c>
      <c r="G1077" s="11" t="s">
        <v>45</v>
      </c>
      <c r="H1077" s="11" t="s">
        <v>67</v>
      </c>
      <c r="I1077" s="37" t="s">
        <v>373</v>
      </c>
      <c r="J1077" s="11">
        <v>21.0</v>
      </c>
      <c r="K1077" s="12">
        <v>43630.0</v>
      </c>
      <c r="L1077" s="30"/>
      <c r="M1077" s="11">
        <v>656425.0</v>
      </c>
      <c r="N1077" s="11" t="s">
        <v>2139</v>
      </c>
      <c r="O1077" s="13"/>
      <c r="P1077" s="11">
        <v>0.0</v>
      </c>
      <c r="Q1077" s="14">
        <v>0.0</v>
      </c>
      <c r="R1077" s="11">
        <v>1.0</v>
      </c>
      <c r="S1077">
        <f t="shared" si="1"/>
        <v>2017</v>
      </c>
      <c r="T1077">
        <f t="shared" si="2"/>
        <v>4</v>
      </c>
      <c r="U1077">
        <f t="shared" si="3"/>
        <v>5</v>
      </c>
      <c r="Z1077" s="17"/>
      <c r="AG1077" s="15"/>
      <c r="AH1077" s="16"/>
      <c r="AM1077" s="15"/>
      <c r="AN1077" s="16"/>
    </row>
    <row r="1078">
      <c r="A1078" s="13" t="s">
        <v>1035</v>
      </c>
      <c r="B1078" s="10">
        <v>42830.0</v>
      </c>
      <c r="C1078" s="11" t="s">
        <v>162</v>
      </c>
      <c r="D1078" s="11" t="s">
        <v>58</v>
      </c>
      <c r="E1078" s="11" t="s">
        <v>39</v>
      </c>
      <c r="F1078" s="11" t="s">
        <v>40</v>
      </c>
      <c r="G1078" s="11" t="s">
        <v>45</v>
      </c>
      <c r="H1078" s="11" t="s">
        <v>56</v>
      </c>
      <c r="I1078" s="11" t="s">
        <v>1036</v>
      </c>
      <c r="J1078" s="11">
        <v>23.0</v>
      </c>
      <c r="K1078" s="12">
        <v>43635.0</v>
      </c>
      <c r="L1078" s="11">
        <f t="shared" ref="L1078:L1079" si="111">ROUND(((K1078-B1078)/365)*12,0)</f>
        <v>26</v>
      </c>
      <c r="M1078" s="11">
        <v>622088.0</v>
      </c>
      <c r="N1078" s="11">
        <v>16233.0</v>
      </c>
      <c r="O1078" s="13" t="s">
        <v>355</v>
      </c>
      <c r="P1078" s="11">
        <v>0.0</v>
      </c>
      <c r="Q1078" s="14">
        <v>0.0</v>
      </c>
      <c r="R1078" s="11">
        <v>1.0</v>
      </c>
      <c r="S1078">
        <f t="shared" si="1"/>
        <v>2017</v>
      </c>
      <c r="T1078">
        <f t="shared" si="2"/>
        <v>4</v>
      </c>
      <c r="U1078">
        <f t="shared" si="3"/>
        <v>5</v>
      </c>
      <c r="Z1078" s="17">
        <v>43243.0</v>
      </c>
      <c r="AG1078" s="15"/>
      <c r="AH1078" s="16"/>
      <c r="AM1078" s="15"/>
      <c r="AN1078" s="16"/>
    </row>
    <row r="1079">
      <c r="A1079" s="13" t="s">
        <v>2140</v>
      </c>
      <c r="B1079" s="10">
        <v>42829.0</v>
      </c>
      <c r="C1079" s="11" t="s">
        <v>138</v>
      </c>
      <c r="D1079" s="11" t="s">
        <v>221</v>
      </c>
      <c r="E1079" s="11" t="s">
        <v>39</v>
      </c>
      <c r="F1079" s="11" t="s">
        <v>40</v>
      </c>
      <c r="G1079" s="11" t="s">
        <v>45</v>
      </c>
      <c r="H1079" s="11" t="s">
        <v>56</v>
      </c>
      <c r="I1079" s="11" t="s">
        <v>2141</v>
      </c>
      <c r="J1079" s="11">
        <v>23.0</v>
      </c>
      <c r="K1079" s="12">
        <v>43271.0</v>
      </c>
      <c r="L1079" s="11">
        <f t="shared" si="111"/>
        <v>15</v>
      </c>
      <c r="M1079" s="11">
        <v>670325.0</v>
      </c>
      <c r="N1079" s="11" t="s">
        <v>2142</v>
      </c>
      <c r="O1079" s="13"/>
      <c r="P1079" s="11">
        <v>0.0</v>
      </c>
      <c r="Q1079" s="14">
        <v>0.0</v>
      </c>
      <c r="R1079" s="11">
        <v>1.0</v>
      </c>
      <c r="S1079">
        <f t="shared" si="1"/>
        <v>2017</v>
      </c>
      <c r="T1079">
        <f t="shared" si="2"/>
        <v>4</v>
      </c>
      <c r="U1079">
        <f t="shared" si="3"/>
        <v>4</v>
      </c>
      <c r="V1079" s="17">
        <v>42981.0</v>
      </c>
      <c r="AG1079" s="15"/>
      <c r="AH1079" s="16"/>
      <c r="AM1079" s="15"/>
      <c r="AN1079" s="16"/>
    </row>
    <row r="1080">
      <c r="A1080" s="13" t="s">
        <v>2143</v>
      </c>
      <c r="B1080" s="17">
        <v>42826.0</v>
      </c>
      <c r="C1080" s="11" t="s">
        <v>167</v>
      </c>
      <c r="D1080" s="11" t="s">
        <v>93</v>
      </c>
      <c r="E1080" s="11" t="s">
        <v>39</v>
      </c>
      <c r="F1080" s="11" t="s">
        <v>40</v>
      </c>
      <c r="G1080" s="11" t="s">
        <v>45</v>
      </c>
      <c r="H1080" s="11" t="s">
        <v>412</v>
      </c>
      <c r="I1080" s="11" t="s">
        <v>746</v>
      </c>
      <c r="J1080" s="11">
        <v>19.0</v>
      </c>
      <c r="K1080" s="12">
        <v>43673.0</v>
      </c>
      <c r="L1080" s="11"/>
      <c r="M1080" s="11">
        <v>686449.0</v>
      </c>
      <c r="N1080" s="11" t="s">
        <v>2144</v>
      </c>
      <c r="O1080" s="13" t="s">
        <v>355</v>
      </c>
      <c r="P1080" s="11">
        <v>0.0</v>
      </c>
      <c r="Q1080" s="14">
        <v>0.0</v>
      </c>
      <c r="R1080" s="11">
        <v>1.0</v>
      </c>
      <c r="S1080">
        <f t="shared" si="1"/>
        <v>2017</v>
      </c>
      <c r="T1080">
        <f t="shared" si="2"/>
        <v>4</v>
      </c>
      <c r="U1080">
        <f t="shared" si="3"/>
        <v>1</v>
      </c>
      <c r="Z1080" s="17"/>
      <c r="AG1080" s="15"/>
      <c r="AH1080" s="16"/>
      <c r="AM1080" s="15"/>
      <c r="AN1080" s="16"/>
    </row>
    <row r="1081">
      <c r="A1081" s="13" t="s">
        <v>2145</v>
      </c>
      <c r="B1081" s="17">
        <v>42826.0</v>
      </c>
      <c r="C1081" s="11" t="s">
        <v>167</v>
      </c>
      <c r="D1081" s="11" t="s">
        <v>93</v>
      </c>
      <c r="E1081" s="11" t="s">
        <v>39</v>
      </c>
      <c r="F1081" s="11" t="s">
        <v>40</v>
      </c>
      <c r="G1081" s="11" t="s">
        <v>194</v>
      </c>
      <c r="H1081" s="11"/>
      <c r="I1081" s="11"/>
      <c r="J1081" s="11">
        <v>20.0</v>
      </c>
      <c r="K1081" s="12">
        <v>43653.0</v>
      </c>
      <c r="L1081" s="11"/>
      <c r="M1081" s="11">
        <v>647183.0</v>
      </c>
      <c r="N1081" s="11" t="s">
        <v>2146</v>
      </c>
      <c r="O1081" s="13"/>
      <c r="P1081" s="11">
        <v>0.0</v>
      </c>
      <c r="Q1081" s="14">
        <v>0.0</v>
      </c>
      <c r="R1081" s="11">
        <v>1.0</v>
      </c>
      <c r="S1081">
        <f t="shared" si="1"/>
        <v>2017</v>
      </c>
      <c r="T1081">
        <f t="shared" si="2"/>
        <v>4</v>
      </c>
      <c r="U1081">
        <f t="shared" si="3"/>
        <v>1</v>
      </c>
      <c r="Z1081" s="17"/>
      <c r="AG1081" s="15"/>
      <c r="AH1081" s="16"/>
      <c r="AM1081" s="15"/>
      <c r="AN1081" s="16"/>
    </row>
    <row r="1082">
      <c r="A1082" s="13" t="s">
        <v>2147</v>
      </c>
      <c r="B1082" s="10">
        <v>42826.0</v>
      </c>
      <c r="C1082" s="11" t="s">
        <v>192</v>
      </c>
      <c r="D1082" s="11" t="s">
        <v>77</v>
      </c>
      <c r="E1082" s="11" t="s">
        <v>39</v>
      </c>
      <c r="F1082" s="11" t="s">
        <v>40</v>
      </c>
      <c r="G1082" s="11" t="s">
        <v>225</v>
      </c>
      <c r="H1082" s="11"/>
      <c r="I1082" s="11"/>
      <c r="J1082" s="11">
        <v>26.0</v>
      </c>
      <c r="K1082" s="12">
        <v>43242.0</v>
      </c>
      <c r="L1082" s="11">
        <f t="shared" ref="L1082:L1083" si="112">ROUND(((K1082-B1082)/365)*12,0)</f>
        <v>14</v>
      </c>
      <c r="M1082" s="11">
        <v>543234.0</v>
      </c>
      <c r="N1082" s="11" t="s">
        <v>2148</v>
      </c>
      <c r="O1082" s="13"/>
      <c r="P1082" s="11">
        <v>0.0</v>
      </c>
      <c r="Q1082" s="14">
        <v>0.0</v>
      </c>
      <c r="R1082" s="11">
        <v>1.0</v>
      </c>
      <c r="S1082">
        <f t="shared" si="1"/>
        <v>2017</v>
      </c>
      <c r="T1082">
        <f t="shared" si="2"/>
        <v>4</v>
      </c>
      <c r="U1082">
        <f t="shared" si="3"/>
        <v>1</v>
      </c>
      <c r="AG1082" s="15"/>
      <c r="AH1082" s="16"/>
      <c r="AM1082" s="15"/>
      <c r="AN1082" s="16"/>
    </row>
    <row r="1083">
      <c r="A1083" s="13" t="s">
        <v>2149</v>
      </c>
      <c r="B1083" s="17">
        <v>42826.0</v>
      </c>
      <c r="C1083" s="11" t="s">
        <v>76</v>
      </c>
      <c r="D1083" s="11" t="s">
        <v>93</v>
      </c>
      <c r="E1083" s="11" t="s">
        <v>39</v>
      </c>
      <c r="F1083" s="11" t="s">
        <v>40</v>
      </c>
      <c r="G1083" s="11" t="s">
        <v>45</v>
      </c>
      <c r="H1083" s="11" t="s">
        <v>74</v>
      </c>
      <c r="I1083" s="11" t="s">
        <v>2150</v>
      </c>
      <c r="J1083" s="11">
        <v>21.0</v>
      </c>
      <c r="K1083" s="12">
        <v>43267.0</v>
      </c>
      <c r="L1083" s="11">
        <f t="shared" si="112"/>
        <v>14</v>
      </c>
      <c r="M1083" s="11">
        <v>676647.0</v>
      </c>
      <c r="N1083" s="11" t="s">
        <v>2151</v>
      </c>
      <c r="O1083" s="13"/>
      <c r="P1083" s="11">
        <v>0.0</v>
      </c>
      <c r="Q1083" s="14">
        <v>0.0</v>
      </c>
      <c r="R1083" s="11">
        <v>1.0</v>
      </c>
      <c r="S1083">
        <f t="shared" si="1"/>
        <v>2017</v>
      </c>
      <c r="T1083">
        <f t="shared" si="2"/>
        <v>4</v>
      </c>
      <c r="U1083">
        <f t="shared" si="3"/>
        <v>1</v>
      </c>
      <c r="AG1083" s="15"/>
      <c r="AH1083" s="16"/>
      <c r="AM1083" s="15"/>
      <c r="AN1083" s="16"/>
    </row>
    <row r="1084">
      <c r="A1084" s="13" t="s">
        <v>2152</v>
      </c>
      <c r="B1084" s="10">
        <v>42823.0</v>
      </c>
      <c r="C1084" s="11" t="s">
        <v>235</v>
      </c>
      <c r="D1084" s="11" t="s">
        <v>38</v>
      </c>
      <c r="E1084" s="11" t="s">
        <v>39</v>
      </c>
      <c r="F1084" s="11" t="s">
        <v>40</v>
      </c>
      <c r="G1084" s="11" t="s">
        <v>45</v>
      </c>
      <c r="H1084" s="11" t="s">
        <v>56</v>
      </c>
      <c r="I1084" s="11" t="s">
        <v>583</v>
      </c>
      <c r="J1084" s="11">
        <v>31.0</v>
      </c>
      <c r="K1084" s="12"/>
      <c r="L1084" s="30"/>
      <c r="M1084" s="11">
        <v>544759.0</v>
      </c>
      <c r="N1084" s="11">
        <v>5028.0</v>
      </c>
      <c r="O1084" s="13" t="s">
        <v>1407</v>
      </c>
      <c r="P1084" s="11">
        <v>0.0</v>
      </c>
      <c r="Q1084" s="14">
        <v>0.0</v>
      </c>
      <c r="R1084" s="11">
        <v>0.0</v>
      </c>
      <c r="S1084">
        <f t="shared" si="1"/>
        <v>2017</v>
      </c>
      <c r="T1084">
        <f t="shared" si="2"/>
        <v>3</v>
      </c>
      <c r="U1084">
        <f t="shared" si="3"/>
        <v>29</v>
      </c>
      <c r="Z1084" s="17">
        <v>43196.0</v>
      </c>
      <c r="AG1084" s="15"/>
      <c r="AH1084" s="16"/>
      <c r="AM1084" s="15"/>
      <c r="AN1084" s="16"/>
    </row>
    <row r="1085">
      <c r="A1085" s="13" t="s">
        <v>593</v>
      </c>
      <c r="B1085" s="10">
        <v>42822.0</v>
      </c>
      <c r="C1085" s="11" t="s">
        <v>62</v>
      </c>
      <c r="D1085" s="11" t="s">
        <v>88</v>
      </c>
      <c r="E1085" s="11" t="s">
        <v>39</v>
      </c>
      <c r="F1085" s="11" t="s">
        <v>40</v>
      </c>
      <c r="G1085" s="11" t="s">
        <v>45</v>
      </c>
      <c r="H1085" s="11" t="s">
        <v>46</v>
      </c>
      <c r="I1085" s="11" t="s">
        <v>594</v>
      </c>
      <c r="J1085" s="11">
        <v>23.0</v>
      </c>
      <c r="K1085" s="12">
        <v>43210.0</v>
      </c>
      <c r="L1085" s="11">
        <f t="shared" ref="L1085:L1087" si="113">ROUND(((K1085-B1085)/365)*12,0)</f>
        <v>13</v>
      </c>
      <c r="M1085" s="11">
        <v>656818.0</v>
      </c>
      <c r="N1085" s="11">
        <v>18376.0</v>
      </c>
      <c r="O1085" s="13"/>
      <c r="P1085" s="11">
        <v>0.0</v>
      </c>
      <c r="Q1085" s="14">
        <v>0.0</v>
      </c>
      <c r="R1085" s="11">
        <v>1.0</v>
      </c>
      <c r="S1085">
        <f t="shared" si="1"/>
        <v>2017</v>
      </c>
      <c r="T1085">
        <f t="shared" si="2"/>
        <v>3</v>
      </c>
      <c r="U1085">
        <f t="shared" si="3"/>
        <v>28</v>
      </c>
      <c r="V1085" s="17"/>
      <c r="W1085" s="17"/>
      <c r="AG1085" s="15"/>
      <c r="AH1085" s="16"/>
      <c r="AM1085" s="15"/>
      <c r="AN1085" s="16"/>
    </row>
    <row r="1086">
      <c r="A1086" s="13" t="s">
        <v>2153</v>
      </c>
      <c r="B1086" s="10">
        <v>42822.0</v>
      </c>
      <c r="C1086" s="11" t="s">
        <v>62</v>
      </c>
      <c r="D1086" s="11" t="s">
        <v>38</v>
      </c>
      <c r="E1086" s="11" t="s">
        <v>39</v>
      </c>
      <c r="F1086" s="11" t="s">
        <v>64</v>
      </c>
      <c r="G1086" s="11" t="s">
        <v>45</v>
      </c>
      <c r="H1086" s="11" t="s">
        <v>163</v>
      </c>
      <c r="I1086" s="11" t="s">
        <v>2154</v>
      </c>
      <c r="J1086" s="11">
        <v>27.0</v>
      </c>
      <c r="K1086" s="12">
        <v>43222.0</v>
      </c>
      <c r="L1086" s="11">
        <f t="shared" si="113"/>
        <v>13</v>
      </c>
      <c r="M1086" s="11">
        <v>519293.0</v>
      </c>
      <c r="N1086" s="11">
        <v>8048.0</v>
      </c>
      <c r="O1086" s="13" t="s">
        <v>69</v>
      </c>
      <c r="P1086" s="11">
        <v>0.0</v>
      </c>
      <c r="Q1086" s="14">
        <v>0.0</v>
      </c>
      <c r="R1086" s="11">
        <v>1.0</v>
      </c>
      <c r="S1086">
        <f t="shared" si="1"/>
        <v>2017</v>
      </c>
      <c r="T1086">
        <f t="shared" si="2"/>
        <v>3</v>
      </c>
      <c r="U1086">
        <f t="shared" si="3"/>
        <v>28</v>
      </c>
      <c r="V1086" s="17">
        <v>42995.0</v>
      </c>
      <c r="Z1086" s="17">
        <v>43202.0</v>
      </c>
      <c r="AG1086" s="15"/>
      <c r="AH1086" s="16"/>
      <c r="AM1086" s="15"/>
      <c r="AN1086" s="16"/>
    </row>
    <row r="1087">
      <c r="A1087" s="13" t="s">
        <v>2155</v>
      </c>
      <c r="B1087" s="10">
        <v>42821.0</v>
      </c>
      <c r="C1087" s="11" t="s">
        <v>44</v>
      </c>
      <c r="D1087" s="11" t="s">
        <v>38</v>
      </c>
      <c r="E1087" s="11" t="s">
        <v>39</v>
      </c>
      <c r="F1087" s="11" t="s">
        <v>40</v>
      </c>
      <c r="G1087" s="11" t="s">
        <v>45</v>
      </c>
      <c r="H1087" s="11" t="s">
        <v>67</v>
      </c>
      <c r="I1087" s="11" t="s">
        <v>2156</v>
      </c>
      <c r="J1087" s="11">
        <v>26.0</v>
      </c>
      <c r="K1087" s="12">
        <v>43568.0</v>
      </c>
      <c r="L1087" s="11">
        <f t="shared" si="113"/>
        <v>25</v>
      </c>
      <c r="M1087" s="11">
        <v>594736.0</v>
      </c>
      <c r="N1087" s="11">
        <v>12799.0</v>
      </c>
      <c r="O1087" s="13" t="s">
        <v>42</v>
      </c>
      <c r="P1087" s="11">
        <v>0.0</v>
      </c>
      <c r="Q1087" s="14">
        <v>0.0</v>
      </c>
      <c r="R1087" s="11">
        <v>1.0</v>
      </c>
      <c r="S1087">
        <f t="shared" si="1"/>
        <v>2017</v>
      </c>
      <c r="T1087">
        <f t="shared" si="2"/>
        <v>3</v>
      </c>
      <c r="U1087">
        <f t="shared" si="3"/>
        <v>27</v>
      </c>
      <c r="V1087" s="17">
        <v>42962.0</v>
      </c>
      <c r="W1087" s="17">
        <v>43148.0</v>
      </c>
      <c r="Z1087" s="17">
        <v>43337.0</v>
      </c>
      <c r="AG1087" s="15"/>
      <c r="AH1087" s="16"/>
      <c r="AM1087" s="15"/>
      <c r="AN1087" s="16"/>
    </row>
    <row r="1088">
      <c r="A1088" s="13" t="s">
        <v>2157</v>
      </c>
      <c r="B1088" s="17">
        <v>42818.0</v>
      </c>
      <c r="C1088" s="11" t="s">
        <v>37</v>
      </c>
      <c r="D1088" s="11" t="s">
        <v>93</v>
      </c>
      <c r="E1088" s="11" t="s">
        <v>39</v>
      </c>
      <c r="F1088" s="11" t="s">
        <v>40</v>
      </c>
      <c r="G1088" s="11" t="s">
        <v>45</v>
      </c>
      <c r="H1088" s="11" t="s">
        <v>243</v>
      </c>
      <c r="I1088" s="11" t="s">
        <v>243</v>
      </c>
      <c r="J1088" s="11">
        <v>20.0</v>
      </c>
      <c r="K1088" s="12">
        <v>43654.0</v>
      </c>
      <c r="L1088" s="11"/>
      <c r="M1088" s="11">
        <v>663780.0</v>
      </c>
      <c r="N1088" s="11" t="s">
        <v>2158</v>
      </c>
      <c r="O1088" s="13"/>
      <c r="P1088" s="11">
        <v>0.0</v>
      </c>
      <c r="Q1088" s="14">
        <v>0.0</v>
      </c>
      <c r="R1088" s="11">
        <v>1.0</v>
      </c>
      <c r="S1088">
        <f t="shared" si="1"/>
        <v>2017</v>
      </c>
      <c r="T1088">
        <f t="shared" si="2"/>
        <v>3</v>
      </c>
      <c r="U1088">
        <f t="shared" si="3"/>
        <v>24</v>
      </c>
      <c r="AG1088" s="15"/>
      <c r="AH1088" s="16"/>
      <c r="AM1088" s="15"/>
      <c r="AN1088" s="16"/>
    </row>
    <row r="1089">
      <c r="A1089" s="13" t="s">
        <v>2159</v>
      </c>
      <c r="B1089" s="10">
        <v>42817.0</v>
      </c>
      <c r="C1089" s="11" t="s">
        <v>55</v>
      </c>
      <c r="D1089" s="11" t="s">
        <v>88</v>
      </c>
      <c r="E1089" s="11" t="s">
        <v>39</v>
      </c>
      <c r="F1089" s="11" t="s">
        <v>40</v>
      </c>
      <c r="G1089" s="11" t="s">
        <v>45</v>
      </c>
      <c r="H1089" s="11" t="s">
        <v>74</v>
      </c>
      <c r="I1089" s="11"/>
      <c r="J1089" s="11">
        <v>22.0</v>
      </c>
      <c r="K1089" s="12">
        <v>43258.0</v>
      </c>
      <c r="L1089" s="11">
        <f t="shared" ref="L1089:L1090" si="114">ROUND(((K1089-B1089)/365)*12,0)</f>
        <v>14</v>
      </c>
      <c r="M1089" s="11">
        <v>642207.0</v>
      </c>
      <c r="N1089" s="11">
        <v>15816.0</v>
      </c>
      <c r="O1089" s="13" t="s">
        <v>761</v>
      </c>
      <c r="P1089" s="11">
        <v>0.0</v>
      </c>
      <c r="Q1089" s="14">
        <v>0.0</v>
      </c>
      <c r="R1089" s="11">
        <v>1.0</v>
      </c>
      <c r="S1089">
        <f t="shared" si="1"/>
        <v>2017</v>
      </c>
      <c r="T1089">
        <f t="shared" si="2"/>
        <v>3</v>
      </c>
      <c r="U1089">
        <f t="shared" si="3"/>
        <v>23</v>
      </c>
      <c r="AG1089" s="15"/>
      <c r="AH1089" s="16"/>
      <c r="AM1089" s="15"/>
      <c r="AN1089" s="16"/>
    </row>
    <row r="1090">
      <c r="A1090" s="13" t="s">
        <v>2160</v>
      </c>
      <c r="B1090" s="10">
        <v>42816.0</v>
      </c>
      <c r="C1090" s="11" t="s">
        <v>103</v>
      </c>
      <c r="D1090" s="11" t="s">
        <v>38</v>
      </c>
      <c r="E1090" s="11" t="s">
        <v>39</v>
      </c>
      <c r="F1090" s="11" t="s">
        <v>40</v>
      </c>
      <c r="G1090" s="11" t="s">
        <v>45</v>
      </c>
      <c r="H1090" s="11" t="s">
        <v>182</v>
      </c>
      <c r="I1090" s="11"/>
      <c r="J1090" s="11">
        <v>27.0</v>
      </c>
      <c r="K1090" s="12">
        <v>43312.0</v>
      </c>
      <c r="L1090" s="11">
        <f t="shared" si="114"/>
        <v>16</v>
      </c>
      <c r="M1090" s="11">
        <v>543507.0</v>
      </c>
      <c r="N1090" s="11">
        <v>6398.0</v>
      </c>
      <c r="O1090" s="13" t="s">
        <v>42</v>
      </c>
      <c r="P1090" s="11">
        <v>0.0</v>
      </c>
      <c r="Q1090" s="14">
        <v>0.0</v>
      </c>
      <c r="R1090" s="11">
        <v>1.0</v>
      </c>
      <c r="S1090">
        <f t="shared" si="1"/>
        <v>2017</v>
      </c>
      <c r="T1090">
        <f t="shared" si="2"/>
        <v>3</v>
      </c>
      <c r="U1090">
        <f t="shared" si="3"/>
        <v>22</v>
      </c>
      <c r="V1090" s="17">
        <v>42950.0</v>
      </c>
      <c r="Z1090" s="17">
        <v>43232.0</v>
      </c>
      <c r="AA1090" s="17">
        <v>43267.0</v>
      </c>
      <c r="AB1090" s="13" t="s">
        <v>1807</v>
      </c>
      <c r="AG1090" s="15"/>
      <c r="AH1090" s="16"/>
      <c r="AM1090" s="15"/>
      <c r="AN1090" s="16"/>
    </row>
    <row r="1091">
      <c r="A1091" s="13" t="s">
        <v>2161</v>
      </c>
      <c r="B1091" s="10">
        <v>42816.0</v>
      </c>
      <c r="C1091" s="11" t="s">
        <v>62</v>
      </c>
      <c r="D1091" s="11" t="s">
        <v>221</v>
      </c>
      <c r="E1091" s="11" t="s">
        <v>39</v>
      </c>
      <c r="F1091" s="11" t="s">
        <v>40</v>
      </c>
      <c r="G1091" s="11" t="s">
        <v>45</v>
      </c>
      <c r="H1091" s="11" t="s">
        <v>129</v>
      </c>
      <c r="I1091" s="11" t="s">
        <v>2162</v>
      </c>
      <c r="J1091" s="11">
        <v>23.0</v>
      </c>
      <c r="K1091" s="12"/>
      <c r="L1091" s="30"/>
      <c r="M1091" s="11">
        <v>622087.0</v>
      </c>
      <c r="N1091" s="11" t="s">
        <v>2163</v>
      </c>
      <c r="O1091" s="13"/>
      <c r="P1091" s="11">
        <v>0.0</v>
      </c>
      <c r="Q1091" s="14">
        <v>0.0</v>
      </c>
      <c r="R1091" s="11">
        <v>0.0</v>
      </c>
      <c r="S1091">
        <f t="shared" si="1"/>
        <v>2017</v>
      </c>
      <c r="T1091">
        <f t="shared" si="2"/>
        <v>3</v>
      </c>
      <c r="U1091">
        <f t="shared" si="3"/>
        <v>22</v>
      </c>
      <c r="AG1091" s="15"/>
      <c r="AH1091" s="16"/>
      <c r="AM1091" s="15"/>
      <c r="AN1091" s="16"/>
    </row>
    <row r="1092">
      <c r="A1092" s="13" t="s">
        <v>2164</v>
      </c>
      <c r="B1092" s="10">
        <v>42802.0</v>
      </c>
      <c r="C1092" s="11" t="s">
        <v>103</v>
      </c>
      <c r="D1092" s="11" t="s">
        <v>221</v>
      </c>
      <c r="E1092" s="11" t="s">
        <v>118</v>
      </c>
      <c r="F1092" s="11" t="s">
        <v>64</v>
      </c>
      <c r="G1092" s="11" t="s">
        <v>45</v>
      </c>
      <c r="H1092" s="11" t="s">
        <v>109</v>
      </c>
      <c r="I1092" s="11"/>
      <c r="J1092" s="11">
        <v>19.0</v>
      </c>
      <c r="K1092" s="12">
        <v>43195.0</v>
      </c>
      <c r="L1092" s="11">
        <f>ROUND(((K1092-B1092)/365)*12,0)</f>
        <v>13</v>
      </c>
      <c r="M1092" s="11">
        <v>666135.0</v>
      </c>
      <c r="N1092" s="11" t="s">
        <v>2165</v>
      </c>
      <c r="O1092" s="13" t="s">
        <v>1407</v>
      </c>
      <c r="P1092" s="11">
        <v>0.0</v>
      </c>
      <c r="Q1092" s="14">
        <v>0.0</v>
      </c>
      <c r="R1092" s="11">
        <v>1.0</v>
      </c>
      <c r="S1092">
        <f t="shared" si="1"/>
        <v>2017</v>
      </c>
      <c r="T1092">
        <f t="shared" si="2"/>
        <v>3</v>
      </c>
      <c r="U1092">
        <f t="shared" si="3"/>
        <v>8</v>
      </c>
      <c r="AG1092" s="15"/>
      <c r="AH1092" s="16"/>
      <c r="AM1092" s="15"/>
      <c r="AN1092" s="16"/>
    </row>
    <row r="1093">
      <c r="A1093" s="13" t="s">
        <v>2166</v>
      </c>
      <c r="B1093" s="17">
        <v>42801.0</v>
      </c>
      <c r="C1093" s="11" t="s">
        <v>186</v>
      </c>
      <c r="D1093" s="11" t="s">
        <v>93</v>
      </c>
      <c r="E1093" s="11" t="s">
        <v>39</v>
      </c>
      <c r="F1093" s="11" t="s">
        <v>40</v>
      </c>
      <c r="G1093" s="11" t="s">
        <v>45</v>
      </c>
      <c r="H1093" s="11" t="s">
        <v>56</v>
      </c>
      <c r="I1093" s="11" t="s">
        <v>344</v>
      </c>
      <c r="J1093" s="11">
        <v>19.0</v>
      </c>
      <c r="K1093" s="12">
        <v>44378.0</v>
      </c>
      <c r="L1093" s="11"/>
      <c r="M1093" s="11">
        <v>674007.0</v>
      </c>
      <c r="N1093" s="11" t="s">
        <v>2167</v>
      </c>
      <c r="O1093" s="13"/>
      <c r="P1093" s="11">
        <v>0.0</v>
      </c>
      <c r="Q1093" s="14">
        <v>0.0</v>
      </c>
      <c r="R1093" s="11">
        <v>1.0</v>
      </c>
      <c r="S1093">
        <f t="shared" si="1"/>
        <v>2017</v>
      </c>
      <c r="T1093">
        <f t="shared" si="2"/>
        <v>3</v>
      </c>
      <c r="U1093">
        <f t="shared" si="3"/>
        <v>7</v>
      </c>
      <c r="Z1093" s="17"/>
      <c r="AG1093" s="15"/>
      <c r="AH1093" s="16"/>
      <c r="AM1093" s="15"/>
      <c r="AN1093" s="16"/>
    </row>
    <row r="1094">
      <c r="A1094" s="13" t="s">
        <v>2168</v>
      </c>
      <c r="B1094" s="10">
        <v>42795.0</v>
      </c>
      <c r="C1094" s="11" t="s">
        <v>116</v>
      </c>
      <c r="D1094" s="11" t="s">
        <v>221</v>
      </c>
      <c r="E1094" s="11" t="s">
        <v>39</v>
      </c>
      <c r="F1094" s="11" t="s">
        <v>40</v>
      </c>
      <c r="G1094" s="11" t="s">
        <v>45</v>
      </c>
      <c r="H1094" s="11" t="s">
        <v>317</v>
      </c>
      <c r="I1094" s="11"/>
      <c r="J1094" s="11">
        <v>20.0</v>
      </c>
      <c r="K1094" s="12">
        <v>43284.0</v>
      </c>
      <c r="L1094" s="11">
        <f>ROUND(((K1094-B1094)/365)*12,0)</f>
        <v>16</v>
      </c>
      <c r="M1094" s="11">
        <v>657583.0</v>
      </c>
      <c r="N1094" s="11" t="s">
        <v>2169</v>
      </c>
      <c r="O1094" s="13"/>
      <c r="P1094" s="11">
        <v>0.0</v>
      </c>
      <c r="Q1094" s="14">
        <v>0.0</v>
      </c>
      <c r="R1094" s="11">
        <v>1.0</v>
      </c>
      <c r="S1094">
        <f t="shared" si="1"/>
        <v>2017</v>
      </c>
      <c r="T1094">
        <f t="shared" si="2"/>
        <v>3</v>
      </c>
      <c r="U1094">
        <f t="shared" si="3"/>
        <v>1</v>
      </c>
      <c r="Z1094" s="17"/>
      <c r="AG1094" s="15"/>
      <c r="AH1094" s="16"/>
      <c r="AM1094" s="15"/>
      <c r="AN1094" s="16"/>
    </row>
    <row r="1095">
      <c r="A1095" s="13" t="s">
        <v>2170</v>
      </c>
      <c r="B1095" s="17">
        <v>42795.0</v>
      </c>
      <c r="C1095" s="11" t="s">
        <v>72</v>
      </c>
      <c r="D1095" s="11" t="s">
        <v>93</v>
      </c>
      <c r="E1095" s="11" t="s">
        <v>39</v>
      </c>
      <c r="F1095" s="11" t="s">
        <v>40</v>
      </c>
      <c r="G1095" s="11" t="s">
        <v>45</v>
      </c>
      <c r="H1095" s="11" t="s">
        <v>669</v>
      </c>
      <c r="I1095" s="11" t="s">
        <v>669</v>
      </c>
      <c r="J1095" s="11">
        <v>20.0</v>
      </c>
      <c r="K1095" s="12">
        <v>43654.0</v>
      </c>
      <c r="L1095" s="11"/>
      <c r="M1095" s="11">
        <v>667414.0</v>
      </c>
      <c r="N1095" s="11" t="s">
        <v>2171</v>
      </c>
      <c r="O1095" s="13"/>
      <c r="P1095" s="11">
        <v>0.0</v>
      </c>
      <c r="Q1095" s="14">
        <v>0.0</v>
      </c>
      <c r="R1095" s="11">
        <v>1.0</v>
      </c>
      <c r="S1095">
        <f t="shared" si="1"/>
        <v>2017</v>
      </c>
      <c r="T1095">
        <f t="shared" si="2"/>
        <v>3</v>
      </c>
      <c r="U1095">
        <f t="shared" si="3"/>
        <v>1</v>
      </c>
      <c r="Z1095" s="17"/>
      <c r="AG1095" s="15"/>
      <c r="AH1095" s="16"/>
      <c r="AM1095" s="15"/>
      <c r="AN1095" s="16"/>
    </row>
    <row r="1096">
      <c r="A1096" s="13" t="s">
        <v>2172</v>
      </c>
      <c r="B1096" s="10">
        <v>42795.0</v>
      </c>
      <c r="C1096" s="11" t="s">
        <v>162</v>
      </c>
      <c r="D1096" s="11" t="s">
        <v>97</v>
      </c>
      <c r="E1096" s="11" t="s">
        <v>39</v>
      </c>
      <c r="F1096" s="11" t="s">
        <v>40</v>
      </c>
      <c r="G1096" s="11" t="s">
        <v>45</v>
      </c>
      <c r="H1096" s="11" t="s">
        <v>56</v>
      </c>
      <c r="I1096" s="11"/>
      <c r="J1096" s="11">
        <v>23.0</v>
      </c>
      <c r="K1096" s="12">
        <v>43295.0</v>
      </c>
      <c r="L1096" s="11">
        <f t="shared" ref="L1096:L1098" si="115">ROUND(((K1096-B1096)/365)*12,0)</f>
        <v>16</v>
      </c>
      <c r="M1096" s="11">
        <v>621149.0</v>
      </c>
      <c r="N1096" s="11" t="s">
        <v>2173</v>
      </c>
      <c r="O1096" s="13"/>
      <c r="P1096" s="11">
        <v>0.0</v>
      </c>
      <c r="Q1096" s="14">
        <v>0.0</v>
      </c>
      <c r="R1096" s="11">
        <v>1.0</v>
      </c>
      <c r="S1096">
        <f t="shared" si="1"/>
        <v>2017</v>
      </c>
      <c r="T1096">
        <f t="shared" si="2"/>
        <v>3</v>
      </c>
      <c r="U1096">
        <f t="shared" si="3"/>
        <v>1</v>
      </c>
      <c r="Z1096" s="17">
        <v>43266.0</v>
      </c>
      <c r="AG1096" s="15"/>
      <c r="AH1096" s="16"/>
      <c r="AM1096" s="15"/>
      <c r="AN1096" s="16"/>
    </row>
    <row r="1097">
      <c r="A1097" s="13" t="s">
        <v>2174</v>
      </c>
      <c r="B1097" s="17">
        <v>42795.0</v>
      </c>
      <c r="C1097" s="11" t="s">
        <v>162</v>
      </c>
      <c r="D1097" s="11" t="s">
        <v>93</v>
      </c>
      <c r="E1097" s="11" t="s">
        <v>39</v>
      </c>
      <c r="F1097" s="11" t="s">
        <v>40</v>
      </c>
      <c r="G1097" s="11" t="s">
        <v>45</v>
      </c>
      <c r="H1097" s="11" t="s">
        <v>127</v>
      </c>
      <c r="I1097" s="11" t="s">
        <v>619</v>
      </c>
      <c r="J1097" s="11">
        <v>21.0</v>
      </c>
      <c r="K1097" s="12">
        <v>43271.0</v>
      </c>
      <c r="L1097" s="11">
        <f t="shared" si="115"/>
        <v>16</v>
      </c>
      <c r="M1097" s="11">
        <v>656802.0</v>
      </c>
      <c r="N1097" s="11" t="s">
        <v>2175</v>
      </c>
      <c r="O1097" s="13"/>
      <c r="P1097" s="11">
        <v>0.0</v>
      </c>
      <c r="Q1097" s="14">
        <v>0.0</v>
      </c>
      <c r="R1097" s="11">
        <v>1.0</v>
      </c>
      <c r="S1097">
        <f t="shared" si="1"/>
        <v>2017</v>
      </c>
      <c r="T1097">
        <f t="shared" si="2"/>
        <v>3</v>
      </c>
      <c r="U1097">
        <f t="shared" si="3"/>
        <v>1</v>
      </c>
      <c r="AG1097" s="15"/>
      <c r="AH1097" s="16"/>
      <c r="AM1097" s="15"/>
      <c r="AN1097" s="16"/>
    </row>
    <row r="1098">
      <c r="A1098" s="13" t="s">
        <v>2176</v>
      </c>
      <c r="B1098" s="10">
        <v>42795.0</v>
      </c>
      <c r="C1098" s="11" t="s">
        <v>358</v>
      </c>
      <c r="D1098" s="11" t="s">
        <v>97</v>
      </c>
      <c r="E1098" s="11" t="s">
        <v>104</v>
      </c>
      <c r="F1098" s="11" t="s">
        <v>40</v>
      </c>
      <c r="G1098" s="11" t="s">
        <v>225</v>
      </c>
      <c r="H1098" s="11"/>
      <c r="I1098" s="11"/>
      <c r="J1098" s="11">
        <v>21.0</v>
      </c>
      <c r="K1098" s="12">
        <v>43196.0</v>
      </c>
      <c r="L1098" s="11">
        <f t="shared" si="115"/>
        <v>13</v>
      </c>
      <c r="M1098" s="11">
        <v>641569.0</v>
      </c>
      <c r="N1098" s="11" t="s">
        <v>2177</v>
      </c>
      <c r="O1098" s="13"/>
      <c r="P1098" s="11">
        <v>0.0</v>
      </c>
      <c r="Q1098" s="14">
        <v>0.0</v>
      </c>
      <c r="R1098" s="11">
        <v>1.0</v>
      </c>
      <c r="S1098">
        <f t="shared" si="1"/>
        <v>2017</v>
      </c>
      <c r="T1098">
        <f t="shared" si="2"/>
        <v>3</v>
      </c>
      <c r="U1098">
        <f t="shared" si="3"/>
        <v>1</v>
      </c>
      <c r="AG1098" s="15"/>
      <c r="AH1098" s="16"/>
      <c r="AM1098" s="15"/>
      <c r="AN1098" s="16"/>
    </row>
    <row r="1099">
      <c r="A1099" s="13" t="s">
        <v>2178</v>
      </c>
      <c r="B1099" s="17">
        <v>42795.0</v>
      </c>
      <c r="C1099" s="11" t="s">
        <v>274</v>
      </c>
      <c r="D1099" s="11" t="s">
        <v>93</v>
      </c>
      <c r="E1099" s="11" t="s">
        <v>39</v>
      </c>
      <c r="F1099" s="11" t="s">
        <v>40</v>
      </c>
      <c r="G1099" s="11" t="s">
        <v>45</v>
      </c>
      <c r="H1099" s="11" t="s">
        <v>276</v>
      </c>
      <c r="I1099" s="11" t="s">
        <v>2179</v>
      </c>
      <c r="J1099" s="11">
        <v>20.0</v>
      </c>
      <c r="K1099" s="12">
        <v>43636.0</v>
      </c>
      <c r="L1099" s="11"/>
      <c r="M1099" s="11">
        <v>688445.0</v>
      </c>
      <c r="N1099" s="11" t="s">
        <v>2180</v>
      </c>
      <c r="O1099" s="13"/>
      <c r="P1099" s="11">
        <v>0.0</v>
      </c>
      <c r="Q1099" s="14">
        <v>0.0</v>
      </c>
      <c r="R1099" s="11">
        <v>1.0</v>
      </c>
      <c r="S1099">
        <f t="shared" si="1"/>
        <v>2017</v>
      </c>
      <c r="T1099">
        <f t="shared" si="2"/>
        <v>3</v>
      </c>
      <c r="U1099">
        <f t="shared" si="3"/>
        <v>1</v>
      </c>
      <c r="V1099" s="17"/>
      <c r="X1099" s="17"/>
      <c r="Y1099" s="17"/>
      <c r="Z1099" s="17"/>
      <c r="AA1099" s="17"/>
      <c r="AB1099" s="13"/>
      <c r="AG1099" s="15"/>
      <c r="AH1099" s="16"/>
      <c r="AM1099" s="15"/>
      <c r="AN1099" s="16"/>
    </row>
    <row r="1100">
      <c r="A1100" s="13" t="s">
        <v>2181</v>
      </c>
      <c r="B1100" s="10">
        <v>42782.0</v>
      </c>
      <c r="C1100" s="11" t="s">
        <v>83</v>
      </c>
      <c r="D1100" s="11" t="s">
        <v>38</v>
      </c>
      <c r="E1100" s="11" t="s">
        <v>39</v>
      </c>
      <c r="F1100" s="11" t="s">
        <v>40</v>
      </c>
      <c r="G1100" s="11" t="s">
        <v>45</v>
      </c>
      <c r="H1100" s="11" t="s">
        <v>139</v>
      </c>
      <c r="I1100" s="11"/>
      <c r="J1100" s="11">
        <v>22.0</v>
      </c>
      <c r="K1100" s="12">
        <v>43250.0</v>
      </c>
      <c r="L1100" s="11">
        <f>ROUND(((K1100-B1100)/365)*12,0)</f>
        <v>15</v>
      </c>
      <c r="M1100" s="11">
        <v>621052.0</v>
      </c>
      <c r="N1100" s="11">
        <v>15015.0</v>
      </c>
      <c r="O1100" s="13" t="s">
        <v>1332</v>
      </c>
      <c r="P1100" s="11">
        <v>0.0</v>
      </c>
      <c r="Q1100" s="14">
        <v>0.0</v>
      </c>
      <c r="R1100" s="11">
        <v>1.0</v>
      </c>
      <c r="S1100">
        <f t="shared" si="1"/>
        <v>2017</v>
      </c>
      <c r="T1100">
        <f t="shared" si="2"/>
        <v>2</v>
      </c>
      <c r="U1100">
        <f t="shared" si="3"/>
        <v>16</v>
      </c>
      <c r="V1100" s="17">
        <v>42935.0</v>
      </c>
      <c r="X1100" s="17">
        <v>43007.0</v>
      </c>
      <c r="Y1100" s="17">
        <v>43524.0</v>
      </c>
      <c r="Z1100" s="17">
        <v>43229.0</v>
      </c>
      <c r="AA1100" s="17">
        <v>43250.0</v>
      </c>
      <c r="AB1100" s="13" t="s">
        <v>2182</v>
      </c>
      <c r="AG1100" s="15"/>
      <c r="AH1100" s="16"/>
      <c r="AM1100" s="15"/>
      <c r="AN1100" s="16"/>
    </row>
    <row r="1101">
      <c r="A1101" s="13" t="s">
        <v>1612</v>
      </c>
      <c r="B1101" s="10">
        <v>42767.0</v>
      </c>
      <c r="C1101" s="11" t="s">
        <v>167</v>
      </c>
      <c r="D1101" s="11" t="s">
        <v>58</v>
      </c>
      <c r="E1101" s="11" t="s">
        <v>39</v>
      </c>
      <c r="F1101" s="11" t="s">
        <v>40</v>
      </c>
      <c r="G1101" s="11" t="s">
        <v>45</v>
      </c>
      <c r="H1101" s="11" t="s">
        <v>67</v>
      </c>
      <c r="I1101" s="11" t="s">
        <v>1613</v>
      </c>
      <c r="J1101" s="11">
        <v>25.0</v>
      </c>
      <c r="K1101" s="12"/>
      <c r="L1101" s="30"/>
      <c r="M1101" s="11">
        <v>621203.0</v>
      </c>
      <c r="N1101" s="11" t="s">
        <v>1614</v>
      </c>
      <c r="O1101" s="13"/>
      <c r="P1101" s="11">
        <v>0.0</v>
      </c>
      <c r="Q1101" s="14">
        <v>0.0</v>
      </c>
      <c r="R1101" s="11">
        <v>0.0</v>
      </c>
      <c r="S1101">
        <f t="shared" si="1"/>
        <v>2017</v>
      </c>
      <c r="T1101">
        <f t="shared" si="2"/>
        <v>2</v>
      </c>
      <c r="U1101">
        <f t="shared" si="3"/>
        <v>1</v>
      </c>
      <c r="V1101" s="17">
        <v>42935.0</v>
      </c>
      <c r="Z1101" s="17">
        <v>43286.0</v>
      </c>
      <c r="AG1101" s="15"/>
      <c r="AH1101" s="16"/>
      <c r="AM1101" s="15"/>
      <c r="AN1101" s="16"/>
    </row>
    <row r="1102">
      <c r="A1102" s="13" t="s">
        <v>2183</v>
      </c>
      <c r="B1102" s="10">
        <v>42767.0</v>
      </c>
      <c r="C1102" s="11" t="s">
        <v>143</v>
      </c>
      <c r="D1102" s="11" t="s">
        <v>38</v>
      </c>
      <c r="E1102" s="11" t="s">
        <v>118</v>
      </c>
      <c r="F1102" s="11" t="s">
        <v>40</v>
      </c>
      <c r="G1102" s="11" t="s">
        <v>45</v>
      </c>
      <c r="H1102" s="11" t="s">
        <v>56</v>
      </c>
      <c r="I1102" s="11" t="s">
        <v>259</v>
      </c>
      <c r="J1102" s="11">
        <v>27.0</v>
      </c>
      <c r="K1102" s="12"/>
      <c r="L1102" s="30"/>
      <c r="M1102" s="11">
        <v>605183.0</v>
      </c>
      <c r="N1102" s="11">
        <v>14282.0</v>
      </c>
      <c r="O1102" s="13"/>
      <c r="P1102" s="11">
        <v>0.0</v>
      </c>
      <c r="Q1102" s="14">
        <v>0.0</v>
      </c>
      <c r="R1102" s="11">
        <v>0.0</v>
      </c>
      <c r="S1102">
        <f t="shared" si="1"/>
        <v>2017</v>
      </c>
      <c r="T1102">
        <f t="shared" si="2"/>
        <v>2</v>
      </c>
      <c r="U1102">
        <f t="shared" si="3"/>
        <v>1</v>
      </c>
      <c r="Z1102" s="17">
        <v>43195.0</v>
      </c>
      <c r="AG1102" s="15"/>
      <c r="AH1102" s="16"/>
      <c r="AM1102" s="15"/>
      <c r="AN1102" s="16"/>
    </row>
    <row r="1103">
      <c r="A1103" s="13" t="s">
        <v>2184</v>
      </c>
      <c r="B1103" s="10">
        <v>42767.0</v>
      </c>
      <c r="C1103" s="11" t="s">
        <v>62</v>
      </c>
      <c r="D1103" s="11" t="s">
        <v>709</v>
      </c>
      <c r="E1103" s="11" t="s">
        <v>39</v>
      </c>
      <c r="F1103" s="11" t="s">
        <v>40</v>
      </c>
      <c r="G1103" s="11" t="s">
        <v>225</v>
      </c>
      <c r="H1103" s="11"/>
      <c r="I1103" s="11"/>
      <c r="J1103" s="11">
        <v>21.0</v>
      </c>
      <c r="K1103" s="12">
        <v>43243.0</v>
      </c>
      <c r="L1103" s="11">
        <f>ROUND(((K1103-B1103)/365)*12,0)</f>
        <v>16</v>
      </c>
      <c r="M1103" s="11">
        <v>641686.0</v>
      </c>
      <c r="N1103" s="11" t="s">
        <v>2185</v>
      </c>
      <c r="O1103" s="13"/>
      <c r="P1103" s="11">
        <v>0.0</v>
      </c>
      <c r="Q1103" s="14">
        <v>0.0</v>
      </c>
      <c r="R1103" s="11">
        <v>1.0</v>
      </c>
      <c r="S1103">
        <f t="shared" si="1"/>
        <v>2017</v>
      </c>
      <c r="T1103">
        <f t="shared" si="2"/>
        <v>2</v>
      </c>
      <c r="U1103">
        <f t="shared" si="3"/>
        <v>1</v>
      </c>
      <c r="AG1103" s="15"/>
      <c r="AH1103" s="16"/>
      <c r="AM1103" s="15"/>
      <c r="AN1103" s="16"/>
    </row>
    <row r="1104">
      <c r="A1104" s="13" t="s">
        <v>2186</v>
      </c>
      <c r="B1104" s="17">
        <v>42759.0</v>
      </c>
      <c r="C1104" s="11" t="s">
        <v>192</v>
      </c>
      <c r="D1104" s="11" t="s">
        <v>93</v>
      </c>
      <c r="E1104" s="11" t="s">
        <v>39</v>
      </c>
      <c r="F1104" s="11" t="s">
        <v>40</v>
      </c>
      <c r="G1104" s="11" t="s">
        <v>45</v>
      </c>
      <c r="H1104" s="11" t="s">
        <v>159</v>
      </c>
      <c r="I1104" s="11" t="s">
        <v>637</v>
      </c>
      <c r="J1104" s="11">
        <v>20.0</v>
      </c>
      <c r="K1104" s="12">
        <v>43647.0</v>
      </c>
      <c r="L1104" s="30"/>
      <c r="M1104" s="11">
        <v>667669.0</v>
      </c>
      <c r="N1104" s="11" t="s">
        <v>2187</v>
      </c>
      <c r="O1104" s="13"/>
      <c r="P1104" s="11">
        <v>0.0</v>
      </c>
      <c r="Q1104" s="14">
        <v>0.0</v>
      </c>
      <c r="R1104" s="11">
        <v>1.0</v>
      </c>
      <c r="S1104">
        <f t="shared" si="1"/>
        <v>2017</v>
      </c>
      <c r="T1104">
        <f t="shared" si="2"/>
        <v>1</v>
      </c>
      <c r="U1104">
        <f t="shared" si="3"/>
        <v>24</v>
      </c>
      <c r="AG1104" s="15"/>
      <c r="AH1104" s="16"/>
      <c r="AM1104" s="15"/>
      <c r="AN1104" s="16"/>
    </row>
    <row r="1105">
      <c r="A1105" s="13" t="s">
        <v>2188</v>
      </c>
      <c r="B1105" s="17">
        <v>42736.0</v>
      </c>
      <c r="C1105" s="11" t="s">
        <v>101</v>
      </c>
      <c r="D1105" s="11" t="s">
        <v>93</v>
      </c>
      <c r="E1105" s="11" t="s">
        <v>660</v>
      </c>
      <c r="F1105" s="11" t="s">
        <v>40</v>
      </c>
      <c r="G1105" s="11" t="s">
        <v>45</v>
      </c>
      <c r="H1105" s="11" t="s">
        <v>163</v>
      </c>
      <c r="I1105" s="11" t="s">
        <v>1599</v>
      </c>
      <c r="J1105" s="11">
        <v>20.0</v>
      </c>
      <c r="K1105" s="12">
        <v>43643.0</v>
      </c>
      <c r="L1105" s="30"/>
      <c r="M1105" s="11">
        <v>663536.0</v>
      </c>
      <c r="N1105" s="11" t="s">
        <v>2189</v>
      </c>
      <c r="O1105" s="13"/>
      <c r="P1105" s="11">
        <v>0.0</v>
      </c>
      <c r="Q1105" s="14">
        <v>0.0</v>
      </c>
      <c r="R1105" s="11">
        <v>1.0</v>
      </c>
      <c r="S1105">
        <f t="shared" si="1"/>
        <v>2017</v>
      </c>
      <c r="T1105">
        <f t="shared" si="2"/>
        <v>1</v>
      </c>
      <c r="U1105">
        <f t="shared" si="3"/>
        <v>1</v>
      </c>
      <c r="AG1105" s="15"/>
      <c r="AH1105" s="16"/>
      <c r="AM1105" s="15"/>
      <c r="AN1105" s="16"/>
    </row>
    <row r="1106">
      <c r="A1106" s="13" t="s">
        <v>2190</v>
      </c>
      <c r="B1106" s="17">
        <v>42736.0</v>
      </c>
      <c r="C1106" s="11" t="s">
        <v>138</v>
      </c>
      <c r="D1106" s="11" t="s">
        <v>93</v>
      </c>
      <c r="E1106" s="11" t="s">
        <v>39</v>
      </c>
      <c r="F1106" s="11" t="s">
        <v>64</v>
      </c>
      <c r="G1106" s="11" t="s">
        <v>45</v>
      </c>
      <c r="H1106" s="11" t="s">
        <v>317</v>
      </c>
      <c r="I1106" s="11" t="s">
        <v>2191</v>
      </c>
      <c r="J1106" s="11">
        <v>21.0</v>
      </c>
      <c r="K1106" s="12">
        <v>43301.0</v>
      </c>
      <c r="L1106" s="30"/>
      <c r="M1106" s="11">
        <v>669215.0</v>
      </c>
      <c r="N1106" s="11" t="s">
        <v>2192</v>
      </c>
      <c r="O1106" s="13"/>
      <c r="P1106" s="11">
        <v>0.0</v>
      </c>
      <c r="Q1106" s="14">
        <v>0.0</v>
      </c>
      <c r="R1106" s="11">
        <v>1.0</v>
      </c>
      <c r="S1106">
        <f t="shared" si="1"/>
        <v>2017</v>
      </c>
      <c r="T1106">
        <f t="shared" si="2"/>
        <v>1</v>
      </c>
      <c r="U1106">
        <f t="shared" si="3"/>
        <v>1</v>
      </c>
      <c r="AG1106" s="15"/>
      <c r="AH1106" s="16"/>
      <c r="AM1106" s="15"/>
      <c r="AN1106" s="16"/>
    </row>
    <row r="1107">
      <c r="A1107" s="13" t="s">
        <v>2193</v>
      </c>
      <c r="B1107" s="17">
        <v>42736.0</v>
      </c>
      <c r="C1107" s="11" t="s">
        <v>72</v>
      </c>
      <c r="D1107" s="11" t="s">
        <v>213</v>
      </c>
      <c r="E1107" s="11" t="s">
        <v>39</v>
      </c>
      <c r="F1107" s="11" t="s">
        <v>40</v>
      </c>
      <c r="G1107" s="11" t="s">
        <v>45</v>
      </c>
      <c r="H1107" s="11" t="s">
        <v>412</v>
      </c>
      <c r="I1107" s="11" t="s">
        <v>412</v>
      </c>
      <c r="J1107" s="11">
        <v>18.0</v>
      </c>
      <c r="K1107" s="12"/>
      <c r="L1107" s="30"/>
      <c r="M1107" s="11"/>
      <c r="N1107" s="11"/>
      <c r="O1107" s="13"/>
      <c r="P1107" s="11">
        <v>0.0</v>
      </c>
      <c r="Q1107" s="14">
        <v>0.0</v>
      </c>
      <c r="R1107" s="11">
        <v>1.0</v>
      </c>
      <c r="S1107">
        <f t="shared" si="1"/>
        <v>2017</v>
      </c>
      <c r="T1107">
        <f t="shared" si="2"/>
        <v>1</v>
      </c>
      <c r="U1107">
        <f t="shared" si="3"/>
        <v>1</v>
      </c>
      <c r="AG1107" s="15"/>
      <c r="AH1107" s="16"/>
      <c r="AM1107" s="15"/>
      <c r="AN1107" s="16"/>
    </row>
    <row r="1108">
      <c r="A1108" s="13" t="s">
        <v>2194</v>
      </c>
      <c r="B1108" s="10">
        <v>42736.0</v>
      </c>
      <c r="C1108" s="11" t="s">
        <v>143</v>
      </c>
      <c r="D1108" s="11" t="s">
        <v>221</v>
      </c>
      <c r="E1108" s="11" t="s">
        <v>660</v>
      </c>
      <c r="F1108" s="11" t="s">
        <v>40</v>
      </c>
      <c r="G1108" s="11" t="s">
        <v>45</v>
      </c>
      <c r="H1108" s="11" t="s">
        <v>112</v>
      </c>
      <c r="I1108" s="11"/>
      <c r="J1108" s="11">
        <v>20.0</v>
      </c>
      <c r="K1108" s="12">
        <v>43280.0</v>
      </c>
      <c r="L1108" s="30"/>
      <c r="M1108" s="11">
        <v>663543.0</v>
      </c>
      <c r="N1108" s="11" t="s">
        <v>2195</v>
      </c>
      <c r="O1108" s="13"/>
      <c r="P1108" s="11">
        <v>0.0</v>
      </c>
      <c r="Q1108" s="14">
        <v>0.0</v>
      </c>
      <c r="R1108" s="11">
        <v>1.0</v>
      </c>
      <c r="S1108">
        <f t="shared" si="1"/>
        <v>2017</v>
      </c>
      <c r="T1108">
        <f t="shared" si="2"/>
        <v>1</v>
      </c>
      <c r="U1108">
        <f t="shared" si="3"/>
        <v>1</v>
      </c>
      <c r="AG1108" s="15"/>
      <c r="AH1108" s="16"/>
      <c r="AM1108" s="15"/>
      <c r="AN1108" s="16"/>
    </row>
    <row r="1109">
      <c r="A1109" s="13" t="s">
        <v>2196</v>
      </c>
      <c r="B1109" s="10">
        <v>42736.0</v>
      </c>
      <c r="C1109" s="11" t="s">
        <v>162</v>
      </c>
      <c r="D1109" s="11" t="s">
        <v>97</v>
      </c>
      <c r="E1109" s="11" t="s">
        <v>39</v>
      </c>
      <c r="F1109" s="11" t="s">
        <v>64</v>
      </c>
      <c r="G1109" s="11" t="s">
        <v>45</v>
      </c>
      <c r="H1109" s="11" t="s">
        <v>262</v>
      </c>
      <c r="I1109" s="11" t="s">
        <v>262</v>
      </c>
      <c r="J1109" s="11">
        <v>23.0</v>
      </c>
      <c r="K1109" s="12">
        <v>43288.0</v>
      </c>
      <c r="L1109" s="30"/>
      <c r="M1109" s="11">
        <v>665141.0</v>
      </c>
      <c r="N1109" s="11" t="s">
        <v>2197</v>
      </c>
      <c r="O1109" s="13"/>
      <c r="P1109" s="11">
        <v>0.0</v>
      </c>
      <c r="Q1109" s="14">
        <v>0.0</v>
      </c>
      <c r="R1109" s="11">
        <v>1.0</v>
      </c>
      <c r="S1109">
        <f t="shared" si="1"/>
        <v>2017</v>
      </c>
      <c r="T1109">
        <f t="shared" si="2"/>
        <v>1</v>
      </c>
      <c r="U1109">
        <f t="shared" si="3"/>
        <v>1</v>
      </c>
      <c r="Z1109" s="17">
        <v>43271.0</v>
      </c>
      <c r="AG1109" s="15"/>
      <c r="AH1109" s="16"/>
      <c r="AM1109" s="15"/>
      <c r="AN1109" s="16"/>
    </row>
    <row r="1110">
      <c r="A1110" s="13" t="s">
        <v>2198</v>
      </c>
      <c r="B1110" s="10">
        <v>42736.0</v>
      </c>
      <c r="C1110" s="11" t="s">
        <v>162</v>
      </c>
      <c r="D1110" s="11" t="s">
        <v>88</v>
      </c>
      <c r="E1110" s="11" t="s">
        <v>39</v>
      </c>
      <c r="F1110" s="11" t="s">
        <v>40</v>
      </c>
      <c r="G1110" s="11" t="s">
        <v>45</v>
      </c>
      <c r="H1110" s="11" t="s">
        <v>84</v>
      </c>
      <c r="I1110" s="11" t="s">
        <v>999</v>
      </c>
      <c r="J1110" s="11">
        <v>23.0</v>
      </c>
      <c r="K1110" s="12">
        <v>43210.0</v>
      </c>
      <c r="L1110" s="30"/>
      <c r="M1110" s="11">
        <v>656810.0</v>
      </c>
      <c r="N1110" s="11" t="s">
        <v>2199</v>
      </c>
      <c r="O1110" s="13"/>
      <c r="P1110" s="11">
        <v>0.0</v>
      </c>
      <c r="Q1110" s="14">
        <v>0.0</v>
      </c>
      <c r="R1110" s="11">
        <v>1.0</v>
      </c>
      <c r="S1110">
        <f t="shared" si="1"/>
        <v>2017</v>
      </c>
      <c r="T1110">
        <f t="shared" si="2"/>
        <v>1</v>
      </c>
      <c r="U1110">
        <f t="shared" si="3"/>
        <v>1</v>
      </c>
      <c r="Z1110" s="17">
        <v>43197.0</v>
      </c>
      <c r="AG1110" s="15"/>
      <c r="AH1110" s="16"/>
      <c r="AM1110" s="15"/>
      <c r="AN1110" s="16"/>
    </row>
    <row r="1111">
      <c r="A1111" s="13" t="s">
        <v>2200</v>
      </c>
      <c r="B1111" s="10">
        <v>42736.0</v>
      </c>
      <c r="C1111" s="11" t="s">
        <v>162</v>
      </c>
      <c r="D1111" s="11" t="s">
        <v>221</v>
      </c>
      <c r="E1111" s="11" t="s">
        <v>39</v>
      </c>
      <c r="F1111" s="11" t="s">
        <v>40</v>
      </c>
      <c r="G1111" s="11" t="s">
        <v>45</v>
      </c>
      <c r="H1111" s="11" t="s">
        <v>258</v>
      </c>
      <c r="I1111" s="11"/>
      <c r="J1111" s="11">
        <v>19.0</v>
      </c>
      <c r="K1111" s="12">
        <v>43300.0</v>
      </c>
      <c r="L1111" s="30"/>
      <c r="M1111" s="11">
        <v>666190.0</v>
      </c>
      <c r="N1111" s="11" t="s">
        <v>2201</v>
      </c>
      <c r="O1111" s="13"/>
      <c r="P1111" s="11">
        <v>0.0</v>
      </c>
      <c r="Q1111" s="14">
        <v>0.0</v>
      </c>
      <c r="R1111" s="11">
        <v>1.0</v>
      </c>
      <c r="S1111">
        <f t="shared" si="1"/>
        <v>2017</v>
      </c>
      <c r="T1111">
        <f t="shared" si="2"/>
        <v>1</v>
      </c>
      <c r="U1111">
        <f t="shared" si="3"/>
        <v>1</v>
      </c>
      <c r="AG1111" s="15"/>
      <c r="AH1111" s="16"/>
      <c r="AM1111" s="15"/>
      <c r="AN1111" s="16"/>
    </row>
    <row r="1112">
      <c r="A1112" s="13" t="s">
        <v>2202</v>
      </c>
      <c r="B1112" s="10">
        <v>42736.0</v>
      </c>
      <c r="C1112" s="11" t="s">
        <v>162</v>
      </c>
      <c r="D1112" s="11" t="s">
        <v>221</v>
      </c>
      <c r="E1112" s="11" t="s">
        <v>39</v>
      </c>
      <c r="F1112" s="11" t="s">
        <v>64</v>
      </c>
      <c r="G1112" s="11" t="s">
        <v>45</v>
      </c>
      <c r="H1112" s="11" t="s">
        <v>67</v>
      </c>
      <c r="I1112" s="11" t="s">
        <v>287</v>
      </c>
      <c r="J1112" s="11">
        <v>22.0</v>
      </c>
      <c r="K1112" s="12"/>
      <c r="L1112" s="30"/>
      <c r="M1112" s="11">
        <v>642228.0</v>
      </c>
      <c r="N1112" s="11" t="s">
        <v>2203</v>
      </c>
      <c r="O1112" s="13"/>
      <c r="P1112" s="11">
        <v>0.0</v>
      </c>
      <c r="Q1112" s="14">
        <v>0.0</v>
      </c>
      <c r="R1112" s="11">
        <v>0.0</v>
      </c>
      <c r="S1112">
        <f t="shared" si="1"/>
        <v>2017</v>
      </c>
      <c r="T1112">
        <f t="shared" si="2"/>
        <v>1</v>
      </c>
      <c r="U1112">
        <f t="shared" si="3"/>
        <v>1</v>
      </c>
      <c r="AG1112" s="15"/>
      <c r="AH1112" s="16"/>
      <c r="AM1112" s="15"/>
      <c r="AN1112" s="16"/>
    </row>
    <row r="1113">
      <c r="A1113" s="13" t="s">
        <v>2204</v>
      </c>
      <c r="B1113" s="10">
        <v>42736.0</v>
      </c>
      <c r="C1113" s="11" t="s">
        <v>192</v>
      </c>
      <c r="D1113" s="11" t="s">
        <v>709</v>
      </c>
      <c r="E1113" s="11" t="s">
        <v>39</v>
      </c>
      <c r="F1113" s="11" t="s">
        <v>40</v>
      </c>
      <c r="G1113" s="11" t="s">
        <v>326</v>
      </c>
      <c r="H1113" s="11"/>
      <c r="I1113" s="11"/>
      <c r="J1113" s="11">
        <v>20.0</v>
      </c>
      <c r="K1113" s="12">
        <v>43267.0</v>
      </c>
      <c r="L1113" s="30"/>
      <c r="M1113" s="11">
        <v>663900.0</v>
      </c>
      <c r="N1113" s="11" t="s">
        <v>2205</v>
      </c>
      <c r="O1113" s="13"/>
      <c r="P1113" s="11">
        <v>0.0</v>
      </c>
      <c r="Q1113" s="14">
        <v>0.0</v>
      </c>
      <c r="R1113" s="11">
        <v>1.0</v>
      </c>
      <c r="S1113">
        <f t="shared" si="1"/>
        <v>2017</v>
      </c>
      <c r="T1113">
        <f t="shared" si="2"/>
        <v>1</v>
      </c>
      <c r="U1113">
        <f t="shared" si="3"/>
        <v>1</v>
      </c>
      <c r="AG1113" s="15"/>
      <c r="AH1113" s="16"/>
      <c r="AM1113" s="15"/>
      <c r="AN1113" s="16"/>
    </row>
    <row r="1114">
      <c r="A1114" s="13" t="s">
        <v>2206</v>
      </c>
      <c r="B1114" s="17">
        <v>42736.0</v>
      </c>
      <c r="C1114" s="11" t="s">
        <v>192</v>
      </c>
      <c r="D1114" s="11" t="s">
        <v>93</v>
      </c>
      <c r="E1114" s="11" t="s">
        <v>39</v>
      </c>
      <c r="F1114" s="11" t="s">
        <v>40</v>
      </c>
      <c r="G1114" s="11" t="s">
        <v>45</v>
      </c>
      <c r="H1114" s="11" t="s">
        <v>84</v>
      </c>
      <c r="I1114" s="11" t="s">
        <v>2207</v>
      </c>
      <c r="J1114" s="11">
        <v>21.0</v>
      </c>
      <c r="K1114" s="12">
        <v>43634.0</v>
      </c>
      <c r="L1114" s="30"/>
      <c r="M1114" s="11">
        <v>663971.0</v>
      </c>
      <c r="N1114" s="11">
        <v>25416.0</v>
      </c>
      <c r="O1114" s="13"/>
      <c r="P1114" s="11">
        <v>0.0</v>
      </c>
      <c r="Q1114" s="14">
        <v>0.0</v>
      </c>
      <c r="R1114" s="11">
        <v>1.0</v>
      </c>
      <c r="S1114">
        <f t="shared" si="1"/>
        <v>2017</v>
      </c>
      <c r="T1114">
        <f t="shared" si="2"/>
        <v>1</v>
      </c>
      <c r="U1114">
        <f t="shared" si="3"/>
        <v>1</v>
      </c>
      <c r="Z1114" s="17"/>
      <c r="AG1114" s="15"/>
      <c r="AH1114" s="16"/>
      <c r="AM1114" s="15"/>
      <c r="AN1114" s="16"/>
    </row>
    <row r="1115">
      <c r="A1115" s="13" t="s">
        <v>2208</v>
      </c>
      <c r="B1115" s="17">
        <v>42736.0</v>
      </c>
      <c r="C1115" s="11" t="s">
        <v>192</v>
      </c>
      <c r="D1115" s="11" t="s">
        <v>213</v>
      </c>
      <c r="E1115" s="11" t="s">
        <v>39</v>
      </c>
      <c r="F1115" s="11" t="s">
        <v>40</v>
      </c>
      <c r="G1115" s="11" t="s">
        <v>45</v>
      </c>
      <c r="H1115" s="11" t="s">
        <v>262</v>
      </c>
      <c r="I1115" s="11" t="s">
        <v>1912</v>
      </c>
      <c r="J1115" s="11">
        <v>20.0</v>
      </c>
      <c r="K1115" s="12">
        <v>43639.0</v>
      </c>
      <c r="L1115" s="30"/>
      <c r="M1115" s="11">
        <v>669936.0</v>
      </c>
      <c r="N1115" s="11" t="s">
        <v>2209</v>
      </c>
      <c r="O1115" s="13"/>
      <c r="P1115" s="11">
        <v>0.0</v>
      </c>
      <c r="Q1115" s="14">
        <v>0.0</v>
      </c>
      <c r="R1115" s="11">
        <v>1.0</v>
      </c>
      <c r="S1115">
        <f t="shared" si="1"/>
        <v>2017</v>
      </c>
      <c r="T1115">
        <f t="shared" si="2"/>
        <v>1</v>
      </c>
      <c r="U1115">
        <f t="shared" si="3"/>
        <v>1</v>
      </c>
      <c r="Z1115" s="17"/>
      <c r="AG1115" s="15"/>
      <c r="AH1115" s="16"/>
      <c r="AM1115" s="15"/>
      <c r="AN1115" s="16"/>
    </row>
    <row r="1116">
      <c r="A1116" s="13" t="s">
        <v>325</v>
      </c>
      <c r="B1116" s="10">
        <v>42736.0</v>
      </c>
      <c r="C1116" s="11" t="s">
        <v>52</v>
      </c>
      <c r="D1116" s="11" t="s">
        <v>88</v>
      </c>
      <c r="E1116" s="11" t="s">
        <v>39</v>
      </c>
      <c r="F1116" s="11" t="s">
        <v>40</v>
      </c>
      <c r="G1116" s="11" t="s">
        <v>326</v>
      </c>
      <c r="H1116" s="11"/>
      <c r="I1116" s="11"/>
      <c r="J1116" s="11">
        <v>22.0</v>
      </c>
      <c r="K1116" s="12">
        <v>43295.0</v>
      </c>
      <c r="L1116" s="30"/>
      <c r="M1116" s="11">
        <v>664353.0</v>
      </c>
      <c r="N1116" s="11">
        <v>18413.0</v>
      </c>
      <c r="O1116" s="13"/>
      <c r="P1116" s="11">
        <v>0.0</v>
      </c>
      <c r="Q1116" s="14">
        <v>0.0</v>
      </c>
      <c r="R1116" s="11">
        <v>1.0</v>
      </c>
      <c r="S1116">
        <f t="shared" si="1"/>
        <v>2017</v>
      </c>
      <c r="T1116">
        <f t="shared" si="2"/>
        <v>1</v>
      </c>
      <c r="U1116">
        <f t="shared" si="3"/>
        <v>1</v>
      </c>
      <c r="Z1116" s="17">
        <v>43272.0</v>
      </c>
      <c r="AG1116" s="15"/>
      <c r="AH1116" s="16"/>
      <c r="AM1116" s="15"/>
      <c r="AN1116" s="16"/>
    </row>
    <row r="1117">
      <c r="A1117" s="13" t="s">
        <v>2210</v>
      </c>
      <c r="B1117" s="10">
        <v>42736.0</v>
      </c>
      <c r="C1117" s="11" t="s">
        <v>52</v>
      </c>
      <c r="D1117" s="11" t="s">
        <v>93</v>
      </c>
      <c r="E1117" s="11" t="s">
        <v>39</v>
      </c>
      <c r="F1117" s="11" t="s">
        <v>40</v>
      </c>
      <c r="G1117" s="11" t="s">
        <v>45</v>
      </c>
      <c r="H1117" s="11" t="s">
        <v>67</v>
      </c>
      <c r="I1117" s="11" t="s">
        <v>287</v>
      </c>
      <c r="J1117" s="11">
        <v>20.0</v>
      </c>
      <c r="K1117" s="12">
        <v>43636.0</v>
      </c>
      <c r="L1117" s="30"/>
      <c r="M1117" s="11">
        <v>667690.0</v>
      </c>
      <c r="N1117" s="11" t="s">
        <v>2211</v>
      </c>
      <c r="O1117" s="13"/>
      <c r="P1117" s="11">
        <v>0.0</v>
      </c>
      <c r="Q1117" s="14">
        <v>0.0</v>
      </c>
      <c r="R1117" s="11">
        <v>1.0</v>
      </c>
      <c r="S1117">
        <f t="shared" si="1"/>
        <v>2017</v>
      </c>
      <c r="T1117">
        <f t="shared" si="2"/>
        <v>1</v>
      </c>
      <c r="U1117">
        <f t="shared" si="3"/>
        <v>1</v>
      </c>
      <c r="Z1117" s="17"/>
      <c r="AG1117" s="15"/>
      <c r="AH1117" s="16"/>
      <c r="AM1117" s="15"/>
      <c r="AN1117" s="16"/>
    </row>
    <row r="1118">
      <c r="A1118" s="13" t="s">
        <v>2212</v>
      </c>
      <c r="B1118" s="10">
        <v>42736.0</v>
      </c>
      <c r="C1118" s="11" t="s">
        <v>358</v>
      </c>
      <c r="D1118" s="11" t="s">
        <v>77</v>
      </c>
      <c r="E1118" s="11" t="s">
        <v>39</v>
      </c>
      <c r="F1118" s="11" t="s">
        <v>40</v>
      </c>
      <c r="G1118" s="11" t="s">
        <v>45</v>
      </c>
      <c r="H1118" s="11" t="s">
        <v>231</v>
      </c>
      <c r="I1118" s="11" t="s">
        <v>2213</v>
      </c>
      <c r="J1118" s="11">
        <v>25.0</v>
      </c>
      <c r="K1118" s="12"/>
      <c r="L1118" s="30"/>
      <c r="M1118" s="11">
        <v>643294.0</v>
      </c>
      <c r="N1118" s="11" t="s">
        <v>2214</v>
      </c>
      <c r="O1118" s="13"/>
      <c r="P1118" s="11">
        <v>0.0</v>
      </c>
      <c r="Q1118" s="14">
        <v>0.0</v>
      </c>
      <c r="R1118" s="11">
        <v>0.0</v>
      </c>
      <c r="S1118">
        <f t="shared" si="1"/>
        <v>2017</v>
      </c>
      <c r="T1118">
        <f t="shared" si="2"/>
        <v>1</v>
      </c>
      <c r="U1118">
        <f t="shared" si="3"/>
        <v>1</v>
      </c>
      <c r="Z1118" s="17">
        <v>43325.0</v>
      </c>
      <c r="AG1118" s="15"/>
      <c r="AH1118" s="16"/>
      <c r="AM1118" s="15"/>
      <c r="AN1118" s="16"/>
    </row>
    <row r="1119">
      <c r="A1119" s="13" t="s">
        <v>2215</v>
      </c>
      <c r="B1119" s="17">
        <v>42736.0</v>
      </c>
      <c r="C1119" s="11" t="s">
        <v>346</v>
      </c>
      <c r="D1119" s="11" t="s">
        <v>93</v>
      </c>
      <c r="E1119" s="11" t="s">
        <v>39</v>
      </c>
      <c r="F1119" s="11" t="s">
        <v>64</v>
      </c>
      <c r="G1119" s="11" t="s">
        <v>45</v>
      </c>
      <c r="H1119" s="11" t="s">
        <v>276</v>
      </c>
      <c r="I1119" s="11" t="s">
        <v>851</v>
      </c>
      <c r="J1119" s="11">
        <v>19.0</v>
      </c>
      <c r="K1119" s="12">
        <v>44417.0</v>
      </c>
      <c r="L1119" s="30"/>
      <c r="M1119" s="11">
        <v>687649.0</v>
      </c>
      <c r="N1119" s="11" t="s">
        <v>2216</v>
      </c>
      <c r="O1119" s="13"/>
      <c r="P1119" s="11">
        <v>0.0</v>
      </c>
      <c r="Q1119" s="14">
        <v>0.0</v>
      </c>
      <c r="R1119" s="11">
        <v>1.0</v>
      </c>
      <c r="S1119">
        <f t="shared" si="1"/>
        <v>2017</v>
      </c>
      <c r="T1119">
        <f t="shared" si="2"/>
        <v>1</v>
      </c>
      <c r="U1119">
        <f t="shared" si="3"/>
        <v>1</v>
      </c>
      <c r="Z1119" s="17"/>
      <c r="AG1119" s="15"/>
      <c r="AH1119" s="16"/>
      <c r="AM1119" s="15"/>
      <c r="AN1119" s="16"/>
    </row>
    <row r="1120">
      <c r="A1120" s="13" t="s">
        <v>2217</v>
      </c>
      <c r="B1120" s="10">
        <v>42736.0</v>
      </c>
      <c r="C1120" s="11" t="s">
        <v>346</v>
      </c>
      <c r="D1120" s="11" t="s">
        <v>221</v>
      </c>
      <c r="E1120" s="11" t="s">
        <v>39</v>
      </c>
      <c r="F1120" s="11" t="s">
        <v>40</v>
      </c>
      <c r="G1120" s="11" t="s">
        <v>41</v>
      </c>
      <c r="H1120" s="11"/>
      <c r="I1120" s="11"/>
      <c r="J1120" s="11">
        <v>18.0</v>
      </c>
      <c r="K1120" s="12">
        <v>43638.0</v>
      </c>
      <c r="L1120" s="30"/>
      <c r="M1120" s="11">
        <v>666766.0</v>
      </c>
      <c r="N1120" s="11" t="s">
        <v>2218</v>
      </c>
      <c r="O1120" s="13"/>
      <c r="P1120" s="11">
        <v>0.0</v>
      </c>
      <c r="Q1120" s="14">
        <v>0.0</v>
      </c>
      <c r="R1120" s="11">
        <v>1.0</v>
      </c>
      <c r="S1120">
        <f t="shared" si="1"/>
        <v>2017</v>
      </c>
      <c r="T1120">
        <f t="shared" si="2"/>
        <v>1</v>
      </c>
      <c r="U1120">
        <f t="shared" si="3"/>
        <v>1</v>
      </c>
      <c r="Z1120" s="17">
        <v>43638.0</v>
      </c>
      <c r="AG1120" s="15"/>
      <c r="AH1120" s="16"/>
      <c r="AM1120" s="15"/>
      <c r="AN1120" s="16"/>
    </row>
    <row r="1121">
      <c r="A1121" s="13" t="s">
        <v>2219</v>
      </c>
      <c r="B1121" s="17">
        <v>42736.0</v>
      </c>
      <c r="C1121" s="11" t="s">
        <v>126</v>
      </c>
      <c r="D1121" s="11" t="s">
        <v>97</v>
      </c>
      <c r="E1121" s="11" t="s">
        <v>39</v>
      </c>
      <c r="F1121" s="11" t="s">
        <v>64</v>
      </c>
      <c r="G1121" s="11" t="s">
        <v>326</v>
      </c>
      <c r="H1121" s="11"/>
      <c r="I1121" s="11"/>
      <c r="J1121" s="11">
        <v>21.0</v>
      </c>
      <c r="K1121" s="12">
        <v>43262.0</v>
      </c>
      <c r="L1121" s="30"/>
      <c r="M1121" s="11">
        <v>624647.0</v>
      </c>
      <c r="N1121" s="11">
        <v>16408.0</v>
      </c>
      <c r="O1121" s="13"/>
      <c r="P1121" s="11">
        <v>0.0</v>
      </c>
      <c r="Q1121" s="14">
        <v>0.0</v>
      </c>
      <c r="R1121" s="11">
        <v>1.0</v>
      </c>
      <c r="S1121">
        <f t="shared" si="1"/>
        <v>2017</v>
      </c>
      <c r="T1121">
        <f t="shared" si="2"/>
        <v>1</v>
      </c>
      <c r="U1121">
        <f t="shared" si="3"/>
        <v>1</v>
      </c>
      <c r="Z1121" s="17">
        <v>43262.0</v>
      </c>
      <c r="AG1121" s="15"/>
      <c r="AH1121" s="16"/>
      <c r="AM1121" s="15"/>
      <c r="AN1121" s="16"/>
    </row>
    <row r="1122">
      <c r="A1122" s="13" t="s">
        <v>2220</v>
      </c>
      <c r="B1122" s="17">
        <v>42736.0</v>
      </c>
      <c r="C1122" s="11" t="s">
        <v>126</v>
      </c>
      <c r="D1122" s="11" t="s">
        <v>93</v>
      </c>
      <c r="E1122" s="11" t="s">
        <v>39</v>
      </c>
      <c r="F1122" s="11" t="s">
        <v>64</v>
      </c>
      <c r="G1122" s="11" t="s">
        <v>45</v>
      </c>
      <c r="H1122" s="11" t="s">
        <v>67</v>
      </c>
      <c r="I1122" s="11" t="s">
        <v>2221</v>
      </c>
      <c r="J1122" s="11">
        <v>20.0</v>
      </c>
      <c r="K1122" s="39">
        <v>43647.0</v>
      </c>
      <c r="L1122" s="30"/>
      <c r="M1122" s="11">
        <v>687941.0</v>
      </c>
      <c r="N1122" s="11" t="s">
        <v>2222</v>
      </c>
      <c r="P1122" s="11">
        <v>0.0</v>
      </c>
      <c r="Q1122" s="14">
        <v>0.0</v>
      </c>
      <c r="R1122" s="11">
        <v>1.0</v>
      </c>
      <c r="S1122">
        <f t="shared" si="1"/>
        <v>2017</v>
      </c>
      <c r="T1122">
        <f t="shared" si="2"/>
        <v>1</v>
      </c>
      <c r="U1122">
        <f t="shared" si="3"/>
        <v>1</v>
      </c>
      <c r="AG1122" s="15"/>
      <c r="AH1122" s="16"/>
      <c r="AM1122" s="15"/>
      <c r="AN1122" s="16"/>
    </row>
    <row r="1123">
      <c r="A1123" s="13" t="s">
        <v>2223</v>
      </c>
      <c r="B1123" s="17">
        <v>42736.0</v>
      </c>
      <c r="C1123" s="11" t="s">
        <v>126</v>
      </c>
      <c r="D1123" s="11" t="s">
        <v>213</v>
      </c>
      <c r="E1123" s="11" t="s">
        <v>39</v>
      </c>
      <c r="F1123" s="11" t="s">
        <v>40</v>
      </c>
      <c r="G1123" s="11" t="s">
        <v>45</v>
      </c>
      <c r="H1123" s="11" t="s">
        <v>46</v>
      </c>
      <c r="I1123" s="11" t="s">
        <v>2224</v>
      </c>
      <c r="J1123" s="11">
        <v>19.0</v>
      </c>
      <c r="K1123" s="12">
        <v>43647.0</v>
      </c>
      <c r="L1123" s="30"/>
      <c r="M1123" s="11">
        <v>687798.0</v>
      </c>
      <c r="N1123" s="11">
        <v>26226.0</v>
      </c>
      <c r="O1123" s="13"/>
      <c r="P1123" s="11">
        <v>0.0</v>
      </c>
      <c r="Q1123" s="14">
        <v>0.0</v>
      </c>
      <c r="R1123" s="11">
        <v>1.0</v>
      </c>
      <c r="S1123">
        <f t="shared" si="1"/>
        <v>2017</v>
      </c>
      <c r="T1123">
        <f t="shared" si="2"/>
        <v>1</v>
      </c>
      <c r="U1123">
        <f t="shared" si="3"/>
        <v>1</v>
      </c>
      <c r="AG1123" s="15"/>
      <c r="AH1123" s="16"/>
      <c r="AM1123" s="15"/>
      <c r="AN1123" s="16"/>
    </row>
    <row r="1124">
      <c r="A1124" s="13" t="s">
        <v>2225</v>
      </c>
      <c r="B1124" s="10">
        <v>42736.0</v>
      </c>
      <c r="C1124" s="11" t="s">
        <v>126</v>
      </c>
      <c r="D1124" s="11" t="s">
        <v>221</v>
      </c>
      <c r="E1124" s="11" t="s">
        <v>39</v>
      </c>
      <c r="F1124" s="11" t="s">
        <v>40</v>
      </c>
      <c r="G1124" s="11" t="s">
        <v>45</v>
      </c>
      <c r="H1124" s="11" t="s">
        <v>59</v>
      </c>
      <c r="I1124" s="11" t="s">
        <v>2226</v>
      </c>
      <c r="J1124" s="11">
        <v>23.0</v>
      </c>
      <c r="K1124" s="12">
        <v>43288.0</v>
      </c>
      <c r="L1124" s="30"/>
      <c r="M1124" s="11">
        <v>671805.0</v>
      </c>
      <c r="N1124" s="11" t="s">
        <v>2227</v>
      </c>
      <c r="O1124" s="13"/>
      <c r="P1124" s="11">
        <v>0.0</v>
      </c>
      <c r="Q1124" s="14">
        <v>0.0</v>
      </c>
      <c r="R1124" s="11">
        <v>1.0</v>
      </c>
      <c r="S1124">
        <f t="shared" si="1"/>
        <v>2017</v>
      </c>
      <c r="T1124">
        <f t="shared" si="2"/>
        <v>1</v>
      </c>
      <c r="U1124">
        <f t="shared" si="3"/>
        <v>1</v>
      </c>
      <c r="AG1124" s="15"/>
      <c r="AH1124" s="16"/>
      <c r="AM1124" s="15"/>
      <c r="AN1124" s="16"/>
    </row>
    <row r="1125">
      <c r="A1125" s="13" t="s">
        <v>2228</v>
      </c>
      <c r="B1125" s="17">
        <v>42736.0</v>
      </c>
      <c r="C1125" s="11" t="s">
        <v>37</v>
      </c>
      <c r="D1125" s="11" t="s">
        <v>93</v>
      </c>
      <c r="E1125" s="11" t="s">
        <v>118</v>
      </c>
      <c r="F1125" s="11" t="s">
        <v>40</v>
      </c>
      <c r="G1125" s="11" t="s">
        <v>45</v>
      </c>
      <c r="H1125" s="11" t="s">
        <v>236</v>
      </c>
      <c r="I1125" s="11" t="s">
        <v>2229</v>
      </c>
      <c r="J1125" s="11">
        <v>20.0</v>
      </c>
      <c r="K1125" s="39">
        <v>43630.0</v>
      </c>
      <c r="L1125" s="30"/>
      <c r="M1125" s="11">
        <v>680814.0</v>
      </c>
      <c r="N1125" s="11" t="s">
        <v>2230</v>
      </c>
      <c r="P1125" s="11">
        <v>0.0</v>
      </c>
      <c r="Q1125" s="14">
        <v>0.0</v>
      </c>
      <c r="R1125" s="11">
        <v>1.0</v>
      </c>
      <c r="S1125">
        <f t="shared" si="1"/>
        <v>2017</v>
      </c>
      <c r="T1125">
        <f t="shared" si="2"/>
        <v>1</v>
      </c>
      <c r="U1125">
        <f t="shared" si="3"/>
        <v>1</v>
      </c>
      <c r="AG1125" s="15"/>
      <c r="AH1125" s="16"/>
      <c r="AM1125" s="15"/>
      <c r="AN1125" s="16"/>
    </row>
    <row r="1126">
      <c r="A1126" s="13" t="s">
        <v>2231</v>
      </c>
      <c r="B1126" s="17">
        <v>42736.0</v>
      </c>
      <c r="C1126" s="11" t="s">
        <v>37</v>
      </c>
      <c r="D1126" s="11" t="s">
        <v>93</v>
      </c>
      <c r="E1126" s="11" t="s">
        <v>39</v>
      </c>
      <c r="F1126" s="11" t="s">
        <v>64</v>
      </c>
      <c r="G1126" s="11" t="s">
        <v>45</v>
      </c>
      <c r="H1126" s="11" t="s">
        <v>276</v>
      </c>
      <c r="I1126" s="11" t="s">
        <v>2232</v>
      </c>
      <c r="J1126" s="11">
        <v>19.0</v>
      </c>
      <c r="K1126" s="39">
        <v>43643.0</v>
      </c>
      <c r="L1126" s="30"/>
      <c r="M1126" s="11">
        <v>681006.0</v>
      </c>
      <c r="N1126" s="11" t="s">
        <v>2233</v>
      </c>
      <c r="P1126" s="11">
        <v>0.0</v>
      </c>
      <c r="Q1126" s="14">
        <v>0.0</v>
      </c>
      <c r="R1126" s="11">
        <v>1.0</v>
      </c>
      <c r="S1126">
        <f t="shared" si="1"/>
        <v>2017</v>
      </c>
      <c r="T1126">
        <f t="shared" si="2"/>
        <v>1</v>
      </c>
      <c r="U1126">
        <f t="shared" si="3"/>
        <v>1</v>
      </c>
      <c r="AG1126" s="15"/>
      <c r="AH1126" s="16"/>
      <c r="AM1126" s="15"/>
      <c r="AN1126" s="16"/>
    </row>
    <row r="1127">
      <c r="A1127" s="9" t="s">
        <v>457</v>
      </c>
      <c r="B1127" s="10">
        <v>42736.0</v>
      </c>
      <c r="C1127" s="11" t="s">
        <v>55</v>
      </c>
      <c r="D1127" s="11" t="s">
        <v>93</v>
      </c>
      <c r="E1127" s="11" t="s">
        <v>104</v>
      </c>
      <c r="F1127" s="11" t="s">
        <v>40</v>
      </c>
      <c r="G1127" s="11" t="s">
        <v>45</v>
      </c>
      <c r="H1127" s="11" t="s">
        <v>56</v>
      </c>
      <c r="I1127" s="11" t="s">
        <v>458</v>
      </c>
      <c r="J1127" s="11">
        <v>21.0</v>
      </c>
      <c r="K1127" s="12">
        <v>43268.0</v>
      </c>
      <c r="L1127" s="11"/>
      <c r="M1127" s="11">
        <v>681807.0</v>
      </c>
      <c r="N1127" s="11">
        <v>24934.0</v>
      </c>
      <c r="O1127" s="13"/>
      <c r="P1127" s="11">
        <v>0.0</v>
      </c>
      <c r="Q1127" s="14">
        <v>0.0</v>
      </c>
      <c r="R1127" s="11">
        <v>1.0</v>
      </c>
      <c r="S1127">
        <f t="shared" si="1"/>
        <v>2017</v>
      </c>
      <c r="T1127">
        <f t="shared" si="2"/>
        <v>1</v>
      </c>
      <c r="U1127">
        <f t="shared" si="3"/>
        <v>1</v>
      </c>
      <c r="Z1127" s="17">
        <v>43268.0</v>
      </c>
      <c r="AG1127" s="15"/>
      <c r="AH1127" s="16"/>
      <c r="AM1127" s="15"/>
      <c r="AN1127" s="16"/>
    </row>
    <row r="1128">
      <c r="A1128" s="13" t="s">
        <v>2234</v>
      </c>
      <c r="B1128" s="17">
        <v>42736.0</v>
      </c>
      <c r="C1128" s="11" t="s">
        <v>103</v>
      </c>
      <c r="D1128" s="11" t="s">
        <v>221</v>
      </c>
      <c r="E1128" s="11" t="s">
        <v>39</v>
      </c>
      <c r="F1128" s="11" t="s">
        <v>40</v>
      </c>
      <c r="G1128" s="11" t="s">
        <v>41</v>
      </c>
      <c r="H1128" s="11"/>
      <c r="I1128" s="11"/>
      <c r="J1128" s="11">
        <v>21.0</v>
      </c>
      <c r="K1128" s="30"/>
      <c r="L1128" s="30"/>
      <c r="M1128" s="11">
        <v>660666.0</v>
      </c>
      <c r="N1128" s="11" t="s">
        <v>2235</v>
      </c>
      <c r="P1128" s="11">
        <v>0.0</v>
      </c>
      <c r="Q1128" s="14">
        <v>0.0</v>
      </c>
      <c r="R1128" s="11">
        <v>0.0</v>
      </c>
      <c r="S1128">
        <f t="shared" si="1"/>
        <v>2017</v>
      </c>
      <c r="T1128">
        <f t="shared" si="2"/>
        <v>1</v>
      </c>
      <c r="U1128">
        <f t="shared" si="3"/>
        <v>1</v>
      </c>
      <c r="AG1128" s="15"/>
      <c r="AH1128" s="16"/>
      <c r="AM1128" s="15"/>
      <c r="AN1128" s="16"/>
    </row>
    <row r="1129">
      <c r="A1129" s="13" t="s">
        <v>2236</v>
      </c>
      <c r="B1129" s="17">
        <v>42736.0</v>
      </c>
      <c r="C1129" s="11" t="s">
        <v>108</v>
      </c>
      <c r="D1129" s="11" t="s">
        <v>709</v>
      </c>
      <c r="E1129" s="11" t="s">
        <v>39</v>
      </c>
      <c r="F1129" s="11" t="s">
        <v>40</v>
      </c>
      <c r="G1129" s="11" t="s">
        <v>41</v>
      </c>
      <c r="H1129" s="11"/>
      <c r="I1129" s="11"/>
      <c r="J1129" s="11">
        <v>19.0</v>
      </c>
      <c r="K1129" s="39">
        <v>43578.0</v>
      </c>
      <c r="L1129" s="30"/>
      <c r="M1129" s="11">
        <v>666745.0</v>
      </c>
      <c r="N1129" s="11">
        <v>25386.0</v>
      </c>
      <c r="P1129" s="11">
        <v>0.0</v>
      </c>
      <c r="Q1129" s="14">
        <v>0.0</v>
      </c>
      <c r="R1129" s="11">
        <v>1.0</v>
      </c>
      <c r="S1129">
        <f t="shared" si="1"/>
        <v>2017</v>
      </c>
      <c r="T1129">
        <f t="shared" si="2"/>
        <v>1</v>
      </c>
      <c r="U1129">
        <f t="shared" si="3"/>
        <v>1</v>
      </c>
      <c r="Z1129" s="17">
        <v>43578.0</v>
      </c>
      <c r="AG1129" s="15"/>
      <c r="AH1129" s="16"/>
      <c r="AM1129" s="15"/>
      <c r="AN1129" s="16"/>
    </row>
    <row r="1130">
      <c r="A1130" s="13" t="s">
        <v>2237</v>
      </c>
      <c r="B1130" s="17">
        <v>42736.0</v>
      </c>
      <c r="C1130" s="11" t="s">
        <v>108</v>
      </c>
      <c r="D1130" s="11" t="s">
        <v>93</v>
      </c>
      <c r="E1130" s="11" t="s">
        <v>39</v>
      </c>
      <c r="F1130" s="11" t="s">
        <v>40</v>
      </c>
      <c r="G1130" s="11" t="s">
        <v>45</v>
      </c>
      <c r="H1130" s="11" t="s">
        <v>127</v>
      </c>
      <c r="I1130" s="11" t="s">
        <v>1159</v>
      </c>
      <c r="J1130" s="11">
        <v>20.0</v>
      </c>
      <c r="K1130" s="39">
        <v>43642.0</v>
      </c>
      <c r="L1130" s="30"/>
      <c r="M1130" s="11">
        <v>676248.0</v>
      </c>
      <c r="N1130" s="11" t="s">
        <v>2238</v>
      </c>
      <c r="P1130" s="11">
        <v>0.0</v>
      </c>
      <c r="Q1130" s="14">
        <v>0.0</v>
      </c>
      <c r="R1130" s="11">
        <v>1.0</v>
      </c>
      <c r="S1130">
        <f t="shared" si="1"/>
        <v>2017</v>
      </c>
      <c r="T1130">
        <f t="shared" si="2"/>
        <v>1</v>
      </c>
      <c r="U1130">
        <f t="shared" si="3"/>
        <v>1</v>
      </c>
      <c r="Z1130" s="17"/>
      <c r="AG1130" s="15"/>
      <c r="AH1130" s="16"/>
      <c r="AM1130" s="15"/>
      <c r="AN1130" s="16"/>
    </row>
    <row r="1131">
      <c r="A1131" s="13" t="s">
        <v>2239</v>
      </c>
      <c r="B1131" s="17">
        <v>42736.0</v>
      </c>
      <c r="C1131" s="11" t="s">
        <v>108</v>
      </c>
      <c r="D1131" s="11" t="s">
        <v>221</v>
      </c>
      <c r="E1131" s="11" t="s">
        <v>39</v>
      </c>
      <c r="F1131" s="11" t="s">
        <v>40</v>
      </c>
      <c r="G1131" s="11" t="s">
        <v>41</v>
      </c>
      <c r="H1131" s="11"/>
      <c r="I1131" s="11"/>
      <c r="J1131" s="11">
        <v>21.0</v>
      </c>
      <c r="K1131" s="39">
        <v>43695.0</v>
      </c>
      <c r="L1131" s="30"/>
      <c r="M1131" s="11">
        <v>642712.0</v>
      </c>
      <c r="N1131" s="11" t="s">
        <v>2240</v>
      </c>
      <c r="P1131" s="11">
        <v>0.0</v>
      </c>
      <c r="Q1131" s="14">
        <v>0.0</v>
      </c>
      <c r="R1131" s="11">
        <v>1.0</v>
      </c>
      <c r="S1131">
        <f t="shared" si="1"/>
        <v>2017</v>
      </c>
      <c r="T1131">
        <f t="shared" si="2"/>
        <v>1</v>
      </c>
      <c r="U1131">
        <f t="shared" si="3"/>
        <v>1</v>
      </c>
      <c r="AG1131" s="15"/>
      <c r="AH1131" s="16"/>
      <c r="AM1131" s="15"/>
      <c r="AN1131" s="16"/>
    </row>
    <row r="1132">
      <c r="A1132" s="13" t="s">
        <v>2241</v>
      </c>
      <c r="B1132" s="17">
        <v>42736.0</v>
      </c>
      <c r="C1132" s="11" t="s">
        <v>274</v>
      </c>
      <c r="D1132" s="11" t="s">
        <v>97</v>
      </c>
      <c r="E1132" s="11" t="s">
        <v>39</v>
      </c>
      <c r="F1132" s="11" t="s">
        <v>40</v>
      </c>
      <c r="G1132" s="11" t="s">
        <v>45</v>
      </c>
      <c r="H1132" s="11" t="s">
        <v>84</v>
      </c>
      <c r="I1132" s="11" t="s">
        <v>218</v>
      </c>
      <c r="J1132" s="11">
        <v>23.0</v>
      </c>
      <c r="K1132" s="39">
        <v>43572.0</v>
      </c>
      <c r="L1132" s="30"/>
      <c r="M1132" s="11">
        <v>663307.0</v>
      </c>
      <c r="N1132" s="11" t="s">
        <v>2242</v>
      </c>
      <c r="P1132" s="11">
        <v>0.0</v>
      </c>
      <c r="Q1132" s="14">
        <v>0.0</v>
      </c>
      <c r="R1132" s="11">
        <v>1.0</v>
      </c>
      <c r="S1132">
        <f t="shared" si="1"/>
        <v>2017</v>
      </c>
      <c r="T1132">
        <f t="shared" si="2"/>
        <v>1</v>
      </c>
      <c r="U1132">
        <f t="shared" si="3"/>
        <v>1</v>
      </c>
      <c r="Z1132" s="17">
        <v>43572.0</v>
      </c>
      <c r="AG1132" s="15"/>
      <c r="AH1132" s="16"/>
      <c r="AM1132" s="15"/>
      <c r="AN1132" s="16"/>
    </row>
    <row r="1133">
      <c r="A1133" s="13" t="s">
        <v>2243</v>
      </c>
      <c r="B1133" s="17">
        <v>42736.0</v>
      </c>
      <c r="C1133" s="11" t="s">
        <v>362</v>
      </c>
      <c r="D1133" s="11" t="s">
        <v>93</v>
      </c>
      <c r="E1133" s="11" t="s">
        <v>104</v>
      </c>
      <c r="F1133" s="11" t="s">
        <v>40</v>
      </c>
      <c r="G1133" s="11" t="s">
        <v>45</v>
      </c>
      <c r="H1133" s="11" t="s">
        <v>236</v>
      </c>
      <c r="I1133" s="11" t="s">
        <v>2244</v>
      </c>
      <c r="J1133" s="11">
        <v>20.0</v>
      </c>
      <c r="K1133" s="39">
        <v>43642.0</v>
      </c>
      <c r="L1133" s="30"/>
      <c r="M1133" s="11">
        <v>686758.0</v>
      </c>
      <c r="N1133" s="11" t="s">
        <v>2245</v>
      </c>
      <c r="P1133" s="11">
        <v>0.0</v>
      </c>
      <c r="Q1133" s="14">
        <v>0.0</v>
      </c>
      <c r="R1133" s="11">
        <v>1.0</v>
      </c>
      <c r="S1133">
        <f t="shared" si="1"/>
        <v>2017</v>
      </c>
      <c r="T1133">
        <f t="shared" si="2"/>
        <v>1</v>
      </c>
      <c r="U1133">
        <f t="shared" si="3"/>
        <v>1</v>
      </c>
      <c r="AG1133" s="15"/>
      <c r="AH1133" s="16"/>
      <c r="AM1133" s="15"/>
      <c r="AN1133" s="16"/>
    </row>
    <row r="1134">
      <c r="A1134" s="13" t="s">
        <v>2246</v>
      </c>
      <c r="B1134" s="17">
        <v>42736.0</v>
      </c>
      <c r="C1134" s="11" t="s">
        <v>175</v>
      </c>
      <c r="D1134" s="11" t="s">
        <v>93</v>
      </c>
      <c r="E1134" s="11" t="s">
        <v>39</v>
      </c>
      <c r="F1134" s="11" t="s">
        <v>40</v>
      </c>
      <c r="G1134" s="11" t="s">
        <v>45</v>
      </c>
      <c r="H1134" s="11" t="s">
        <v>652</v>
      </c>
      <c r="I1134" s="11" t="s">
        <v>2023</v>
      </c>
      <c r="J1134" s="11">
        <v>22.0</v>
      </c>
      <c r="K1134" s="39">
        <v>43269.0</v>
      </c>
      <c r="L1134" s="30"/>
      <c r="M1134" s="11">
        <v>621051.0</v>
      </c>
      <c r="N1134" s="11">
        <v>20353.0</v>
      </c>
      <c r="P1134" s="11">
        <v>0.0</v>
      </c>
      <c r="Q1134" s="14">
        <v>0.0</v>
      </c>
      <c r="R1134" s="11">
        <v>1.0</v>
      </c>
      <c r="S1134">
        <f t="shared" si="1"/>
        <v>2017</v>
      </c>
      <c r="T1134">
        <f t="shared" si="2"/>
        <v>1</v>
      </c>
      <c r="U1134">
        <f t="shared" si="3"/>
        <v>1</v>
      </c>
      <c r="AG1134" s="15"/>
      <c r="AH1134" s="16"/>
      <c r="AM1134" s="15"/>
      <c r="AN1134" s="16"/>
    </row>
    <row r="1135">
      <c r="A1135" s="13" t="s">
        <v>2247</v>
      </c>
      <c r="B1135" s="17">
        <v>42736.0</v>
      </c>
      <c r="C1135" s="11" t="s">
        <v>230</v>
      </c>
      <c r="D1135" s="11" t="s">
        <v>93</v>
      </c>
      <c r="E1135" s="11" t="s">
        <v>39</v>
      </c>
      <c r="F1135" s="11" t="s">
        <v>40</v>
      </c>
      <c r="G1135" s="11" t="s">
        <v>45</v>
      </c>
      <c r="H1135" s="11" t="s">
        <v>73</v>
      </c>
      <c r="I1135" s="11" t="s">
        <v>129</v>
      </c>
      <c r="J1135" s="11">
        <v>21.0</v>
      </c>
      <c r="K1135" s="12">
        <v>43561.0</v>
      </c>
      <c r="L1135" s="30"/>
      <c r="M1135" s="11">
        <v>674052.0</v>
      </c>
      <c r="N1135" s="11" t="s">
        <v>2248</v>
      </c>
      <c r="O1135" s="13"/>
      <c r="P1135" s="11">
        <v>0.0</v>
      </c>
      <c r="Q1135" s="14">
        <v>0.0</v>
      </c>
      <c r="R1135" s="11">
        <v>1.0</v>
      </c>
      <c r="S1135">
        <f t="shared" si="1"/>
        <v>2017</v>
      </c>
      <c r="T1135">
        <f t="shared" si="2"/>
        <v>1</v>
      </c>
      <c r="U1135">
        <f t="shared" si="3"/>
        <v>1</v>
      </c>
      <c r="AG1135" s="15"/>
      <c r="AH1135" s="16"/>
      <c r="AM1135" s="15"/>
      <c r="AN1135" s="16"/>
    </row>
    <row r="1136">
      <c r="A1136" s="13" t="s">
        <v>2249</v>
      </c>
      <c r="B1136" s="17">
        <v>42736.0</v>
      </c>
      <c r="C1136" s="11" t="s">
        <v>62</v>
      </c>
      <c r="D1136" s="11" t="s">
        <v>213</v>
      </c>
      <c r="E1136" s="11" t="s">
        <v>39</v>
      </c>
      <c r="F1136" s="11" t="s">
        <v>40</v>
      </c>
      <c r="G1136" s="11" t="s">
        <v>53</v>
      </c>
      <c r="H1136" s="11"/>
      <c r="I1136" s="11"/>
      <c r="J1136" s="11">
        <v>17.0</v>
      </c>
      <c r="K1136" s="12">
        <v>43326.0</v>
      </c>
      <c r="L1136" s="30"/>
      <c r="M1136" s="11">
        <v>672745.0</v>
      </c>
      <c r="N1136" s="11" t="s">
        <v>2250</v>
      </c>
      <c r="O1136" s="13"/>
      <c r="P1136" s="11">
        <v>0.0</v>
      </c>
      <c r="Q1136" s="14">
        <v>0.0</v>
      </c>
      <c r="R1136" s="11">
        <v>1.0</v>
      </c>
      <c r="S1136">
        <f t="shared" si="1"/>
        <v>2017</v>
      </c>
      <c r="T1136">
        <f t="shared" si="2"/>
        <v>1</v>
      </c>
      <c r="U1136">
        <f t="shared" si="3"/>
        <v>1</v>
      </c>
      <c r="Z1136" s="17"/>
      <c r="AG1136" s="15"/>
      <c r="AH1136" s="16"/>
      <c r="AM1136" s="15"/>
      <c r="AN1136" s="16"/>
    </row>
    <row r="1137">
      <c r="A1137" s="13" t="s">
        <v>691</v>
      </c>
      <c r="B1137" s="17">
        <v>42736.0</v>
      </c>
      <c r="C1137" s="11" t="s">
        <v>62</v>
      </c>
      <c r="D1137" s="11" t="s">
        <v>221</v>
      </c>
      <c r="E1137" s="11" t="s">
        <v>39</v>
      </c>
      <c r="F1137" s="11" t="s">
        <v>40</v>
      </c>
      <c r="G1137" s="11" t="s">
        <v>53</v>
      </c>
      <c r="H1137" s="11"/>
      <c r="I1137" s="11"/>
      <c r="J1137" s="11">
        <v>18.0</v>
      </c>
      <c r="K1137" s="12">
        <v>43337.0</v>
      </c>
      <c r="L1137" s="30"/>
      <c r="M1137" s="11">
        <v>665645.0</v>
      </c>
      <c r="N1137" s="11">
        <v>21656.0</v>
      </c>
      <c r="O1137" s="13"/>
      <c r="P1137" s="11">
        <v>0.0</v>
      </c>
      <c r="Q1137" s="14">
        <v>0.0</v>
      </c>
      <c r="R1137" s="11">
        <v>1.0</v>
      </c>
      <c r="S1137">
        <f t="shared" si="1"/>
        <v>2017</v>
      </c>
      <c r="T1137">
        <f t="shared" si="2"/>
        <v>1</v>
      </c>
      <c r="U1137">
        <f t="shared" si="3"/>
        <v>1</v>
      </c>
      <c r="Z1137" s="17">
        <v>43337.0</v>
      </c>
      <c r="AG1137" s="15"/>
      <c r="AH1137" s="16"/>
      <c r="AM1137" s="15"/>
      <c r="AN1137" s="16"/>
    </row>
    <row r="1138">
      <c r="A1138" s="13" t="s">
        <v>2251</v>
      </c>
      <c r="B1138" s="17">
        <v>42736.0</v>
      </c>
      <c r="C1138" s="11" t="s">
        <v>62</v>
      </c>
      <c r="D1138" s="11" t="s">
        <v>221</v>
      </c>
      <c r="E1138" s="11" t="s">
        <v>39</v>
      </c>
      <c r="F1138" s="11" t="s">
        <v>40</v>
      </c>
      <c r="G1138" s="11" t="s">
        <v>105</v>
      </c>
      <c r="H1138" s="11"/>
      <c r="I1138" s="11"/>
      <c r="J1138" s="11">
        <v>19.0</v>
      </c>
      <c r="K1138" s="12">
        <v>43272.0</v>
      </c>
      <c r="L1138" s="30"/>
      <c r="M1138" s="11">
        <v>660801.0</v>
      </c>
      <c r="N1138" s="11" t="s">
        <v>2252</v>
      </c>
      <c r="O1138" s="13"/>
      <c r="P1138" s="11">
        <v>0.0</v>
      </c>
      <c r="Q1138" s="14">
        <v>0.0</v>
      </c>
      <c r="R1138" s="11">
        <v>1.0</v>
      </c>
      <c r="S1138">
        <f t="shared" si="1"/>
        <v>2017</v>
      </c>
      <c r="T1138">
        <f t="shared" si="2"/>
        <v>1</v>
      </c>
      <c r="U1138">
        <f t="shared" si="3"/>
        <v>1</v>
      </c>
      <c r="Z1138" s="17">
        <v>43272.0</v>
      </c>
      <c r="AG1138" s="15"/>
      <c r="AH1138" s="16"/>
      <c r="AM1138" s="15"/>
      <c r="AN1138" s="16"/>
    </row>
    <row r="1139">
      <c r="A1139" s="13" t="s">
        <v>2253</v>
      </c>
      <c r="B1139" s="17">
        <v>42736.0</v>
      </c>
      <c r="C1139" s="11" t="s">
        <v>62</v>
      </c>
      <c r="D1139" s="11" t="s">
        <v>221</v>
      </c>
      <c r="E1139" s="11" t="s">
        <v>39</v>
      </c>
      <c r="F1139" s="11" t="s">
        <v>40</v>
      </c>
      <c r="G1139" s="11" t="s">
        <v>41</v>
      </c>
      <c r="H1139" s="11"/>
      <c r="I1139" s="11"/>
      <c r="J1139" s="11">
        <v>20.0</v>
      </c>
      <c r="K1139" s="12">
        <v>43635.0</v>
      </c>
      <c r="L1139" s="30"/>
      <c r="M1139" s="11">
        <v>666809.0</v>
      </c>
      <c r="N1139" s="11" t="s">
        <v>2254</v>
      </c>
      <c r="O1139" s="13"/>
      <c r="P1139" s="11">
        <v>0.0</v>
      </c>
      <c r="Q1139" s="14">
        <v>0.0</v>
      </c>
      <c r="R1139" s="11">
        <v>1.0</v>
      </c>
      <c r="S1139">
        <f t="shared" si="1"/>
        <v>2017</v>
      </c>
      <c r="T1139">
        <f t="shared" si="2"/>
        <v>1</v>
      </c>
      <c r="U1139">
        <f t="shared" si="3"/>
        <v>1</v>
      </c>
      <c r="Z1139" s="17">
        <v>43635.0</v>
      </c>
      <c r="AG1139" s="15"/>
      <c r="AH1139" s="16"/>
      <c r="AM1139" s="15"/>
      <c r="AN1139" s="16"/>
    </row>
    <row r="1140">
      <c r="A1140" s="13" t="s">
        <v>2255</v>
      </c>
      <c r="B1140" s="17">
        <v>42736.0</v>
      </c>
      <c r="C1140" s="11" t="s">
        <v>83</v>
      </c>
      <c r="D1140" s="11" t="s">
        <v>58</v>
      </c>
      <c r="E1140" s="11" t="s">
        <v>39</v>
      </c>
      <c r="F1140" s="11" t="s">
        <v>64</v>
      </c>
      <c r="G1140" s="11" t="s">
        <v>803</v>
      </c>
      <c r="H1140" s="11"/>
      <c r="I1140" s="11"/>
      <c r="J1140" s="11">
        <v>28.0</v>
      </c>
      <c r="K1140" s="12">
        <v>44036.0</v>
      </c>
      <c r="L1140" s="30"/>
      <c r="M1140" s="11">
        <v>547942.0</v>
      </c>
      <c r="N1140" s="11">
        <v>27458.0</v>
      </c>
      <c r="O1140" s="13"/>
      <c r="P1140" s="11">
        <v>0.0</v>
      </c>
      <c r="Q1140" s="14">
        <v>0.0</v>
      </c>
      <c r="R1140" s="11">
        <v>1.0</v>
      </c>
      <c r="S1140">
        <f t="shared" si="1"/>
        <v>2017</v>
      </c>
      <c r="T1140">
        <f t="shared" si="2"/>
        <v>1</v>
      </c>
      <c r="U1140">
        <f t="shared" si="3"/>
        <v>1</v>
      </c>
      <c r="Z1140" s="17"/>
      <c r="AG1140" s="15"/>
      <c r="AH1140" s="16"/>
      <c r="AM1140" s="15"/>
      <c r="AN1140" s="16"/>
    </row>
    <row r="1141">
      <c r="A1141" s="13" t="s">
        <v>2256</v>
      </c>
      <c r="B1141" s="10">
        <v>42736.0</v>
      </c>
      <c r="C1141" s="11" t="s">
        <v>186</v>
      </c>
      <c r="D1141" s="11" t="s">
        <v>93</v>
      </c>
      <c r="E1141" s="11" t="s">
        <v>39</v>
      </c>
      <c r="F1141" s="11" t="s">
        <v>64</v>
      </c>
      <c r="G1141" s="11" t="s">
        <v>45</v>
      </c>
      <c r="H1141" s="11" t="s">
        <v>56</v>
      </c>
      <c r="I1141" s="11" t="s">
        <v>1746</v>
      </c>
      <c r="J1141" s="11">
        <v>22.0</v>
      </c>
      <c r="K1141" s="12">
        <v>43336.0</v>
      </c>
      <c r="L1141" s="30"/>
      <c r="M1141" s="11">
        <v>667463.0</v>
      </c>
      <c r="N1141" s="11">
        <v>22051.0</v>
      </c>
      <c r="O1141" s="13"/>
      <c r="P1141" s="11">
        <v>0.0</v>
      </c>
      <c r="Q1141" s="14">
        <v>0.0</v>
      </c>
      <c r="R1141" s="11">
        <v>1.0</v>
      </c>
      <c r="S1141">
        <f t="shared" si="1"/>
        <v>2017</v>
      </c>
      <c r="T1141">
        <f t="shared" si="2"/>
        <v>1</v>
      </c>
      <c r="U1141">
        <f t="shared" si="3"/>
        <v>1</v>
      </c>
      <c r="Z1141" s="17"/>
      <c r="AG1141" s="15"/>
      <c r="AH1141" s="16"/>
      <c r="AM1141" s="15"/>
      <c r="AN1141" s="16"/>
    </row>
    <row r="1142">
      <c r="A1142" s="13" t="s">
        <v>2257</v>
      </c>
      <c r="B1142" s="10">
        <v>42736.0</v>
      </c>
      <c r="C1142" s="11" t="s">
        <v>186</v>
      </c>
      <c r="D1142" s="11" t="s">
        <v>93</v>
      </c>
      <c r="E1142" s="11" t="s">
        <v>39</v>
      </c>
      <c r="F1142" s="11" t="s">
        <v>40</v>
      </c>
      <c r="G1142" s="11" t="s">
        <v>45</v>
      </c>
      <c r="H1142" s="11" t="s">
        <v>243</v>
      </c>
      <c r="I1142" s="11" t="s">
        <v>654</v>
      </c>
      <c r="J1142" s="11">
        <v>22.0</v>
      </c>
      <c r="K1142" s="12">
        <v>43630.0</v>
      </c>
      <c r="L1142" s="30"/>
      <c r="M1142" s="11">
        <v>642016.0</v>
      </c>
      <c r="N1142" s="11">
        <v>21229.0</v>
      </c>
      <c r="O1142" s="13"/>
      <c r="P1142" s="11">
        <v>0.0</v>
      </c>
      <c r="Q1142" s="14">
        <v>0.0</v>
      </c>
      <c r="R1142" s="11">
        <v>1.0</v>
      </c>
      <c r="S1142">
        <f t="shared" si="1"/>
        <v>2017</v>
      </c>
      <c r="T1142">
        <f t="shared" si="2"/>
        <v>1</v>
      </c>
      <c r="U1142">
        <f t="shared" si="3"/>
        <v>1</v>
      </c>
      <c r="Z1142" s="17"/>
      <c r="AG1142" s="15"/>
      <c r="AH1142" s="16"/>
      <c r="AM1142" s="15"/>
      <c r="AN1142" s="16"/>
    </row>
    <row r="1143">
      <c r="A1143" s="13" t="s">
        <v>2258</v>
      </c>
      <c r="B1143" s="17">
        <v>42736.0</v>
      </c>
      <c r="C1143" s="11" t="s">
        <v>186</v>
      </c>
      <c r="D1143" s="11" t="s">
        <v>213</v>
      </c>
      <c r="E1143" s="11" t="s">
        <v>39</v>
      </c>
      <c r="F1143" s="11" t="s">
        <v>40</v>
      </c>
      <c r="G1143" s="11" t="s">
        <v>45</v>
      </c>
      <c r="H1143" s="11" t="s">
        <v>236</v>
      </c>
      <c r="I1143" s="11"/>
      <c r="J1143" s="11">
        <v>18.0</v>
      </c>
      <c r="K1143" s="12">
        <v>43632.0</v>
      </c>
      <c r="L1143" s="30"/>
      <c r="M1143" s="11">
        <v>682107.0</v>
      </c>
      <c r="N1143" s="11" t="s">
        <v>2259</v>
      </c>
      <c r="O1143" s="13"/>
      <c r="P1143" s="11">
        <v>0.0</v>
      </c>
      <c r="Q1143" s="14">
        <v>0.0</v>
      </c>
      <c r="R1143" s="11">
        <v>1.0</v>
      </c>
      <c r="S1143">
        <f t="shared" si="1"/>
        <v>2017</v>
      </c>
      <c r="T1143">
        <f t="shared" si="2"/>
        <v>1</v>
      </c>
      <c r="U1143">
        <f t="shared" si="3"/>
        <v>1</v>
      </c>
      <c r="Z1143" s="17"/>
      <c r="AG1143" s="15"/>
      <c r="AH1143" s="16"/>
      <c r="AM1143" s="15"/>
      <c r="AN1143" s="16"/>
    </row>
    <row r="1144">
      <c r="A1144" s="13" t="s">
        <v>2260</v>
      </c>
      <c r="B1144" s="10">
        <v>42736.0</v>
      </c>
      <c r="C1144" s="11" t="s">
        <v>186</v>
      </c>
      <c r="D1144" s="11" t="s">
        <v>213</v>
      </c>
      <c r="E1144" s="11" t="s">
        <v>39</v>
      </c>
      <c r="F1144" s="11" t="s">
        <v>40</v>
      </c>
      <c r="G1144" s="11" t="s">
        <v>45</v>
      </c>
      <c r="H1144" s="11" t="s">
        <v>56</v>
      </c>
      <c r="I1144" s="11" t="s">
        <v>262</v>
      </c>
      <c r="J1144" s="11">
        <v>18.0</v>
      </c>
      <c r="K1144" s="12">
        <v>44698.0</v>
      </c>
      <c r="L1144" s="11"/>
      <c r="M1144" s="11">
        <v>687760.0</v>
      </c>
      <c r="N1144" s="11" t="s">
        <v>2261</v>
      </c>
      <c r="O1144" s="13"/>
      <c r="P1144" s="11">
        <v>0.0</v>
      </c>
      <c r="Q1144" s="14">
        <v>0.0</v>
      </c>
      <c r="R1144" s="11">
        <v>1.0</v>
      </c>
      <c r="S1144">
        <f t="shared" si="1"/>
        <v>2017</v>
      </c>
      <c r="T1144">
        <f t="shared" si="2"/>
        <v>1</v>
      </c>
      <c r="U1144">
        <f t="shared" si="3"/>
        <v>1</v>
      </c>
      <c r="Z1144" s="17"/>
      <c r="AG1144" s="15"/>
      <c r="AH1144" s="16"/>
      <c r="AM1144" s="15"/>
      <c r="AN1144" s="16"/>
    </row>
    <row r="1145">
      <c r="A1145" s="13" t="s">
        <v>2262</v>
      </c>
      <c r="B1145" s="10">
        <v>42736.0</v>
      </c>
      <c r="C1145" s="11" t="s">
        <v>186</v>
      </c>
      <c r="D1145" s="11" t="s">
        <v>221</v>
      </c>
      <c r="E1145" s="11" t="s">
        <v>39</v>
      </c>
      <c r="F1145" s="11" t="s">
        <v>40</v>
      </c>
      <c r="G1145" s="11" t="s">
        <v>45</v>
      </c>
      <c r="H1145" s="11" t="s">
        <v>222</v>
      </c>
      <c r="I1145" s="11"/>
      <c r="J1145" s="11">
        <v>17.0</v>
      </c>
      <c r="K1145" s="12">
        <v>43634.0</v>
      </c>
      <c r="L1145" s="30"/>
      <c r="M1145" s="11">
        <v>676159.0</v>
      </c>
      <c r="N1145" s="11" t="s">
        <v>2263</v>
      </c>
      <c r="O1145" s="13"/>
      <c r="P1145" s="11">
        <v>0.0</v>
      </c>
      <c r="Q1145" s="14">
        <v>0.0</v>
      </c>
      <c r="R1145" s="11">
        <v>1.0</v>
      </c>
      <c r="S1145">
        <f t="shared" si="1"/>
        <v>2017</v>
      </c>
      <c r="T1145">
        <f t="shared" si="2"/>
        <v>1</v>
      </c>
      <c r="U1145">
        <f t="shared" si="3"/>
        <v>1</v>
      </c>
      <c r="Z1145" s="17"/>
      <c r="AG1145" s="15"/>
      <c r="AH1145" s="16"/>
      <c r="AM1145" s="15"/>
      <c r="AN1145" s="16"/>
    </row>
    <row r="1146">
      <c r="A1146" s="13" t="s">
        <v>2264</v>
      </c>
      <c r="B1146" s="10">
        <v>42736.0</v>
      </c>
      <c r="C1146" s="11" t="s">
        <v>76</v>
      </c>
      <c r="D1146" s="11" t="s">
        <v>213</v>
      </c>
      <c r="E1146" s="11" t="s">
        <v>39</v>
      </c>
      <c r="F1146" s="11" t="s">
        <v>40</v>
      </c>
      <c r="G1146" s="11" t="s">
        <v>45</v>
      </c>
      <c r="H1146" s="11" t="s">
        <v>56</v>
      </c>
      <c r="I1146" s="11" t="s">
        <v>56</v>
      </c>
      <c r="J1146" s="11">
        <v>18.0</v>
      </c>
      <c r="K1146" s="12">
        <v>44426.0</v>
      </c>
      <c r="L1146" s="11"/>
      <c r="M1146" s="11">
        <v>693824.0</v>
      </c>
      <c r="N1146" s="11" t="s">
        <v>2265</v>
      </c>
      <c r="O1146" s="13"/>
      <c r="P1146" s="11">
        <v>0.0</v>
      </c>
      <c r="Q1146" s="14">
        <v>0.0</v>
      </c>
      <c r="R1146" s="11">
        <v>1.0</v>
      </c>
      <c r="S1146">
        <f t="shared" si="1"/>
        <v>2017</v>
      </c>
      <c r="T1146">
        <f t="shared" si="2"/>
        <v>1</v>
      </c>
      <c r="U1146">
        <f t="shared" si="3"/>
        <v>1</v>
      </c>
      <c r="Z1146" s="17"/>
      <c r="AG1146" s="15"/>
      <c r="AH1146" s="16"/>
      <c r="AM1146" s="15"/>
      <c r="AN1146" s="16"/>
    </row>
    <row r="1147">
      <c r="A1147" s="13" t="s">
        <v>2266</v>
      </c>
      <c r="B1147" s="10">
        <v>42684.0</v>
      </c>
      <c r="C1147" s="11" t="s">
        <v>175</v>
      </c>
      <c r="D1147" s="11" t="s">
        <v>38</v>
      </c>
      <c r="E1147" s="11" t="s">
        <v>39</v>
      </c>
      <c r="F1147" s="11" t="s">
        <v>40</v>
      </c>
      <c r="G1147" s="11" t="s">
        <v>45</v>
      </c>
      <c r="H1147" s="11" t="s">
        <v>735</v>
      </c>
      <c r="I1147" s="11" t="s">
        <v>2267</v>
      </c>
      <c r="J1147" s="11">
        <v>25.0</v>
      </c>
      <c r="K1147" s="12">
        <v>44048.0</v>
      </c>
      <c r="L1147" s="11">
        <f>ROUND(((K1147-B1147)/365)*12,0)</f>
        <v>45</v>
      </c>
      <c r="M1147" s="11">
        <v>607067.0</v>
      </c>
      <c r="N1147" s="11">
        <v>12317.0</v>
      </c>
      <c r="O1147" s="13" t="s">
        <v>761</v>
      </c>
      <c r="P1147" s="11">
        <v>0.0</v>
      </c>
      <c r="Q1147" s="14">
        <v>0.0</v>
      </c>
      <c r="R1147" s="11">
        <v>1.0</v>
      </c>
      <c r="S1147">
        <f t="shared" si="1"/>
        <v>2016</v>
      </c>
      <c r="T1147">
        <f t="shared" si="2"/>
        <v>11</v>
      </c>
      <c r="U1147">
        <f t="shared" si="3"/>
        <v>10</v>
      </c>
      <c r="Z1147" s="17">
        <v>43242.0</v>
      </c>
      <c r="AG1147" s="15"/>
      <c r="AH1147" s="16"/>
      <c r="AM1147" s="15"/>
      <c r="AN1147" s="16"/>
    </row>
    <row r="1148">
      <c r="A1148" s="13" t="s">
        <v>2268</v>
      </c>
      <c r="B1148" s="10">
        <v>42682.0</v>
      </c>
      <c r="C1148" s="11" t="s">
        <v>76</v>
      </c>
      <c r="D1148" s="11" t="s">
        <v>58</v>
      </c>
      <c r="E1148" s="11" t="s">
        <v>39</v>
      </c>
      <c r="F1148" s="11" t="s">
        <v>64</v>
      </c>
      <c r="G1148" s="11" t="s">
        <v>45</v>
      </c>
      <c r="H1148" s="11" t="s">
        <v>301</v>
      </c>
      <c r="I1148" s="11" t="s">
        <v>2269</v>
      </c>
      <c r="J1148" s="11">
        <v>26.0</v>
      </c>
      <c r="K1148" s="12"/>
      <c r="L1148" s="30"/>
      <c r="M1148" s="11">
        <v>543280.0</v>
      </c>
      <c r="N1148" s="11" t="s">
        <v>2270</v>
      </c>
      <c r="O1148" s="13"/>
      <c r="P1148" s="11">
        <v>0.0</v>
      </c>
      <c r="Q1148" s="14">
        <v>0.0</v>
      </c>
      <c r="R1148" s="11">
        <v>0.0</v>
      </c>
      <c r="S1148">
        <f t="shared" si="1"/>
        <v>2016</v>
      </c>
      <c r="T1148">
        <f t="shared" si="2"/>
        <v>11</v>
      </c>
      <c r="U1148">
        <f t="shared" si="3"/>
        <v>8</v>
      </c>
      <c r="X1148" s="17">
        <v>42935.0</v>
      </c>
      <c r="Z1148" s="17">
        <v>43195.0</v>
      </c>
      <c r="AG1148" s="15"/>
      <c r="AH1148" s="16"/>
      <c r="AM1148" s="15"/>
      <c r="AN1148" s="16"/>
    </row>
    <row r="1149">
      <c r="A1149" s="13" t="s">
        <v>2271</v>
      </c>
      <c r="B1149" s="17">
        <v>42675.0</v>
      </c>
      <c r="C1149" s="11" t="s">
        <v>126</v>
      </c>
      <c r="D1149" s="11" t="s">
        <v>93</v>
      </c>
      <c r="E1149" s="11" t="s">
        <v>39</v>
      </c>
      <c r="F1149" s="11" t="s">
        <v>40</v>
      </c>
      <c r="G1149" s="11" t="s">
        <v>45</v>
      </c>
      <c r="H1149" s="11" t="s">
        <v>317</v>
      </c>
      <c r="I1149" s="11" t="s">
        <v>205</v>
      </c>
      <c r="J1149" s="11">
        <v>20.0</v>
      </c>
      <c r="K1149" s="12">
        <v>43234.0</v>
      </c>
      <c r="L1149" s="11">
        <f t="shared" ref="L1149:L1157" si="116">ROUND(((K1149-B1149)/365)*12,0)</f>
        <v>18</v>
      </c>
      <c r="M1149" s="11">
        <v>656578.0</v>
      </c>
      <c r="N1149" s="11">
        <v>21298.0</v>
      </c>
      <c r="O1149" s="13"/>
      <c r="P1149" s="11">
        <v>0.0</v>
      </c>
      <c r="Q1149" s="14">
        <v>0.0</v>
      </c>
      <c r="R1149" s="11">
        <v>1.0</v>
      </c>
      <c r="S1149">
        <f t="shared" si="1"/>
        <v>2016</v>
      </c>
      <c r="T1149">
        <f t="shared" si="2"/>
        <v>11</v>
      </c>
      <c r="U1149">
        <f t="shared" si="3"/>
        <v>1</v>
      </c>
      <c r="V1149" s="17"/>
      <c r="AG1149" s="15"/>
      <c r="AH1149" s="16"/>
      <c r="AM1149" s="15"/>
      <c r="AN1149" s="16"/>
    </row>
    <row r="1150">
      <c r="A1150" s="13" t="s">
        <v>2272</v>
      </c>
      <c r="B1150" s="10">
        <v>42675.0</v>
      </c>
      <c r="C1150" s="11" t="s">
        <v>108</v>
      </c>
      <c r="D1150" s="11" t="s">
        <v>221</v>
      </c>
      <c r="E1150" s="11" t="s">
        <v>39</v>
      </c>
      <c r="F1150" s="11" t="s">
        <v>40</v>
      </c>
      <c r="G1150" s="11" t="s">
        <v>53</v>
      </c>
      <c r="H1150" s="11"/>
      <c r="I1150" s="11"/>
      <c r="J1150" s="11">
        <v>18.0</v>
      </c>
      <c r="K1150" s="12">
        <v>43259.0</v>
      </c>
      <c r="L1150" s="11">
        <f t="shared" si="116"/>
        <v>19</v>
      </c>
      <c r="M1150" s="11">
        <v>664337.0</v>
      </c>
      <c r="N1150" s="11">
        <v>21111.0</v>
      </c>
      <c r="O1150" s="13"/>
      <c r="P1150" s="11">
        <v>0.0</v>
      </c>
      <c r="Q1150" s="14">
        <v>0.0</v>
      </c>
      <c r="R1150" s="11">
        <v>1.0</v>
      </c>
      <c r="S1150">
        <f t="shared" si="1"/>
        <v>2016</v>
      </c>
      <c r="T1150">
        <f t="shared" si="2"/>
        <v>11</v>
      </c>
      <c r="U1150">
        <f t="shared" si="3"/>
        <v>1</v>
      </c>
      <c r="V1150" s="17"/>
      <c r="Z1150" s="17">
        <v>43259.0</v>
      </c>
      <c r="AG1150" s="15"/>
      <c r="AH1150" s="16"/>
      <c r="AM1150" s="15"/>
      <c r="AN1150" s="16"/>
    </row>
    <row r="1151">
      <c r="A1151" s="13" t="s">
        <v>2273</v>
      </c>
      <c r="B1151" s="10">
        <v>42668.0</v>
      </c>
      <c r="C1151" s="11" t="s">
        <v>126</v>
      </c>
      <c r="D1151" s="11" t="s">
        <v>77</v>
      </c>
      <c r="E1151" s="11" t="s">
        <v>39</v>
      </c>
      <c r="F1151" s="11" t="s">
        <v>40</v>
      </c>
      <c r="G1151" s="11" t="s">
        <v>41</v>
      </c>
      <c r="H1151" s="11"/>
      <c r="I1151" s="11"/>
      <c r="J1151" s="11">
        <v>25.0</v>
      </c>
      <c r="K1151" s="12">
        <v>43202.0</v>
      </c>
      <c r="L1151" s="11">
        <f t="shared" si="116"/>
        <v>18</v>
      </c>
      <c r="M1151" s="11">
        <v>554340.0</v>
      </c>
      <c r="N1151" s="11">
        <v>12095.0</v>
      </c>
      <c r="O1151" s="13"/>
      <c r="P1151" s="11">
        <v>0.0</v>
      </c>
      <c r="Q1151" s="14">
        <v>0.0</v>
      </c>
      <c r="R1151" s="11">
        <v>1.0</v>
      </c>
      <c r="S1151">
        <f t="shared" si="1"/>
        <v>2016</v>
      </c>
      <c r="T1151">
        <f t="shared" si="2"/>
        <v>10</v>
      </c>
      <c r="U1151">
        <f t="shared" si="3"/>
        <v>25</v>
      </c>
      <c r="V1151" s="17">
        <v>42814.0</v>
      </c>
      <c r="AG1151" s="15"/>
      <c r="AH1151" s="16"/>
      <c r="AM1151" s="15"/>
      <c r="AN1151" s="16"/>
    </row>
    <row r="1152">
      <c r="A1152" s="13" t="s">
        <v>2274</v>
      </c>
      <c r="B1152" s="10">
        <v>42663.0</v>
      </c>
      <c r="C1152" s="11" t="s">
        <v>230</v>
      </c>
      <c r="D1152" s="11" t="s">
        <v>221</v>
      </c>
      <c r="E1152" s="11" t="s">
        <v>39</v>
      </c>
      <c r="F1152" s="11" t="s">
        <v>40</v>
      </c>
      <c r="G1152" s="11" t="s">
        <v>45</v>
      </c>
      <c r="H1152" s="11" t="s">
        <v>67</v>
      </c>
      <c r="I1152" s="11" t="s">
        <v>287</v>
      </c>
      <c r="J1152" s="11">
        <v>29.0</v>
      </c>
      <c r="K1152" s="12">
        <v>43195.0</v>
      </c>
      <c r="L1152" s="11">
        <f t="shared" si="116"/>
        <v>17</v>
      </c>
      <c r="M1152" s="11">
        <v>475857.0</v>
      </c>
      <c r="N1152" s="11">
        <v>8855.0</v>
      </c>
      <c r="O1152" s="13"/>
      <c r="P1152" s="11">
        <v>0.0</v>
      </c>
      <c r="Q1152" s="14">
        <v>0.0</v>
      </c>
      <c r="R1152" s="11">
        <v>1.0</v>
      </c>
      <c r="S1152">
        <f t="shared" si="1"/>
        <v>2016</v>
      </c>
      <c r="T1152">
        <f t="shared" si="2"/>
        <v>10</v>
      </c>
      <c r="U1152">
        <f t="shared" si="3"/>
        <v>20</v>
      </c>
      <c r="AG1152" s="15"/>
      <c r="AH1152" s="16"/>
      <c r="AM1152" s="15"/>
      <c r="AN1152" s="16"/>
    </row>
    <row r="1153">
      <c r="A1153" s="13" t="s">
        <v>2275</v>
      </c>
      <c r="B1153" s="10">
        <v>42655.0</v>
      </c>
      <c r="C1153" s="11" t="s">
        <v>103</v>
      </c>
      <c r="D1153" s="11" t="s">
        <v>97</v>
      </c>
      <c r="E1153" s="11" t="s">
        <v>39</v>
      </c>
      <c r="F1153" s="11" t="s">
        <v>40</v>
      </c>
      <c r="G1153" s="11" t="s">
        <v>45</v>
      </c>
      <c r="H1153" s="11" t="s">
        <v>240</v>
      </c>
      <c r="I1153" s="11" t="s">
        <v>354</v>
      </c>
      <c r="J1153" s="11">
        <v>22.0</v>
      </c>
      <c r="K1153" s="12">
        <v>43210.0</v>
      </c>
      <c r="L1153" s="11">
        <f t="shared" si="116"/>
        <v>18</v>
      </c>
      <c r="M1153" s="11">
        <v>656345.0</v>
      </c>
      <c r="N1153" s="11" t="s">
        <v>2276</v>
      </c>
      <c r="O1153" s="13" t="s">
        <v>42</v>
      </c>
      <c r="P1153" s="11">
        <v>0.0</v>
      </c>
      <c r="Q1153" s="14">
        <v>0.0</v>
      </c>
      <c r="R1153" s="11">
        <v>1.0</v>
      </c>
      <c r="S1153">
        <f t="shared" si="1"/>
        <v>2016</v>
      </c>
      <c r="T1153">
        <f t="shared" si="2"/>
        <v>10</v>
      </c>
      <c r="U1153">
        <f t="shared" si="3"/>
        <v>12</v>
      </c>
      <c r="AG1153" s="15"/>
      <c r="AH1153" s="16"/>
      <c r="AM1153" s="15"/>
      <c r="AN1153" s="16"/>
    </row>
    <row r="1154">
      <c r="A1154" s="13" t="s">
        <v>2277</v>
      </c>
      <c r="B1154" s="10">
        <v>42655.0</v>
      </c>
      <c r="C1154" s="11" t="s">
        <v>49</v>
      </c>
      <c r="D1154" s="11" t="s">
        <v>88</v>
      </c>
      <c r="E1154" s="11" t="s">
        <v>39</v>
      </c>
      <c r="F1154" s="11" t="s">
        <v>40</v>
      </c>
      <c r="G1154" s="11" t="s">
        <v>45</v>
      </c>
      <c r="H1154" s="11" t="s">
        <v>139</v>
      </c>
      <c r="I1154" s="11" t="s">
        <v>1071</v>
      </c>
      <c r="J1154" s="11">
        <v>24.0</v>
      </c>
      <c r="K1154" s="12">
        <v>43196.0</v>
      </c>
      <c r="L1154" s="11">
        <f t="shared" si="116"/>
        <v>18</v>
      </c>
      <c r="M1154" s="11">
        <v>656864.0</v>
      </c>
      <c r="N1154" s="11" t="s">
        <v>2278</v>
      </c>
      <c r="O1154" s="13"/>
      <c r="P1154" s="11">
        <v>0.0</v>
      </c>
      <c r="Q1154" s="14">
        <v>0.0</v>
      </c>
      <c r="R1154" s="11">
        <v>1.0</v>
      </c>
      <c r="S1154">
        <f t="shared" si="1"/>
        <v>2016</v>
      </c>
      <c r="T1154">
        <f t="shared" si="2"/>
        <v>10</v>
      </c>
      <c r="U1154">
        <f t="shared" si="3"/>
        <v>12</v>
      </c>
      <c r="AG1154" s="15"/>
      <c r="AH1154" s="16"/>
      <c r="AM1154" s="15"/>
      <c r="AN1154" s="16"/>
    </row>
    <row r="1155">
      <c r="A1155" s="13" t="s">
        <v>2279</v>
      </c>
      <c r="B1155" s="10">
        <v>42655.0</v>
      </c>
      <c r="C1155" s="11" t="s">
        <v>274</v>
      </c>
      <c r="D1155" s="11" t="s">
        <v>38</v>
      </c>
      <c r="E1155" s="11" t="s">
        <v>39</v>
      </c>
      <c r="F1155" s="11" t="s">
        <v>40</v>
      </c>
      <c r="G1155" s="11" t="s">
        <v>45</v>
      </c>
      <c r="H1155" s="11" t="s">
        <v>163</v>
      </c>
      <c r="I1155" s="11" t="s">
        <v>2280</v>
      </c>
      <c r="J1155" s="11">
        <v>23.0</v>
      </c>
      <c r="K1155" s="12">
        <v>43301.0</v>
      </c>
      <c r="L1155" s="11">
        <f t="shared" si="116"/>
        <v>21</v>
      </c>
      <c r="M1155" s="11">
        <v>605525.0</v>
      </c>
      <c r="N1155" s="11">
        <v>14506.0</v>
      </c>
      <c r="O1155" s="13" t="s">
        <v>2059</v>
      </c>
      <c r="P1155" s="11">
        <v>0.0</v>
      </c>
      <c r="Q1155" s="14">
        <v>0.0</v>
      </c>
      <c r="R1155" s="11">
        <v>1.0</v>
      </c>
      <c r="S1155">
        <f t="shared" si="1"/>
        <v>2016</v>
      </c>
      <c r="T1155">
        <f t="shared" si="2"/>
        <v>10</v>
      </c>
      <c r="U1155">
        <f t="shared" si="3"/>
        <v>12</v>
      </c>
      <c r="Z1155" s="17">
        <v>43195.0</v>
      </c>
      <c r="AG1155" s="15"/>
      <c r="AH1155" s="16"/>
      <c r="AM1155" s="15"/>
      <c r="AN1155" s="16"/>
    </row>
    <row r="1156">
      <c r="A1156" s="19" t="s">
        <v>2281</v>
      </c>
      <c r="B1156" s="25">
        <v>42654.0</v>
      </c>
      <c r="C1156" s="21" t="s">
        <v>235</v>
      </c>
      <c r="D1156" s="21" t="s">
        <v>93</v>
      </c>
      <c r="E1156" s="21" t="s">
        <v>39</v>
      </c>
      <c r="F1156" s="21" t="s">
        <v>64</v>
      </c>
      <c r="G1156" s="21" t="s">
        <v>45</v>
      </c>
      <c r="H1156" s="21" t="s">
        <v>74</v>
      </c>
      <c r="I1156" s="21" t="s">
        <v>735</v>
      </c>
      <c r="J1156" s="21">
        <v>20.0</v>
      </c>
      <c r="K1156" s="44">
        <v>43267.0</v>
      </c>
      <c r="L1156" s="11">
        <f t="shared" si="116"/>
        <v>20</v>
      </c>
      <c r="M1156" s="21">
        <v>680430.0</v>
      </c>
      <c r="N1156" s="21">
        <v>24486.0</v>
      </c>
      <c r="O1156" s="19"/>
      <c r="P1156" s="21">
        <v>0.0</v>
      </c>
      <c r="Q1156" s="23">
        <v>0.0</v>
      </c>
      <c r="R1156" s="21">
        <v>1.0</v>
      </c>
      <c r="S1156" s="33">
        <f t="shared" si="1"/>
        <v>2016</v>
      </c>
      <c r="T1156" s="33">
        <f t="shared" si="2"/>
        <v>10</v>
      </c>
      <c r="U1156" s="33">
        <f t="shared" si="3"/>
        <v>11</v>
      </c>
      <c r="V1156" s="24"/>
      <c r="W1156" s="40"/>
      <c r="X1156" s="24"/>
      <c r="Y1156" s="24"/>
      <c r="Z1156" s="40"/>
      <c r="AA1156" s="24"/>
      <c r="AB1156" s="24"/>
      <c r="AC1156" s="24"/>
      <c r="AD1156" s="24"/>
      <c r="AE1156" s="24"/>
      <c r="AF1156" s="24"/>
      <c r="AG1156" s="26"/>
      <c r="AH1156" s="27"/>
      <c r="AI1156" s="24"/>
      <c r="AJ1156" s="24"/>
      <c r="AK1156" s="24"/>
      <c r="AL1156" s="24"/>
      <c r="AM1156" s="26"/>
      <c r="AN1156" s="27"/>
      <c r="AO1156" s="24"/>
      <c r="AP1156" s="24"/>
    </row>
    <row r="1157">
      <c r="A1157" s="13" t="s">
        <v>2282</v>
      </c>
      <c r="B1157" s="10">
        <v>42650.0</v>
      </c>
      <c r="C1157" s="11" t="s">
        <v>83</v>
      </c>
      <c r="D1157" s="11" t="s">
        <v>38</v>
      </c>
      <c r="E1157" s="11" t="s">
        <v>39</v>
      </c>
      <c r="F1157" s="11" t="s">
        <v>64</v>
      </c>
      <c r="G1157" s="11" t="s">
        <v>45</v>
      </c>
      <c r="H1157" s="11" t="s">
        <v>56</v>
      </c>
      <c r="I1157" s="11"/>
      <c r="J1157" s="11">
        <v>33.0</v>
      </c>
      <c r="K1157" s="12">
        <v>42937.0</v>
      </c>
      <c r="L1157" s="11">
        <f t="shared" si="116"/>
        <v>9</v>
      </c>
      <c r="M1157" s="11">
        <v>435043.0</v>
      </c>
      <c r="N1157" s="11">
        <v>3840.0</v>
      </c>
      <c r="O1157" s="13" t="s">
        <v>761</v>
      </c>
      <c r="P1157" s="11">
        <v>0.0</v>
      </c>
      <c r="Q1157" s="14">
        <v>0.0</v>
      </c>
      <c r="R1157" s="11">
        <v>1.0</v>
      </c>
      <c r="S1157">
        <f t="shared" si="1"/>
        <v>2016</v>
      </c>
      <c r="T1157">
        <f t="shared" si="2"/>
        <v>10</v>
      </c>
      <c r="U1157">
        <f t="shared" si="3"/>
        <v>7</v>
      </c>
      <c r="W1157" s="17">
        <v>42840.0</v>
      </c>
      <c r="Z1157" s="17">
        <v>42916.0</v>
      </c>
      <c r="AG1157" s="15"/>
      <c r="AH1157" s="16"/>
      <c r="AM1157" s="15"/>
      <c r="AN1157" s="16"/>
    </row>
    <row r="1158">
      <c r="A1158" s="13" t="s">
        <v>2283</v>
      </c>
      <c r="B1158" s="10">
        <v>42649.0</v>
      </c>
      <c r="C1158" s="11" t="s">
        <v>175</v>
      </c>
      <c r="D1158" s="11" t="s">
        <v>38</v>
      </c>
      <c r="E1158" s="11" t="s">
        <v>39</v>
      </c>
      <c r="F1158" s="11" t="s">
        <v>40</v>
      </c>
      <c r="G1158" s="11" t="s">
        <v>45</v>
      </c>
      <c r="H1158" s="11" t="s">
        <v>67</v>
      </c>
      <c r="I1158" s="11" t="s">
        <v>748</v>
      </c>
      <c r="J1158" s="11">
        <v>26.0</v>
      </c>
      <c r="K1158" s="12"/>
      <c r="L1158" s="30"/>
      <c r="M1158" s="11">
        <v>605304.0</v>
      </c>
      <c r="N1158" s="11">
        <v>12520.0</v>
      </c>
      <c r="O1158" s="13" t="s">
        <v>761</v>
      </c>
      <c r="P1158" s="11">
        <v>0.0</v>
      </c>
      <c r="Q1158" s="14">
        <v>0.0</v>
      </c>
      <c r="R1158" s="11">
        <v>0.0</v>
      </c>
      <c r="S1158">
        <f t="shared" si="1"/>
        <v>2016</v>
      </c>
      <c r="T1158">
        <f t="shared" si="2"/>
        <v>10</v>
      </c>
      <c r="U1158">
        <f t="shared" si="3"/>
        <v>6</v>
      </c>
      <c r="Z1158" s="17">
        <v>43206.0</v>
      </c>
      <c r="AG1158" s="15"/>
      <c r="AH1158" s="16"/>
      <c r="AM1158" s="15"/>
      <c r="AN1158" s="16"/>
    </row>
    <row r="1159">
      <c r="A1159" s="13" t="s">
        <v>2284</v>
      </c>
      <c r="B1159" s="10">
        <v>42647.0</v>
      </c>
      <c r="C1159" s="11" t="s">
        <v>49</v>
      </c>
      <c r="D1159" s="11" t="s">
        <v>93</v>
      </c>
      <c r="E1159" s="11" t="s">
        <v>39</v>
      </c>
      <c r="F1159" s="11" t="s">
        <v>64</v>
      </c>
      <c r="G1159" s="11" t="s">
        <v>45</v>
      </c>
      <c r="H1159" s="11" t="s">
        <v>59</v>
      </c>
      <c r="I1159" s="11" t="s">
        <v>276</v>
      </c>
      <c r="J1159" s="11">
        <v>21.0</v>
      </c>
      <c r="K1159" s="12">
        <v>43198.0</v>
      </c>
      <c r="L1159" s="11">
        <f>ROUND(((K1159-B1159)/365)*12,0)</f>
        <v>18</v>
      </c>
      <c r="M1159" s="11">
        <v>641743.0</v>
      </c>
      <c r="N1159" s="11">
        <v>20387.0</v>
      </c>
      <c r="O1159" s="13"/>
      <c r="P1159" s="11">
        <v>0.0</v>
      </c>
      <c r="Q1159" s="14">
        <v>0.0</v>
      </c>
      <c r="R1159" s="11">
        <v>1.0</v>
      </c>
      <c r="S1159">
        <f t="shared" si="1"/>
        <v>2016</v>
      </c>
      <c r="T1159">
        <f t="shared" si="2"/>
        <v>10</v>
      </c>
      <c r="U1159">
        <f t="shared" si="3"/>
        <v>4</v>
      </c>
      <c r="W1159" s="17">
        <v>42967.0</v>
      </c>
      <c r="Y1159" s="17">
        <v>43019.0</v>
      </c>
      <c r="AG1159" s="15"/>
      <c r="AH1159" s="16"/>
      <c r="AM1159" s="15"/>
      <c r="AN1159" s="16"/>
    </row>
    <row r="1160">
      <c r="A1160" s="13" t="s">
        <v>2285</v>
      </c>
      <c r="B1160" s="10">
        <v>42644.0</v>
      </c>
      <c r="C1160" s="11" t="s">
        <v>37</v>
      </c>
      <c r="D1160" s="11" t="s">
        <v>97</v>
      </c>
      <c r="E1160" s="11" t="s">
        <v>39</v>
      </c>
      <c r="F1160" s="11" t="s">
        <v>40</v>
      </c>
      <c r="G1160" s="11" t="s">
        <v>45</v>
      </c>
      <c r="H1160" s="11" t="s">
        <v>412</v>
      </c>
      <c r="I1160" s="11" t="s">
        <v>2286</v>
      </c>
      <c r="J1160" s="11">
        <v>25.0</v>
      </c>
      <c r="K1160" s="12"/>
      <c r="L1160" s="11"/>
      <c r="M1160" s="11">
        <v>666265.0</v>
      </c>
      <c r="N1160" s="11" t="s">
        <v>2287</v>
      </c>
      <c r="O1160" s="13"/>
      <c r="P1160" s="11">
        <v>0.0</v>
      </c>
      <c r="Q1160" s="14">
        <v>0.0</v>
      </c>
      <c r="R1160" s="11">
        <v>0.0</v>
      </c>
      <c r="S1160">
        <f t="shared" si="1"/>
        <v>2016</v>
      </c>
      <c r="T1160">
        <f t="shared" si="2"/>
        <v>10</v>
      </c>
      <c r="U1160">
        <f t="shared" si="3"/>
        <v>1</v>
      </c>
      <c r="Y1160" s="17"/>
      <c r="AG1160" s="15"/>
      <c r="AH1160" s="16"/>
      <c r="AM1160" s="15"/>
      <c r="AN1160" s="16"/>
    </row>
    <row r="1161">
      <c r="A1161" s="13" t="s">
        <v>1797</v>
      </c>
      <c r="B1161" s="10">
        <v>42634.0</v>
      </c>
      <c r="C1161" s="11" t="s">
        <v>37</v>
      </c>
      <c r="D1161" s="11" t="s">
        <v>97</v>
      </c>
      <c r="E1161" s="11" t="s">
        <v>39</v>
      </c>
      <c r="F1161" s="11" t="s">
        <v>40</v>
      </c>
      <c r="G1161" s="11" t="s">
        <v>41</v>
      </c>
      <c r="H1161" s="11"/>
      <c r="I1161" s="11"/>
      <c r="J1161" s="11">
        <v>23.0</v>
      </c>
      <c r="K1161" s="12"/>
      <c r="L1161" s="11"/>
      <c r="M1161" s="11">
        <v>600853.0</v>
      </c>
      <c r="N1161" s="11" t="s">
        <v>1798</v>
      </c>
      <c r="O1161" s="13"/>
      <c r="P1161" s="11">
        <v>0.0</v>
      </c>
      <c r="Q1161" s="14">
        <v>0.0</v>
      </c>
      <c r="R1161" s="11">
        <v>0.0</v>
      </c>
      <c r="S1161">
        <f t="shared" si="1"/>
        <v>2016</v>
      </c>
      <c r="T1161">
        <f t="shared" si="2"/>
        <v>9</v>
      </c>
      <c r="U1161">
        <f t="shared" si="3"/>
        <v>21</v>
      </c>
      <c r="Y1161" s="17">
        <v>43020.0</v>
      </c>
      <c r="Z1161" s="17">
        <v>43703.0</v>
      </c>
      <c r="AG1161" s="15"/>
      <c r="AH1161" s="16"/>
      <c r="AM1161" s="15"/>
      <c r="AN1161" s="16"/>
    </row>
    <row r="1162">
      <c r="A1162" s="13" t="s">
        <v>2288</v>
      </c>
      <c r="B1162" s="10">
        <v>42632.0</v>
      </c>
      <c r="C1162" s="11" t="s">
        <v>111</v>
      </c>
      <c r="D1162" s="11" t="s">
        <v>221</v>
      </c>
      <c r="E1162" s="11" t="s">
        <v>118</v>
      </c>
      <c r="F1162" s="11" t="s">
        <v>40</v>
      </c>
      <c r="G1162" s="11" t="s">
        <v>41</v>
      </c>
      <c r="H1162" s="11"/>
      <c r="I1162" s="11"/>
      <c r="J1162" s="11">
        <v>21.0</v>
      </c>
      <c r="K1162" s="12">
        <v>42934.0</v>
      </c>
      <c r="L1162" s="11">
        <f>ROUND(((K1162-B1162)/365)*12,0)</f>
        <v>10</v>
      </c>
      <c r="M1162" s="11">
        <v>642464.0</v>
      </c>
      <c r="N1162" s="11" t="s">
        <v>2289</v>
      </c>
      <c r="O1162" s="13"/>
      <c r="P1162" s="11">
        <v>0.0</v>
      </c>
      <c r="Q1162" s="14">
        <v>0.0</v>
      </c>
      <c r="R1162" s="11">
        <v>1.0</v>
      </c>
      <c r="S1162">
        <f t="shared" si="1"/>
        <v>2016</v>
      </c>
      <c r="T1162">
        <f t="shared" si="2"/>
        <v>9</v>
      </c>
      <c r="U1162">
        <f t="shared" si="3"/>
        <v>19</v>
      </c>
      <c r="AG1162" s="15"/>
      <c r="AH1162" s="16"/>
      <c r="AM1162" s="15"/>
      <c r="AN1162" s="16"/>
    </row>
    <row r="1163">
      <c r="A1163" s="13" t="s">
        <v>2290</v>
      </c>
      <c r="B1163" s="10">
        <v>42628.0</v>
      </c>
      <c r="C1163" s="11" t="s">
        <v>346</v>
      </c>
      <c r="D1163" s="11" t="s">
        <v>221</v>
      </c>
      <c r="E1163" s="11" t="s">
        <v>39</v>
      </c>
      <c r="F1163" s="11" t="s">
        <v>40</v>
      </c>
      <c r="G1163" s="11" t="s">
        <v>45</v>
      </c>
      <c r="H1163" s="11" t="s">
        <v>2291</v>
      </c>
      <c r="I1163" s="11" t="s">
        <v>2292</v>
      </c>
      <c r="J1163" s="11">
        <v>24.0</v>
      </c>
      <c r="K1163" s="12"/>
      <c r="M1163" s="11">
        <v>667419.0</v>
      </c>
      <c r="N1163" s="11" t="s">
        <v>2293</v>
      </c>
      <c r="O1163" s="13"/>
      <c r="P1163" s="11">
        <v>0.0</v>
      </c>
      <c r="Q1163" s="14">
        <v>0.0</v>
      </c>
      <c r="R1163" s="11">
        <v>0.0</v>
      </c>
      <c r="S1163">
        <f t="shared" si="1"/>
        <v>2016</v>
      </c>
      <c r="T1163">
        <f t="shared" si="2"/>
        <v>9</v>
      </c>
      <c r="U1163">
        <f t="shared" si="3"/>
        <v>15</v>
      </c>
      <c r="AG1163" s="15"/>
      <c r="AH1163" s="16"/>
      <c r="AM1163" s="15"/>
      <c r="AN1163" s="16"/>
    </row>
    <row r="1164">
      <c r="A1164" s="13" t="s">
        <v>2294</v>
      </c>
      <c r="B1164" s="10">
        <v>42620.0</v>
      </c>
      <c r="C1164" s="11" t="s">
        <v>44</v>
      </c>
      <c r="D1164" s="11" t="s">
        <v>213</v>
      </c>
      <c r="E1164" s="11" t="s">
        <v>39</v>
      </c>
      <c r="F1164" s="11" t="s">
        <v>64</v>
      </c>
      <c r="G1164" s="11" t="s">
        <v>225</v>
      </c>
      <c r="H1164" s="11"/>
      <c r="I1164" s="11"/>
      <c r="J1164" s="11">
        <v>17.0</v>
      </c>
      <c r="K1164" s="12">
        <v>43271.0</v>
      </c>
      <c r="L1164" s="11">
        <f t="shared" ref="L1164:L1166" si="117">ROUND(((K1164-B1164)/365)*12,0)</f>
        <v>21</v>
      </c>
      <c r="M1164" s="11">
        <v>670103.0</v>
      </c>
      <c r="N1164" s="11">
        <v>22370.0</v>
      </c>
      <c r="O1164" s="13"/>
      <c r="P1164" s="11">
        <v>0.0</v>
      </c>
      <c r="Q1164" s="14">
        <v>0.0</v>
      </c>
      <c r="R1164" s="41">
        <v>1.0</v>
      </c>
      <c r="S1164">
        <f t="shared" si="1"/>
        <v>2016</v>
      </c>
      <c r="T1164">
        <f t="shared" si="2"/>
        <v>9</v>
      </c>
      <c r="U1164">
        <f t="shared" si="3"/>
        <v>7</v>
      </c>
      <c r="AG1164" s="15"/>
      <c r="AH1164" s="16"/>
      <c r="AM1164" s="15"/>
      <c r="AN1164" s="16"/>
    </row>
    <row r="1165">
      <c r="A1165" s="13" t="s">
        <v>902</v>
      </c>
      <c r="B1165" s="10">
        <v>42620.0</v>
      </c>
      <c r="C1165" s="11" t="s">
        <v>186</v>
      </c>
      <c r="D1165" s="11" t="s">
        <v>221</v>
      </c>
      <c r="E1165" s="11" t="s">
        <v>39</v>
      </c>
      <c r="F1165" s="11" t="s">
        <v>40</v>
      </c>
      <c r="G1165" s="11" t="s">
        <v>45</v>
      </c>
      <c r="H1165" s="11" t="s">
        <v>119</v>
      </c>
      <c r="I1165" s="11" t="s">
        <v>588</v>
      </c>
      <c r="J1165" s="11">
        <v>19.0</v>
      </c>
      <c r="K1165" s="12">
        <v>43267.0</v>
      </c>
      <c r="L1165" s="11">
        <f t="shared" si="117"/>
        <v>21</v>
      </c>
      <c r="M1165" s="11">
        <v>670081.0</v>
      </c>
      <c r="N1165" s="11" t="s">
        <v>904</v>
      </c>
      <c r="O1165" s="13"/>
      <c r="P1165" s="11">
        <v>0.0</v>
      </c>
      <c r="Q1165" s="14">
        <v>0.0</v>
      </c>
      <c r="R1165" s="11">
        <v>1.0</v>
      </c>
      <c r="S1165">
        <f t="shared" si="1"/>
        <v>2016</v>
      </c>
      <c r="T1165">
        <f t="shared" si="2"/>
        <v>9</v>
      </c>
      <c r="U1165">
        <f t="shared" si="3"/>
        <v>7</v>
      </c>
      <c r="Z1165" s="17">
        <v>43267.0</v>
      </c>
      <c r="AG1165" s="15"/>
      <c r="AH1165" s="16"/>
      <c r="AM1165" s="15"/>
      <c r="AN1165" s="16"/>
    </row>
    <row r="1166">
      <c r="A1166" s="13" t="s">
        <v>2295</v>
      </c>
      <c r="B1166" s="10">
        <v>42614.0</v>
      </c>
      <c r="C1166" s="11" t="s">
        <v>108</v>
      </c>
      <c r="D1166" s="11" t="s">
        <v>709</v>
      </c>
      <c r="E1166" s="11" t="s">
        <v>39</v>
      </c>
      <c r="F1166" s="11" t="s">
        <v>40</v>
      </c>
      <c r="G1166" s="11" t="s">
        <v>45</v>
      </c>
      <c r="H1166" s="11" t="s">
        <v>67</v>
      </c>
      <c r="I1166" s="11" t="s">
        <v>287</v>
      </c>
      <c r="J1166" s="11">
        <v>22.0</v>
      </c>
      <c r="K1166" s="12">
        <v>43269.0</v>
      </c>
      <c r="L1166" s="11">
        <f t="shared" si="117"/>
        <v>22</v>
      </c>
      <c r="M1166" s="11">
        <v>621139.0</v>
      </c>
      <c r="N1166" s="11">
        <v>21189.0</v>
      </c>
      <c r="O1166" s="13"/>
      <c r="P1166" s="11">
        <v>0.0</v>
      </c>
      <c r="Q1166" s="14">
        <v>0.0</v>
      </c>
      <c r="R1166" s="11">
        <v>1.0</v>
      </c>
      <c r="S1166">
        <f t="shared" si="1"/>
        <v>2016</v>
      </c>
      <c r="T1166">
        <f t="shared" si="2"/>
        <v>9</v>
      </c>
      <c r="U1166">
        <f t="shared" si="3"/>
        <v>1</v>
      </c>
      <c r="Z1166" s="17">
        <v>43269.0</v>
      </c>
      <c r="AG1166" s="15"/>
      <c r="AH1166" s="16"/>
      <c r="AM1166" s="15"/>
      <c r="AN1166" s="16"/>
    </row>
    <row r="1167">
      <c r="A1167" s="13" t="s">
        <v>2296</v>
      </c>
      <c r="B1167" s="10">
        <v>42607.0</v>
      </c>
      <c r="C1167" s="11" t="s">
        <v>230</v>
      </c>
      <c r="D1167" s="11" t="s">
        <v>88</v>
      </c>
      <c r="E1167" s="11" t="s">
        <v>39</v>
      </c>
      <c r="F1167" s="11" t="s">
        <v>64</v>
      </c>
      <c r="G1167" s="11" t="s">
        <v>45</v>
      </c>
      <c r="H1167" s="11" t="s">
        <v>173</v>
      </c>
      <c r="I1167" s="11" t="s">
        <v>280</v>
      </c>
      <c r="J1167" s="11">
        <v>25.0</v>
      </c>
      <c r="K1167" s="12"/>
      <c r="L1167" s="11"/>
      <c r="M1167" s="11">
        <v>642242.0</v>
      </c>
      <c r="N1167" s="11" t="s">
        <v>2297</v>
      </c>
      <c r="O1167" s="13"/>
      <c r="P1167" s="11">
        <v>0.0</v>
      </c>
      <c r="Q1167" s="14">
        <v>0.0</v>
      </c>
      <c r="R1167" s="11">
        <v>0.0</v>
      </c>
      <c r="S1167">
        <f t="shared" si="1"/>
        <v>2016</v>
      </c>
      <c r="T1167">
        <f t="shared" si="2"/>
        <v>8</v>
      </c>
      <c r="U1167">
        <f t="shared" si="3"/>
        <v>25</v>
      </c>
      <c r="Z1167" s="17"/>
      <c r="AG1167" s="15"/>
      <c r="AH1167" s="16"/>
      <c r="AM1167" s="15"/>
      <c r="AN1167" s="16"/>
    </row>
    <row r="1168">
      <c r="A1168" s="13" t="s">
        <v>2298</v>
      </c>
      <c r="B1168" s="10">
        <v>42606.0</v>
      </c>
      <c r="C1168" s="11" t="s">
        <v>111</v>
      </c>
      <c r="D1168" s="11" t="s">
        <v>97</v>
      </c>
      <c r="E1168" s="11" t="s">
        <v>118</v>
      </c>
      <c r="F1168" s="11" t="s">
        <v>40</v>
      </c>
      <c r="G1168" s="11" t="s">
        <v>45</v>
      </c>
      <c r="H1168" s="11" t="s">
        <v>67</v>
      </c>
      <c r="I1168" s="11"/>
      <c r="J1168" s="11">
        <v>20.0</v>
      </c>
      <c r="K1168" s="12">
        <v>42928.0</v>
      </c>
      <c r="L1168" s="11">
        <f t="shared" ref="L1168:L1172" si="118">ROUND(((K1168-B1168)/365)*12,0)</f>
        <v>11</v>
      </c>
      <c r="M1168" s="11">
        <v>656537.0</v>
      </c>
      <c r="N1168" s="11" t="s">
        <v>2299</v>
      </c>
      <c r="O1168" s="13" t="s">
        <v>42</v>
      </c>
      <c r="P1168" s="11">
        <v>0.0</v>
      </c>
      <c r="Q1168" s="14">
        <v>0.0</v>
      </c>
      <c r="R1168" s="41">
        <v>1.0</v>
      </c>
      <c r="S1168">
        <f t="shared" si="1"/>
        <v>2016</v>
      </c>
      <c r="T1168">
        <f t="shared" si="2"/>
        <v>8</v>
      </c>
      <c r="U1168">
        <f t="shared" si="3"/>
        <v>24</v>
      </c>
      <c r="Z1168" s="17">
        <v>42912.0</v>
      </c>
      <c r="AG1168" s="15"/>
      <c r="AH1168" s="16"/>
      <c r="AM1168" s="15"/>
      <c r="AN1168" s="16"/>
    </row>
    <row r="1169">
      <c r="A1169" s="13" t="s">
        <v>2300</v>
      </c>
      <c r="B1169" s="10">
        <v>42606.0</v>
      </c>
      <c r="C1169" s="11" t="s">
        <v>186</v>
      </c>
      <c r="D1169" s="11" t="s">
        <v>97</v>
      </c>
      <c r="E1169" s="11" t="s">
        <v>39</v>
      </c>
      <c r="F1169" s="11" t="s">
        <v>64</v>
      </c>
      <c r="G1169" s="11" t="s">
        <v>45</v>
      </c>
      <c r="H1169" s="11" t="s">
        <v>59</v>
      </c>
      <c r="I1169" s="11" t="s">
        <v>2301</v>
      </c>
      <c r="J1169" s="11">
        <v>27.0</v>
      </c>
      <c r="K1169" s="12">
        <v>43196.0</v>
      </c>
      <c r="L1169" s="11">
        <f t="shared" si="118"/>
        <v>19</v>
      </c>
      <c r="M1169" s="11">
        <v>571825.0</v>
      </c>
      <c r="N1169" s="11">
        <v>9767.0</v>
      </c>
      <c r="O1169" s="13"/>
      <c r="P1169" s="11">
        <v>0.0</v>
      </c>
      <c r="Q1169" s="14">
        <v>0.0</v>
      </c>
      <c r="R1169" s="11">
        <v>1.0</v>
      </c>
      <c r="S1169">
        <f t="shared" si="1"/>
        <v>2016</v>
      </c>
      <c r="T1169">
        <f t="shared" si="2"/>
        <v>8</v>
      </c>
      <c r="U1169">
        <f t="shared" si="3"/>
        <v>24</v>
      </c>
      <c r="Z1169" s="17">
        <v>42962.0</v>
      </c>
      <c r="AG1169" s="15"/>
      <c r="AH1169" s="16"/>
      <c r="AM1169" s="15"/>
      <c r="AN1169" s="16"/>
    </row>
    <row r="1170">
      <c r="A1170" s="13" t="s">
        <v>2302</v>
      </c>
      <c r="B1170" s="10">
        <v>42601.0</v>
      </c>
      <c r="C1170" s="11" t="s">
        <v>108</v>
      </c>
      <c r="D1170" s="11" t="s">
        <v>38</v>
      </c>
      <c r="E1170" s="11" t="s">
        <v>39</v>
      </c>
      <c r="F1170" s="11" t="s">
        <v>40</v>
      </c>
      <c r="G1170" s="30" t="s">
        <v>45</v>
      </c>
      <c r="H1170" s="11" t="s">
        <v>56</v>
      </c>
      <c r="I1170" s="11"/>
      <c r="J1170" s="11">
        <v>26.0</v>
      </c>
      <c r="K1170" s="12">
        <v>43250.0</v>
      </c>
      <c r="L1170" s="11">
        <f t="shared" si="118"/>
        <v>21</v>
      </c>
      <c r="M1170" s="11">
        <v>543135.0</v>
      </c>
      <c r="N1170" s="11">
        <v>9132.0</v>
      </c>
      <c r="O1170" s="13" t="s">
        <v>494</v>
      </c>
      <c r="P1170" s="11">
        <v>0.0</v>
      </c>
      <c r="Q1170" s="14">
        <v>0.0</v>
      </c>
      <c r="R1170" s="41">
        <v>1.0</v>
      </c>
      <c r="S1170">
        <f t="shared" si="1"/>
        <v>2016</v>
      </c>
      <c r="T1170">
        <f t="shared" si="2"/>
        <v>8</v>
      </c>
      <c r="U1170">
        <f t="shared" si="3"/>
        <v>19</v>
      </c>
      <c r="V1170" s="17">
        <v>42780.0</v>
      </c>
      <c r="W1170" s="17">
        <v>42934.0</v>
      </c>
      <c r="Z1170" s="17">
        <v>42987.0</v>
      </c>
      <c r="AA1170" s="17">
        <v>43191.0</v>
      </c>
      <c r="AB1170" s="13" t="s">
        <v>2303</v>
      </c>
      <c r="AG1170" s="15"/>
      <c r="AH1170" s="16"/>
      <c r="AM1170" s="15"/>
      <c r="AN1170" s="16"/>
    </row>
    <row r="1171">
      <c r="A1171" s="13" t="s">
        <v>2304</v>
      </c>
      <c r="B1171" s="10">
        <v>42598.0</v>
      </c>
      <c r="C1171" s="11" t="s">
        <v>346</v>
      </c>
      <c r="D1171" s="11" t="s">
        <v>38</v>
      </c>
      <c r="E1171" s="11" t="s">
        <v>39</v>
      </c>
      <c r="F1171" s="11" t="s">
        <v>64</v>
      </c>
      <c r="G1171" s="11" t="s">
        <v>45</v>
      </c>
      <c r="H1171" s="11" t="s">
        <v>59</v>
      </c>
      <c r="I1171" s="11" t="s">
        <v>2305</v>
      </c>
      <c r="J1171" s="11">
        <v>25.0</v>
      </c>
      <c r="K1171" s="12">
        <v>43202.0</v>
      </c>
      <c r="L1171" s="11">
        <f t="shared" si="118"/>
        <v>20</v>
      </c>
      <c r="M1171" s="11">
        <v>607374.0</v>
      </c>
      <c r="N1171" s="11">
        <v>12385.0</v>
      </c>
      <c r="O1171" s="13" t="s">
        <v>69</v>
      </c>
      <c r="P1171" s="11">
        <v>0.0</v>
      </c>
      <c r="Q1171" s="14">
        <v>0.0</v>
      </c>
      <c r="R1171" s="41">
        <v>1.0</v>
      </c>
      <c r="S1171">
        <f t="shared" si="1"/>
        <v>2016</v>
      </c>
      <c r="T1171">
        <f t="shared" si="2"/>
        <v>8</v>
      </c>
      <c r="U1171">
        <f t="shared" si="3"/>
        <v>16</v>
      </c>
      <c r="V1171" s="17">
        <v>42813.0</v>
      </c>
      <c r="W1171" s="17">
        <v>42933.0</v>
      </c>
      <c r="Z1171" s="17">
        <v>43196.0</v>
      </c>
      <c r="AG1171" s="15"/>
      <c r="AH1171" s="16"/>
      <c r="AM1171" s="15"/>
      <c r="AN1171" s="16"/>
    </row>
    <row r="1172">
      <c r="A1172" s="13" t="s">
        <v>822</v>
      </c>
      <c r="B1172" s="10">
        <v>42597.0</v>
      </c>
      <c r="C1172" s="11" t="s">
        <v>175</v>
      </c>
      <c r="D1172" s="11" t="s">
        <v>97</v>
      </c>
      <c r="E1172" s="11" t="s">
        <v>39</v>
      </c>
      <c r="F1172" s="11" t="s">
        <v>40</v>
      </c>
      <c r="G1172" s="11" t="s">
        <v>45</v>
      </c>
      <c r="H1172" s="11" t="s">
        <v>56</v>
      </c>
      <c r="I1172" s="11"/>
      <c r="J1172" s="11">
        <v>20.0</v>
      </c>
      <c r="K1172" s="12">
        <v>43220.0</v>
      </c>
      <c r="L1172" s="11">
        <f t="shared" si="118"/>
        <v>20</v>
      </c>
      <c r="M1172" s="11">
        <v>663978.0</v>
      </c>
      <c r="N1172" s="11">
        <v>20099.0</v>
      </c>
      <c r="O1172" s="13" t="s">
        <v>42</v>
      </c>
      <c r="P1172" s="11">
        <v>0.0</v>
      </c>
      <c r="Q1172" s="14">
        <v>0.0</v>
      </c>
      <c r="R1172" s="41">
        <v>1.0</v>
      </c>
      <c r="S1172">
        <f t="shared" si="1"/>
        <v>2016</v>
      </c>
      <c r="T1172">
        <f t="shared" si="2"/>
        <v>8</v>
      </c>
      <c r="U1172">
        <f t="shared" si="3"/>
        <v>15</v>
      </c>
      <c r="V1172" s="17">
        <v>42751.0</v>
      </c>
      <c r="X1172" s="17">
        <v>42944.0</v>
      </c>
      <c r="Y1172" s="17">
        <v>43167.0</v>
      </c>
      <c r="AG1172" s="15"/>
      <c r="AH1172" s="16"/>
      <c r="AM1172" s="15"/>
      <c r="AN1172" s="16"/>
    </row>
    <row r="1173">
      <c r="A1173" s="13" t="s">
        <v>2306</v>
      </c>
      <c r="B1173" s="10">
        <v>42593.0</v>
      </c>
      <c r="C1173" s="11" t="s">
        <v>346</v>
      </c>
      <c r="D1173" s="11" t="s">
        <v>93</v>
      </c>
      <c r="E1173" s="11" t="s">
        <v>39</v>
      </c>
      <c r="F1173" s="11" t="s">
        <v>40</v>
      </c>
      <c r="G1173" s="11" t="s">
        <v>45</v>
      </c>
      <c r="H1173" s="11" t="s">
        <v>67</v>
      </c>
      <c r="I1173" s="11" t="s">
        <v>182</v>
      </c>
      <c r="J1173" s="11">
        <v>22.0</v>
      </c>
      <c r="K1173" s="12"/>
      <c r="L1173" s="11"/>
      <c r="M1173" s="11">
        <v>663410.0</v>
      </c>
      <c r="N1173" s="11"/>
      <c r="O1173" s="13"/>
      <c r="P1173" s="11">
        <v>0.0</v>
      </c>
      <c r="Q1173" s="14">
        <v>0.0</v>
      </c>
      <c r="R1173" s="11">
        <v>0.0</v>
      </c>
      <c r="S1173">
        <f t="shared" si="1"/>
        <v>2016</v>
      </c>
      <c r="T1173">
        <f t="shared" si="2"/>
        <v>8</v>
      </c>
      <c r="U1173">
        <f t="shared" si="3"/>
        <v>11</v>
      </c>
      <c r="AA1173" s="17">
        <v>42923.0</v>
      </c>
      <c r="AB1173" s="13" t="s">
        <v>2307</v>
      </c>
      <c r="AG1173" s="15"/>
      <c r="AH1173" s="16"/>
      <c r="AM1173" s="15"/>
      <c r="AN1173" s="16"/>
    </row>
    <row r="1174">
      <c r="A1174" s="13" t="s">
        <v>2308</v>
      </c>
      <c r="B1174" s="10">
        <v>42587.0</v>
      </c>
      <c r="C1174" s="11" t="s">
        <v>116</v>
      </c>
      <c r="D1174" s="11" t="s">
        <v>97</v>
      </c>
      <c r="E1174" s="11" t="s">
        <v>39</v>
      </c>
      <c r="F1174" s="11" t="s">
        <v>40</v>
      </c>
      <c r="G1174" s="11" t="s">
        <v>45</v>
      </c>
      <c r="H1174" s="11" t="s">
        <v>163</v>
      </c>
      <c r="I1174" s="11" t="s">
        <v>1681</v>
      </c>
      <c r="J1174" s="11">
        <v>21.0</v>
      </c>
      <c r="K1174" s="12">
        <v>43567.0</v>
      </c>
      <c r="L1174" s="11">
        <f t="shared" ref="L1174:L1175" si="119">ROUND(((K1174-B1174)/365)*12,0)</f>
        <v>32</v>
      </c>
      <c r="M1174" s="11">
        <v>664016.0</v>
      </c>
      <c r="N1174" s="11" t="s">
        <v>2309</v>
      </c>
      <c r="O1174" s="13"/>
      <c r="P1174" s="11">
        <v>0.0</v>
      </c>
      <c r="Q1174" s="14">
        <v>0.0</v>
      </c>
      <c r="R1174" s="41">
        <v>1.0</v>
      </c>
      <c r="S1174">
        <f t="shared" si="1"/>
        <v>2016</v>
      </c>
      <c r="T1174">
        <f t="shared" si="2"/>
        <v>8</v>
      </c>
      <c r="U1174">
        <f t="shared" si="3"/>
        <v>5</v>
      </c>
      <c r="Z1174" s="17">
        <v>43266.0</v>
      </c>
      <c r="AG1174" s="15"/>
      <c r="AH1174" s="16"/>
      <c r="AM1174" s="15"/>
      <c r="AN1174" s="16"/>
    </row>
    <row r="1175">
      <c r="A1175" s="13" t="s">
        <v>1887</v>
      </c>
      <c r="B1175" s="10">
        <v>42587.0</v>
      </c>
      <c r="C1175" s="11" t="s">
        <v>108</v>
      </c>
      <c r="D1175" s="11" t="s">
        <v>88</v>
      </c>
      <c r="E1175" s="11" t="s">
        <v>39</v>
      </c>
      <c r="F1175" s="11" t="s">
        <v>64</v>
      </c>
      <c r="G1175" s="11" t="s">
        <v>45</v>
      </c>
      <c r="H1175" s="11" t="s">
        <v>159</v>
      </c>
      <c r="I1175" s="11" t="s">
        <v>637</v>
      </c>
      <c r="J1175" s="11">
        <v>23.0</v>
      </c>
      <c r="K1175" s="12">
        <v>43671.0</v>
      </c>
      <c r="L1175" s="11">
        <f t="shared" si="119"/>
        <v>36</v>
      </c>
      <c r="M1175" s="11">
        <v>605338.0</v>
      </c>
      <c r="N1175" s="11">
        <v>16215.0</v>
      </c>
      <c r="O1175" s="13"/>
      <c r="P1175" s="11">
        <v>0.0</v>
      </c>
      <c r="Q1175" s="14">
        <v>0.0</v>
      </c>
      <c r="R1175" s="41">
        <v>1.0</v>
      </c>
      <c r="S1175">
        <f t="shared" si="1"/>
        <v>2016</v>
      </c>
      <c r="T1175">
        <f t="shared" si="2"/>
        <v>8</v>
      </c>
      <c r="U1175">
        <f t="shared" si="3"/>
        <v>5</v>
      </c>
      <c r="Y1175" s="17">
        <v>42972.0</v>
      </c>
      <c r="Z1175" s="17">
        <v>43633.0</v>
      </c>
      <c r="AA1175" s="17">
        <v>43186.0</v>
      </c>
      <c r="AB1175" s="13" t="s">
        <v>2310</v>
      </c>
      <c r="AG1175" s="15"/>
      <c r="AH1175" s="16"/>
      <c r="AM1175" s="15"/>
      <c r="AN1175" s="16"/>
    </row>
    <row r="1176">
      <c r="A1176" s="13" t="s">
        <v>2311</v>
      </c>
      <c r="B1176" s="10">
        <v>42586.0</v>
      </c>
      <c r="C1176" s="11" t="s">
        <v>55</v>
      </c>
      <c r="D1176" s="11" t="s">
        <v>77</v>
      </c>
      <c r="E1176" s="11" t="s">
        <v>39</v>
      </c>
      <c r="F1176" s="11" t="s">
        <v>40</v>
      </c>
      <c r="G1176" s="11" t="s">
        <v>53</v>
      </c>
      <c r="H1176" s="11"/>
      <c r="I1176" s="11"/>
      <c r="J1176" s="11">
        <v>23.0</v>
      </c>
      <c r="K1176" s="12"/>
      <c r="L1176" s="11"/>
      <c r="M1176" s="11">
        <v>606256.0</v>
      </c>
      <c r="N1176" s="11" t="s">
        <v>2312</v>
      </c>
      <c r="O1176" s="13" t="s">
        <v>1031</v>
      </c>
      <c r="P1176" s="11">
        <v>0.0</v>
      </c>
      <c r="Q1176" s="14">
        <v>0.0</v>
      </c>
      <c r="R1176" s="11">
        <v>0.0</v>
      </c>
      <c r="S1176">
        <f t="shared" si="1"/>
        <v>2016</v>
      </c>
      <c r="T1176">
        <f t="shared" si="2"/>
        <v>8</v>
      </c>
      <c r="U1176">
        <f t="shared" si="3"/>
        <v>4</v>
      </c>
      <c r="Z1176" s="17">
        <v>43269.0</v>
      </c>
      <c r="AG1176" s="15"/>
      <c r="AH1176" s="16"/>
      <c r="AM1176" s="15"/>
      <c r="AN1176" s="16"/>
    </row>
    <row r="1177">
      <c r="A1177" s="13" t="s">
        <v>2313</v>
      </c>
      <c r="B1177" s="10">
        <v>42583.0</v>
      </c>
      <c r="C1177" s="11" t="s">
        <v>167</v>
      </c>
      <c r="D1177" s="11" t="s">
        <v>93</v>
      </c>
      <c r="E1177" s="11" t="s">
        <v>39</v>
      </c>
      <c r="F1177" s="11" t="s">
        <v>40</v>
      </c>
      <c r="G1177" s="11" t="s">
        <v>45</v>
      </c>
      <c r="H1177" s="11" t="s">
        <v>59</v>
      </c>
      <c r="I1177" s="11" t="s">
        <v>2314</v>
      </c>
      <c r="J1177" s="11">
        <v>20.0</v>
      </c>
      <c r="K1177" s="12">
        <v>42910.0</v>
      </c>
      <c r="L1177" s="11">
        <f t="shared" ref="L1177:L1178" si="120">ROUND(((K1177-B1177)/365)*12,0)</f>
        <v>11</v>
      </c>
      <c r="M1177" s="11">
        <v>670050.0</v>
      </c>
      <c r="N1177" s="11">
        <v>22358.0</v>
      </c>
      <c r="O1177" s="13"/>
      <c r="P1177" s="11">
        <v>0.0</v>
      </c>
      <c r="Q1177" s="14">
        <v>0.0</v>
      </c>
      <c r="R1177" s="11">
        <v>1.0</v>
      </c>
      <c r="S1177">
        <f t="shared" si="1"/>
        <v>2016</v>
      </c>
      <c r="T1177">
        <f t="shared" si="2"/>
        <v>8</v>
      </c>
      <c r="U1177">
        <f t="shared" si="3"/>
        <v>1</v>
      </c>
      <c r="Z1177" s="17"/>
      <c r="AG1177" s="15"/>
      <c r="AH1177" s="16"/>
      <c r="AM1177" s="15"/>
      <c r="AN1177" s="16"/>
    </row>
    <row r="1178">
      <c r="A1178" s="13" t="s">
        <v>2315</v>
      </c>
      <c r="B1178" s="10">
        <v>42583.0</v>
      </c>
      <c r="C1178" s="11" t="s">
        <v>44</v>
      </c>
      <c r="D1178" s="11" t="s">
        <v>709</v>
      </c>
      <c r="E1178" s="11" t="s">
        <v>39</v>
      </c>
      <c r="F1178" s="11" t="s">
        <v>40</v>
      </c>
      <c r="G1178" s="11" t="s">
        <v>45</v>
      </c>
      <c r="H1178" s="11" t="s">
        <v>236</v>
      </c>
      <c r="I1178" s="11" t="s">
        <v>746</v>
      </c>
      <c r="J1178" s="11">
        <v>24.0</v>
      </c>
      <c r="K1178" s="12">
        <v>43249.0</v>
      </c>
      <c r="L1178" s="11">
        <f t="shared" si="120"/>
        <v>22</v>
      </c>
      <c r="M1178" s="11">
        <v>592467.0</v>
      </c>
      <c r="N1178" s="11" t="s">
        <v>2316</v>
      </c>
      <c r="O1178" s="13"/>
      <c r="P1178" s="11">
        <v>0.0</v>
      </c>
      <c r="Q1178" s="14">
        <v>0.0</v>
      </c>
      <c r="R1178" s="11">
        <v>0.0</v>
      </c>
      <c r="S1178">
        <f t="shared" si="1"/>
        <v>2016</v>
      </c>
      <c r="T1178">
        <f t="shared" si="2"/>
        <v>8</v>
      </c>
      <c r="U1178">
        <f t="shared" si="3"/>
        <v>1</v>
      </c>
      <c r="Z1178" s="17">
        <v>42950.0</v>
      </c>
      <c r="AG1178" s="15"/>
      <c r="AH1178" s="16"/>
      <c r="AM1178" s="15"/>
      <c r="AN1178" s="16"/>
    </row>
    <row r="1179">
      <c r="A1179" s="13" t="s">
        <v>2317</v>
      </c>
      <c r="B1179" s="17">
        <v>42583.0</v>
      </c>
      <c r="C1179" s="11" t="s">
        <v>111</v>
      </c>
      <c r="D1179" s="11" t="s">
        <v>93</v>
      </c>
      <c r="E1179" s="11" t="s">
        <v>982</v>
      </c>
      <c r="F1179" s="11" t="s">
        <v>40</v>
      </c>
      <c r="G1179" s="11" t="s">
        <v>45</v>
      </c>
      <c r="H1179" s="11" t="s">
        <v>56</v>
      </c>
      <c r="I1179" s="11" t="s">
        <v>56</v>
      </c>
      <c r="J1179" s="11">
        <v>20.0</v>
      </c>
      <c r="K1179" s="12">
        <v>43281.0</v>
      </c>
      <c r="L1179" s="11"/>
      <c r="M1179" s="11">
        <v>665019.0</v>
      </c>
      <c r="N1179" s="11">
        <v>20572.0</v>
      </c>
      <c r="O1179" s="13" t="s">
        <v>761</v>
      </c>
      <c r="P1179" s="11">
        <v>0.0</v>
      </c>
      <c r="Q1179" s="14">
        <v>0.0</v>
      </c>
      <c r="R1179" s="11">
        <v>1.0</v>
      </c>
      <c r="S1179">
        <f t="shared" si="1"/>
        <v>2016</v>
      </c>
      <c r="T1179">
        <f t="shared" si="2"/>
        <v>8</v>
      </c>
      <c r="U1179">
        <f t="shared" si="3"/>
        <v>1</v>
      </c>
      <c r="Z1179" s="17"/>
      <c r="AG1179" s="15"/>
      <c r="AH1179" s="16"/>
      <c r="AM1179" s="15"/>
      <c r="AN1179" s="16"/>
    </row>
    <row r="1180">
      <c r="A1180" s="13" t="s">
        <v>2318</v>
      </c>
      <c r="B1180" s="10">
        <v>42583.0</v>
      </c>
      <c r="C1180" s="11" t="s">
        <v>55</v>
      </c>
      <c r="D1180" s="11" t="s">
        <v>38</v>
      </c>
      <c r="E1180" s="11" t="s">
        <v>39</v>
      </c>
      <c r="F1180" s="11" t="s">
        <v>64</v>
      </c>
      <c r="G1180" s="11" t="s">
        <v>45</v>
      </c>
      <c r="H1180" s="11" t="s">
        <v>59</v>
      </c>
      <c r="I1180" s="11" t="s">
        <v>1800</v>
      </c>
      <c r="J1180" s="11">
        <v>26.0</v>
      </c>
      <c r="K1180" s="12">
        <v>44420.0</v>
      </c>
      <c r="L1180" s="11">
        <f>ROUND(((K1180-B1180)/365)*12,0)</f>
        <v>60</v>
      </c>
      <c r="M1180" s="11">
        <v>543594.0</v>
      </c>
      <c r="N1180" s="11">
        <v>11341.0</v>
      </c>
      <c r="O1180" s="13" t="s">
        <v>761</v>
      </c>
      <c r="P1180" s="11">
        <v>0.0</v>
      </c>
      <c r="Q1180" s="14">
        <v>0.0</v>
      </c>
      <c r="R1180" s="41">
        <v>1.0</v>
      </c>
      <c r="S1180">
        <f t="shared" si="1"/>
        <v>2016</v>
      </c>
      <c r="T1180">
        <f t="shared" si="2"/>
        <v>8</v>
      </c>
      <c r="U1180">
        <f t="shared" si="3"/>
        <v>1</v>
      </c>
      <c r="Z1180" s="17">
        <v>43242.0</v>
      </c>
      <c r="AG1180" s="15"/>
      <c r="AH1180" s="16"/>
      <c r="AM1180" s="15"/>
      <c r="AN1180" s="16"/>
    </row>
    <row r="1181">
      <c r="A1181" s="13" t="s">
        <v>2319</v>
      </c>
      <c r="B1181" s="10">
        <v>42583.0</v>
      </c>
      <c r="C1181" s="11" t="s">
        <v>235</v>
      </c>
      <c r="D1181" s="11" t="s">
        <v>93</v>
      </c>
      <c r="E1181" s="11" t="s">
        <v>39</v>
      </c>
      <c r="F1181" s="11" t="s">
        <v>40</v>
      </c>
      <c r="G1181" s="11" t="s">
        <v>45</v>
      </c>
      <c r="H1181" s="11" t="s">
        <v>84</v>
      </c>
      <c r="I1181" s="11" t="s">
        <v>124</v>
      </c>
      <c r="J1181" s="11">
        <v>20.0</v>
      </c>
      <c r="K1181" s="12">
        <v>43271.0</v>
      </c>
      <c r="L1181" s="11"/>
      <c r="M1181" s="11">
        <v>656422.0</v>
      </c>
      <c r="N1181" s="11" t="s">
        <v>2320</v>
      </c>
      <c r="O1181" s="13"/>
      <c r="P1181" s="11">
        <v>0.0</v>
      </c>
      <c r="Q1181" s="14">
        <v>0.0</v>
      </c>
      <c r="R1181" s="11">
        <v>1.0</v>
      </c>
      <c r="S1181">
        <f t="shared" si="1"/>
        <v>2016</v>
      </c>
      <c r="T1181">
        <f t="shared" si="2"/>
        <v>8</v>
      </c>
      <c r="U1181">
        <f t="shared" si="3"/>
        <v>1</v>
      </c>
      <c r="Z1181" s="17"/>
      <c r="AG1181" s="15"/>
      <c r="AH1181" s="16"/>
      <c r="AM1181" s="15"/>
      <c r="AN1181" s="16"/>
    </row>
    <row r="1182">
      <c r="A1182" s="13" t="s">
        <v>2321</v>
      </c>
      <c r="B1182" s="10">
        <v>42580.0</v>
      </c>
      <c r="C1182" s="11" t="s">
        <v>76</v>
      </c>
      <c r="D1182" s="11" t="s">
        <v>97</v>
      </c>
      <c r="E1182" s="11" t="s">
        <v>39</v>
      </c>
      <c r="F1182" s="11" t="s">
        <v>40</v>
      </c>
      <c r="G1182" s="11" t="s">
        <v>45</v>
      </c>
      <c r="H1182" s="11" t="s">
        <v>262</v>
      </c>
      <c r="I1182" s="11" t="s">
        <v>262</v>
      </c>
      <c r="J1182" s="11">
        <v>22.0</v>
      </c>
      <c r="K1182" s="12">
        <v>43233.0</v>
      </c>
      <c r="L1182" s="11">
        <f t="shared" ref="L1182:L1183" si="121">ROUND(((K1182-B1182)/365)*12,0)</f>
        <v>21</v>
      </c>
      <c r="M1182" s="11">
        <v>622230.0</v>
      </c>
      <c r="N1182" s="11" t="s">
        <v>2322</v>
      </c>
      <c r="O1182" s="13"/>
      <c r="P1182" s="11">
        <v>0.0</v>
      </c>
      <c r="Q1182" s="14">
        <v>0.0</v>
      </c>
      <c r="R1182" s="41">
        <v>1.0</v>
      </c>
      <c r="S1182">
        <f t="shared" si="1"/>
        <v>2016</v>
      </c>
      <c r="T1182">
        <f t="shared" si="2"/>
        <v>7</v>
      </c>
      <c r="U1182">
        <f t="shared" si="3"/>
        <v>29</v>
      </c>
      <c r="Z1182" s="17">
        <v>42949.0</v>
      </c>
      <c r="AG1182" s="15"/>
      <c r="AH1182" s="16"/>
      <c r="AM1182" s="15"/>
      <c r="AN1182" s="16"/>
    </row>
    <row r="1183">
      <c r="A1183" s="13" t="s">
        <v>2323</v>
      </c>
      <c r="B1183" s="10">
        <v>42577.0</v>
      </c>
      <c r="C1183" s="11" t="s">
        <v>138</v>
      </c>
      <c r="D1183" s="11" t="s">
        <v>709</v>
      </c>
      <c r="E1183" s="11" t="s">
        <v>39</v>
      </c>
      <c r="F1183" s="11" t="s">
        <v>40</v>
      </c>
      <c r="G1183" s="11" t="s">
        <v>45</v>
      </c>
      <c r="H1183" s="11" t="s">
        <v>127</v>
      </c>
      <c r="I1183" s="11"/>
      <c r="J1183" s="11">
        <v>21.0</v>
      </c>
      <c r="K1183" s="12">
        <v>42956.0</v>
      </c>
      <c r="L1183" s="11">
        <f t="shared" si="121"/>
        <v>12</v>
      </c>
      <c r="M1183" s="11">
        <v>640451.0</v>
      </c>
      <c r="N1183" s="11">
        <v>15507.0</v>
      </c>
      <c r="O1183" s="13" t="s">
        <v>2324</v>
      </c>
      <c r="P1183" s="11">
        <v>0.0</v>
      </c>
      <c r="Q1183" s="14">
        <v>0.0</v>
      </c>
      <c r="R1183" s="41">
        <v>1.0</v>
      </c>
      <c r="S1183">
        <f t="shared" si="1"/>
        <v>2016</v>
      </c>
      <c r="T1183">
        <f t="shared" si="2"/>
        <v>7</v>
      </c>
      <c r="U1183">
        <f t="shared" si="3"/>
        <v>26</v>
      </c>
      <c r="V1183" s="17">
        <v>42730.0</v>
      </c>
      <c r="X1183" s="17">
        <v>42860.0</v>
      </c>
      <c r="Z1183" s="17">
        <v>42935.0</v>
      </c>
      <c r="AG1183" s="15"/>
      <c r="AH1183" s="16"/>
      <c r="AM1183" s="15"/>
      <c r="AN1183" s="16"/>
    </row>
    <row r="1184">
      <c r="A1184" s="13" t="s">
        <v>2325</v>
      </c>
      <c r="B1184" s="10">
        <v>42577.0</v>
      </c>
      <c r="C1184" s="11" t="s">
        <v>126</v>
      </c>
      <c r="D1184" s="11" t="s">
        <v>221</v>
      </c>
      <c r="E1184" s="11" t="s">
        <v>39</v>
      </c>
      <c r="F1184" s="11" t="s">
        <v>40</v>
      </c>
      <c r="G1184" s="11" t="s">
        <v>105</v>
      </c>
      <c r="H1184" s="11"/>
      <c r="I1184" s="11"/>
      <c r="J1184" s="11">
        <v>18.0</v>
      </c>
      <c r="K1184" s="12"/>
      <c r="L1184" s="11"/>
      <c r="M1184" s="11"/>
      <c r="N1184" s="11"/>
      <c r="O1184" s="13"/>
      <c r="P1184" s="11">
        <v>0.0</v>
      </c>
      <c r="Q1184" s="14">
        <v>0.0</v>
      </c>
      <c r="R1184" s="11">
        <v>0.0</v>
      </c>
      <c r="S1184">
        <f t="shared" si="1"/>
        <v>2016</v>
      </c>
      <c r="T1184">
        <f t="shared" si="2"/>
        <v>7</v>
      </c>
      <c r="U1184">
        <f t="shared" si="3"/>
        <v>26</v>
      </c>
      <c r="AG1184" s="15"/>
      <c r="AH1184" s="16"/>
      <c r="AM1184" s="15"/>
      <c r="AN1184" s="16"/>
    </row>
    <row r="1185">
      <c r="A1185" s="13" t="s">
        <v>2326</v>
      </c>
      <c r="B1185" s="10">
        <v>42572.0</v>
      </c>
      <c r="C1185" s="11" t="s">
        <v>55</v>
      </c>
      <c r="D1185" s="11" t="s">
        <v>77</v>
      </c>
      <c r="E1185" s="11" t="s">
        <v>39</v>
      </c>
      <c r="F1185" s="11" t="s">
        <v>40</v>
      </c>
      <c r="G1185" s="11" t="s">
        <v>45</v>
      </c>
      <c r="H1185" s="11" t="s">
        <v>112</v>
      </c>
      <c r="I1185" s="11"/>
      <c r="J1185" s="11">
        <v>23.0</v>
      </c>
      <c r="K1185" s="12">
        <v>43198.0</v>
      </c>
      <c r="L1185" s="11">
        <f>ROUND(((K1185-B1185)/365)*12,0)</f>
        <v>21</v>
      </c>
      <c r="M1185" s="11">
        <v>605288.0</v>
      </c>
      <c r="N1185" s="11">
        <v>12718.0</v>
      </c>
      <c r="O1185" s="13" t="s">
        <v>1031</v>
      </c>
      <c r="P1185" s="11">
        <v>0.0</v>
      </c>
      <c r="Q1185" s="14">
        <v>0.0</v>
      </c>
      <c r="R1185" s="41">
        <v>1.0</v>
      </c>
      <c r="S1185">
        <f t="shared" si="1"/>
        <v>2016</v>
      </c>
      <c r="T1185">
        <f t="shared" si="2"/>
        <v>7</v>
      </c>
      <c r="U1185">
        <f t="shared" si="3"/>
        <v>21</v>
      </c>
      <c r="V1185" s="17">
        <v>42744.0</v>
      </c>
      <c r="Z1185" s="17">
        <v>42941.0</v>
      </c>
      <c r="AA1185" s="17">
        <v>43101.0</v>
      </c>
      <c r="AB1185" s="13" t="s">
        <v>2327</v>
      </c>
      <c r="AG1185" s="15"/>
      <c r="AH1185" s="16"/>
      <c r="AM1185" s="15"/>
      <c r="AN1185" s="16"/>
    </row>
    <row r="1186">
      <c r="A1186" s="13" t="s">
        <v>2328</v>
      </c>
      <c r="B1186" s="10">
        <v>42570.0</v>
      </c>
      <c r="C1186" s="11" t="s">
        <v>162</v>
      </c>
      <c r="D1186" s="11" t="s">
        <v>58</v>
      </c>
      <c r="E1186" s="11" t="s">
        <v>39</v>
      </c>
      <c r="F1186" s="11" t="s">
        <v>40</v>
      </c>
      <c r="G1186" s="11" t="s">
        <v>45</v>
      </c>
      <c r="H1186" s="11" t="s">
        <v>67</v>
      </c>
      <c r="I1186" s="11" t="s">
        <v>878</v>
      </c>
      <c r="J1186" s="11">
        <v>24.0</v>
      </c>
      <c r="K1186" s="12"/>
      <c r="L1186" s="11"/>
      <c r="M1186" s="11">
        <v>621209.0</v>
      </c>
      <c r="N1186" s="11">
        <v>13849.0</v>
      </c>
      <c r="O1186" s="13" t="s">
        <v>355</v>
      </c>
      <c r="P1186" s="11">
        <v>0.0</v>
      </c>
      <c r="Q1186" s="14">
        <v>0.0</v>
      </c>
      <c r="R1186" s="11">
        <v>0.0</v>
      </c>
      <c r="S1186">
        <f t="shared" si="1"/>
        <v>2016</v>
      </c>
      <c r="T1186">
        <f t="shared" si="2"/>
        <v>7</v>
      </c>
      <c r="U1186">
        <f t="shared" si="3"/>
        <v>19</v>
      </c>
      <c r="X1186" s="17">
        <v>43291.0</v>
      </c>
      <c r="AG1186" s="15"/>
      <c r="AH1186" s="16"/>
      <c r="AM1186" s="15"/>
      <c r="AN1186" s="16"/>
    </row>
    <row r="1187">
      <c r="A1187" s="13" t="s">
        <v>2329</v>
      </c>
      <c r="B1187" s="10">
        <v>42559.0</v>
      </c>
      <c r="C1187" s="11" t="s">
        <v>346</v>
      </c>
      <c r="D1187" s="11" t="s">
        <v>221</v>
      </c>
      <c r="E1187" s="11" t="s">
        <v>118</v>
      </c>
      <c r="F1187" s="11" t="s">
        <v>40</v>
      </c>
      <c r="G1187" s="11" t="s">
        <v>45</v>
      </c>
      <c r="H1187" s="11" t="s">
        <v>56</v>
      </c>
      <c r="I1187" s="11" t="s">
        <v>1746</v>
      </c>
      <c r="J1187" s="11">
        <v>22.0</v>
      </c>
      <c r="K1187" s="12">
        <v>42866.0</v>
      </c>
      <c r="L1187" s="11">
        <f t="shared" ref="L1187:L1189" si="122">ROUND(((K1187-B1187)/365)*12,0)</f>
        <v>10</v>
      </c>
      <c r="M1187" s="11">
        <v>664133.0</v>
      </c>
      <c r="N1187" s="11" t="s">
        <v>2330</v>
      </c>
      <c r="O1187" s="13"/>
      <c r="P1187" s="11">
        <v>0.0</v>
      </c>
      <c r="Q1187" s="14">
        <v>0.0</v>
      </c>
      <c r="R1187" s="41">
        <v>1.0</v>
      </c>
      <c r="S1187">
        <f t="shared" si="1"/>
        <v>2016</v>
      </c>
      <c r="T1187">
        <f t="shared" si="2"/>
        <v>7</v>
      </c>
      <c r="U1187">
        <f t="shared" si="3"/>
        <v>8</v>
      </c>
      <c r="Z1187" s="17">
        <v>42866.0</v>
      </c>
      <c r="AG1187" s="15"/>
      <c r="AH1187" s="16"/>
      <c r="AM1187" s="15"/>
      <c r="AN1187" s="16"/>
    </row>
    <row r="1188">
      <c r="A1188" s="13" t="s">
        <v>2331</v>
      </c>
      <c r="B1188" s="10">
        <v>42557.0</v>
      </c>
      <c r="C1188" s="11" t="s">
        <v>358</v>
      </c>
      <c r="D1188" s="11" t="s">
        <v>213</v>
      </c>
      <c r="E1188" s="11" t="s">
        <v>39</v>
      </c>
      <c r="F1188" s="11" t="s">
        <v>40</v>
      </c>
      <c r="G1188" s="11" t="s">
        <v>45</v>
      </c>
      <c r="H1188" s="11" t="s">
        <v>173</v>
      </c>
      <c r="I1188" s="11"/>
      <c r="J1188" s="11">
        <v>18.0</v>
      </c>
      <c r="K1188" s="12">
        <v>42913.0</v>
      </c>
      <c r="L1188" s="11">
        <f t="shared" si="122"/>
        <v>12</v>
      </c>
      <c r="M1188" s="11">
        <v>669323.0</v>
      </c>
      <c r="N1188" s="11" t="s">
        <v>2332</v>
      </c>
      <c r="O1188" s="13"/>
      <c r="P1188" s="11">
        <v>0.0</v>
      </c>
      <c r="Q1188" s="14">
        <v>0.0</v>
      </c>
      <c r="R1188" s="41">
        <v>1.0</v>
      </c>
      <c r="S1188">
        <f t="shared" si="1"/>
        <v>2016</v>
      </c>
      <c r="T1188">
        <f t="shared" si="2"/>
        <v>7</v>
      </c>
      <c r="U1188">
        <f t="shared" si="3"/>
        <v>6</v>
      </c>
      <c r="AG1188" s="15"/>
      <c r="AH1188" s="16"/>
      <c r="AM1188" s="15"/>
      <c r="AN1188" s="16"/>
    </row>
    <row r="1189">
      <c r="A1189" s="13" t="s">
        <v>2333</v>
      </c>
      <c r="B1189" s="10">
        <v>42552.0</v>
      </c>
      <c r="C1189" s="11" t="s">
        <v>116</v>
      </c>
      <c r="D1189" s="11" t="s">
        <v>93</v>
      </c>
      <c r="E1189" s="11" t="s">
        <v>39</v>
      </c>
      <c r="F1189" s="11" t="s">
        <v>40</v>
      </c>
      <c r="G1189" s="11" t="s">
        <v>45</v>
      </c>
      <c r="H1189" s="11" t="s">
        <v>163</v>
      </c>
      <c r="I1189" s="11"/>
      <c r="J1189" s="11">
        <v>18.0</v>
      </c>
      <c r="K1189" s="12">
        <v>43271.0</v>
      </c>
      <c r="L1189" s="11">
        <f t="shared" si="122"/>
        <v>24</v>
      </c>
      <c r="M1189" s="11">
        <v>669117.0</v>
      </c>
      <c r="N1189" s="11" t="s">
        <v>2334</v>
      </c>
      <c r="O1189" s="13"/>
      <c r="P1189" s="11">
        <v>0.0</v>
      </c>
      <c r="Q1189" s="14">
        <v>0.0</v>
      </c>
      <c r="R1189" s="11">
        <v>1.0</v>
      </c>
      <c r="S1189">
        <f t="shared" si="1"/>
        <v>2016</v>
      </c>
      <c r="T1189">
        <f t="shared" si="2"/>
        <v>7</v>
      </c>
      <c r="U1189">
        <f t="shared" si="3"/>
        <v>1</v>
      </c>
      <c r="X1189" s="17"/>
      <c r="Z1189" s="17"/>
      <c r="AG1189" s="15"/>
      <c r="AH1189" s="16"/>
      <c r="AM1189" s="15"/>
      <c r="AN1189" s="16"/>
    </row>
    <row r="1190">
      <c r="A1190" s="13" t="s">
        <v>2335</v>
      </c>
      <c r="B1190" s="10">
        <v>42552.0</v>
      </c>
      <c r="C1190" s="11" t="s">
        <v>167</v>
      </c>
      <c r="D1190" s="11" t="s">
        <v>93</v>
      </c>
      <c r="E1190" s="11" t="s">
        <v>39</v>
      </c>
      <c r="F1190" s="11" t="s">
        <v>40</v>
      </c>
      <c r="G1190" s="11" t="s">
        <v>45</v>
      </c>
      <c r="H1190" s="11" t="s">
        <v>669</v>
      </c>
      <c r="I1190" s="11" t="s">
        <v>78</v>
      </c>
      <c r="J1190" s="11">
        <v>20.0</v>
      </c>
      <c r="K1190" s="12">
        <v>44436.0</v>
      </c>
      <c r="L1190" s="11"/>
      <c r="M1190" s="11">
        <v>689608.0</v>
      </c>
      <c r="N1190" s="11" t="s">
        <v>2336</v>
      </c>
      <c r="O1190" s="13"/>
      <c r="P1190" s="11">
        <v>0.0</v>
      </c>
      <c r="Q1190" s="14">
        <v>0.0</v>
      </c>
      <c r="R1190" s="11">
        <v>1.0</v>
      </c>
      <c r="S1190">
        <f t="shared" si="1"/>
        <v>2016</v>
      </c>
      <c r="T1190">
        <f t="shared" si="2"/>
        <v>7</v>
      </c>
      <c r="U1190">
        <f t="shared" si="3"/>
        <v>1</v>
      </c>
      <c r="X1190" s="17"/>
      <c r="Z1190" s="17"/>
      <c r="AG1190" s="15"/>
      <c r="AH1190" s="16"/>
      <c r="AM1190" s="15"/>
      <c r="AN1190" s="16"/>
    </row>
    <row r="1191">
      <c r="A1191" s="13" t="s">
        <v>2337</v>
      </c>
      <c r="B1191" s="10">
        <v>42552.0</v>
      </c>
      <c r="C1191" s="11" t="s">
        <v>44</v>
      </c>
      <c r="D1191" s="11" t="s">
        <v>97</v>
      </c>
      <c r="E1191" s="11" t="s">
        <v>39</v>
      </c>
      <c r="F1191" s="11" t="s">
        <v>64</v>
      </c>
      <c r="G1191" s="11" t="s">
        <v>45</v>
      </c>
      <c r="H1191" s="11" t="s">
        <v>258</v>
      </c>
      <c r="I1191" s="11"/>
      <c r="J1191" s="11">
        <v>19.0</v>
      </c>
      <c r="K1191" s="12">
        <v>43195.0</v>
      </c>
      <c r="L1191" s="11">
        <f t="shared" ref="L1191:L1194" si="123">ROUND(((K1191-B1191)/365)*12,0)</f>
        <v>21</v>
      </c>
      <c r="M1191" s="11">
        <v>656529.0</v>
      </c>
      <c r="N1191" s="11">
        <v>18548.0</v>
      </c>
      <c r="O1191" s="13"/>
      <c r="P1191" s="11">
        <v>0.0</v>
      </c>
      <c r="Q1191" s="14">
        <v>0.0</v>
      </c>
      <c r="R1191" s="41">
        <v>1.0</v>
      </c>
      <c r="S1191">
        <f t="shared" si="1"/>
        <v>2016</v>
      </c>
      <c r="T1191">
        <f t="shared" si="2"/>
        <v>7</v>
      </c>
      <c r="U1191">
        <f t="shared" si="3"/>
        <v>1</v>
      </c>
      <c r="X1191" s="17">
        <v>42843.0</v>
      </c>
      <c r="Z1191" s="17">
        <v>42924.0</v>
      </c>
      <c r="AG1191" s="15"/>
      <c r="AH1191" s="16"/>
      <c r="AM1191" s="15"/>
      <c r="AN1191" s="16"/>
    </row>
    <row r="1192">
      <c r="A1192" s="13" t="s">
        <v>2338</v>
      </c>
      <c r="B1192" s="10">
        <v>42552.0</v>
      </c>
      <c r="C1192" s="11" t="s">
        <v>44</v>
      </c>
      <c r="D1192" s="11" t="s">
        <v>221</v>
      </c>
      <c r="E1192" s="11" t="s">
        <v>39</v>
      </c>
      <c r="F1192" s="11" t="s">
        <v>40</v>
      </c>
      <c r="G1192" s="11" t="s">
        <v>41</v>
      </c>
      <c r="H1192" s="11"/>
      <c r="I1192" s="11"/>
      <c r="J1192" s="11">
        <v>21.0</v>
      </c>
      <c r="K1192" s="12">
        <v>42946.0</v>
      </c>
      <c r="L1192" s="11">
        <f t="shared" si="123"/>
        <v>13</v>
      </c>
      <c r="M1192" s="11">
        <v>642684.0</v>
      </c>
      <c r="N1192" s="11" t="s">
        <v>2339</v>
      </c>
      <c r="O1192" s="13"/>
      <c r="P1192" s="11">
        <v>0.0</v>
      </c>
      <c r="Q1192" s="14">
        <v>0.0</v>
      </c>
      <c r="R1192" s="41">
        <v>1.0</v>
      </c>
      <c r="S1192">
        <f t="shared" si="1"/>
        <v>2016</v>
      </c>
      <c r="T1192">
        <f t="shared" si="2"/>
        <v>7</v>
      </c>
      <c r="U1192">
        <f t="shared" si="3"/>
        <v>1</v>
      </c>
      <c r="Z1192" s="17">
        <v>42946.0</v>
      </c>
      <c r="AG1192" s="15"/>
      <c r="AH1192" s="16"/>
      <c r="AM1192" s="15"/>
      <c r="AN1192" s="16"/>
    </row>
    <row r="1193">
      <c r="A1193" s="13" t="s">
        <v>2340</v>
      </c>
      <c r="B1193" s="10">
        <v>42552.0</v>
      </c>
      <c r="C1193" s="11" t="s">
        <v>52</v>
      </c>
      <c r="D1193" s="11" t="s">
        <v>93</v>
      </c>
      <c r="E1193" s="11" t="s">
        <v>39</v>
      </c>
      <c r="F1193" s="11" t="s">
        <v>40</v>
      </c>
      <c r="G1193" s="11" t="s">
        <v>45</v>
      </c>
      <c r="H1193" s="11" t="s">
        <v>56</v>
      </c>
      <c r="I1193" s="11" t="s">
        <v>320</v>
      </c>
      <c r="J1193" s="11">
        <v>21.0</v>
      </c>
      <c r="K1193" s="12">
        <v>42923.0</v>
      </c>
      <c r="L1193" s="11">
        <f t="shared" si="123"/>
        <v>12</v>
      </c>
      <c r="M1193" s="11">
        <v>669942.0</v>
      </c>
      <c r="N1193" s="11" t="s">
        <v>2341</v>
      </c>
      <c r="O1193" s="13"/>
      <c r="P1193" s="11">
        <v>0.0</v>
      </c>
      <c r="Q1193" s="14">
        <v>0.0</v>
      </c>
      <c r="R1193" s="41">
        <v>1.0</v>
      </c>
      <c r="S1193">
        <f t="shared" si="1"/>
        <v>2016</v>
      </c>
      <c r="T1193">
        <f t="shared" si="2"/>
        <v>7</v>
      </c>
      <c r="U1193">
        <f t="shared" si="3"/>
        <v>1</v>
      </c>
      <c r="AG1193" s="15"/>
      <c r="AH1193" s="16"/>
      <c r="AM1193" s="15"/>
      <c r="AN1193" s="16"/>
    </row>
    <row r="1194">
      <c r="A1194" s="13" t="s">
        <v>2342</v>
      </c>
      <c r="B1194" s="10">
        <v>42552.0</v>
      </c>
      <c r="C1194" s="11" t="s">
        <v>346</v>
      </c>
      <c r="D1194" s="11" t="s">
        <v>38</v>
      </c>
      <c r="E1194" s="11" t="s">
        <v>39</v>
      </c>
      <c r="F1194" s="11" t="s">
        <v>64</v>
      </c>
      <c r="G1194" s="11" t="s">
        <v>45</v>
      </c>
      <c r="H1194" s="11" t="s">
        <v>112</v>
      </c>
      <c r="I1194" s="11" t="s">
        <v>379</v>
      </c>
      <c r="J1194" s="11">
        <v>25.0</v>
      </c>
      <c r="K1194" s="12">
        <v>42965.0</v>
      </c>
      <c r="L1194" s="11">
        <f t="shared" si="123"/>
        <v>14</v>
      </c>
      <c r="M1194" s="11">
        <v>571760.0</v>
      </c>
      <c r="N1194" s="11">
        <v>15423.0</v>
      </c>
      <c r="O1194" s="13" t="s">
        <v>69</v>
      </c>
      <c r="P1194" s="11">
        <v>5.0</v>
      </c>
      <c r="Q1194" s="14">
        <v>21.667</v>
      </c>
      <c r="R1194" s="41">
        <v>1.0</v>
      </c>
      <c r="S1194">
        <f t="shared" si="1"/>
        <v>2016</v>
      </c>
      <c r="T1194">
        <f t="shared" si="2"/>
        <v>7</v>
      </c>
      <c r="U1194">
        <f t="shared" si="3"/>
        <v>1</v>
      </c>
      <c r="V1194" s="17">
        <v>42714.0</v>
      </c>
      <c r="Z1194" s="17">
        <v>42929.0</v>
      </c>
      <c r="AA1194" s="17">
        <v>42644.0</v>
      </c>
      <c r="AB1194" s="13" t="s">
        <v>2060</v>
      </c>
      <c r="AG1194" s="15"/>
      <c r="AH1194" s="16"/>
      <c r="AM1194" s="15"/>
      <c r="AN1194" s="16"/>
    </row>
    <row r="1195">
      <c r="A1195" s="13" t="s">
        <v>2343</v>
      </c>
      <c r="B1195" s="10">
        <v>42549.0</v>
      </c>
      <c r="C1195" s="11" t="s">
        <v>83</v>
      </c>
      <c r="D1195" s="11" t="s">
        <v>77</v>
      </c>
      <c r="E1195" s="11" t="s">
        <v>39</v>
      </c>
      <c r="F1195" s="11" t="s">
        <v>40</v>
      </c>
      <c r="G1195" s="11" t="s">
        <v>45</v>
      </c>
      <c r="H1195" s="11" t="s">
        <v>74</v>
      </c>
      <c r="I1195" s="11" t="s">
        <v>2344</v>
      </c>
      <c r="J1195" s="11">
        <v>28.0</v>
      </c>
      <c r="K1195" s="12"/>
      <c r="L1195" s="11"/>
      <c r="M1195" s="11">
        <v>623914.0</v>
      </c>
      <c r="N1195" s="11" t="s">
        <v>2345</v>
      </c>
      <c r="O1195" s="13"/>
      <c r="P1195" s="11">
        <v>0.0</v>
      </c>
      <c r="Q1195" s="14">
        <v>0.0</v>
      </c>
      <c r="R1195" s="11">
        <v>0.0</v>
      </c>
      <c r="S1195">
        <f t="shared" si="1"/>
        <v>2016</v>
      </c>
      <c r="T1195">
        <f t="shared" si="2"/>
        <v>6</v>
      </c>
      <c r="U1195">
        <f t="shared" si="3"/>
        <v>28</v>
      </c>
      <c r="AG1195" s="15"/>
      <c r="AH1195" s="16"/>
      <c r="AM1195" s="15"/>
      <c r="AN1195" s="16"/>
    </row>
    <row r="1196">
      <c r="A1196" s="13" t="s">
        <v>2346</v>
      </c>
      <c r="B1196" s="10">
        <v>42544.0</v>
      </c>
      <c r="C1196" s="11" t="s">
        <v>44</v>
      </c>
      <c r="D1196" s="11" t="s">
        <v>221</v>
      </c>
      <c r="E1196" s="11" t="s">
        <v>39</v>
      </c>
      <c r="F1196" s="11" t="s">
        <v>40</v>
      </c>
      <c r="G1196" s="11" t="s">
        <v>45</v>
      </c>
      <c r="H1196" s="11" t="s">
        <v>67</v>
      </c>
      <c r="I1196" s="11"/>
      <c r="J1196" s="11">
        <v>18.0</v>
      </c>
      <c r="K1196" s="12">
        <v>42924.0</v>
      </c>
      <c r="L1196" s="11">
        <f t="shared" ref="L1196:L1201" si="124">ROUND(((K1196-B1196)/365)*12,0)</f>
        <v>12</v>
      </c>
      <c r="M1196" s="11">
        <v>663454.0</v>
      </c>
      <c r="N1196" s="11" t="s">
        <v>2347</v>
      </c>
      <c r="O1196" s="13" t="s">
        <v>69</v>
      </c>
      <c r="P1196" s="11">
        <v>0.0</v>
      </c>
      <c r="Q1196" s="14">
        <v>0.0</v>
      </c>
      <c r="R1196" s="41">
        <v>1.0</v>
      </c>
      <c r="S1196">
        <f t="shared" si="1"/>
        <v>2016</v>
      </c>
      <c r="T1196">
        <f t="shared" si="2"/>
        <v>6</v>
      </c>
      <c r="U1196">
        <f t="shared" si="3"/>
        <v>23</v>
      </c>
      <c r="X1196" s="17">
        <v>42840.0</v>
      </c>
      <c r="AG1196" s="15"/>
      <c r="AH1196" s="16"/>
      <c r="AM1196" s="15"/>
      <c r="AN1196" s="16"/>
    </row>
    <row r="1197">
      <c r="A1197" s="19" t="s">
        <v>2348</v>
      </c>
      <c r="B1197" s="20">
        <v>42544.0</v>
      </c>
      <c r="C1197" s="21" t="s">
        <v>55</v>
      </c>
      <c r="D1197" s="21" t="s">
        <v>221</v>
      </c>
      <c r="E1197" s="21" t="s">
        <v>39</v>
      </c>
      <c r="F1197" s="21" t="s">
        <v>40</v>
      </c>
      <c r="G1197" s="21" t="s">
        <v>1002</v>
      </c>
      <c r="H1197" s="21"/>
      <c r="I1197" s="21"/>
      <c r="J1197" s="21">
        <v>19.0</v>
      </c>
      <c r="K1197" s="44">
        <v>43269.0</v>
      </c>
      <c r="L1197" s="11">
        <f t="shared" si="124"/>
        <v>24</v>
      </c>
      <c r="M1197" s="21">
        <v>650690.0</v>
      </c>
      <c r="N1197" s="21" t="s">
        <v>2349</v>
      </c>
      <c r="O1197" s="38" t="s">
        <v>1031</v>
      </c>
      <c r="P1197" s="21">
        <v>0.0</v>
      </c>
      <c r="Q1197" s="23">
        <v>0.0</v>
      </c>
      <c r="R1197" s="21">
        <v>1.0</v>
      </c>
      <c r="S1197" s="33">
        <f t="shared" si="1"/>
        <v>2016</v>
      </c>
      <c r="T1197" s="33">
        <f t="shared" si="2"/>
        <v>6</v>
      </c>
      <c r="U1197" s="33">
        <f t="shared" si="3"/>
        <v>23</v>
      </c>
      <c r="V1197" s="24"/>
      <c r="W1197" s="24"/>
      <c r="X1197" s="24"/>
      <c r="Y1197" s="24"/>
      <c r="Z1197" s="24"/>
      <c r="AA1197" s="24"/>
      <c r="AB1197" s="24"/>
      <c r="AC1197" s="24"/>
      <c r="AD1197" s="24"/>
      <c r="AE1197" s="24"/>
      <c r="AF1197" s="24"/>
      <c r="AG1197" s="26"/>
      <c r="AH1197" s="27"/>
      <c r="AI1197" s="24"/>
      <c r="AJ1197" s="24"/>
      <c r="AK1197" s="24"/>
      <c r="AL1197" s="24"/>
      <c r="AM1197" s="26"/>
      <c r="AN1197" s="27"/>
      <c r="AO1197" s="24"/>
      <c r="AP1197" s="24"/>
    </row>
    <row r="1198">
      <c r="A1198" s="13" t="s">
        <v>2350</v>
      </c>
      <c r="B1198" s="10">
        <v>42544.0</v>
      </c>
      <c r="C1198" s="11" t="s">
        <v>103</v>
      </c>
      <c r="D1198" s="11" t="s">
        <v>213</v>
      </c>
      <c r="E1198" s="11" t="s">
        <v>39</v>
      </c>
      <c r="F1198" s="11" t="s">
        <v>40</v>
      </c>
      <c r="G1198" s="11" t="s">
        <v>45</v>
      </c>
      <c r="H1198" s="11" t="s">
        <v>119</v>
      </c>
      <c r="I1198" s="11"/>
      <c r="J1198" s="11">
        <v>18.0</v>
      </c>
      <c r="K1198" s="12">
        <v>42962.0</v>
      </c>
      <c r="L1198" s="11">
        <f t="shared" si="124"/>
        <v>14</v>
      </c>
      <c r="M1198" s="11">
        <v>668797.0</v>
      </c>
      <c r="N1198" s="11" t="s">
        <v>2351</v>
      </c>
      <c r="O1198" s="13" t="s">
        <v>761</v>
      </c>
      <c r="P1198" s="11">
        <v>0.0</v>
      </c>
      <c r="Q1198" s="14">
        <v>0.0</v>
      </c>
      <c r="R1198" s="41">
        <v>1.0</v>
      </c>
      <c r="S1198">
        <f t="shared" si="1"/>
        <v>2016</v>
      </c>
      <c r="T1198">
        <f t="shared" si="2"/>
        <v>6</v>
      </c>
      <c r="U1198">
        <f t="shared" si="3"/>
        <v>23</v>
      </c>
      <c r="AG1198" s="15"/>
      <c r="AH1198" s="16"/>
      <c r="AM1198" s="15"/>
      <c r="AN1198" s="16"/>
    </row>
    <row r="1199">
      <c r="A1199" s="13" t="s">
        <v>2352</v>
      </c>
      <c r="B1199" s="10">
        <v>42544.0</v>
      </c>
      <c r="C1199" s="11" t="s">
        <v>186</v>
      </c>
      <c r="D1199" s="11" t="s">
        <v>77</v>
      </c>
      <c r="E1199" s="11" t="s">
        <v>39</v>
      </c>
      <c r="F1199" s="11" t="s">
        <v>40</v>
      </c>
      <c r="G1199" s="11" t="s">
        <v>45</v>
      </c>
      <c r="H1199" s="11" t="s">
        <v>566</v>
      </c>
      <c r="I1199" s="11" t="s">
        <v>476</v>
      </c>
      <c r="J1199" s="11">
        <v>23.0</v>
      </c>
      <c r="K1199" s="12">
        <v>43218.0</v>
      </c>
      <c r="L1199" s="11">
        <f t="shared" si="124"/>
        <v>22</v>
      </c>
      <c r="M1199" s="11">
        <v>657710.0</v>
      </c>
      <c r="N1199" s="11" t="s">
        <v>2353</v>
      </c>
      <c r="O1199" s="10"/>
      <c r="P1199" s="11">
        <v>0.0</v>
      </c>
      <c r="Q1199" s="14">
        <v>0.0</v>
      </c>
      <c r="R1199" s="41">
        <v>1.0</v>
      </c>
      <c r="S1199">
        <f t="shared" si="1"/>
        <v>2016</v>
      </c>
      <c r="T1199">
        <f t="shared" si="2"/>
        <v>6</v>
      </c>
      <c r="U1199">
        <f t="shared" si="3"/>
        <v>23</v>
      </c>
      <c r="AG1199" s="15"/>
      <c r="AH1199" s="16"/>
      <c r="AM1199" s="15"/>
      <c r="AN1199" s="16"/>
    </row>
    <row r="1200">
      <c r="A1200" s="13" t="s">
        <v>2354</v>
      </c>
      <c r="B1200" s="10">
        <v>42543.0</v>
      </c>
      <c r="C1200" s="11" t="s">
        <v>76</v>
      </c>
      <c r="D1200" s="11" t="s">
        <v>93</v>
      </c>
      <c r="E1200" s="11" t="s">
        <v>39</v>
      </c>
      <c r="F1200" s="11" t="s">
        <v>64</v>
      </c>
      <c r="G1200" s="11" t="s">
        <v>45</v>
      </c>
      <c r="H1200" s="11" t="s">
        <v>139</v>
      </c>
      <c r="I1200" s="11" t="s">
        <v>359</v>
      </c>
      <c r="J1200" s="11">
        <v>21.0</v>
      </c>
      <c r="K1200" s="12">
        <v>43292.0</v>
      </c>
      <c r="L1200" s="11">
        <f t="shared" si="124"/>
        <v>25</v>
      </c>
      <c r="M1200" s="11">
        <v>642213.0</v>
      </c>
      <c r="N1200" s="11" t="s">
        <v>2355</v>
      </c>
      <c r="O1200" s="13" t="s">
        <v>761</v>
      </c>
      <c r="P1200" s="11">
        <v>0.0</v>
      </c>
      <c r="Q1200" s="14">
        <v>0.0</v>
      </c>
      <c r="R1200" s="41">
        <v>1.0</v>
      </c>
      <c r="S1200">
        <f t="shared" si="1"/>
        <v>2016</v>
      </c>
      <c r="T1200">
        <f t="shared" si="2"/>
        <v>6</v>
      </c>
      <c r="U1200">
        <f t="shared" si="3"/>
        <v>22</v>
      </c>
      <c r="AG1200" s="15"/>
      <c r="AH1200" s="16"/>
      <c r="AM1200" s="15"/>
      <c r="AN1200" s="16"/>
    </row>
    <row r="1201">
      <c r="A1201" s="13" t="s">
        <v>2356</v>
      </c>
      <c r="B1201" s="10">
        <v>42534.0</v>
      </c>
      <c r="C1201" s="11" t="s">
        <v>186</v>
      </c>
      <c r="D1201" s="11" t="s">
        <v>93</v>
      </c>
      <c r="E1201" s="11" t="s">
        <v>39</v>
      </c>
      <c r="F1201" s="11" t="s">
        <v>40</v>
      </c>
      <c r="G1201" s="11" t="s">
        <v>45</v>
      </c>
      <c r="H1201" s="11" t="s">
        <v>317</v>
      </c>
      <c r="I1201" s="11" t="s">
        <v>640</v>
      </c>
      <c r="J1201" s="11">
        <v>21.0</v>
      </c>
      <c r="K1201" s="12">
        <v>42911.0</v>
      </c>
      <c r="L1201" s="11">
        <f t="shared" si="124"/>
        <v>12</v>
      </c>
      <c r="M1201" s="11">
        <v>641416.0</v>
      </c>
      <c r="N1201" s="11" t="s">
        <v>2357</v>
      </c>
      <c r="O1201" s="13"/>
      <c r="P1201" s="11">
        <v>0.0</v>
      </c>
      <c r="Q1201" s="14">
        <v>0.0</v>
      </c>
      <c r="R1201" s="41">
        <v>1.0</v>
      </c>
      <c r="S1201">
        <f t="shared" si="1"/>
        <v>2016</v>
      </c>
      <c r="T1201">
        <f t="shared" si="2"/>
        <v>6</v>
      </c>
      <c r="U1201">
        <f t="shared" si="3"/>
        <v>13</v>
      </c>
      <c r="AG1201" s="15"/>
      <c r="AH1201" s="16"/>
      <c r="AM1201" s="15"/>
      <c r="AN1201" s="16"/>
    </row>
    <row r="1202">
      <c r="A1202" s="13" t="s">
        <v>2358</v>
      </c>
      <c r="B1202" s="10">
        <v>42531.0</v>
      </c>
      <c r="C1202" s="11" t="s">
        <v>143</v>
      </c>
      <c r="D1202" s="11" t="s">
        <v>38</v>
      </c>
      <c r="E1202" s="11" t="s">
        <v>39</v>
      </c>
      <c r="F1202" s="11" t="s">
        <v>40</v>
      </c>
      <c r="G1202" s="11" t="s">
        <v>45</v>
      </c>
      <c r="H1202" s="11" t="s">
        <v>84</v>
      </c>
      <c r="I1202" s="11" t="s">
        <v>1461</v>
      </c>
      <c r="J1202" s="11">
        <v>26.0</v>
      </c>
      <c r="K1202" s="12"/>
      <c r="L1202" s="11"/>
      <c r="M1202" s="11">
        <v>543900.0</v>
      </c>
      <c r="N1202" s="11">
        <v>10558.0</v>
      </c>
      <c r="O1202" s="13"/>
      <c r="P1202" s="11">
        <v>0.0</v>
      </c>
      <c r="Q1202" s="14">
        <v>0.0</v>
      </c>
      <c r="R1202" s="11">
        <v>0.0</v>
      </c>
      <c r="S1202">
        <f t="shared" si="1"/>
        <v>2016</v>
      </c>
      <c r="T1202">
        <f t="shared" si="2"/>
        <v>6</v>
      </c>
      <c r="U1202">
        <f t="shared" si="3"/>
        <v>10</v>
      </c>
      <c r="X1202" s="17">
        <v>42885.0</v>
      </c>
      <c r="AG1202" s="15"/>
      <c r="AH1202" s="16"/>
      <c r="AM1202" s="15"/>
      <c r="AN1202" s="16"/>
    </row>
    <row r="1203">
      <c r="A1203" s="13" t="s">
        <v>1938</v>
      </c>
      <c r="B1203" s="17">
        <v>42522.0</v>
      </c>
      <c r="C1203" s="11" t="s">
        <v>346</v>
      </c>
      <c r="D1203" s="11" t="s">
        <v>93</v>
      </c>
      <c r="E1203" s="11" t="s">
        <v>39</v>
      </c>
      <c r="F1203" s="11" t="s">
        <v>40</v>
      </c>
      <c r="G1203" s="11" t="s">
        <v>45</v>
      </c>
      <c r="H1203" s="11" t="s">
        <v>67</v>
      </c>
      <c r="I1203" s="11" t="s">
        <v>190</v>
      </c>
      <c r="J1203" s="11">
        <v>19.0</v>
      </c>
      <c r="K1203" s="12">
        <v>44322.0</v>
      </c>
      <c r="L1203" s="12"/>
      <c r="M1203" s="11">
        <v>663739.0</v>
      </c>
      <c r="N1203" s="11" t="s">
        <v>1939</v>
      </c>
      <c r="O1203" s="13"/>
      <c r="P1203" s="11">
        <v>0.0</v>
      </c>
      <c r="Q1203" s="14">
        <v>0.0</v>
      </c>
      <c r="R1203" s="11">
        <v>1.0</v>
      </c>
      <c r="S1203">
        <f t="shared" si="1"/>
        <v>2016</v>
      </c>
      <c r="T1203">
        <f t="shared" si="2"/>
        <v>6</v>
      </c>
      <c r="U1203">
        <f t="shared" si="3"/>
        <v>1</v>
      </c>
      <c r="AG1203" s="15"/>
      <c r="AH1203" s="16"/>
      <c r="AM1203" s="15"/>
      <c r="AN1203" s="16"/>
    </row>
    <row r="1204">
      <c r="A1204" s="13" t="s">
        <v>2359</v>
      </c>
      <c r="B1204" s="10">
        <v>42522.0</v>
      </c>
      <c r="C1204" s="11" t="s">
        <v>49</v>
      </c>
      <c r="D1204" s="11" t="s">
        <v>97</v>
      </c>
      <c r="E1204" s="11" t="s">
        <v>104</v>
      </c>
      <c r="F1204" s="11" t="s">
        <v>40</v>
      </c>
      <c r="G1204" s="11" t="s">
        <v>53</v>
      </c>
      <c r="H1204" s="11"/>
      <c r="I1204" s="11"/>
      <c r="J1204" s="11">
        <v>21.0</v>
      </c>
      <c r="K1204" s="12">
        <v>42872.0</v>
      </c>
      <c r="L1204" s="11">
        <f>ROUND(((K1204-B1204)/365)*12,0)</f>
        <v>12</v>
      </c>
      <c r="M1204" s="11">
        <v>622511.0</v>
      </c>
      <c r="N1204" s="11" t="s">
        <v>2360</v>
      </c>
      <c r="O1204" s="13"/>
      <c r="P1204" s="11">
        <v>0.0</v>
      </c>
      <c r="Q1204" s="14">
        <v>0.0</v>
      </c>
      <c r="R1204" s="41">
        <v>1.0</v>
      </c>
      <c r="S1204">
        <f t="shared" si="1"/>
        <v>2016</v>
      </c>
      <c r="T1204">
        <f t="shared" si="2"/>
        <v>6</v>
      </c>
      <c r="U1204">
        <f t="shared" si="3"/>
        <v>1</v>
      </c>
      <c r="Z1204" s="17">
        <v>42872.0</v>
      </c>
      <c r="AG1204" s="15"/>
      <c r="AH1204" s="16"/>
      <c r="AM1204" s="15"/>
      <c r="AN1204" s="16"/>
    </row>
    <row r="1205">
      <c r="A1205" s="13" t="s">
        <v>2361</v>
      </c>
      <c r="B1205" s="10">
        <v>42522.0</v>
      </c>
      <c r="C1205" s="11" t="s">
        <v>49</v>
      </c>
      <c r="D1205" s="11" t="s">
        <v>709</v>
      </c>
      <c r="E1205" s="11" t="s">
        <v>39</v>
      </c>
      <c r="F1205" s="11" t="s">
        <v>40</v>
      </c>
      <c r="G1205" s="11" t="s">
        <v>105</v>
      </c>
      <c r="H1205" s="11"/>
      <c r="I1205" s="11"/>
      <c r="J1205" s="11">
        <v>21.0</v>
      </c>
      <c r="K1205" s="12"/>
      <c r="L1205" s="11"/>
      <c r="M1205" s="11">
        <v>601971.0</v>
      </c>
      <c r="N1205" s="11" t="s">
        <v>2362</v>
      </c>
      <c r="O1205" s="13"/>
      <c r="P1205" s="11">
        <v>0.0</v>
      </c>
      <c r="Q1205" s="14">
        <v>0.0</v>
      </c>
      <c r="R1205" s="11">
        <v>0.0</v>
      </c>
      <c r="S1205">
        <f t="shared" si="1"/>
        <v>2016</v>
      </c>
      <c r="T1205">
        <f t="shared" si="2"/>
        <v>6</v>
      </c>
      <c r="U1205">
        <f t="shared" si="3"/>
        <v>1</v>
      </c>
      <c r="Z1205" s="17">
        <v>42911.0</v>
      </c>
      <c r="AG1205" s="15"/>
      <c r="AH1205" s="16"/>
      <c r="AM1205" s="15"/>
      <c r="AN1205" s="16"/>
    </row>
    <row r="1206">
      <c r="A1206" s="13" t="s">
        <v>2363</v>
      </c>
      <c r="B1206" s="10">
        <v>42522.0</v>
      </c>
      <c r="C1206" s="11" t="s">
        <v>62</v>
      </c>
      <c r="D1206" s="11" t="s">
        <v>97</v>
      </c>
      <c r="E1206" s="11" t="s">
        <v>39</v>
      </c>
      <c r="F1206" s="11" t="s">
        <v>40</v>
      </c>
      <c r="G1206" s="11" t="s">
        <v>45</v>
      </c>
      <c r="H1206" s="11" t="s">
        <v>67</v>
      </c>
      <c r="I1206" s="11"/>
      <c r="J1206" s="11">
        <v>19.0</v>
      </c>
      <c r="K1206" s="12">
        <v>43196.0</v>
      </c>
      <c r="L1206" s="11">
        <f>ROUND(((K1206-B1206)/365)*12,0)</f>
        <v>22</v>
      </c>
      <c r="M1206" s="11">
        <v>657277.0</v>
      </c>
      <c r="N1206" s="11">
        <v>17995.0</v>
      </c>
      <c r="O1206" s="13"/>
      <c r="P1206" s="11">
        <v>0.0</v>
      </c>
      <c r="Q1206" s="14">
        <v>0.0</v>
      </c>
      <c r="R1206" s="41">
        <v>1.0</v>
      </c>
      <c r="S1206">
        <f t="shared" si="1"/>
        <v>2016</v>
      </c>
      <c r="T1206">
        <f t="shared" si="2"/>
        <v>6</v>
      </c>
      <c r="U1206">
        <f t="shared" si="3"/>
        <v>1</v>
      </c>
      <c r="Y1206" s="17">
        <v>42857.0</v>
      </c>
      <c r="Z1206" s="17">
        <v>42901.0</v>
      </c>
      <c r="AG1206" s="15"/>
      <c r="AH1206" s="16"/>
      <c r="AM1206" s="15"/>
      <c r="AN1206" s="16"/>
    </row>
    <row r="1207">
      <c r="A1207" s="13" t="s">
        <v>2364</v>
      </c>
      <c r="B1207" s="10">
        <v>42522.0</v>
      </c>
      <c r="C1207" s="11" t="s">
        <v>62</v>
      </c>
      <c r="D1207" s="11" t="s">
        <v>88</v>
      </c>
      <c r="E1207" s="11" t="s">
        <v>39</v>
      </c>
      <c r="F1207" s="11" t="s">
        <v>40</v>
      </c>
      <c r="G1207" s="11" t="s">
        <v>45</v>
      </c>
      <c r="H1207" s="11" t="s">
        <v>67</v>
      </c>
      <c r="I1207" s="11" t="s">
        <v>351</v>
      </c>
      <c r="J1207" s="11">
        <v>25.0</v>
      </c>
      <c r="K1207" s="12"/>
      <c r="L1207" s="11"/>
      <c r="M1207" s="11">
        <v>622094.0</v>
      </c>
      <c r="N1207" s="11" t="s">
        <v>2365</v>
      </c>
      <c r="O1207" s="13"/>
      <c r="P1207" s="11">
        <v>0.0</v>
      </c>
      <c r="Q1207" s="14">
        <v>0.0</v>
      </c>
      <c r="R1207" s="11">
        <v>0.0</v>
      </c>
      <c r="S1207">
        <f t="shared" si="1"/>
        <v>2016</v>
      </c>
      <c r="T1207">
        <f t="shared" si="2"/>
        <v>6</v>
      </c>
      <c r="U1207">
        <f t="shared" si="3"/>
        <v>1</v>
      </c>
      <c r="AG1207" s="15"/>
      <c r="AH1207" s="16"/>
      <c r="AM1207" s="15"/>
      <c r="AN1207" s="16"/>
    </row>
    <row r="1208">
      <c r="A1208" s="13" t="s">
        <v>2366</v>
      </c>
      <c r="B1208" s="10">
        <v>42522.0</v>
      </c>
      <c r="C1208" s="11" t="s">
        <v>156</v>
      </c>
      <c r="D1208" s="11" t="s">
        <v>221</v>
      </c>
      <c r="E1208" s="11" t="s">
        <v>39</v>
      </c>
      <c r="F1208" s="11" t="s">
        <v>40</v>
      </c>
      <c r="G1208" s="11" t="s">
        <v>45</v>
      </c>
      <c r="H1208" s="11" t="s">
        <v>182</v>
      </c>
      <c r="I1208" s="11"/>
      <c r="J1208" s="11">
        <v>19.0</v>
      </c>
      <c r="K1208" s="12">
        <v>42926.0</v>
      </c>
      <c r="L1208" s="11">
        <f>ROUND(((K1208-B1208)/365)*12,0)</f>
        <v>13</v>
      </c>
      <c r="M1208" s="11">
        <v>663648.0</v>
      </c>
      <c r="N1208" s="11" t="s">
        <v>2367</v>
      </c>
      <c r="O1208" s="13"/>
      <c r="P1208" s="11">
        <v>0.0</v>
      </c>
      <c r="Q1208" s="14">
        <v>0.0</v>
      </c>
      <c r="R1208" s="11">
        <v>1.0</v>
      </c>
      <c r="S1208">
        <f t="shared" si="1"/>
        <v>2016</v>
      </c>
      <c r="T1208">
        <f t="shared" si="2"/>
        <v>6</v>
      </c>
      <c r="U1208">
        <f t="shared" si="3"/>
        <v>1</v>
      </c>
      <c r="Z1208" s="17">
        <v>42926.0</v>
      </c>
      <c r="AG1208" s="15"/>
      <c r="AH1208" s="16"/>
      <c r="AM1208" s="15"/>
      <c r="AN1208" s="16"/>
    </row>
    <row r="1209">
      <c r="A1209" s="13" t="s">
        <v>2368</v>
      </c>
      <c r="B1209" s="10">
        <v>42516.0</v>
      </c>
      <c r="C1209" s="11" t="s">
        <v>76</v>
      </c>
      <c r="D1209" s="11" t="s">
        <v>58</v>
      </c>
      <c r="E1209" s="30" t="s">
        <v>39</v>
      </c>
      <c r="F1209" s="11" t="s">
        <v>40</v>
      </c>
      <c r="G1209" s="30" t="s">
        <v>45</v>
      </c>
      <c r="H1209" s="11" t="s">
        <v>84</v>
      </c>
      <c r="I1209" s="11" t="s">
        <v>2369</v>
      </c>
      <c r="J1209" s="11">
        <v>27.0</v>
      </c>
      <c r="K1209" s="12"/>
      <c r="L1209" s="11"/>
      <c r="M1209" s="11">
        <v>518863.0</v>
      </c>
      <c r="N1209" s="11">
        <v>10466.0</v>
      </c>
      <c r="O1209" s="13" t="s">
        <v>761</v>
      </c>
      <c r="P1209" s="11">
        <v>0.0</v>
      </c>
      <c r="Q1209" s="14">
        <v>0.0</v>
      </c>
      <c r="R1209" s="11">
        <v>0.0</v>
      </c>
      <c r="S1209">
        <f t="shared" si="1"/>
        <v>2016</v>
      </c>
      <c r="T1209">
        <f t="shared" si="2"/>
        <v>5</v>
      </c>
      <c r="U1209">
        <f t="shared" si="3"/>
        <v>26</v>
      </c>
      <c r="AG1209" s="15"/>
      <c r="AH1209" s="16"/>
      <c r="AM1209" s="15"/>
      <c r="AN1209" s="16"/>
    </row>
    <row r="1210">
      <c r="A1210" s="13" t="s">
        <v>2370</v>
      </c>
      <c r="B1210" s="10">
        <v>42514.0</v>
      </c>
      <c r="C1210" s="11" t="s">
        <v>72</v>
      </c>
      <c r="D1210" s="11" t="s">
        <v>38</v>
      </c>
      <c r="E1210" s="11" t="s">
        <v>39</v>
      </c>
      <c r="F1210" s="11" t="s">
        <v>40</v>
      </c>
      <c r="G1210" s="11" t="s">
        <v>45</v>
      </c>
      <c r="H1210" s="11" t="s">
        <v>56</v>
      </c>
      <c r="I1210" s="11" t="s">
        <v>1378</v>
      </c>
      <c r="J1210" s="11">
        <v>26.0</v>
      </c>
      <c r="K1210" s="39">
        <v>42983.0</v>
      </c>
      <c r="L1210" s="11">
        <f t="shared" ref="L1210:L1211" si="125">ROUND(((K1210-B1210)/365)*12,0)</f>
        <v>15</v>
      </c>
      <c r="M1210" s="11">
        <v>605476.0</v>
      </c>
      <c r="N1210" s="11">
        <v>13172.0</v>
      </c>
      <c r="O1210" s="13" t="s">
        <v>1407</v>
      </c>
      <c r="P1210" s="11">
        <v>8.0</v>
      </c>
      <c r="Q1210" s="14">
        <v>6.667</v>
      </c>
      <c r="R1210" s="41">
        <v>1.0</v>
      </c>
      <c r="S1210">
        <f t="shared" si="1"/>
        <v>2016</v>
      </c>
      <c r="T1210">
        <f t="shared" si="2"/>
        <v>5</v>
      </c>
      <c r="U1210">
        <f t="shared" si="3"/>
        <v>24</v>
      </c>
      <c r="W1210" s="17">
        <v>42807.0</v>
      </c>
      <c r="X1210" s="17">
        <v>42816.0</v>
      </c>
      <c r="Y1210" s="17">
        <v>42893.0</v>
      </c>
      <c r="AA1210" s="17">
        <v>42852.0</v>
      </c>
      <c r="AB1210" s="13" t="s">
        <v>2371</v>
      </c>
      <c r="AG1210" s="15"/>
      <c r="AH1210" s="16"/>
      <c r="AM1210" s="15"/>
      <c r="AN1210" s="16"/>
    </row>
    <row r="1211">
      <c r="A1211" s="13" t="s">
        <v>2372</v>
      </c>
      <c r="B1211" s="10">
        <v>42514.0</v>
      </c>
      <c r="C1211" s="11" t="s">
        <v>162</v>
      </c>
      <c r="D1211" s="11" t="s">
        <v>221</v>
      </c>
      <c r="E1211" s="11" t="s">
        <v>39</v>
      </c>
      <c r="F1211" s="11" t="s">
        <v>40</v>
      </c>
      <c r="G1211" s="11" t="s">
        <v>225</v>
      </c>
      <c r="H1211" s="11"/>
      <c r="I1211" s="11"/>
      <c r="J1211" s="11">
        <v>19.0</v>
      </c>
      <c r="K1211" s="39">
        <v>42916.0</v>
      </c>
      <c r="L1211" s="11">
        <f t="shared" si="125"/>
        <v>13</v>
      </c>
      <c r="M1211" s="11">
        <v>664747.0</v>
      </c>
      <c r="N1211" s="11">
        <v>21132.0</v>
      </c>
      <c r="O1211" s="13"/>
      <c r="P1211" s="11">
        <v>0.0</v>
      </c>
      <c r="Q1211" s="14">
        <v>0.0</v>
      </c>
      <c r="R1211" s="41">
        <v>1.0</v>
      </c>
      <c r="S1211">
        <f t="shared" si="1"/>
        <v>2016</v>
      </c>
      <c r="T1211">
        <f t="shared" si="2"/>
        <v>5</v>
      </c>
      <c r="U1211">
        <f t="shared" si="3"/>
        <v>24</v>
      </c>
      <c r="AG1211" s="15"/>
      <c r="AH1211" s="16"/>
      <c r="AM1211" s="15"/>
      <c r="AN1211" s="16"/>
    </row>
    <row r="1212">
      <c r="A1212" s="13" t="s">
        <v>2373</v>
      </c>
      <c r="B1212" s="10">
        <v>42514.0</v>
      </c>
      <c r="C1212" s="11" t="s">
        <v>358</v>
      </c>
      <c r="D1212" s="11" t="s">
        <v>213</v>
      </c>
      <c r="E1212" s="11" t="s">
        <v>39</v>
      </c>
      <c r="F1212" s="11" t="s">
        <v>64</v>
      </c>
      <c r="G1212" s="11" t="s">
        <v>45</v>
      </c>
      <c r="H1212" s="11" t="s">
        <v>109</v>
      </c>
      <c r="I1212" s="11" t="s">
        <v>2374</v>
      </c>
      <c r="J1212" s="11">
        <v>18.0</v>
      </c>
      <c r="K1212" s="39">
        <v>43640.0</v>
      </c>
      <c r="L1212" s="11"/>
      <c r="M1212" s="11">
        <v>668857.0</v>
      </c>
      <c r="N1212" s="11" t="s">
        <v>2375</v>
      </c>
      <c r="O1212" s="13"/>
      <c r="P1212" s="11">
        <v>0.0</v>
      </c>
      <c r="Q1212" s="14">
        <v>0.0</v>
      </c>
      <c r="R1212" s="11">
        <v>1.0</v>
      </c>
      <c r="S1212">
        <f t="shared" si="1"/>
        <v>2016</v>
      </c>
      <c r="T1212">
        <f t="shared" si="2"/>
        <v>5</v>
      </c>
      <c r="U1212">
        <f t="shared" si="3"/>
        <v>24</v>
      </c>
      <c r="Z1212" s="17"/>
      <c r="AG1212" s="15"/>
      <c r="AH1212" s="16"/>
      <c r="AM1212" s="15"/>
      <c r="AN1212" s="16"/>
    </row>
    <row r="1213">
      <c r="A1213" s="13" t="s">
        <v>2376</v>
      </c>
      <c r="B1213" s="10">
        <v>42514.0</v>
      </c>
      <c r="C1213" s="11" t="s">
        <v>175</v>
      </c>
      <c r="D1213" s="11" t="s">
        <v>93</v>
      </c>
      <c r="E1213" s="11" t="s">
        <v>39</v>
      </c>
      <c r="F1213" s="11" t="s">
        <v>40</v>
      </c>
      <c r="G1213" s="11" t="s">
        <v>45</v>
      </c>
      <c r="H1213" s="11" t="s">
        <v>139</v>
      </c>
      <c r="I1213" s="11" t="s">
        <v>2377</v>
      </c>
      <c r="J1213" s="11">
        <v>19.0</v>
      </c>
      <c r="K1213" s="39">
        <v>43638.0</v>
      </c>
      <c r="L1213" s="11"/>
      <c r="M1213" s="11">
        <v>656648.0</v>
      </c>
      <c r="N1213" s="11" t="s">
        <v>2378</v>
      </c>
      <c r="O1213" s="13"/>
      <c r="P1213" s="11">
        <v>0.0</v>
      </c>
      <c r="Q1213" s="14">
        <v>0.0</v>
      </c>
      <c r="R1213" s="11">
        <v>1.0</v>
      </c>
      <c r="S1213">
        <f t="shared" si="1"/>
        <v>2016</v>
      </c>
      <c r="T1213">
        <f t="shared" si="2"/>
        <v>5</v>
      </c>
      <c r="U1213">
        <f t="shared" si="3"/>
        <v>24</v>
      </c>
      <c r="Z1213" s="17"/>
      <c r="AG1213" s="15"/>
      <c r="AH1213" s="16"/>
      <c r="AM1213" s="15"/>
      <c r="AN1213" s="16"/>
    </row>
    <row r="1214">
      <c r="A1214" s="13" t="s">
        <v>2379</v>
      </c>
      <c r="B1214" s="10">
        <v>42510.0</v>
      </c>
      <c r="C1214" s="11" t="s">
        <v>162</v>
      </c>
      <c r="D1214" s="11" t="s">
        <v>88</v>
      </c>
      <c r="E1214" s="11" t="s">
        <v>39</v>
      </c>
      <c r="F1214" s="11" t="s">
        <v>40</v>
      </c>
      <c r="G1214" s="11" t="s">
        <v>45</v>
      </c>
      <c r="H1214" s="11" t="s">
        <v>67</v>
      </c>
      <c r="I1214" s="11" t="s">
        <v>287</v>
      </c>
      <c r="J1214" s="11">
        <v>23.0</v>
      </c>
      <c r="K1214" s="39">
        <v>42891.0</v>
      </c>
      <c r="L1214" s="11">
        <f t="shared" ref="L1214:L1217" si="126">ROUND(((K1214-B1214)/365)*12,0)</f>
        <v>13</v>
      </c>
      <c r="M1214" s="11">
        <v>605495.0</v>
      </c>
      <c r="N1214" s="11" t="s">
        <v>2380</v>
      </c>
      <c r="O1214" s="13"/>
      <c r="P1214" s="11">
        <v>0.0</v>
      </c>
      <c r="Q1214" s="14">
        <v>0.0</v>
      </c>
      <c r="R1214" s="11">
        <v>1.0</v>
      </c>
      <c r="S1214">
        <f t="shared" si="1"/>
        <v>2016</v>
      </c>
      <c r="T1214">
        <f t="shared" si="2"/>
        <v>5</v>
      </c>
      <c r="U1214">
        <f t="shared" si="3"/>
        <v>20</v>
      </c>
      <c r="Z1214" s="17">
        <v>42891.0</v>
      </c>
      <c r="AG1214" s="15"/>
      <c r="AH1214" s="16"/>
      <c r="AM1214" s="15"/>
      <c r="AN1214" s="16"/>
    </row>
    <row r="1215">
      <c r="A1215" s="13" t="s">
        <v>2381</v>
      </c>
      <c r="B1215" s="10">
        <v>42510.0</v>
      </c>
      <c r="C1215" s="11" t="s">
        <v>175</v>
      </c>
      <c r="D1215" s="11" t="s">
        <v>88</v>
      </c>
      <c r="E1215" s="11" t="s">
        <v>39</v>
      </c>
      <c r="F1215" s="11" t="s">
        <v>40</v>
      </c>
      <c r="G1215" s="11" t="s">
        <v>45</v>
      </c>
      <c r="H1215" s="11" t="s">
        <v>957</v>
      </c>
      <c r="I1215" s="11" t="s">
        <v>2382</v>
      </c>
      <c r="J1215" s="11">
        <v>22.0</v>
      </c>
      <c r="K1215" s="39">
        <v>43195.0</v>
      </c>
      <c r="L1215" s="11">
        <f t="shared" si="126"/>
        <v>23</v>
      </c>
      <c r="M1215" s="11">
        <v>664142.0</v>
      </c>
      <c r="N1215" s="11" t="s">
        <v>2383</v>
      </c>
      <c r="O1215" s="13"/>
      <c r="P1215" s="11">
        <v>0.0</v>
      </c>
      <c r="Q1215" s="14">
        <v>0.0</v>
      </c>
      <c r="R1215" s="41">
        <v>1.0</v>
      </c>
      <c r="S1215">
        <f t="shared" si="1"/>
        <v>2016</v>
      </c>
      <c r="T1215">
        <f t="shared" si="2"/>
        <v>5</v>
      </c>
      <c r="U1215">
        <f t="shared" si="3"/>
        <v>20</v>
      </c>
      <c r="Z1215" s="17">
        <v>42938.0</v>
      </c>
      <c r="AG1215" s="15"/>
      <c r="AH1215" s="16"/>
      <c r="AM1215" s="15"/>
      <c r="AN1215" s="16"/>
    </row>
    <row r="1216">
      <c r="A1216" s="13" t="s">
        <v>2384</v>
      </c>
      <c r="B1216" s="10">
        <v>42507.0</v>
      </c>
      <c r="C1216" s="11" t="s">
        <v>49</v>
      </c>
      <c r="D1216" s="11" t="s">
        <v>88</v>
      </c>
      <c r="E1216" s="11" t="s">
        <v>39</v>
      </c>
      <c r="F1216" s="11" t="s">
        <v>40</v>
      </c>
      <c r="G1216" s="11" t="s">
        <v>45</v>
      </c>
      <c r="H1216" s="11" t="s">
        <v>276</v>
      </c>
      <c r="I1216" s="11" t="s">
        <v>2385</v>
      </c>
      <c r="J1216" s="11">
        <v>23.0</v>
      </c>
      <c r="K1216" s="39">
        <v>42937.0</v>
      </c>
      <c r="L1216" s="11">
        <f t="shared" si="126"/>
        <v>14</v>
      </c>
      <c r="M1216" s="11">
        <v>660874.0</v>
      </c>
      <c r="N1216" s="11" t="s">
        <v>2386</v>
      </c>
      <c r="O1216" s="13" t="s">
        <v>1407</v>
      </c>
      <c r="P1216" s="11">
        <v>0.0</v>
      </c>
      <c r="Q1216" s="14">
        <v>0.0</v>
      </c>
      <c r="R1216" s="41">
        <v>1.0</v>
      </c>
      <c r="S1216">
        <f t="shared" si="1"/>
        <v>2016</v>
      </c>
      <c r="T1216">
        <f t="shared" si="2"/>
        <v>5</v>
      </c>
      <c r="U1216">
        <f t="shared" si="3"/>
        <v>17</v>
      </c>
      <c r="Z1216" s="17">
        <v>42919.0</v>
      </c>
      <c r="AG1216" s="15"/>
      <c r="AH1216" s="16"/>
      <c r="AM1216" s="15"/>
      <c r="AN1216" s="16"/>
    </row>
    <row r="1217">
      <c r="A1217" s="13" t="s">
        <v>2387</v>
      </c>
      <c r="B1217" s="10">
        <v>42507.0</v>
      </c>
      <c r="C1217" s="11" t="s">
        <v>175</v>
      </c>
      <c r="D1217" s="11" t="s">
        <v>38</v>
      </c>
      <c r="E1217" s="11" t="s">
        <v>39</v>
      </c>
      <c r="F1217" s="11" t="s">
        <v>64</v>
      </c>
      <c r="G1217" s="11" t="s">
        <v>45</v>
      </c>
      <c r="H1217" s="11" t="s">
        <v>67</v>
      </c>
      <c r="I1217" s="11"/>
      <c r="J1217" s="11">
        <v>25.0</v>
      </c>
      <c r="K1217" s="39">
        <v>43190.0</v>
      </c>
      <c r="L1217" s="11">
        <f t="shared" si="126"/>
        <v>22</v>
      </c>
      <c r="M1217" s="11">
        <v>572362.0</v>
      </c>
      <c r="N1217" s="11">
        <v>10354.0</v>
      </c>
      <c r="O1217" s="13" t="s">
        <v>69</v>
      </c>
      <c r="P1217" s="11">
        <v>0.0</v>
      </c>
      <c r="Q1217" s="14">
        <v>0.0</v>
      </c>
      <c r="R1217" s="41">
        <v>1.0</v>
      </c>
      <c r="S1217">
        <f t="shared" si="1"/>
        <v>2016</v>
      </c>
      <c r="T1217">
        <f t="shared" si="2"/>
        <v>5</v>
      </c>
      <c r="U1217">
        <f t="shared" si="3"/>
        <v>17</v>
      </c>
      <c r="Y1217" s="17">
        <v>42979.0</v>
      </c>
      <c r="AG1217" s="15"/>
      <c r="AH1217" s="16"/>
      <c r="AM1217" s="15"/>
      <c r="AN1217" s="16"/>
    </row>
    <row r="1218">
      <c r="A1218" s="13" t="s">
        <v>2388</v>
      </c>
      <c r="B1218" s="10">
        <v>42502.0</v>
      </c>
      <c r="C1218" s="11" t="s">
        <v>126</v>
      </c>
      <c r="D1218" s="11" t="s">
        <v>88</v>
      </c>
      <c r="E1218" s="11" t="s">
        <v>39</v>
      </c>
      <c r="F1218" s="11" t="s">
        <v>40</v>
      </c>
      <c r="G1218" s="11" t="s">
        <v>483</v>
      </c>
      <c r="H1218" s="11"/>
      <c r="I1218" s="11"/>
      <c r="J1218" s="11">
        <v>26.0</v>
      </c>
      <c r="K1218" s="30"/>
      <c r="L1218" s="30"/>
      <c r="M1218" s="11">
        <v>664485.0</v>
      </c>
      <c r="N1218" s="11" t="s">
        <v>2389</v>
      </c>
      <c r="O1218" s="13"/>
      <c r="P1218" s="11">
        <v>0.0</v>
      </c>
      <c r="Q1218" s="14">
        <v>0.0</v>
      </c>
      <c r="R1218" s="11">
        <v>0.0</v>
      </c>
      <c r="S1218">
        <f t="shared" si="1"/>
        <v>2016</v>
      </c>
      <c r="T1218">
        <f t="shared" si="2"/>
        <v>5</v>
      </c>
      <c r="U1218">
        <f t="shared" si="3"/>
        <v>12</v>
      </c>
      <c r="Z1218" s="17">
        <v>42913.0</v>
      </c>
      <c r="AG1218" s="15"/>
      <c r="AH1218" s="16"/>
      <c r="AM1218" s="15"/>
      <c r="AN1218" s="16"/>
    </row>
    <row r="1219">
      <c r="A1219" s="13" t="s">
        <v>2390</v>
      </c>
      <c r="B1219" s="10">
        <v>42499.0</v>
      </c>
      <c r="C1219" s="11" t="s">
        <v>108</v>
      </c>
      <c r="D1219" s="11" t="s">
        <v>58</v>
      </c>
      <c r="E1219" s="11" t="s">
        <v>39</v>
      </c>
      <c r="F1219" s="11" t="s">
        <v>40</v>
      </c>
      <c r="G1219" s="11" t="s">
        <v>45</v>
      </c>
      <c r="H1219" s="11" t="s">
        <v>133</v>
      </c>
      <c r="I1219" s="11" t="s">
        <v>133</v>
      </c>
      <c r="J1219" s="11">
        <v>29.0</v>
      </c>
      <c r="K1219" s="39">
        <v>42868.0</v>
      </c>
      <c r="L1219" s="11">
        <f t="shared" ref="L1219:L1221" si="127">ROUND(((K1219-B1219)/365)*12,0)</f>
        <v>12</v>
      </c>
      <c r="M1219" s="11">
        <v>543031.0</v>
      </c>
      <c r="N1219" s="11">
        <v>8536.0</v>
      </c>
      <c r="O1219" s="13"/>
      <c r="P1219" s="11">
        <v>1.0</v>
      </c>
      <c r="Q1219" s="14">
        <v>1.0</v>
      </c>
      <c r="R1219" s="41">
        <v>1.0</v>
      </c>
      <c r="S1219">
        <f t="shared" si="1"/>
        <v>2016</v>
      </c>
      <c r="T1219">
        <f t="shared" si="2"/>
        <v>5</v>
      </c>
      <c r="U1219">
        <f t="shared" si="3"/>
        <v>9</v>
      </c>
      <c r="Z1219" s="17">
        <v>42868.0</v>
      </c>
      <c r="AG1219" s="15"/>
      <c r="AH1219" s="16"/>
      <c r="AM1219" s="15"/>
      <c r="AN1219" s="16"/>
    </row>
    <row r="1220">
      <c r="A1220" s="13" t="s">
        <v>2391</v>
      </c>
      <c r="B1220" s="10">
        <v>42496.0</v>
      </c>
      <c r="C1220" s="11" t="s">
        <v>274</v>
      </c>
      <c r="D1220" s="11" t="s">
        <v>38</v>
      </c>
      <c r="E1220" s="11" t="s">
        <v>39</v>
      </c>
      <c r="F1220" s="11" t="s">
        <v>40</v>
      </c>
      <c r="G1220" s="11" t="s">
        <v>45</v>
      </c>
      <c r="H1220" s="11" t="s">
        <v>236</v>
      </c>
      <c r="I1220" s="11" t="s">
        <v>625</v>
      </c>
      <c r="J1220" s="11">
        <v>27.0</v>
      </c>
      <c r="K1220" s="39">
        <v>43260.0</v>
      </c>
      <c r="L1220" s="11">
        <f t="shared" si="127"/>
        <v>25</v>
      </c>
      <c r="M1220" s="11">
        <v>605135.0</v>
      </c>
      <c r="N1220" s="11">
        <v>12304.0</v>
      </c>
      <c r="O1220" s="13" t="s">
        <v>355</v>
      </c>
      <c r="P1220" s="11">
        <v>0.0</v>
      </c>
      <c r="Q1220" s="14">
        <v>0.0</v>
      </c>
      <c r="R1220" s="41">
        <v>1.0</v>
      </c>
      <c r="S1220">
        <f t="shared" si="1"/>
        <v>2016</v>
      </c>
      <c r="T1220">
        <f t="shared" si="2"/>
        <v>5</v>
      </c>
      <c r="U1220">
        <f t="shared" si="3"/>
        <v>6</v>
      </c>
      <c r="W1220" s="17">
        <v>42780.0</v>
      </c>
      <c r="Y1220" s="17">
        <v>42830.0</v>
      </c>
      <c r="Z1220" s="17">
        <v>42854.0</v>
      </c>
      <c r="AA1220" s="17">
        <v>42885.0</v>
      </c>
      <c r="AB1220" s="13" t="s">
        <v>2392</v>
      </c>
      <c r="AG1220" s="15"/>
      <c r="AH1220" s="16"/>
      <c r="AM1220" s="15"/>
      <c r="AN1220" s="16"/>
    </row>
    <row r="1221">
      <c r="A1221" s="13" t="s">
        <v>2393</v>
      </c>
      <c r="B1221" s="10">
        <v>42494.0</v>
      </c>
      <c r="C1221" s="11" t="s">
        <v>138</v>
      </c>
      <c r="D1221" s="11" t="s">
        <v>221</v>
      </c>
      <c r="E1221" s="11" t="s">
        <v>39</v>
      </c>
      <c r="F1221" s="11" t="s">
        <v>40</v>
      </c>
      <c r="G1221" s="11" t="s">
        <v>45</v>
      </c>
      <c r="H1221" s="11" t="s">
        <v>669</v>
      </c>
      <c r="I1221" s="11"/>
      <c r="J1221" s="11">
        <v>20.0</v>
      </c>
      <c r="K1221" s="39">
        <v>42913.0</v>
      </c>
      <c r="L1221" s="11">
        <f t="shared" si="127"/>
        <v>14</v>
      </c>
      <c r="M1221" s="11">
        <v>663383.0</v>
      </c>
      <c r="N1221" s="11" t="s">
        <v>2394</v>
      </c>
      <c r="O1221" s="13"/>
      <c r="P1221" s="11">
        <v>0.0</v>
      </c>
      <c r="Q1221" s="14">
        <v>0.0</v>
      </c>
      <c r="R1221" s="41">
        <v>1.0</v>
      </c>
      <c r="S1221">
        <f t="shared" si="1"/>
        <v>2016</v>
      </c>
      <c r="T1221">
        <f t="shared" si="2"/>
        <v>5</v>
      </c>
      <c r="U1221">
        <f t="shared" si="3"/>
        <v>4</v>
      </c>
      <c r="AG1221" s="15"/>
      <c r="AH1221" s="16"/>
      <c r="AM1221" s="15"/>
      <c r="AN1221" s="16"/>
    </row>
    <row r="1222">
      <c r="A1222" s="13" t="s">
        <v>43</v>
      </c>
      <c r="B1222" s="10">
        <v>42491.0</v>
      </c>
      <c r="C1222" s="11" t="s">
        <v>44</v>
      </c>
      <c r="D1222" s="11" t="s">
        <v>93</v>
      </c>
      <c r="E1222" s="11" t="s">
        <v>39</v>
      </c>
      <c r="F1222" s="11" t="s">
        <v>40</v>
      </c>
      <c r="G1222" s="11" t="s">
        <v>45</v>
      </c>
      <c r="H1222" s="11" t="s">
        <v>46</v>
      </c>
      <c r="I1222" s="11" t="s">
        <v>47</v>
      </c>
      <c r="J1222" s="11">
        <v>19.0</v>
      </c>
      <c r="K1222" s="39">
        <v>43636.0</v>
      </c>
      <c r="L1222" s="11"/>
      <c r="M1222" s="11">
        <v>663671.0</v>
      </c>
      <c r="N1222" s="11" t="s">
        <v>2395</v>
      </c>
      <c r="O1222" s="13"/>
      <c r="P1222" s="11">
        <v>0.0</v>
      </c>
      <c r="Q1222" s="14">
        <v>0.0</v>
      </c>
      <c r="R1222" s="11">
        <v>1.0</v>
      </c>
      <c r="S1222">
        <f t="shared" si="1"/>
        <v>2016</v>
      </c>
      <c r="T1222">
        <f t="shared" si="2"/>
        <v>5</v>
      </c>
      <c r="U1222">
        <f t="shared" si="3"/>
        <v>1</v>
      </c>
      <c r="Z1222" s="17"/>
      <c r="AG1222" s="15"/>
      <c r="AH1222" s="16"/>
      <c r="AM1222" s="15"/>
      <c r="AN1222" s="16"/>
    </row>
    <row r="1223">
      <c r="A1223" s="13" t="s">
        <v>2396</v>
      </c>
      <c r="B1223" s="10">
        <v>42491.0</v>
      </c>
      <c r="C1223" s="11" t="s">
        <v>108</v>
      </c>
      <c r="D1223" s="11" t="s">
        <v>97</v>
      </c>
      <c r="E1223" s="11" t="s">
        <v>39</v>
      </c>
      <c r="F1223" s="11" t="s">
        <v>40</v>
      </c>
      <c r="G1223" s="11" t="s">
        <v>1659</v>
      </c>
      <c r="H1223" s="11"/>
      <c r="I1223" s="11"/>
      <c r="J1223" s="11">
        <v>21.0</v>
      </c>
      <c r="K1223" s="39">
        <v>43197.0</v>
      </c>
      <c r="L1223" s="11">
        <f>ROUND(((K1223-B1223)/365)*12,0)</f>
        <v>23</v>
      </c>
      <c r="M1223" s="11">
        <v>642528.0</v>
      </c>
      <c r="N1223" s="11">
        <v>19753.0</v>
      </c>
      <c r="O1223" s="13" t="s">
        <v>494</v>
      </c>
      <c r="P1223" s="11">
        <v>0.0</v>
      </c>
      <c r="Q1223" s="14">
        <v>0.0</v>
      </c>
      <c r="R1223" s="11">
        <v>1.0</v>
      </c>
      <c r="S1223">
        <f t="shared" si="1"/>
        <v>2016</v>
      </c>
      <c r="T1223">
        <f t="shared" si="2"/>
        <v>5</v>
      </c>
      <c r="U1223">
        <f t="shared" si="3"/>
        <v>1</v>
      </c>
      <c r="Z1223" s="17">
        <v>42912.0</v>
      </c>
      <c r="AG1223" s="15"/>
      <c r="AH1223" s="16"/>
      <c r="AM1223" s="15"/>
      <c r="AN1223" s="16"/>
    </row>
    <row r="1224">
      <c r="A1224" s="13" t="s">
        <v>2397</v>
      </c>
      <c r="B1224" s="10">
        <v>42491.0</v>
      </c>
      <c r="C1224" s="11" t="s">
        <v>62</v>
      </c>
      <c r="D1224" s="11" t="s">
        <v>221</v>
      </c>
      <c r="E1224" s="11" t="s">
        <v>39</v>
      </c>
      <c r="F1224" s="11" t="s">
        <v>40</v>
      </c>
      <c r="G1224" s="11" t="s">
        <v>194</v>
      </c>
      <c r="H1224" s="11"/>
      <c r="I1224" s="11"/>
      <c r="J1224" s="11">
        <v>20.0</v>
      </c>
      <c r="K1224" s="30"/>
      <c r="L1224" s="30"/>
      <c r="M1224" s="11">
        <v>641402.0</v>
      </c>
      <c r="N1224" s="11" t="s">
        <v>2398</v>
      </c>
      <c r="O1224" s="13"/>
      <c r="P1224" s="11">
        <v>0.0</v>
      </c>
      <c r="Q1224" s="14">
        <v>0.0</v>
      </c>
      <c r="R1224" s="11">
        <v>0.0</v>
      </c>
      <c r="S1224">
        <f t="shared" si="1"/>
        <v>2016</v>
      </c>
      <c r="T1224">
        <f t="shared" si="2"/>
        <v>5</v>
      </c>
      <c r="U1224">
        <f t="shared" si="3"/>
        <v>1</v>
      </c>
      <c r="AG1224" s="15"/>
      <c r="AH1224" s="16"/>
      <c r="AM1224" s="15"/>
      <c r="AN1224" s="16"/>
    </row>
    <row r="1225">
      <c r="A1225" s="13" t="s">
        <v>2399</v>
      </c>
      <c r="B1225" s="10">
        <v>42491.0</v>
      </c>
      <c r="C1225" s="11" t="s">
        <v>156</v>
      </c>
      <c r="D1225" s="11" t="s">
        <v>58</v>
      </c>
      <c r="E1225" s="11" t="s">
        <v>270</v>
      </c>
      <c r="F1225" s="11" t="s">
        <v>40</v>
      </c>
      <c r="G1225" s="11" t="s">
        <v>45</v>
      </c>
      <c r="H1225" s="11" t="s">
        <v>182</v>
      </c>
      <c r="I1225" s="11"/>
      <c r="J1225" s="11">
        <v>24.0</v>
      </c>
      <c r="K1225" s="39">
        <v>42870.0</v>
      </c>
      <c r="L1225" s="11">
        <f>ROUND(((K1225-B1225)/365)*12,0)</f>
        <v>12</v>
      </c>
      <c r="M1225" s="11">
        <v>592166.0</v>
      </c>
      <c r="N1225" s="11">
        <v>12138.0</v>
      </c>
      <c r="O1225" s="13"/>
      <c r="P1225" s="11">
        <v>0.0</v>
      </c>
      <c r="Q1225" s="14">
        <v>0.0</v>
      </c>
      <c r="R1225" s="41">
        <v>1.0</v>
      </c>
      <c r="S1225">
        <f t="shared" si="1"/>
        <v>2016</v>
      </c>
      <c r="T1225">
        <f t="shared" si="2"/>
        <v>5</v>
      </c>
      <c r="U1225">
        <f t="shared" si="3"/>
        <v>1</v>
      </c>
      <c r="Z1225" s="17">
        <v>42860.0</v>
      </c>
      <c r="AG1225" s="15"/>
      <c r="AH1225" s="16"/>
      <c r="AM1225" s="15"/>
      <c r="AN1225" s="16"/>
    </row>
    <row r="1226">
      <c r="A1226" s="13" t="s">
        <v>2400</v>
      </c>
      <c r="B1226" s="10">
        <v>42491.0</v>
      </c>
      <c r="C1226" s="11" t="s">
        <v>235</v>
      </c>
      <c r="D1226" s="11" t="s">
        <v>93</v>
      </c>
      <c r="E1226" s="11" t="s">
        <v>39</v>
      </c>
      <c r="F1226" s="11" t="s">
        <v>40</v>
      </c>
      <c r="G1226" s="11" t="s">
        <v>45</v>
      </c>
      <c r="H1226" s="11" t="s">
        <v>84</v>
      </c>
      <c r="I1226" s="11" t="s">
        <v>391</v>
      </c>
      <c r="J1226" s="11">
        <v>20.0</v>
      </c>
      <c r="K1226" s="39">
        <v>43267.0</v>
      </c>
      <c r="L1226" s="11"/>
      <c r="M1226" s="11">
        <v>656586.0</v>
      </c>
      <c r="N1226" s="11" t="s">
        <v>2401</v>
      </c>
      <c r="O1226" s="13"/>
      <c r="P1226" s="11">
        <v>0.0</v>
      </c>
      <c r="Q1226" s="14">
        <v>0.0</v>
      </c>
      <c r="R1226" s="11">
        <v>0.0</v>
      </c>
      <c r="S1226">
        <f t="shared" si="1"/>
        <v>2016</v>
      </c>
      <c r="T1226">
        <f t="shared" si="2"/>
        <v>5</v>
      </c>
      <c r="U1226">
        <f t="shared" si="3"/>
        <v>1</v>
      </c>
      <c r="Z1226" s="17"/>
      <c r="AG1226" s="15"/>
      <c r="AH1226" s="16"/>
      <c r="AM1226" s="15"/>
      <c r="AN1226" s="16"/>
    </row>
    <row r="1227">
      <c r="A1227" s="13" t="s">
        <v>2402</v>
      </c>
      <c r="B1227" s="10">
        <v>42489.0</v>
      </c>
      <c r="C1227" s="11" t="s">
        <v>44</v>
      </c>
      <c r="D1227" s="11" t="s">
        <v>93</v>
      </c>
      <c r="E1227" s="11" t="s">
        <v>39</v>
      </c>
      <c r="F1227" s="11" t="s">
        <v>40</v>
      </c>
      <c r="G1227" s="11" t="s">
        <v>45</v>
      </c>
      <c r="H1227" s="11" t="s">
        <v>412</v>
      </c>
      <c r="I1227" s="11" t="s">
        <v>98</v>
      </c>
      <c r="J1227" s="11">
        <v>21.0</v>
      </c>
      <c r="K1227" s="39">
        <v>42909.0</v>
      </c>
      <c r="L1227" s="11">
        <f t="shared" ref="L1227:L1229" si="128">ROUND(((K1227-B1227)/365)*12,0)</f>
        <v>14</v>
      </c>
      <c r="M1227" s="11">
        <v>668676.0</v>
      </c>
      <c r="N1227" s="11">
        <v>19979.0</v>
      </c>
      <c r="O1227" s="13"/>
      <c r="P1227" s="11">
        <v>0.0</v>
      </c>
      <c r="Q1227" s="14">
        <v>0.0</v>
      </c>
      <c r="R1227" s="41">
        <v>1.0</v>
      </c>
      <c r="S1227">
        <f t="shared" si="1"/>
        <v>2016</v>
      </c>
      <c r="T1227">
        <f t="shared" si="2"/>
        <v>4</v>
      </c>
      <c r="U1227">
        <f t="shared" si="3"/>
        <v>29</v>
      </c>
      <c r="Z1227" s="17">
        <v>42909.0</v>
      </c>
      <c r="AG1227" s="15"/>
      <c r="AH1227" s="16"/>
      <c r="AM1227" s="15"/>
      <c r="AN1227" s="16"/>
    </row>
    <row r="1228">
      <c r="A1228" s="13" t="s">
        <v>2403</v>
      </c>
      <c r="B1228" s="10">
        <v>42486.0</v>
      </c>
      <c r="C1228" s="11" t="s">
        <v>346</v>
      </c>
      <c r="D1228" s="11" t="s">
        <v>88</v>
      </c>
      <c r="E1228" s="11" t="s">
        <v>39</v>
      </c>
      <c r="F1228" s="11" t="s">
        <v>40</v>
      </c>
      <c r="G1228" s="11" t="s">
        <v>45</v>
      </c>
      <c r="H1228" s="11" t="s">
        <v>84</v>
      </c>
      <c r="I1228" s="11" t="s">
        <v>218</v>
      </c>
      <c r="J1228" s="11">
        <v>24.0</v>
      </c>
      <c r="K1228" s="39">
        <v>42951.0</v>
      </c>
      <c r="L1228" s="11">
        <f t="shared" si="128"/>
        <v>15</v>
      </c>
      <c r="M1228" s="11">
        <v>595165.0</v>
      </c>
      <c r="N1228" s="11" t="s">
        <v>2404</v>
      </c>
      <c r="O1228" s="13"/>
      <c r="P1228" s="11">
        <v>0.0</v>
      </c>
      <c r="Q1228" s="14">
        <v>0.0</v>
      </c>
      <c r="R1228" s="41">
        <v>1.0</v>
      </c>
      <c r="S1228">
        <f t="shared" si="1"/>
        <v>2016</v>
      </c>
      <c r="T1228">
        <f t="shared" si="2"/>
        <v>4</v>
      </c>
      <c r="U1228">
        <f t="shared" si="3"/>
        <v>26</v>
      </c>
      <c r="Z1228" s="17">
        <v>42905.0</v>
      </c>
      <c r="AG1228" s="15"/>
      <c r="AH1228" s="16"/>
      <c r="AM1228" s="15"/>
      <c r="AN1228" s="16"/>
    </row>
    <row r="1229">
      <c r="A1229" s="13" t="s">
        <v>692</v>
      </c>
      <c r="B1229" s="10">
        <v>42486.0</v>
      </c>
      <c r="C1229" s="11" t="s">
        <v>37</v>
      </c>
      <c r="D1229" s="11" t="s">
        <v>88</v>
      </c>
      <c r="E1229" s="11" t="s">
        <v>39</v>
      </c>
      <c r="F1229" s="11" t="s">
        <v>64</v>
      </c>
      <c r="G1229" s="11" t="s">
        <v>41</v>
      </c>
      <c r="H1229" s="11"/>
      <c r="I1229" s="11"/>
      <c r="J1229" s="11">
        <v>23.0</v>
      </c>
      <c r="K1229" s="39">
        <v>42929.0</v>
      </c>
      <c r="L1229" s="11">
        <f t="shared" si="128"/>
        <v>15</v>
      </c>
      <c r="M1229" s="11">
        <v>600887.0</v>
      </c>
      <c r="N1229" s="11">
        <v>18792.0</v>
      </c>
      <c r="O1229" s="13" t="s">
        <v>761</v>
      </c>
      <c r="P1229" s="11">
        <v>0.0</v>
      </c>
      <c r="Q1229" s="14">
        <v>0.0</v>
      </c>
      <c r="R1229" s="41">
        <v>1.0</v>
      </c>
      <c r="S1229">
        <f t="shared" si="1"/>
        <v>2016</v>
      </c>
      <c r="T1229">
        <f t="shared" si="2"/>
        <v>4</v>
      </c>
      <c r="U1229">
        <f t="shared" si="3"/>
        <v>26</v>
      </c>
      <c r="Z1229" s="17">
        <v>42912.0</v>
      </c>
      <c r="AG1229" s="15"/>
      <c r="AH1229" s="16"/>
      <c r="AM1229" s="15"/>
      <c r="AN1229" s="16"/>
    </row>
    <row r="1230">
      <c r="A1230" s="13" t="s">
        <v>2405</v>
      </c>
      <c r="B1230" s="10">
        <v>42486.0</v>
      </c>
      <c r="C1230" s="11" t="s">
        <v>108</v>
      </c>
      <c r="D1230" s="11" t="s">
        <v>38</v>
      </c>
      <c r="E1230" s="11" t="s">
        <v>39</v>
      </c>
      <c r="F1230" s="11" t="s">
        <v>40</v>
      </c>
      <c r="G1230" s="11" t="s">
        <v>45</v>
      </c>
      <c r="H1230" s="11" t="s">
        <v>67</v>
      </c>
      <c r="I1230" s="11" t="s">
        <v>2406</v>
      </c>
      <c r="J1230" s="11">
        <v>27.0</v>
      </c>
      <c r="K1230" s="30"/>
      <c r="L1230" s="30"/>
      <c r="M1230" s="11">
        <v>572038.0</v>
      </c>
      <c r="N1230" s="11">
        <v>12093.0</v>
      </c>
      <c r="O1230" s="13" t="s">
        <v>761</v>
      </c>
      <c r="P1230" s="11">
        <v>0.0</v>
      </c>
      <c r="Q1230" s="14">
        <v>0.0</v>
      </c>
      <c r="R1230" s="11">
        <v>0.0</v>
      </c>
      <c r="S1230">
        <f t="shared" si="1"/>
        <v>2016</v>
      </c>
      <c r="T1230">
        <f t="shared" si="2"/>
        <v>4</v>
      </c>
      <c r="U1230">
        <f t="shared" si="3"/>
        <v>26</v>
      </c>
      <c r="Z1230" s="17">
        <v>42906.0</v>
      </c>
      <c r="AG1230" s="15"/>
      <c r="AH1230" s="16"/>
      <c r="AM1230" s="15"/>
      <c r="AN1230" s="16"/>
    </row>
    <row r="1231">
      <c r="A1231" s="13" t="s">
        <v>2407</v>
      </c>
      <c r="B1231" s="10">
        <v>42480.0</v>
      </c>
      <c r="C1231" s="11" t="s">
        <v>111</v>
      </c>
      <c r="D1231" s="11" t="s">
        <v>93</v>
      </c>
      <c r="E1231" s="11" t="s">
        <v>39</v>
      </c>
      <c r="F1231" s="11" t="s">
        <v>64</v>
      </c>
      <c r="G1231" s="11" t="s">
        <v>45</v>
      </c>
      <c r="H1231" s="11" t="s">
        <v>317</v>
      </c>
      <c r="I1231" s="11" t="s">
        <v>2191</v>
      </c>
      <c r="J1231" s="11">
        <v>19.0</v>
      </c>
      <c r="K1231" s="39">
        <v>43273.0</v>
      </c>
      <c r="L1231" s="11"/>
      <c r="M1231" s="11">
        <v>669373.0</v>
      </c>
      <c r="N1231" s="11">
        <v>22267.0</v>
      </c>
      <c r="O1231" s="13"/>
      <c r="P1231" s="11">
        <v>0.0</v>
      </c>
      <c r="Q1231" s="14">
        <v>0.0</v>
      </c>
      <c r="R1231" s="11">
        <v>1.0</v>
      </c>
      <c r="S1231">
        <f t="shared" si="1"/>
        <v>2016</v>
      </c>
      <c r="T1231">
        <f t="shared" si="2"/>
        <v>4</v>
      </c>
      <c r="U1231">
        <f t="shared" si="3"/>
        <v>20</v>
      </c>
      <c r="Z1231" s="17"/>
      <c r="AG1231" s="15"/>
      <c r="AH1231" s="16"/>
      <c r="AM1231" s="15"/>
      <c r="AN1231" s="16"/>
    </row>
    <row r="1232">
      <c r="A1232" s="13" t="s">
        <v>2408</v>
      </c>
      <c r="B1232" s="10">
        <v>42479.0</v>
      </c>
      <c r="C1232" s="11" t="s">
        <v>108</v>
      </c>
      <c r="D1232" s="11" t="s">
        <v>58</v>
      </c>
      <c r="E1232" s="11" t="s">
        <v>39</v>
      </c>
      <c r="F1232" s="11" t="s">
        <v>40</v>
      </c>
      <c r="G1232" s="11" t="s">
        <v>45</v>
      </c>
      <c r="H1232" s="11" t="s">
        <v>56</v>
      </c>
      <c r="I1232" s="11" t="s">
        <v>619</v>
      </c>
      <c r="J1232" s="11">
        <v>24.0</v>
      </c>
      <c r="K1232" s="39">
        <v>42919.0</v>
      </c>
      <c r="L1232" s="11">
        <f t="shared" ref="L1232:L1238" si="129">ROUND(((K1232-B1232)/365)*12,0)</f>
        <v>14</v>
      </c>
      <c r="M1232" s="11">
        <v>592705.0</v>
      </c>
      <c r="N1232" s="11">
        <v>14867.0</v>
      </c>
      <c r="O1232" s="13" t="s">
        <v>494</v>
      </c>
      <c r="P1232" s="11">
        <v>0.0</v>
      </c>
      <c r="Q1232" s="14">
        <v>0.0</v>
      </c>
      <c r="R1232" s="41">
        <v>1.0</v>
      </c>
      <c r="S1232">
        <f t="shared" si="1"/>
        <v>2016</v>
      </c>
      <c r="T1232">
        <f t="shared" si="2"/>
        <v>4</v>
      </c>
      <c r="U1232">
        <f t="shared" si="3"/>
        <v>19</v>
      </c>
      <c r="Z1232" s="17">
        <v>42888.0</v>
      </c>
      <c r="AG1232" s="15"/>
      <c r="AH1232" s="16"/>
      <c r="AM1232" s="15"/>
      <c r="AN1232" s="16"/>
    </row>
    <row r="1233">
      <c r="A1233" s="13" t="s">
        <v>2409</v>
      </c>
      <c r="B1233" s="10">
        <v>42475.0</v>
      </c>
      <c r="C1233" s="11" t="s">
        <v>358</v>
      </c>
      <c r="D1233" s="11" t="s">
        <v>38</v>
      </c>
      <c r="E1233" s="11" t="s">
        <v>39</v>
      </c>
      <c r="F1233" s="11" t="s">
        <v>64</v>
      </c>
      <c r="G1233" s="11" t="s">
        <v>45</v>
      </c>
      <c r="H1233" s="11" t="s">
        <v>729</v>
      </c>
      <c r="I1233" s="11"/>
      <c r="J1233" s="11">
        <v>26.0</v>
      </c>
      <c r="K1233" s="39">
        <v>43241.0</v>
      </c>
      <c r="L1233" s="11">
        <f t="shared" si="129"/>
        <v>25</v>
      </c>
      <c r="M1233" s="11">
        <v>525768.0</v>
      </c>
      <c r="N1233" s="11">
        <v>3164.0</v>
      </c>
      <c r="O1233" s="13" t="s">
        <v>69</v>
      </c>
      <c r="P1233" s="11">
        <v>0.0</v>
      </c>
      <c r="Q1233" s="45">
        <v>0.0</v>
      </c>
      <c r="R1233" s="41">
        <v>1.0</v>
      </c>
      <c r="S1233">
        <f t="shared" si="1"/>
        <v>2016</v>
      </c>
      <c r="T1233">
        <f t="shared" si="2"/>
        <v>4</v>
      </c>
      <c r="U1233">
        <f t="shared" si="3"/>
        <v>15</v>
      </c>
      <c r="V1233" s="17">
        <v>42644.0</v>
      </c>
      <c r="Z1233" s="17">
        <v>42931.0</v>
      </c>
      <c r="AG1233" s="15"/>
      <c r="AH1233" s="16"/>
      <c r="AM1233" s="15"/>
      <c r="AN1233" s="16"/>
    </row>
    <row r="1234">
      <c r="A1234" s="13" t="s">
        <v>2410</v>
      </c>
      <c r="B1234" s="10">
        <v>42475.0</v>
      </c>
      <c r="C1234" s="11" t="s">
        <v>83</v>
      </c>
      <c r="D1234" s="11" t="s">
        <v>58</v>
      </c>
      <c r="E1234" s="11" t="s">
        <v>39</v>
      </c>
      <c r="F1234" s="11" t="s">
        <v>64</v>
      </c>
      <c r="G1234" s="11" t="s">
        <v>45</v>
      </c>
      <c r="H1234" s="11" t="s">
        <v>652</v>
      </c>
      <c r="I1234" s="11" t="s">
        <v>183</v>
      </c>
      <c r="J1234" s="11">
        <v>24.0</v>
      </c>
      <c r="K1234" s="39">
        <v>42869.0</v>
      </c>
      <c r="L1234" s="11">
        <f t="shared" si="129"/>
        <v>13</v>
      </c>
      <c r="M1234" s="11">
        <v>594835.0</v>
      </c>
      <c r="N1234" s="11">
        <v>15467.0</v>
      </c>
      <c r="O1234" s="13" t="s">
        <v>69</v>
      </c>
      <c r="P1234" s="11">
        <v>11.0</v>
      </c>
      <c r="Q1234" s="14">
        <v>40.0</v>
      </c>
      <c r="R1234" s="41">
        <v>1.0</v>
      </c>
      <c r="S1234">
        <f t="shared" si="1"/>
        <v>2016</v>
      </c>
      <c r="T1234">
        <f t="shared" si="2"/>
        <v>4</v>
      </c>
      <c r="U1234">
        <f t="shared" si="3"/>
        <v>15</v>
      </c>
      <c r="W1234" s="17">
        <v>42776.0</v>
      </c>
      <c r="Z1234" s="17">
        <v>42862.0</v>
      </c>
      <c r="AG1234" s="15"/>
      <c r="AH1234" s="16"/>
      <c r="AM1234" s="15"/>
      <c r="AN1234" s="16"/>
    </row>
    <row r="1235">
      <c r="A1235" s="13" t="s">
        <v>2411</v>
      </c>
      <c r="B1235" s="10">
        <v>42474.0</v>
      </c>
      <c r="C1235" s="11" t="s">
        <v>235</v>
      </c>
      <c r="D1235" s="11" t="s">
        <v>97</v>
      </c>
      <c r="E1235" s="11" t="s">
        <v>39</v>
      </c>
      <c r="F1235" s="11" t="s">
        <v>40</v>
      </c>
      <c r="G1235" s="11" t="s">
        <v>45</v>
      </c>
      <c r="H1235" s="11" t="s">
        <v>412</v>
      </c>
      <c r="I1235" s="11" t="s">
        <v>2412</v>
      </c>
      <c r="J1235" s="11">
        <v>24.0</v>
      </c>
      <c r="K1235" s="39">
        <v>42876.0</v>
      </c>
      <c r="L1235" s="11">
        <f t="shared" si="129"/>
        <v>13</v>
      </c>
      <c r="M1235" s="11">
        <v>658063.0</v>
      </c>
      <c r="N1235" s="11" t="s">
        <v>2413</v>
      </c>
      <c r="O1235" s="13" t="s">
        <v>761</v>
      </c>
      <c r="P1235" s="11">
        <v>0.0</v>
      </c>
      <c r="Q1235" s="14">
        <v>0.0</v>
      </c>
      <c r="R1235" s="11">
        <v>1.0</v>
      </c>
      <c r="S1235">
        <f t="shared" si="1"/>
        <v>2016</v>
      </c>
      <c r="T1235">
        <f t="shared" si="2"/>
        <v>4</v>
      </c>
      <c r="U1235">
        <f t="shared" si="3"/>
        <v>14</v>
      </c>
      <c r="Z1235" s="17">
        <v>42876.0</v>
      </c>
      <c r="AG1235" s="15"/>
      <c r="AH1235" s="16"/>
      <c r="AM1235" s="15"/>
      <c r="AN1235" s="16"/>
    </row>
    <row r="1236">
      <c r="A1236" s="13" t="s">
        <v>2414</v>
      </c>
      <c r="B1236" s="10">
        <v>42473.0</v>
      </c>
      <c r="C1236" s="11" t="s">
        <v>116</v>
      </c>
      <c r="D1236" s="11" t="s">
        <v>93</v>
      </c>
      <c r="E1236" s="11" t="s">
        <v>39</v>
      </c>
      <c r="F1236" s="11" t="s">
        <v>40</v>
      </c>
      <c r="G1236" s="11" t="s">
        <v>45</v>
      </c>
      <c r="H1236" s="11" t="s">
        <v>73</v>
      </c>
      <c r="I1236" s="11" t="s">
        <v>2415</v>
      </c>
      <c r="J1236" s="11">
        <v>21.0</v>
      </c>
      <c r="K1236" s="39">
        <v>42913.0</v>
      </c>
      <c r="L1236" s="11">
        <f t="shared" si="129"/>
        <v>14</v>
      </c>
      <c r="M1236" s="11">
        <v>670165.0</v>
      </c>
      <c r="N1236" s="11" t="s">
        <v>2416</v>
      </c>
      <c r="O1236" s="13"/>
      <c r="P1236" s="11">
        <v>0.0</v>
      </c>
      <c r="Q1236" s="14">
        <v>0.0</v>
      </c>
      <c r="R1236" s="41">
        <v>1.0</v>
      </c>
      <c r="S1236">
        <f t="shared" si="1"/>
        <v>2016</v>
      </c>
      <c r="T1236">
        <f t="shared" si="2"/>
        <v>4</v>
      </c>
      <c r="U1236">
        <f t="shared" si="3"/>
        <v>13</v>
      </c>
      <c r="Z1236" s="17">
        <v>42913.0</v>
      </c>
      <c r="AG1236" s="15"/>
      <c r="AH1236" s="16"/>
      <c r="AM1236" s="15"/>
      <c r="AN1236" s="16"/>
    </row>
    <row r="1237">
      <c r="A1237" s="13" t="s">
        <v>2417</v>
      </c>
      <c r="B1237" s="10">
        <v>42473.0</v>
      </c>
      <c r="C1237" s="11" t="s">
        <v>83</v>
      </c>
      <c r="D1237" s="11" t="s">
        <v>77</v>
      </c>
      <c r="E1237" s="11" t="s">
        <v>39</v>
      </c>
      <c r="F1237" s="11" t="s">
        <v>64</v>
      </c>
      <c r="G1237" s="11" t="s">
        <v>45</v>
      </c>
      <c r="H1237" s="11" t="s">
        <v>566</v>
      </c>
      <c r="I1237" s="11" t="s">
        <v>566</v>
      </c>
      <c r="J1237" s="11">
        <v>25.0</v>
      </c>
      <c r="K1237" s="39">
        <v>42832.0</v>
      </c>
      <c r="L1237" s="11">
        <f t="shared" si="129"/>
        <v>12</v>
      </c>
      <c r="M1237" s="11">
        <v>622223.0</v>
      </c>
      <c r="N1237" s="11" t="s">
        <v>2418</v>
      </c>
      <c r="O1237" s="13" t="s">
        <v>761</v>
      </c>
      <c r="P1237" s="11">
        <v>0.0</v>
      </c>
      <c r="Q1237" s="14">
        <v>0.0</v>
      </c>
      <c r="R1237" s="41">
        <v>1.0</v>
      </c>
      <c r="S1237">
        <f t="shared" si="1"/>
        <v>2016</v>
      </c>
      <c r="T1237">
        <f t="shared" si="2"/>
        <v>4</v>
      </c>
      <c r="U1237">
        <f t="shared" si="3"/>
        <v>13</v>
      </c>
      <c r="Z1237" s="17">
        <v>42832.0</v>
      </c>
      <c r="AG1237" s="15"/>
      <c r="AH1237" s="16"/>
      <c r="AM1237" s="15"/>
      <c r="AN1237" s="16"/>
    </row>
    <row r="1238">
      <c r="A1238" s="13" t="s">
        <v>2419</v>
      </c>
      <c r="B1238" s="10">
        <v>42472.0</v>
      </c>
      <c r="C1238" s="11" t="s">
        <v>44</v>
      </c>
      <c r="D1238" s="11" t="s">
        <v>77</v>
      </c>
      <c r="E1238" s="11" t="s">
        <v>39</v>
      </c>
      <c r="F1238" s="11" t="s">
        <v>40</v>
      </c>
      <c r="G1238" s="11" t="s">
        <v>45</v>
      </c>
      <c r="H1238" s="11" t="s">
        <v>669</v>
      </c>
      <c r="I1238" s="11" t="s">
        <v>2420</v>
      </c>
      <c r="J1238" s="11">
        <v>26.0</v>
      </c>
      <c r="K1238" s="39">
        <v>42921.0</v>
      </c>
      <c r="L1238" s="11">
        <f t="shared" si="129"/>
        <v>15</v>
      </c>
      <c r="M1238" s="11">
        <v>605334.0</v>
      </c>
      <c r="N1238" s="11" t="s">
        <v>2421</v>
      </c>
      <c r="O1238" s="13"/>
      <c r="P1238" s="11">
        <v>0.0</v>
      </c>
      <c r="Q1238" s="14">
        <v>0.0</v>
      </c>
      <c r="R1238" s="11">
        <v>0.0</v>
      </c>
      <c r="S1238">
        <f t="shared" si="1"/>
        <v>2016</v>
      </c>
      <c r="T1238">
        <f t="shared" si="2"/>
        <v>4</v>
      </c>
      <c r="U1238">
        <f t="shared" si="3"/>
        <v>12</v>
      </c>
      <c r="Z1238" s="17">
        <v>42902.0</v>
      </c>
      <c r="AG1238" s="15"/>
      <c r="AH1238" s="16"/>
      <c r="AM1238" s="15"/>
      <c r="AN1238" s="16"/>
    </row>
    <row r="1239">
      <c r="A1239" s="13" t="s">
        <v>2422</v>
      </c>
      <c r="B1239" s="10">
        <v>42472.0</v>
      </c>
      <c r="C1239" s="11" t="s">
        <v>274</v>
      </c>
      <c r="D1239" s="11" t="s">
        <v>38</v>
      </c>
      <c r="E1239" s="11" t="s">
        <v>39</v>
      </c>
      <c r="F1239" s="11" t="s">
        <v>64</v>
      </c>
      <c r="G1239" s="11" t="s">
        <v>53</v>
      </c>
      <c r="H1239" s="11"/>
      <c r="I1239" s="11"/>
      <c r="J1239" s="11">
        <v>28.0</v>
      </c>
      <c r="K1239" s="30"/>
      <c r="L1239" s="30"/>
      <c r="M1239" s="11">
        <v>467094.0</v>
      </c>
      <c r="N1239" s="11">
        <v>1478.0</v>
      </c>
      <c r="O1239" s="13" t="s">
        <v>355</v>
      </c>
      <c r="P1239" s="11">
        <v>0.0</v>
      </c>
      <c r="Q1239" s="14">
        <v>0.0</v>
      </c>
      <c r="R1239" s="11">
        <v>0.0</v>
      </c>
      <c r="S1239">
        <f t="shared" si="1"/>
        <v>2016</v>
      </c>
      <c r="T1239">
        <f t="shared" si="2"/>
        <v>4</v>
      </c>
      <c r="U1239">
        <f t="shared" si="3"/>
        <v>12</v>
      </c>
      <c r="V1239" s="17">
        <v>42614.0</v>
      </c>
      <c r="X1239" s="17">
        <v>42780.0</v>
      </c>
      <c r="Z1239" s="17">
        <v>42846.0</v>
      </c>
      <c r="AG1239" s="15"/>
      <c r="AH1239" s="16"/>
      <c r="AM1239" s="15"/>
      <c r="AN1239" s="16"/>
    </row>
    <row r="1240">
      <c r="A1240" s="13" t="s">
        <v>2423</v>
      </c>
      <c r="B1240" s="10">
        <v>42468.0</v>
      </c>
      <c r="C1240" s="11" t="s">
        <v>167</v>
      </c>
      <c r="D1240" s="11" t="s">
        <v>38</v>
      </c>
      <c r="E1240" s="11" t="s">
        <v>39</v>
      </c>
      <c r="F1240" s="11" t="s">
        <v>64</v>
      </c>
      <c r="G1240" s="11" t="s">
        <v>45</v>
      </c>
      <c r="H1240" s="11" t="s">
        <v>67</v>
      </c>
      <c r="I1240" s="11" t="s">
        <v>2424</v>
      </c>
      <c r="J1240" s="11">
        <v>33.0</v>
      </c>
      <c r="K1240" s="30"/>
      <c r="L1240" s="30"/>
      <c r="M1240" s="11">
        <v>448159.0</v>
      </c>
      <c r="N1240" s="11">
        <v>4279.0</v>
      </c>
      <c r="O1240" s="13" t="s">
        <v>69</v>
      </c>
      <c r="P1240" s="11">
        <v>0.0</v>
      </c>
      <c r="Q1240" s="14">
        <v>0.0</v>
      </c>
      <c r="R1240" s="11">
        <v>0.0</v>
      </c>
      <c r="S1240">
        <f t="shared" si="1"/>
        <v>2016</v>
      </c>
      <c r="T1240">
        <f t="shared" si="2"/>
        <v>4</v>
      </c>
      <c r="U1240">
        <f t="shared" si="3"/>
        <v>8</v>
      </c>
      <c r="Y1240" s="17">
        <v>42832.0</v>
      </c>
      <c r="Z1240" s="17">
        <v>42863.0</v>
      </c>
      <c r="AG1240" s="15"/>
      <c r="AH1240" s="16"/>
      <c r="AM1240" s="15"/>
      <c r="AN1240" s="16"/>
    </row>
    <row r="1241">
      <c r="A1241" s="13" t="s">
        <v>2425</v>
      </c>
      <c r="B1241" s="10">
        <v>42466.0</v>
      </c>
      <c r="C1241" s="11" t="s">
        <v>37</v>
      </c>
      <c r="D1241" s="11" t="s">
        <v>97</v>
      </c>
      <c r="E1241" s="11" t="s">
        <v>39</v>
      </c>
      <c r="F1241" s="11" t="s">
        <v>40</v>
      </c>
      <c r="G1241" s="11" t="s">
        <v>45</v>
      </c>
      <c r="H1241" s="11" t="s">
        <v>56</v>
      </c>
      <c r="I1241" s="11"/>
      <c r="J1241" s="11">
        <v>20.0</v>
      </c>
      <c r="K1241" s="39">
        <v>43657.0</v>
      </c>
      <c r="L1241" s="11">
        <f t="shared" ref="L1241:L1242" si="130">ROUND(((K1241-B1241)/365)*12,0)</f>
        <v>39</v>
      </c>
      <c r="M1241" s="11">
        <v>656626.0</v>
      </c>
      <c r="N1241" s="11" t="s">
        <v>2426</v>
      </c>
      <c r="O1241" s="13" t="s">
        <v>1407</v>
      </c>
      <c r="P1241" s="11">
        <v>0.0</v>
      </c>
      <c r="Q1241" s="14">
        <v>0.0</v>
      </c>
      <c r="R1241" s="41">
        <v>1.0</v>
      </c>
      <c r="S1241">
        <f t="shared" si="1"/>
        <v>2016</v>
      </c>
      <c r="T1241">
        <f t="shared" si="2"/>
        <v>4</v>
      </c>
      <c r="U1241">
        <f t="shared" si="3"/>
        <v>6</v>
      </c>
      <c r="Z1241" s="17">
        <v>42935.0</v>
      </c>
      <c r="AG1241" s="15"/>
      <c r="AH1241" s="16"/>
      <c r="AM1241" s="15"/>
      <c r="AN1241" s="16"/>
    </row>
    <row r="1242">
      <c r="A1242" s="13" t="s">
        <v>2427</v>
      </c>
      <c r="B1242" s="10">
        <v>42461.0</v>
      </c>
      <c r="C1242" s="11" t="s">
        <v>167</v>
      </c>
      <c r="D1242" s="11" t="s">
        <v>97</v>
      </c>
      <c r="E1242" s="11" t="s">
        <v>104</v>
      </c>
      <c r="F1242" s="11" t="s">
        <v>40</v>
      </c>
      <c r="G1242" s="11" t="s">
        <v>45</v>
      </c>
      <c r="H1242" s="11" t="s">
        <v>59</v>
      </c>
      <c r="I1242" s="11" t="s">
        <v>2428</v>
      </c>
      <c r="J1242" s="11">
        <v>23.0</v>
      </c>
      <c r="K1242" s="39">
        <v>43228.0</v>
      </c>
      <c r="L1242" s="11">
        <f t="shared" si="130"/>
        <v>25</v>
      </c>
      <c r="M1242" s="11">
        <v>642005.0</v>
      </c>
      <c r="N1242" s="11" t="s">
        <v>2429</v>
      </c>
      <c r="O1242" s="13"/>
      <c r="P1242" s="11">
        <v>0.0</v>
      </c>
      <c r="Q1242" s="14">
        <v>0.0</v>
      </c>
      <c r="R1242" s="41">
        <v>1.0</v>
      </c>
      <c r="S1242">
        <f t="shared" si="1"/>
        <v>2016</v>
      </c>
      <c r="T1242">
        <f t="shared" si="2"/>
        <v>4</v>
      </c>
      <c r="U1242">
        <f t="shared" si="3"/>
        <v>1</v>
      </c>
      <c r="Z1242" s="17">
        <v>42960.0</v>
      </c>
      <c r="AG1242" s="15"/>
      <c r="AH1242" s="16"/>
      <c r="AM1242" s="15"/>
      <c r="AN1242" s="16"/>
    </row>
    <row r="1243">
      <c r="A1243" s="13" t="s">
        <v>2430</v>
      </c>
      <c r="B1243" s="10">
        <v>42461.0</v>
      </c>
      <c r="C1243" s="11" t="s">
        <v>167</v>
      </c>
      <c r="D1243" s="11" t="s">
        <v>58</v>
      </c>
      <c r="E1243" s="11" t="s">
        <v>39</v>
      </c>
      <c r="F1243" s="11" t="s">
        <v>40</v>
      </c>
      <c r="G1243" s="11" t="s">
        <v>41</v>
      </c>
      <c r="H1243" s="11"/>
      <c r="I1243" s="11"/>
      <c r="J1243" s="11">
        <v>27.0</v>
      </c>
      <c r="K1243" s="30"/>
      <c r="L1243" s="30"/>
      <c r="M1243" s="11">
        <v>570233.0</v>
      </c>
      <c r="N1243" s="11" t="s">
        <v>2431</v>
      </c>
      <c r="O1243" s="13"/>
      <c r="P1243" s="11">
        <v>0.0</v>
      </c>
      <c r="Q1243" s="14">
        <v>0.0</v>
      </c>
      <c r="R1243" s="11">
        <v>0.0</v>
      </c>
      <c r="S1243">
        <f t="shared" si="1"/>
        <v>2016</v>
      </c>
      <c r="T1243">
        <f t="shared" si="2"/>
        <v>4</v>
      </c>
      <c r="U1243">
        <f t="shared" si="3"/>
        <v>1</v>
      </c>
      <c r="AG1243" s="15"/>
      <c r="AH1243" s="16"/>
      <c r="AM1243" s="15"/>
      <c r="AN1243" s="16"/>
    </row>
    <row r="1244">
      <c r="A1244" s="13" t="s">
        <v>2432</v>
      </c>
      <c r="B1244" s="10">
        <v>42461.0</v>
      </c>
      <c r="C1244" s="11" t="s">
        <v>143</v>
      </c>
      <c r="D1244" s="11" t="s">
        <v>213</v>
      </c>
      <c r="E1244" s="11" t="s">
        <v>39</v>
      </c>
      <c r="F1244" s="11" t="s">
        <v>40</v>
      </c>
      <c r="G1244" s="11" t="s">
        <v>45</v>
      </c>
      <c r="H1244" s="11" t="s">
        <v>957</v>
      </c>
      <c r="I1244" s="11" t="s">
        <v>2382</v>
      </c>
      <c r="J1244" s="11">
        <v>19.0</v>
      </c>
      <c r="K1244" s="39">
        <v>44407.0</v>
      </c>
      <c r="L1244" s="11"/>
      <c r="M1244" s="11">
        <v>690281.0</v>
      </c>
      <c r="N1244" s="11" t="s">
        <v>2433</v>
      </c>
      <c r="O1244" s="13"/>
      <c r="P1244" s="11">
        <v>0.0</v>
      </c>
      <c r="Q1244" s="14">
        <v>0.0</v>
      </c>
      <c r="R1244" s="11">
        <v>1.0</v>
      </c>
      <c r="S1244">
        <f t="shared" si="1"/>
        <v>2016</v>
      </c>
      <c r="T1244">
        <f t="shared" si="2"/>
        <v>4</v>
      </c>
      <c r="U1244">
        <f t="shared" si="3"/>
        <v>1</v>
      </c>
      <c r="AG1244" s="15"/>
      <c r="AH1244" s="16"/>
      <c r="AM1244" s="15"/>
      <c r="AN1244" s="16"/>
    </row>
    <row r="1245">
      <c r="A1245" s="13" t="s">
        <v>2434</v>
      </c>
      <c r="B1245" s="10">
        <v>42461.0</v>
      </c>
      <c r="C1245" s="11" t="s">
        <v>230</v>
      </c>
      <c r="D1245" s="11" t="s">
        <v>709</v>
      </c>
      <c r="E1245" s="11" t="s">
        <v>39</v>
      </c>
      <c r="F1245" s="11" t="s">
        <v>40</v>
      </c>
      <c r="G1245" s="11" t="s">
        <v>45</v>
      </c>
      <c r="H1245" s="11" t="s">
        <v>258</v>
      </c>
      <c r="I1245" s="11" t="s">
        <v>258</v>
      </c>
      <c r="J1245" s="11">
        <v>22.0</v>
      </c>
      <c r="K1245" s="39"/>
      <c r="L1245" s="11"/>
      <c r="M1245" s="11">
        <v>657045.0</v>
      </c>
      <c r="N1245" s="11" t="s">
        <v>2435</v>
      </c>
      <c r="O1245" s="13"/>
      <c r="P1245" s="11">
        <v>0.0</v>
      </c>
      <c r="Q1245" s="14">
        <v>0.0</v>
      </c>
      <c r="R1245" s="11">
        <v>0.0</v>
      </c>
      <c r="S1245">
        <f t="shared" si="1"/>
        <v>2016</v>
      </c>
      <c r="T1245">
        <f t="shared" si="2"/>
        <v>4</v>
      </c>
      <c r="U1245">
        <f t="shared" si="3"/>
        <v>1</v>
      </c>
      <c r="AG1245" s="15"/>
      <c r="AH1245" s="16"/>
      <c r="AM1245" s="15"/>
      <c r="AN1245" s="16"/>
    </row>
    <row r="1246">
      <c r="A1246" s="13" t="s">
        <v>2436</v>
      </c>
      <c r="B1246" s="10">
        <v>42461.0</v>
      </c>
      <c r="C1246" s="11" t="s">
        <v>62</v>
      </c>
      <c r="D1246" s="11" t="s">
        <v>221</v>
      </c>
      <c r="E1246" s="11" t="s">
        <v>39</v>
      </c>
      <c r="F1246" s="11" t="s">
        <v>64</v>
      </c>
      <c r="G1246" s="11" t="s">
        <v>53</v>
      </c>
      <c r="H1246" s="11"/>
      <c r="I1246" s="11"/>
      <c r="J1246" s="11">
        <v>20.0</v>
      </c>
      <c r="K1246" s="39">
        <v>42913.0</v>
      </c>
      <c r="L1246" s="11">
        <f t="shared" ref="L1246:L1248" si="131">ROUND(((K1246-B1246)/365)*12,0)</f>
        <v>15</v>
      </c>
      <c r="M1246" s="11">
        <v>650864.0</v>
      </c>
      <c r="N1246" s="11" t="s">
        <v>2437</v>
      </c>
      <c r="O1246" s="13"/>
      <c r="P1246" s="11">
        <v>0.0</v>
      </c>
      <c r="Q1246" s="14">
        <v>0.0</v>
      </c>
      <c r="R1246" s="41">
        <v>1.0</v>
      </c>
      <c r="S1246">
        <f t="shared" si="1"/>
        <v>2016</v>
      </c>
      <c r="T1246">
        <f t="shared" si="2"/>
        <v>4</v>
      </c>
      <c r="U1246">
        <f t="shared" si="3"/>
        <v>1</v>
      </c>
      <c r="AG1246" s="15"/>
      <c r="AH1246" s="16"/>
      <c r="AM1246" s="15"/>
      <c r="AN1246" s="16"/>
    </row>
    <row r="1247">
      <c r="A1247" s="13" t="s">
        <v>1539</v>
      </c>
      <c r="B1247" s="10">
        <v>42460.0</v>
      </c>
      <c r="C1247" s="11" t="s">
        <v>83</v>
      </c>
      <c r="D1247" s="11" t="s">
        <v>93</v>
      </c>
      <c r="E1247" s="11" t="s">
        <v>39</v>
      </c>
      <c r="F1247" s="11" t="s">
        <v>40</v>
      </c>
      <c r="G1247" s="11" t="s">
        <v>45</v>
      </c>
      <c r="H1247" s="11" t="s">
        <v>133</v>
      </c>
      <c r="I1247" s="11" t="s">
        <v>689</v>
      </c>
      <c r="J1247" s="11">
        <v>21.0</v>
      </c>
      <c r="K1247" s="39">
        <v>42868.0</v>
      </c>
      <c r="L1247" s="11">
        <f t="shared" si="131"/>
        <v>13</v>
      </c>
      <c r="M1247" s="11">
        <v>642135.0</v>
      </c>
      <c r="N1247" s="11" t="s">
        <v>1540</v>
      </c>
      <c r="O1247" s="13" t="s">
        <v>761</v>
      </c>
      <c r="P1247" s="11">
        <v>0.0</v>
      </c>
      <c r="Q1247" s="14">
        <v>0.0</v>
      </c>
      <c r="R1247" s="41">
        <v>1.0</v>
      </c>
      <c r="S1247">
        <f t="shared" si="1"/>
        <v>2016</v>
      </c>
      <c r="T1247">
        <f t="shared" si="2"/>
        <v>3</v>
      </c>
      <c r="U1247">
        <f t="shared" si="3"/>
        <v>31</v>
      </c>
      <c r="Z1247" s="17">
        <v>42868.0</v>
      </c>
      <c r="AG1247" s="15"/>
      <c r="AH1247" s="16"/>
      <c r="AM1247" s="15"/>
      <c r="AN1247" s="16"/>
    </row>
    <row r="1248">
      <c r="A1248" s="13" t="s">
        <v>2010</v>
      </c>
      <c r="B1248" s="17">
        <v>42458.0</v>
      </c>
      <c r="C1248" s="11" t="s">
        <v>55</v>
      </c>
      <c r="D1248" s="11" t="s">
        <v>93</v>
      </c>
      <c r="E1248" s="11" t="s">
        <v>39</v>
      </c>
      <c r="F1248" s="11" t="s">
        <v>40</v>
      </c>
      <c r="G1248" s="11" t="s">
        <v>45</v>
      </c>
      <c r="H1248" s="11" t="s">
        <v>182</v>
      </c>
      <c r="I1248" s="11" t="s">
        <v>179</v>
      </c>
      <c r="J1248" s="11">
        <v>20.0</v>
      </c>
      <c r="K1248" s="39">
        <v>43567.0</v>
      </c>
      <c r="L1248" s="11">
        <f t="shared" si="131"/>
        <v>36</v>
      </c>
      <c r="M1248" s="11">
        <v>656876.0</v>
      </c>
      <c r="N1248" s="11">
        <v>25385.0</v>
      </c>
      <c r="O1248" s="13" t="s">
        <v>2438</v>
      </c>
      <c r="P1248" s="11">
        <v>0.0</v>
      </c>
      <c r="Q1248" s="14">
        <v>0.0</v>
      </c>
      <c r="R1248" s="11">
        <v>1.0</v>
      </c>
      <c r="S1248">
        <f t="shared" si="1"/>
        <v>2016</v>
      </c>
      <c r="T1248">
        <f t="shared" si="2"/>
        <v>3</v>
      </c>
      <c r="U1248">
        <f t="shared" si="3"/>
        <v>29</v>
      </c>
      <c r="AG1248" s="15"/>
      <c r="AH1248" s="16"/>
      <c r="AM1248" s="15"/>
      <c r="AN1248" s="16"/>
    </row>
    <row r="1249">
      <c r="A1249" s="13" t="s">
        <v>2439</v>
      </c>
      <c r="B1249" s="10">
        <v>42454.0</v>
      </c>
      <c r="C1249" s="11" t="s">
        <v>55</v>
      </c>
      <c r="D1249" s="11" t="s">
        <v>221</v>
      </c>
      <c r="E1249" s="11" t="s">
        <v>39</v>
      </c>
      <c r="F1249" s="11" t="s">
        <v>40</v>
      </c>
      <c r="G1249" s="11" t="s">
        <v>41</v>
      </c>
      <c r="H1249" s="11"/>
      <c r="I1249" s="11"/>
      <c r="J1249" s="11">
        <v>22.0</v>
      </c>
      <c r="K1249" s="30"/>
      <c r="L1249" s="30"/>
      <c r="M1249" s="11">
        <v>606471.0</v>
      </c>
      <c r="N1249" s="11" t="s">
        <v>2440</v>
      </c>
      <c r="O1249" s="13"/>
      <c r="P1249" s="11">
        <v>0.0</v>
      </c>
      <c r="Q1249" s="14">
        <v>0.0</v>
      </c>
      <c r="R1249" s="11">
        <v>0.0</v>
      </c>
      <c r="S1249">
        <f t="shared" si="1"/>
        <v>2016</v>
      </c>
      <c r="T1249">
        <f t="shared" si="2"/>
        <v>3</v>
      </c>
      <c r="U1249">
        <f t="shared" si="3"/>
        <v>25</v>
      </c>
      <c r="AG1249" s="15"/>
      <c r="AH1249" s="16"/>
      <c r="AM1249" s="15"/>
      <c r="AN1249" s="16"/>
    </row>
    <row r="1250">
      <c r="A1250" s="13" t="s">
        <v>2441</v>
      </c>
      <c r="B1250" s="10">
        <v>42453.0</v>
      </c>
      <c r="C1250" s="11" t="s">
        <v>55</v>
      </c>
      <c r="D1250" s="11" t="s">
        <v>97</v>
      </c>
      <c r="E1250" s="11" t="s">
        <v>39</v>
      </c>
      <c r="F1250" s="11" t="s">
        <v>40</v>
      </c>
      <c r="G1250" s="11" t="s">
        <v>199</v>
      </c>
      <c r="H1250" s="11"/>
      <c r="I1250" s="11"/>
      <c r="J1250" s="11">
        <v>20.0</v>
      </c>
      <c r="K1250" s="30"/>
      <c r="L1250" s="30"/>
      <c r="M1250" s="11">
        <v>627392.0</v>
      </c>
      <c r="N1250" s="11" t="s">
        <v>2442</v>
      </c>
      <c r="O1250" s="13"/>
      <c r="P1250" s="11">
        <v>0.0</v>
      </c>
      <c r="Q1250" s="14">
        <v>0.0</v>
      </c>
      <c r="R1250" s="11">
        <v>0.0</v>
      </c>
      <c r="S1250">
        <f t="shared" si="1"/>
        <v>2016</v>
      </c>
      <c r="T1250">
        <f t="shared" si="2"/>
        <v>3</v>
      </c>
      <c r="U1250">
        <f t="shared" si="3"/>
        <v>24</v>
      </c>
      <c r="AG1250" s="15"/>
      <c r="AH1250" s="16"/>
      <c r="AM1250" s="15"/>
      <c r="AN1250" s="16"/>
    </row>
    <row r="1251">
      <c r="A1251" s="13" t="s">
        <v>2443</v>
      </c>
      <c r="B1251" s="10">
        <v>42453.0</v>
      </c>
      <c r="C1251" s="11" t="s">
        <v>108</v>
      </c>
      <c r="D1251" s="11" t="s">
        <v>58</v>
      </c>
      <c r="E1251" s="11" t="s">
        <v>39</v>
      </c>
      <c r="F1251" s="11" t="s">
        <v>64</v>
      </c>
      <c r="G1251" s="11" t="s">
        <v>45</v>
      </c>
      <c r="H1251" s="11" t="s">
        <v>240</v>
      </c>
      <c r="I1251" s="11"/>
      <c r="J1251" s="11">
        <v>23.0</v>
      </c>
      <c r="K1251" s="30"/>
      <c r="L1251" s="30"/>
      <c r="M1251" s="11">
        <v>607171.0</v>
      </c>
      <c r="N1251" s="11" t="s">
        <v>2444</v>
      </c>
      <c r="O1251" s="13"/>
      <c r="P1251" s="11">
        <v>0.0</v>
      </c>
      <c r="Q1251" s="14">
        <v>0.0</v>
      </c>
      <c r="R1251" s="11">
        <v>0.0</v>
      </c>
      <c r="S1251">
        <f t="shared" si="1"/>
        <v>2016</v>
      </c>
      <c r="T1251">
        <f t="shared" si="2"/>
        <v>3</v>
      </c>
      <c r="U1251">
        <f t="shared" si="3"/>
        <v>24</v>
      </c>
      <c r="Z1251" s="17">
        <v>42913.0</v>
      </c>
      <c r="AG1251" s="15"/>
      <c r="AH1251" s="16"/>
      <c r="AM1251" s="15"/>
      <c r="AN1251" s="16"/>
    </row>
    <row r="1252">
      <c r="A1252" s="13" t="s">
        <v>2095</v>
      </c>
      <c r="B1252" s="10">
        <v>42452.0</v>
      </c>
      <c r="C1252" s="11" t="s">
        <v>62</v>
      </c>
      <c r="D1252" s="11" t="s">
        <v>88</v>
      </c>
      <c r="E1252" s="11" t="s">
        <v>39</v>
      </c>
      <c r="F1252" s="11" t="s">
        <v>40</v>
      </c>
      <c r="G1252" s="11" t="s">
        <v>45</v>
      </c>
      <c r="H1252" s="11" t="s">
        <v>73</v>
      </c>
      <c r="I1252" s="11" t="s">
        <v>2096</v>
      </c>
      <c r="J1252" s="11">
        <v>25.0</v>
      </c>
      <c r="K1252" s="39">
        <v>43319.0</v>
      </c>
      <c r="L1252" s="11">
        <f t="shared" ref="L1252:L1254" si="132">ROUND(((K1252-B1252)/365)*12,0)</f>
        <v>29</v>
      </c>
      <c r="M1252" s="11">
        <v>571687.0</v>
      </c>
      <c r="N1252" s="11" t="s">
        <v>2097</v>
      </c>
      <c r="O1252" s="13"/>
      <c r="P1252" s="11">
        <v>0.0</v>
      </c>
      <c r="Q1252" s="14">
        <v>0.0</v>
      </c>
      <c r="R1252" s="41">
        <v>1.0</v>
      </c>
      <c r="S1252">
        <f t="shared" si="1"/>
        <v>2016</v>
      </c>
      <c r="T1252">
        <f t="shared" si="2"/>
        <v>3</v>
      </c>
      <c r="U1252">
        <f t="shared" si="3"/>
        <v>23</v>
      </c>
      <c r="Z1252" s="17">
        <v>43303.0</v>
      </c>
      <c r="AA1252" s="17">
        <v>42871.0</v>
      </c>
      <c r="AB1252" s="13" t="s">
        <v>2310</v>
      </c>
      <c r="AG1252" s="15"/>
      <c r="AH1252" s="16"/>
      <c r="AM1252" s="15"/>
      <c r="AN1252" s="16"/>
    </row>
    <row r="1253">
      <c r="A1253" s="13" t="s">
        <v>2445</v>
      </c>
      <c r="B1253" s="10">
        <v>42451.0</v>
      </c>
      <c r="C1253" s="11" t="s">
        <v>76</v>
      </c>
      <c r="D1253" s="11" t="s">
        <v>213</v>
      </c>
      <c r="E1253" s="11" t="s">
        <v>39</v>
      </c>
      <c r="F1253" s="11" t="s">
        <v>64</v>
      </c>
      <c r="G1253" s="11" t="s">
        <v>45</v>
      </c>
      <c r="H1253" s="11" t="s">
        <v>84</v>
      </c>
      <c r="I1253" s="11"/>
      <c r="J1253" s="11">
        <v>18.0</v>
      </c>
      <c r="K1253" s="39">
        <v>42914.0</v>
      </c>
      <c r="L1253" s="11">
        <f t="shared" si="132"/>
        <v>15</v>
      </c>
      <c r="M1253" s="11">
        <v>666200.0</v>
      </c>
      <c r="N1253" s="11">
        <v>19959.0</v>
      </c>
      <c r="O1253" s="13" t="s">
        <v>761</v>
      </c>
      <c r="P1253" s="11">
        <v>0.0</v>
      </c>
      <c r="Q1253" s="14">
        <v>0.0</v>
      </c>
      <c r="R1253" s="41">
        <v>1.0</v>
      </c>
      <c r="S1253">
        <f t="shared" si="1"/>
        <v>2016</v>
      </c>
      <c r="T1253">
        <f t="shared" si="2"/>
        <v>3</v>
      </c>
      <c r="U1253">
        <f t="shared" si="3"/>
        <v>22</v>
      </c>
      <c r="AG1253" s="15"/>
      <c r="AH1253" s="16"/>
      <c r="AM1253" s="15"/>
      <c r="AN1253" s="16"/>
    </row>
    <row r="1254">
      <c r="A1254" s="13" t="s">
        <v>2446</v>
      </c>
      <c r="B1254" s="10">
        <v>42447.0</v>
      </c>
      <c r="C1254" s="11" t="s">
        <v>192</v>
      </c>
      <c r="D1254" s="11" t="s">
        <v>38</v>
      </c>
      <c r="E1254" s="11" t="s">
        <v>39</v>
      </c>
      <c r="F1254" s="11" t="s">
        <v>40</v>
      </c>
      <c r="G1254" s="11" t="s">
        <v>53</v>
      </c>
      <c r="H1254" s="11"/>
      <c r="I1254" s="11"/>
      <c r="J1254" s="11">
        <v>25.0</v>
      </c>
      <c r="K1254" s="39">
        <v>42912.0</v>
      </c>
      <c r="L1254" s="11">
        <f t="shared" si="132"/>
        <v>15</v>
      </c>
      <c r="M1254" s="11">
        <v>545064.0</v>
      </c>
      <c r="N1254" s="11">
        <v>12774.0</v>
      </c>
      <c r="O1254" s="13" t="s">
        <v>603</v>
      </c>
      <c r="P1254" s="11">
        <v>4.0</v>
      </c>
      <c r="Q1254" s="14">
        <v>5.0</v>
      </c>
      <c r="R1254" s="41">
        <v>1.0</v>
      </c>
      <c r="S1254">
        <f t="shared" si="1"/>
        <v>2016</v>
      </c>
      <c r="T1254">
        <f t="shared" si="2"/>
        <v>3</v>
      </c>
      <c r="U1254">
        <f t="shared" si="3"/>
        <v>18</v>
      </c>
      <c r="X1254" s="17">
        <v>42790.0</v>
      </c>
      <c r="Y1254" s="17">
        <v>42814.0</v>
      </c>
      <c r="Z1254" s="17">
        <v>42835.0</v>
      </c>
      <c r="AG1254" s="15"/>
      <c r="AH1254" s="16"/>
      <c r="AM1254" s="15"/>
      <c r="AN1254" s="16"/>
    </row>
    <row r="1255">
      <c r="A1255" s="13" t="s">
        <v>2447</v>
      </c>
      <c r="B1255" s="10">
        <v>42444.0</v>
      </c>
      <c r="C1255" s="11" t="s">
        <v>162</v>
      </c>
      <c r="D1255" s="11" t="s">
        <v>58</v>
      </c>
      <c r="E1255" s="11" t="s">
        <v>39</v>
      </c>
      <c r="F1255" s="11" t="s">
        <v>64</v>
      </c>
      <c r="G1255" s="11" t="s">
        <v>45</v>
      </c>
      <c r="H1255" s="11" t="s">
        <v>236</v>
      </c>
      <c r="I1255" s="11"/>
      <c r="J1255" s="11">
        <v>24.0</v>
      </c>
      <c r="K1255" s="30"/>
      <c r="L1255" s="30"/>
      <c r="M1255" s="11">
        <v>592139.0</v>
      </c>
      <c r="N1255" s="11" t="s">
        <v>2448</v>
      </c>
      <c r="O1255" s="13"/>
      <c r="P1255" s="11">
        <v>0.0</v>
      </c>
      <c r="Q1255" s="14">
        <v>0.0</v>
      </c>
      <c r="R1255" s="11">
        <v>0.0</v>
      </c>
      <c r="S1255">
        <f t="shared" si="1"/>
        <v>2016</v>
      </c>
      <c r="T1255">
        <f t="shared" si="2"/>
        <v>3</v>
      </c>
      <c r="U1255">
        <f t="shared" si="3"/>
        <v>15</v>
      </c>
      <c r="Z1255" s="17">
        <v>42923.0</v>
      </c>
      <c r="AG1255" s="15"/>
      <c r="AH1255" s="16"/>
      <c r="AM1255" s="15"/>
      <c r="AN1255" s="16"/>
    </row>
    <row r="1256">
      <c r="A1256" s="13" t="s">
        <v>2449</v>
      </c>
      <c r="B1256" s="10">
        <v>42439.0</v>
      </c>
      <c r="C1256" s="11" t="s">
        <v>116</v>
      </c>
      <c r="D1256" s="11" t="s">
        <v>38</v>
      </c>
      <c r="E1256" s="11" t="s">
        <v>39</v>
      </c>
      <c r="F1256" s="11" t="s">
        <v>64</v>
      </c>
      <c r="G1256" s="11" t="s">
        <v>45</v>
      </c>
      <c r="H1256" s="11" t="s">
        <v>56</v>
      </c>
      <c r="I1256" s="11" t="s">
        <v>56</v>
      </c>
      <c r="J1256" s="11">
        <v>26.0</v>
      </c>
      <c r="K1256" s="30"/>
      <c r="L1256" s="30"/>
      <c r="M1256" s="11">
        <v>605374.0</v>
      </c>
      <c r="N1256" s="11">
        <v>12870.0</v>
      </c>
      <c r="O1256" s="13" t="s">
        <v>761</v>
      </c>
      <c r="P1256" s="11">
        <v>0.0</v>
      </c>
      <c r="Q1256" s="14">
        <v>0.0</v>
      </c>
      <c r="R1256" s="11">
        <v>0.0</v>
      </c>
      <c r="S1256">
        <f t="shared" si="1"/>
        <v>2016</v>
      </c>
      <c r="T1256">
        <f t="shared" si="2"/>
        <v>3</v>
      </c>
      <c r="U1256">
        <f t="shared" si="3"/>
        <v>10</v>
      </c>
      <c r="Z1256" s="17">
        <v>42920.0</v>
      </c>
      <c r="AG1256" s="15"/>
      <c r="AH1256" s="16"/>
      <c r="AM1256" s="15"/>
      <c r="AN1256" s="16"/>
    </row>
    <row r="1257">
      <c r="A1257" s="13" t="s">
        <v>2450</v>
      </c>
      <c r="B1257" s="10">
        <v>42437.0</v>
      </c>
      <c r="C1257" s="11" t="s">
        <v>37</v>
      </c>
      <c r="D1257" s="11" t="s">
        <v>38</v>
      </c>
      <c r="E1257" s="11" t="s">
        <v>39</v>
      </c>
      <c r="F1257" s="11" t="s">
        <v>40</v>
      </c>
      <c r="G1257" s="11" t="s">
        <v>45</v>
      </c>
      <c r="H1257" s="11" t="s">
        <v>127</v>
      </c>
      <c r="I1257" s="11" t="s">
        <v>2451</v>
      </c>
      <c r="J1257" s="11">
        <v>25.0</v>
      </c>
      <c r="K1257" s="39">
        <v>42954.0</v>
      </c>
      <c r="L1257" s="11">
        <f>ROUND(((K1257-B1257)/365)*12,0)</f>
        <v>17</v>
      </c>
      <c r="M1257" s="11">
        <v>605169.0</v>
      </c>
      <c r="N1257" s="11">
        <v>12803.0</v>
      </c>
      <c r="O1257" s="13" t="s">
        <v>761</v>
      </c>
      <c r="P1257" s="11">
        <v>11.0</v>
      </c>
      <c r="Q1257" s="14">
        <v>12.333</v>
      </c>
      <c r="R1257" s="41">
        <v>1.0</v>
      </c>
      <c r="S1257">
        <f t="shared" si="1"/>
        <v>2016</v>
      </c>
      <c r="T1257">
        <f t="shared" si="2"/>
        <v>3</v>
      </c>
      <c r="U1257">
        <f t="shared" si="3"/>
        <v>8</v>
      </c>
      <c r="Z1257" s="17">
        <v>42836.0</v>
      </c>
      <c r="AG1257" s="15"/>
      <c r="AH1257" s="16"/>
      <c r="AM1257" s="15"/>
      <c r="AN1257" s="16"/>
    </row>
    <row r="1258">
      <c r="A1258" s="13" t="s">
        <v>2452</v>
      </c>
      <c r="B1258" s="10">
        <v>42433.0</v>
      </c>
      <c r="C1258" s="11" t="s">
        <v>83</v>
      </c>
      <c r="D1258" s="11" t="s">
        <v>93</v>
      </c>
      <c r="E1258" s="11" t="s">
        <v>39</v>
      </c>
      <c r="F1258" s="11" t="s">
        <v>40</v>
      </c>
      <c r="G1258" s="11" t="s">
        <v>45</v>
      </c>
      <c r="H1258" s="11" t="s">
        <v>236</v>
      </c>
      <c r="I1258" s="11" t="s">
        <v>2453</v>
      </c>
      <c r="J1258" s="11">
        <v>20.0</v>
      </c>
      <c r="K1258" s="39">
        <v>43637.0</v>
      </c>
      <c r="L1258" s="11"/>
      <c r="M1258" s="11">
        <v>680791.0</v>
      </c>
      <c r="N1258" s="11" t="s">
        <v>2454</v>
      </c>
      <c r="O1258" s="13"/>
      <c r="P1258" s="11">
        <v>0.0</v>
      </c>
      <c r="Q1258" s="14">
        <v>0.0</v>
      </c>
      <c r="R1258" s="11">
        <v>1.0</v>
      </c>
      <c r="S1258">
        <f t="shared" si="1"/>
        <v>2016</v>
      </c>
      <c r="T1258">
        <f t="shared" si="2"/>
        <v>3</v>
      </c>
      <c r="U1258">
        <f t="shared" si="3"/>
        <v>4</v>
      </c>
      <c r="AG1258" s="15"/>
      <c r="AH1258" s="16"/>
      <c r="AM1258" s="15"/>
      <c r="AN1258" s="16"/>
    </row>
    <row r="1259">
      <c r="A1259" s="13" t="s">
        <v>2455</v>
      </c>
      <c r="B1259" s="10">
        <v>42430.0</v>
      </c>
      <c r="C1259" s="11" t="s">
        <v>101</v>
      </c>
      <c r="D1259" s="11" t="s">
        <v>93</v>
      </c>
      <c r="E1259" s="11" t="s">
        <v>39</v>
      </c>
      <c r="F1259" s="11" t="s">
        <v>40</v>
      </c>
      <c r="G1259" s="11" t="s">
        <v>45</v>
      </c>
      <c r="H1259" s="11" t="s">
        <v>84</v>
      </c>
      <c r="I1259" s="11" t="s">
        <v>2456</v>
      </c>
      <c r="J1259" s="11">
        <v>20.0</v>
      </c>
      <c r="K1259" s="39">
        <v>43283.0</v>
      </c>
      <c r="L1259" s="11"/>
      <c r="M1259" s="11">
        <v>668943.0</v>
      </c>
      <c r="N1259" s="11">
        <v>22187.0</v>
      </c>
      <c r="O1259" s="13"/>
      <c r="P1259" s="11">
        <v>0.0</v>
      </c>
      <c r="Q1259" s="14">
        <v>0.0</v>
      </c>
      <c r="R1259" s="11">
        <v>1.0</v>
      </c>
      <c r="S1259">
        <f t="shared" si="1"/>
        <v>2016</v>
      </c>
      <c r="T1259">
        <f t="shared" si="2"/>
        <v>3</v>
      </c>
      <c r="U1259">
        <f t="shared" si="3"/>
        <v>1</v>
      </c>
      <c r="AG1259" s="15"/>
      <c r="AH1259" s="16"/>
      <c r="AM1259" s="15"/>
      <c r="AN1259" s="16"/>
    </row>
    <row r="1260">
      <c r="A1260" s="13" t="s">
        <v>2457</v>
      </c>
      <c r="B1260" s="10">
        <v>42430.0</v>
      </c>
      <c r="C1260" s="11" t="s">
        <v>52</v>
      </c>
      <c r="D1260" s="11" t="s">
        <v>93</v>
      </c>
      <c r="E1260" s="11" t="s">
        <v>39</v>
      </c>
      <c r="F1260" s="11" t="s">
        <v>40</v>
      </c>
      <c r="G1260" s="11" t="s">
        <v>45</v>
      </c>
      <c r="H1260" s="11" t="s">
        <v>262</v>
      </c>
      <c r="I1260" s="11" t="s">
        <v>262</v>
      </c>
      <c r="J1260" s="11">
        <v>20.0</v>
      </c>
      <c r="K1260" s="39">
        <v>42948.0</v>
      </c>
      <c r="L1260" s="11">
        <f t="shared" ref="L1260:L1262" si="133">ROUND(((K1260-B1260)/365)*12,0)</f>
        <v>17</v>
      </c>
      <c r="M1260" s="11">
        <v>624573.0</v>
      </c>
      <c r="N1260" s="11" t="s">
        <v>2458</v>
      </c>
      <c r="O1260" s="13"/>
      <c r="P1260" s="11">
        <v>0.0</v>
      </c>
      <c r="Q1260" s="14">
        <v>0.0</v>
      </c>
      <c r="R1260" s="11">
        <v>1.0</v>
      </c>
      <c r="S1260">
        <f t="shared" si="1"/>
        <v>2016</v>
      </c>
      <c r="T1260">
        <f t="shared" si="2"/>
        <v>3</v>
      </c>
      <c r="U1260">
        <f t="shared" si="3"/>
        <v>1</v>
      </c>
      <c r="AG1260" s="15"/>
      <c r="AH1260" s="16"/>
      <c r="AM1260" s="15"/>
      <c r="AN1260" s="16"/>
    </row>
    <row r="1261">
      <c r="A1261" s="13" t="s">
        <v>2459</v>
      </c>
      <c r="B1261" s="17">
        <v>42430.0</v>
      </c>
      <c r="C1261" s="11" t="s">
        <v>175</v>
      </c>
      <c r="D1261" s="11" t="s">
        <v>88</v>
      </c>
      <c r="E1261" s="11" t="s">
        <v>39</v>
      </c>
      <c r="F1261" s="11" t="s">
        <v>64</v>
      </c>
      <c r="G1261" s="11" t="s">
        <v>45</v>
      </c>
      <c r="H1261" s="11" t="s">
        <v>67</v>
      </c>
      <c r="I1261" s="11" t="s">
        <v>452</v>
      </c>
      <c r="J1261" s="11">
        <v>23.0</v>
      </c>
      <c r="K1261" s="39">
        <v>43316.0</v>
      </c>
      <c r="L1261" s="11">
        <f t="shared" si="133"/>
        <v>29</v>
      </c>
      <c r="M1261" s="11">
        <v>607692.0</v>
      </c>
      <c r="N1261" s="11" t="s">
        <v>2460</v>
      </c>
      <c r="O1261" s="13"/>
      <c r="P1261" s="11">
        <v>0.0</v>
      </c>
      <c r="Q1261" s="14">
        <v>0.0</v>
      </c>
      <c r="R1261" s="11">
        <v>1.0</v>
      </c>
      <c r="S1261">
        <f t="shared" si="1"/>
        <v>2016</v>
      </c>
      <c r="T1261">
        <f t="shared" si="2"/>
        <v>3</v>
      </c>
      <c r="U1261">
        <f t="shared" si="3"/>
        <v>1</v>
      </c>
      <c r="Z1261" s="17">
        <v>42903.0</v>
      </c>
      <c r="AG1261" s="15"/>
      <c r="AH1261" s="16"/>
      <c r="AM1261" s="15"/>
      <c r="AN1261" s="16"/>
    </row>
    <row r="1262">
      <c r="A1262" s="13" t="s">
        <v>2461</v>
      </c>
      <c r="B1262" s="17">
        <v>42430.0</v>
      </c>
      <c r="C1262" s="11" t="s">
        <v>83</v>
      </c>
      <c r="D1262" s="11" t="s">
        <v>93</v>
      </c>
      <c r="E1262" s="11" t="s">
        <v>39</v>
      </c>
      <c r="F1262" s="11" t="s">
        <v>40</v>
      </c>
      <c r="G1262" s="11" t="s">
        <v>45</v>
      </c>
      <c r="H1262" s="11" t="s">
        <v>127</v>
      </c>
      <c r="I1262" s="11" t="s">
        <v>2451</v>
      </c>
      <c r="J1262" s="11">
        <v>21.0</v>
      </c>
      <c r="K1262" s="39">
        <v>42917.0</v>
      </c>
      <c r="L1262" s="11">
        <f t="shared" si="133"/>
        <v>16</v>
      </c>
      <c r="M1262" s="11">
        <v>676831.0</v>
      </c>
      <c r="N1262" s="11">
        <v>19731.0</v>
      </c>
      <c r="O1262" s="13"/>
      <c r="P1262" s="11">
        <v>0.0</v>
      </c>
      <c r="Q1262" s="14">
        <v>0.0</v>
      </c>
      <c r="R1262" s="11">
        <v>1.0</v>
      </c>
      <c r="S1262">
        <f t="shared" si="1"/>
        <v>2016</v>
      </c>
      <c r="T1262">
        <f t="shared" si="2"/>
        <v>3</v>
      </c>
      <c r="U1262">
        <f t="shared" si="3"/>
        <v>1</v>
      </c>
      <c r="AG1262" s="15"/>
      <c r="AH1262" s="16"/>
      <c r="AM1262" s="15"/>
      <c r="AN1262" s="16"/>
    </row>
    <row r="1263">
      <c r="A1263" s="13" t="s">
        <v>2462</v>
      </c>
      <c r="B1263" s="17">
        <v>42430.0</v>
      </c>
      <c r="C1263" s="11" t="s">
        <v>76</v>
      </c>
      <c r="D1263" s="11" t="s">
        <v>93</v>
      </c>
      <c r="E1263" s="11" t="s">
        <v>39</v>
      </c>
      <c r="F1263" s="11" t="s">
        <v>64</v>
      </c>
      <c r="G1263" s="11" t="s">
        <v>45</v>
      </c>
      <c r="H1263" s="11" t="s">
        <v>56</v>
      </c>
      <c r="I1263" s="11" t="s">
        <v>1746</v>
      </c>
      <c r="J1263" s="11">
        <v>20.0</v>
      </c>
      <c r="K1263" s="39">
        <v>43273.0</v>
      </c>
      <c r="L1263" s="11"/>
      <c r="M1263" s="11">
        <v>667465.0</v>
      </c>
      <c r="N1263" s="11" t="s">
        <v>2463</v>
      </c>
      <c r="O1263" s="13"/>
      <c r="P1263" s="11">
        <v>0.0</v>
      </c>
      <c r="Q1263" s="14">
        <v>0.0</v>
      </c>
      <c r="R1263" s="11">
        <v>1.0</v>
      </c>
      <c r="S1263">
        <f t="shared" si="1"/>
        <v>2016</v>
      </c>
      <c r="T1263">
        <f t="shared" si="2"/>
        <v>3</v>
      </c>
      <c r="U1263">
        <f t="shared" si="3"/>
        <v>1</v>
      </c>
      <c r="Z1263" s="17"/>
      <c r="AG1263" s="15"/>
      <c r="AH1263" s="16"/>
      <c r="AM1263" s="15"/>
      <c r="AN1263" s="16"/>
    </row>
    <row r="1264">
      <c r="A1264" s="13" t="s">
        <v>2464</v>
      </c>
      <c r="B1264" s="10">
        <v>42423.0</v>
      </c>
      <c r="C1264" s="11" t="s">
        <v>143</v>
      </c>
      <c r="D1264" s="11" t="s">
        <v>93</v>
      </c>
      <c r="E1264" s="11" t="s">
        <v>39</v>
      </c>
      <c r="F1264" s="11" t="s">
        <v>64</v>
      </c>
      <c r="G1264" s="11" t="s">
        <v>45</v>
      </c>
      <c r="H1264" s="11" t="s">
        <v>173</v>
      </c>
      <c r="I1264" s="11" t="s">
        <v>173</v>
      </c>
      <c r="J1264" s="11">
        <v>21.0</v>
      </c>
      <c r="K1264" s="39">
        <v>42910.0</v>
      </c>
      <c r="L1264" s="11"/>
      <c r="M1264" s="11">
        <v>641949.0</v>
      </c>
      <c r="N1264" s="11" t="s">
        <v>2465</v>
      </c>
      <c r="O1264" s="13"/>
      <c r="P1264" s="11">
        <v>0.0</v>
      </c>
      <c r="Q1264" s="14">
        <v>0.0</v>
      </c>
      <c r="R1264" s="11">
        <v>1.0</v>
      </c>
      <c r="S1264">
        <f t="shared" si="1"/>
        <v>2016</v>
      </c>
      <c r="T1264">
        <f t="shared" si="2"/>
        <v>2</v>
      </c>
      <c r="U1264">
        <f t="shared" si="3"/>
        <v>23</v>
      </c>
      <c r="Z1264" s="17"/>
      <c r="AG1264" s="15"/>
      <c r="AH1264" s="16"/>
      <c r="AM1264" s="15"/>
      <c r="AN1264" s="16"/>
    </row>
    <row r="1265">
      <c r="A1265" s="13" t="s">
        <v>2466</v>
      </c>
      <c r="B1265" s="17">
        <v>42413.0</v>
      </c>
      <c r="C1265" s="11" t="s">
        <v>52</v>
      </c>
      <c r="D1265" s="11" t="s">
        <v>213</v>
      </c>
      <c r="E1265" s="11" t="s">
        <v>39</v>
      </c>
      <c r="F1265" s="11" t="s">
        <v>40</v>
      </c>
      <c r="G1265" s="11" t="s">
        <v>45</v>
      </c>
      <c r="H1265" s="11" t="s">
        <v>84</v>
      </c>
      <c r="I1265" s="11" t="s">
        <v>2467</v>
      </c>
      <c r="J1265" s="11">
        <v>19.0</v>
      </c>
      <c r="K1265" s="39">
        <v>43638.0</v>
      </c>
      <c r="L1265" s="11"/>
      <c r="M1265" s="11">
        <v>663723.0</v>
      </c>
      <c r="N1265" s="11" t="s">
        <v>2468</v>
      </c>
      <c r="O1265" s="13"/>
      <c r="P1265" s="11">
        <v>0.0</v>
      </c>
      <c r="Q1265" s="14">
        <v>0.0</v>
      </c>
      <c r="R1265" s="11">
        <v>1.0</v>
      </c>
      <c r="S1265">
        <f t="shared" si="1"/>
        <v>2016</v>
      </c>
      <c r="T1265">
        <f t="shared" si="2"/>
        <v>2</v>
      </c>
      <c r="U1265">
        <f t="shared" si="3"/>
        <v>13</v>
      </c>
      <c r="Z1265" s="17"/>
      <c r="AG1265" s="15"/>
      <c r="AH1265" s="16"/>
      <c r="AM1265" s="15"/>
      <c r="AN1265" s="16"/>
    </row>
    <row r="1266">
      <c r="A1266" s="13" t="s">
        <v>2469</v>
      </c>
      <c r="B1266" s="10">
        <v>42401.0</v>
      </c>
      <c r="C1266" s="11" t="s">
        <v>108</v>
      </c>
      <c r="D1266" s="11" t="s">
        <v>93</v>
      </c>
      <c r="E1266" s="11" t="s">
        <v>39</v>
      </c>
      <c r="F1266" s="11" t="s">
        <v>40</v>
      </c>
      <c r="G1266" s="11" t="s">
        <v>45</v>
      </c>
      <c r="H1266" s="11" t="s">
        <v>84</v>
      </c>
      <c r="I1266" s="11" t="s">
        <v>2470</v>
      </c>
      <c r="J1266" s="11">
        <v>21.0</v>
      </c>
      <c r="K1266" s="39">
        <v>42957.0</v>
      </c>
      <c r="L1266" s="11">
        <f t="shared" ref="L1266:L1267" si="134">ROUND(((K1266-B1266)/365)*12,0)</f>
        <v>18</v>
      </c>
      <c r="M1266" s="11">
        <v>641895.0</v>
      </c>
      <c r="N1266" s="11" t="s">
        <v>2471</v>
      </c>
      <c r="O1266" s="13"/>
      <c r="P1266" s="11">
        <v>0.0</v>
      </c>
      <c r="Q1266" s="14">
        <v>0.0</v>
      </c>
      <c r="R1266" s="11">
        <v>1.0</v>
      </c>
      <c r="S1266">
        <f t="shared" si="1"/>
        <v>2016</v>
      </c>
      <c r="T1266">
        <f t="shared" si="2"/>
        <v>2</v>
      </c>
      <c r="U1266">
        <f t="shared" si="3"/>
        <v>1</v>
      </c>
      <c r="AG1266" s="15"/>
      <c r="AH1266" s="16"/>
      <c r="AM1266" s="15"/>
      <c r="AN1266" s="16"/>
    </row>
    <row r="1267">
      <c r="A1267" s="13" t="s">
        <v>2472</v>
      </c>
      <c r="B1267" s="10">
        <v>42401.0</v>
      </c>
      <c r="C1267" s="11" t="s">
        <v>175</v>
      </c>
      <c r="D1267" s="11" t="s">
        <v>221</v>
      </c>
      <c r="E1267" s="11" t="s">
        <v>39</v>
      </c>
      <c r="F1267" s="11" t="s">
        <v>40</v>
      </c>
      <c r="G1267" s="11" t="s">
        <v>326</v>
      </c>
      <c r="H1267" s="11"/>
      <c r="I1267" s="11"/>
      <c r="J1267" s="11">
        <v>18.0</v>
      </c>
      <c r="K1267" s="39">
        <v>42914.0</v>
      </c>
      <c r="L1267" s="11">
        <f t="shared" si="134"/>
        <v>17</v>
      </c>
      <c r="M1267" s="11">
        <v>661309.0</v>
      </c>
      <c r="N1267" s="11">
        <v>21023.0</v>
      </c>
      <c r="O1267" s="13"/>
      <c r="P1267" s="11">
        <v>0.0</v>
      </c>
      <c r="Q1267" s="14">
        <v>0.0</v>
      </c>
      <c r="R1267" s="11">
        <v>1.0</v>
      </c>
      <c r="S1267">
        <f t="shared" si="1"/>
        <v>2016</v>
      </c>
      <c r="T1267">
        <f t="shared" si="2"/>
        <v>2</v>
      </c>
      <c r="U1267">
        <f t="shared" si="3"/>
        <v>1</v>
      </c>
      <c r="Z1267" s="17">
        <v>42914.0</v>
      </c>
      <c r="AG1267" s="15"/>
      <c r="AH1267" s="16"/>
      <c r="AM1267" s="15"/>
      <c r="AN1267" s="16"/>
    </row>
    <row r="1268">
      <c r="A1268" s="13" t="s">
        <v>2473</v>
      </c>
      <c r="B1268" s="17">
        <v>42401.0</v>
      </c>
      <c r="C1268" s="11" t="s">
        <v>230</v>
      </c>
      <c r="D1268" s="11" t="s">
        <v>213</v>
      </c>
      <c r="E1268" s="11" t="s">
        <v>104</v>
      </c>
      <c r="F1268" s="11" t="s">
        <v>40</v>
      </c>
      <c r="G1268" s="11" t="s">
        <v>45</v>
      </c>
      <c r="H1268" s="11" t="s">
        <v>236</v>
      </c>
      <c r="I1268" s="11" t="s">
        <v>140</v>
      </c>
      <c r="J1268" s="11">
        <v>18.0</v>
      </c>
      <c r="K1268" s="39">
        <v>44321.0</v>
      </c>
      <c r="L1268" s="30"/>
      <c r="M1268" s="11">
        <v>669649.0</v>
      </c>
      <c r="N1268" s="11" t="s">
        <v>2474</v>
      </c>
      <c r="O1268" s="13"/>
      <c r="P1268" s="11">
        <v>0.0</v>
      </c>
      <c r="Q1268" s="14">
        <v>0.0</v>
      </c>
      <c r="R1268" s="11">
        <v>1.0</v>
      </c>
      <c r="S1268">
        <f t="shared" si="1"/>
        <v>2016</v>
      </c>
      <c r="T1268">
        <f t="shared" si="2"/>
        <v>2</v>
      </c>
      <c r="U1268">
        <f t="shared" si="3"/>
        <v>1</v>
      </c>
      <c r="AG1268" s="15"/>
      <c r="AH1268" s="16"/>
      <c r="AM1268" s="15"/>
      <c r="AN1268" s="16"/>
    </row>
    <row r="1269">
      <c r="A1269" s="13" t="s">
        <v>2475</v>
      </c>
      <c r="B1269" s="17">
        <v>42389.0</v>
      </c>
      <c r="C1269" s="11" t="s">
        <v>111</v>
      </c>
      <c r="D1269" s="11" t="s">
        <v>93</v>
      </c>
      <c r="E1269" s="11" t="s">
        <v>39</v>
      </c>
      <c r="F1269" s="11" t="s">
        <v>40</v>
      </c>
      <c r="G1269" s="11" t="s">
        <v>45</v>
      </c>
      <c r="H1269" s="11" t="s">
        <v>67</v>
      </c>
      <c r="I1269" s="11" t="s">
        <v>2476</v>
      </c>
      <c r="J1269" s="11">
        <v>19.0</v>
      </c>
      <c r="K1269" s="39">
        <v>43271.0</v>
      </c>
      <c r="L1269" s="30"/>
      <c r="M1269" s="11">
        <v>682051.0</v>
      </c>
      <c r="N1269" s="11">
        <v>25097.0</v>
      </c>
      <c r="O1269" s="13"/>
      <c r="P1269" s="11">
        <v>0.0</v>
      </c>
      <c r="Q1269" s="14">
        <v>0.0</v>
      </c>
      <c r="R1269" s="11">
        <v>1.0</v>
      </c>
      <c r="S1269">
        <f t="shared" si="1"/>
        <v>2016</v>
      </c>
      <c r="T1269">
        <f t="shared" si="2"/>
        <v>1</v>
      </c>
      <c r="U1269">
        <f t="shared" si="3"/>
        <v>20</v>
      </c>
      <c r="AG1269" s="15"/>
      <c r="AH1269" s="16"/>
      <c r="AM1269" s="15"/>
      <c r="AN1269" s="16"/>
    </row>
    <row r="1270">
      <c r="A1270" s="13" t="s">
        <v>2477</v>
      </c>
      <c r="B1270" s="10">
        <v>42370.0</v>
      </c>
      <c r="C1270" s="11" t="s">
        <v>116</v>
      </c>
      <c r="D1270" s="11" t="s">
        <v>77</v>
      </c>
      <c r="E1270" s="11" t="s">
        <v>39</v>
      </c>
      <c r="F1270" s="11" t="s">
        <v>64</v>
      </c>
      <c r="G1270" s="11" t="s">
        <v>45</v>
      </c>
      <c r="H1270" s="11" t="s">
        <v>133</v>
      </c>
      <c r="I1270" s="11" t="s">
        <v>2478</v>
      </c>
      <c r="J1270" s="11">
        <v>25.0</v>
      </c>
      <c r="K1270" s="30"/>
      <c r="L1270" s="30"/>
      <c r="M1270" s="11">
        <v>657642.0</v>
      </c>
      <c r="N1270" s="11" t="s">
        <v>2479</v>
      </c>
      <c r="O1270" s="13"/>
      <c r="P1270" s="11">
        <v>0.0</v>
      </c>
      <c r="Q1270" s="14">
        <v>0.0</v>
      </c>
      <c r="R1270" s="11">
        <v>0.0</v>
      </c>
      <c r="S1270">
        <f t="shared" si="1"/>
        <v>2016</v>
      </c>
      <c r="T1270">
        <f t="shared" si="2"/>
        <v>1</v>
      </c>
      <c r="U1270">
        <f t="shared" si="3"/>
        <v>1</v>
      </c>
      <c r="AG1270" s="15"/>
      <c r="AH1270" s="16"/>
      <c r="AM1270" s="15"/>
      <c r="AN1270" s="16"/>
    </row>
    <row r="1271">
      <c r="A1271" s="13" t="s">
        <v>2480</v>
      </c>
      <c r="B1271" s="10">
        <v>42370.0</v>
      </c>
      <c r="C1271" s="11" t="s">
        <v>72</v>
      </c>
      <c r="D1271" s="11" t="s">
        <v>221</v>
      </c>
      <c r="E1271" s="11" t="s">
        <v>39</v>
      </c>
      <c r="F1271" s="11" t="s">
        <v>40</v>
      </c>
      <c r="G1271" s="11" t="s">
        <v>45</v>
      </c>
      <c r="H1271" s="11" t="s">
        <v>451</v>
      </c>
      <c r="I1271" s="11" t="s">
        <v>2481</v>
      </c>
      <c r="J1271" s="11">
        <v>20.0</v>
      </c>
      <c r="K1271" s="39">
        <v>42909.0</v>
      </c>
      <c r="L1271" s="30"/>
      <c r="M1271" s="11">
        <v>663975.0</v>
      </c>
      <c r="N1271" s="11">
        <v>21092.0</v>
      </c>
      <c r="O1271" s="13"/>
      <c r="P1271" s="11">
        <v>0.0</v>
      </c>
      <c r="Q1271" s="14">
        <v>0.0</v>
      </c>
      <c r="R1271" s="11">
        <v>1.0</v>
      </c>
      <c r="S1271">
        <f t="shared" si="1"/>
        <v>2016</v>
      </c>
      <c r="T1271">
        <f t="shared" si="2"/>
        <v>1</v>
      </c>
      <c r="U1271">
        <f t="shared" si="3"/>
        <v>1</v>
      </c>
      <c r="Z1271" s="17">
        <v>42909.0</v>
      </c>
      <c r="AG1271" s="15"/>
      <c r="AH1271" s="16"/>
      <c r="AM1271" s="15"/>
      <c r="AN1271" s="16"/>
    </row>
    <row r="1272">
      <c r="A1272" s="13" t="s">
        <v>2482</v>
      </c>
      <c r="B1272" s="10">
        <v>42370.0</v>
      </c>
      <c r="C1272" s="11" t="s">
        <v>167</v>
      </c>
      <c r="D1272" s="11" t="s">
        <v>88</v>
      </c>
      <c r="E1272" s="11" t="s">
        <v>39</v>
      </c>
      <c r="F1272" s="11" t="s">
        <v>40</v>
      </c>
      <c r="G1272" s="11" t="s">
        <v>53</v>
      </c>
      <c r="H1272" s="11"/>
      <c r="I1272" s="11"/>
      <c r="J1272" s="11">
        <v>21.0</v>
      </c>
      <c r="K1272" s="39">
        <v>43245.0</v>
      </c>
      <c r="L1272" s="30"/>
      <c r="M1272" s="11">
        <v>612797.0</v>
      </c>
      <c r="N1272" s="11" t="s">
        <v>2483</v>
      </c>
      <c r="O1272" s="13"/>
      <c r="P1272" s="11">
        <v>0.0</v>
      </c>
      <c r="Q1272" s="14">
        <v>0.0</v>
      </c>
      <c r="R1272" s="11">
        <v>1.0</v>
      </c>
      <c r="S1272">
        <f t="shared" si="1"/>
        <v>2016</v>
      </c>
      <c r="T1272">
        <f t="shared" si="2"/>
        <v>1</v>
      </c>
      <c r="U1272">
        <f t="shared" si="3"/>
        <v>1</v>
      </c>
      <c r="AG1272" s="15"/>
      <c r="AH1272" s="16"/>
      <c r="AM1272" s="15"/>
      <c r="AN1272" s="16"/>
    </row>
    <row r="1273">
      <c r="A1273" s="46" t="s">
        <v>628</v>
      </c>
      <c r="B1273" s="20">
        <v>42370.0</v>
      </c>
      <c r="C1273" s="21" t="s">
        <v>167</v>
      </c>
      <c r="D1273" s="18" t="s">
        <v>93</v>
      </c>
      <c r="E1273" s="21" t="s">
        <v>39</v>
      </c>
      <c r="F1273" s="21" t="s">
        <v>40</v>
      </c>
      <c r="G1273" s="21" t="s">
        <v>45</v>
      </c>
      <c r="H1273" s="21" t="s">
        <v>56</v>
      </c>
      <c r="I1273" s="21" t="s">
        <v>379</v>
      </c>
      <c r="J1273" s="18">
        <v>19.0</v>
      </c>
      <c r="K1273" s="39">
        <v>44322.0</v>
      </c>
      <c r="L1273" s="28"/>
      <c r="M1273" s="11">
        <v>663510.0</v>
      </c>
      <c r="N1273" s="11" t="s">
        <v>629</v>
      </c>
      <c r="O1273" s="19"/>
      <c r="P1273" s="21">
        <v>0.0</v>
      </c>
      <c r="Q1273" s="23">
        <v>0.0</v>
      </c>
      <c r="R1273" s="21">
        <v>1.0</v>
      </c>
      <c r="S1273" s="33">
        <f t="shared" si="1"/>
        <v>2016</v>
      </c>
      <c r="T1273" s="33">
        <f t="shared" si="2"/>
        <v>1</v>
      </c>
      <c r="U1273" s="33">
        <f t="shared" si="3"/>
        <v>1</v>
      </c>
      <c r="V1273" s="24"/>
      <c r="W1273" s="24"/>
      <c r="X1273" s="24"/>
      <c r="Y1273" s="24"/>
      <c r="Z1273" s="24"/>
      <c r="AA1273" s="40"/>
      <c r="AB1273" s="24"/>
      <c r="AC1273" s="24"/>
      <c r="AD1273" s="24"/>
      <c r="AE1273" s="24"/>
      <c r="AF1273" s="24"/>
      <c r="AG1273" s="26"/>
      <c r="AH1273" s="27"/>
      <c r="AI1273" s="24"/>
      <c r="AJ1273" s="24"/>
      <c r="AK1273" s="24"/>
      <c r="AL1273" s="24"/>
      <c r="AM1273" s="26"/>
      <c r="AN1273" s="27"/>
      <c r="AO1273" s="24"/>
      <c r="AP1273" s="24"/>
    </row>
    <row r="1274">
      <c r="A1274" s="13" t="s">
        <v>2484</v>
      </c>
      <c r="B1274" s="17">
        <v>42370.0</v>
      </c>
      <c r="C1274" s="11" t="s">
        <v>167</v>
      </c>
      <c r="D1274" s="11" t="s">
        <v>213</v>
      </c>
      <c r="E1274" s="11" t="s">
        <v>39</v>
      </c>
      <c r="F1274" s="11" t="s">
        <v>40</v>
      </c>
      <c r="G1274" s="11" t="s">
        <v>45</v>
      </c>
      <c r="H1274" s="11" t="s">
        <v>56</v>
      </c>
      <c r="I1274" s="11" t="s">
        <v>2485</v>
      </c>
      <c r="J1274" s="11">
        <v>16.0</v>
      </c>
      <c r="K1274" s="30"/>
      <c r="L1274" s="30"/>
      <c r="M1274" s="11">
        <v>669361.0</v>
      </c>
      <c r="N1274" s="11"/>
      <c r="O1274" s="13"/>
      <c r="P1274" s="11">
        <v>0.0</v>
      </c>
      <c r="Q1274" s="14">
        <v>0.0</v>
      </c>
      <c r="R1274" s="11">
        <v>1.0</v>
      </c>
      <c r="S1274" s="33">
        <f t="shared" si="1"/>
        <v>2016</v>
      </c>
      <c r="T1274" s="33">
        <f t="shared" si="2"/>
        <v>1</v>
      </c>
      <c r="U1274" s="33">
        <f t="shared" si="3"/>
        <v>1</v>
      </c>
      <c r="AG1274" s="15"/>
      <c r="AH1274" s="16"/>
      <c r="AM1274" s="15"/>
      <c r="AN1274" s="16"/>
    </row>
    <row r="1275">
      <c r="A1275" s="13" t="s">
        <v>2486</v>
      </c>
      <c r="B1275" s="10">
        <v>42370.0</v>
      </c>
      <c r="C1275" s="11" t="s">
        <v>143</v>
      </c>
      <c r="D1275" s="11" t="s">
        <v>58</v>
      </c>
      <c r="E1275" s="11" t="s">
        <v>982</v>
      </c>
      <c r="F1275" s="11" t="s">
        <v>40</v>
      </c>
      <c r="G1275" s="11" t="s">
        <v>45</v>
      </c>
      <c r="H1275" s="11" t="s">
        <v>59</v>
      </c>
      <c r="I1275" s="11" t="s">
        <v>2487</v>
      </c>
      <c r="J1275" s="11">
        <v>30.0</v>
      </c>
      <c r="K1275" s="30"/>
      <c r="L1275" s="30"/>
      <c r="M1275" s="11">
        <v>519107.0</v>
      </c>
      <c r="N1275" s="11">
        <v>3972.0</v>
      </c>
      <c r="O1275" s="13"/>
      <c r="P1275" s="11">
        <v>0.0</v>
      </c>
      <c r="Q1275" s="14">
        <v>0.0</v>
      </c>
      <c r="R1275" s="11">
        <v>0.0</v>
      </c>
      <c r="S1275">
        <f t="shared" si="1"/>
        <v>2016</v>
      </c>
      <c r="T1275">
        <f t="shared" si="2"/>
        <v>1</v>
      </c>
      <c r="U1275">
        <f t="shared" si="3"/>
        <v>1</v>
      </c>
      <c r="AG1275" s="15"/>
      <c r="AH1275" s="16"/>
      <c r="AM1275" s="15"/>
      <c r="AN1275" s="16"/>
    </row>
    <row r="1276">
      <c r="A1276" s="13" t="s">
        <v>2488</v>
      </c>
      <c r="B1276" s="17">
        <v>42370.0</v>
      </c>
      <c r="C1276" s="11" t="s">
        <v>143</v>
      </c>
      <c r="D1276" s="11" t="s">
        <v>93</v>
      </c>
      <c r="E1276" s="11" t="s">
        <v>39</v>
      </c>
      <c r="F1276" s="11" t="s">
        <v>64</v>
      </c>
      <c r="G1276" s="11" t="s">
        <v>45</v>
      </c>
      <c r="H1276" s="11" t="s">
        <v>84</v>
      </c>
      <c r="I1276" s="11" t="s">
        <v>262</v>
      </c>
      <c r="J1276" s="11">
        <v>20.0</v>
      </c>
      <c r="K1276" s="39">
        <v>43271.0</v>
      </c>
      <c r="L1276" s="30"/>
      <c r="M1276" s="11">
        <v>682151.0</v>
      </c>
      <c r="N1276" s="11" t="s">
        <v>2489</v>
      </c>
      <c r="O1276" s="13"/>
      <c r="P1276" s="11">
        <v>0.0</v>
      </c>
      <c r="Q1276" s="14">
        <v>0.0</v>
      </c>
      <c r="R1276" s="11">
        <v>1.0</v>
      </c>
      <c r="S1276">
        <f t="shared" si="1"/>
        <v>2016</v>
      </c>
      <c r="T1276">
        <f t="shared" si="2"/>
        <v>1</v>
      </c>
      <c r="U1276">
        <f t="shared" si="3"/>
        <v>1</v>
      </c>
      <c r="Z1276" s="17"/>
      <c r="AG1276" s="15"/>
      <c r="AH1276" s="16"/>
      <c r="AM1276" s="15"/>
      <c r="AN1276" s="16"/>
    </row>
    <row r="1277">
      <c r="A1277" s="13" t="s">
        <v>2490</v>
      </c>
      <c r="B1277" s="17">
        <v>42370.0</v>
      </c>
      <c r="C1277" s="11" t="s">
        <v>143</v>
      </c>
      <c r="D1277" s="11" t="s">
        <v>93</v>
      </c>
      <c r="E1277" s="11" t="s">
        <v>279</v>
      </c>
      <c r="F1277" s="11" t="s">
        <v>40</v>
      </c>
      <c r="G1277" s="11" t="s">
        <v>45</v>
      </c>
      <c r="H1277" s="11" t="s">
        <v>59</v>
      </c>
      <c r="I1277" s="11" t="s">
        <v>2491</v>
      </c>
      <c r="J1277" s="11">
        <v>19.0</v>
      </c>
      <c r="K1277" s="39">
        <v>43633.0</v>
      </c>
      <c r="L1277" s="30"/>
      <c r="M1277" s="11">
        <v>677068.0</v>
      </c>
      <c r="N1277" s="11" t="s">
        <v>2492</v>
      </c>
      <c r="O1277" s="13"/>
      <c r="P1277" s="11">
        <v>0.0</v>
      </c>
      <c r="Q1277" s="14">
        <v>0.0</v>
      </c>
      <c r="R1277" s="11">
        <v>1.0</v>
      </c>
      <c r="S1277">
        <f t="shared" si="1"/>
        <v>2016</v>
      </c>
      <c r="T1277">
        <f t="shared" si="2"/>
        <v>1</v>
      </c>
      <c r="U1277">
        <f t="shared" si="3"/>
        <v>1</v>
      </c>
      <c r="Z1277" s="17"/>
      <c r="AG1277" s="15"/>
      <c r="AH1277" s="16"/>
      <c r="AM1277" s="15"/>
      <c r="AN1277" s="16"/>
    </row>
    <row r="1278">
      <c r="A1278" s="13" t="s">
        <v>2493</v>
      </c>
      <c r="B1278" s="17">
        <v>42370.0</v>
      </c>
      <c r="C1278" s="11" t="s">
        <v>162</v>
      </c>
      <c r="D1278" s="11" t="s">
        <v>93</v>
      </c>
      <c r="E1278" s="11" t="s">
        <v>39</v>
      </c>
      <c r="F1278" s="11" t="s">
        <v>40</v>
      </c>
      <c r="G1278" s="11" t="s">
        <v>45</v>
      </c>
      <c r="H1278" s="11" t="s">
        <v>139</v>
      </c>
      <c r="I1278" s="11" t="s">
        <v>2467</v>
      </c>
      <c r="J1278" s="11">
        <v>21.0</v>
      </c>
      <c r="K1278" s="39">
        <v>43266.0</v>
      </c>
      <c r="L1278" s="30"/>
      <c r="M1278" s="11">
        <v>641978.0</v>
      </c>
      <c r="N1278" s="11" t="s">
        <v>2494</v>
      </c>
      <c r="O1278" s="13"/>
      <c r="P1278" s="11">
        <v>0.0</v>
      </c>
      <c r="Q1278" s="14">
        <v>0.0</v>
      </c>
      <c r="R1278" s="11">
        <v>1.0</v>
      </c>
      <c r="S1278">
        <f t="shared" si="1"/>
        <v>2016</v>
      </c>
      <c r="T1278">
        <f t="shared" si="2"/>
        <v>1</v>
      </c>
      <c r="U1278">
        <f t="shared" si="3"/>
        <v>1</v>
      </c>
      <c r="Z1278" s="17"/>
      <c r="AG1278" s="15"/>
      <c r="AH1278" s="16"/>
      <c r="AM1278" s="15"/>
      <c r="AN1278" s="16"/>
    </row>
    <row r="1279">
      <c r="A1279" s="13" t="s">
        <v>2495</v>
      </c>
      <c r="B1279" s="10">
        <v>42370.0</v>
      </c>
      <c r="C1279" s="11" t="s">
        <v>162</v>
      </c>
      <c r="D1279" s="11" t="s">
        <v>221</v>
      </c>
      <c r="E1279" s="11" t="s">
        <v>39</v>
      </c>
      <c r="F1279" s="11" t="s">
        <v>40</v>
      </c>
      <c r="G1279" s="11" t="s">
        <v>326</v>
      </c>
      <c r="H1279" s="11"/>
      <c r="I1279" s="11"/>
      <c r="J1279" s="11">
        <v>19.0</v>
      </c>
      <c r="K1279" s="39">
        <v>43224.0</v>
      </c>
      <c r="L1279" s="30"/>
      <c r="M1279" s="11">
        <v>660427.0</v>
      </c>
      <c r="N1279" s="11" t="s">
        <v>2496</v>
      </c>
      <c r="O1279" s="13"/>
      <c r="P1279" s="11">
        <v>0.0</v>
      </c>
      <c r="Q1279" s="14">
        <v>0.0</v>
      </c>
      <c r="R1279" s="11">
        <v>1.0</v>
      </c>
      <c r="S1279">
        <f t="shared" si="1"/>
        <v>2016</v>
      </c>
      <c r="T1279">
        <f t="shared" si="2"/>
        <v>1</v>
      </c>
      <c r="U1279">
        <f t="shared" si="3"/>
        <v>1</v>
      </c>
      <c r="Z1279" s="17"/>
      <c r="AG1279" s="15"/>
      <c r="AH1279" s="16"/>
      <c r="AM1279" s="15"/>
      <c r="AN1279" s="16"/>
    </row>
    <row r="1280">
      <c r="A1280" s="13" t="s">
        <v>2497</v>
      </c>
      <c r="B1280" s="10">
        <v>42370.0</v>
      </c>
      <c r="C1280" s="11" t="s">
        <v>44</v>
      </c>
      <c r="D1280" s="11" t="s">
        <v>88</v>
      </c>
      <c r="E1280" s="11" t="s">
        <v>39</v>
      </c>
      <c r="F1280" s="11" t="s">
        <v>64</v>
      </c>
      <c r="G1280" s="11" t="s">
        <v>41</v>
      </c>
      <c r="H1280" s="11"/>
      <c r="I1280" s="11"/>
      <c r="J1280" s="11">
        <v>23.0</v>
      </c>
      <c r="K1280" s="39">
        <v>43195.0</v>
      </c>
      <c r="L1280" s="30"/>
      <c r="M1280" s="11">
        <v>606198.0</v>
      </c>
      <c r="N1280" s="11" t="s">
        <v>2498</v>
      </c>
      <c r="O1280" s="13"/>
      <c r="P1280" s="11">
        <v>0.0</v>
      </c>
      <c r="Q1280" s="14">
        <v>0.0</v>
      </c>
      <c r="R1280" s="11">
        <v>1.0</v>
      </c>
      <c r="S1280">
        <f t="shared" si="1"/>
        <v>2016</v>
      </c>
      <c r="T1280">
        <f t="shared" si="2"/>
        <v>1</v>
      </c>
      <c r="U1280">
        <f t="shared" si="3"/>
        <v>1</v>
      </c>
      <c r="Z1280" s="17">
        <v>42966.0</v>
      </c>
      <c r="AG1280" s="15"/>
      <c r="AH1280" s="16"/>
      <c r="AM1280" s="15"/>
      <c r="AN1280" s="16"/>
    </row>
    <row r="1281">
      <c r="A1281" s="13" t="s">
        <v>2499</v>
      </c>
      <c r="B1281" s="10">
        <v>42370.0</v>
      </c>
      <c r="C1281" s="11" t="s">
        <v>44</v>
      </c>
      <c r="D1281" s="11" t="s">
        <v>93</v>
      </c>
      <c r="E1281" s="11" t="s">
        <v>39</v>
      </c>
      <c r="F1281" s="11" t="s">
        <v>40</v>
      </c>
      <c r="G1281" s="11" t="s">
        <v>45</v>
      </c>
      <c r="H1281" s="11" t="s">
        <v>56</v>
      </c>
      <c r="I1281" s="11" t="s">
        <v>1746</v>
      </c>
      <c r="J1281" s="11">
        <v>21.0</v>
      </c>
      <c r="K1281" s="39">
        <v>43284.0</v>
      </c>
      <c r="L1281" s="30"/>
      <c r="M1281" s="11">
        <v>641774.0</v>
      </c>
      <c r="N1281" s="11" t="s">
        <v>2500</v>
      </c>
      <c r="O1281" s="13"/>
      <c r="P1281" s="11">
        <v>0.0</v>
      </c>
      <c r="Q1281" s="14">
        <v>0.0</v>
      </c>
      <c r="R1281" s="11">
        <v>1.0</v>
      </c>
      <c r="S1281">
        <f t="shared" si="1"/>
        <v>2016</v>
      </c>
      <c r="T1281">
        <f t="shared" si="2"/>
        <v>1</v>
      </c>
      <c r="U1281">
        <f t="shared" si="3"/>
        <v>1</v>
      </c>
      <c r="AG1281" s="15"/>
      <c r="AH1281" s="16"/>
      <c r="AM1281" s="15"/>
      <c r="AN1281" s="16"/>
    </row>
    <row r="1282">
      <c r="A1282" s="13" t="s">
        <v>2501</v>
      </c>
      <c r="B1282" s="10">
        <v>42370.0</v>
      </c>
      <c r="C1282" s="11" t="s">
        <v>111</v>
      </c>
      <c r="D1282" s="11" t="s">
        <v>88</v>
      </c>
      <c r="E1282" s="11" t="s">
        <v>39</v>
      </c>
      <c r="F1282" s="11" t="s">
        <v>40</v>
      </c>
      <c r="G1282" s="11" t="s">
        <v>53</v>
      </c>
      <c r="H1282" s="11"/>
      <c r="I1282" s="11"/>
      <c r="J1282" s="11">
        <v>22.0</v>
      </c>
      <c r="K1282" s="39">
        <v>42931.0</v>
      </c>
      <c r="L1282" s="30"/>
      <c r="M1282" s="11">
        <v>591611.0</v>
      </c>
      <c r="N1282" s="11" t="s">
        <v>2502</v>
      </c>
      <c r="O1282" s="13"/>
      <c r="P1282" s="11">
        <v>0.0</v>
      </c>
      <c r="Q1282" s="14">
        <v>0.0</v>
      </c>
      <c r="R1282" s="11">
        <v>1.0</v>
      </c>
      <c r="S1282">
        <f t="shared" si="1"/>
        <v>2016</v>
      </c>
      <c r="T1282">
        <f t="shared" si="2"/>
        <v>1</v>
      </c>
      <c r="U1282">
        <f t="shared" si="3"/>
        <v>1</v>
      </c>
      <c r="AG1282" s="15"/>
      <c r="AH1282" s="16"/>
      <c r="AM1282" s="15"/>
      <c r="AN1282" s="16"/>
    </row>
    <row r="1283">
      <c r="A1283" s="13" t="s">
        <v>2503</v>
      </c>
      <c r="B1283" s="10">
        <v>42370.0</v>
      </c>
      <c r="C1283" s="11" t="s">
        <v>111</v>
      </c>
      <c r="D1283" s="11" t="s">
        <v>93</v>
      </c>
      <c r="E1283" s="11" t="s">
        <v>39</v>
      </c>
      <c r="F1283" s="11" t="s">
        <v>40</v>
      </c>
      <c r="G1283" s="11" t="s">
        <v>45</v>
      </c>
      <c r="H1283" s="11" t="s">
        <v>56</v>
      </c>
      <c r="I1283" s="11" t="s">
        <v>2504</v>
      </c>
      <c r="J1283" s="11">
        <v>21.0</v>
      </c>
      <c r="K1283" s="39">
        <v>42911.0</v>
      </c>
      <c r="L1283" s="30"/>
      <c r="M1283" s="11">
        <v>676684.0</v>
      </c>
      <c r="N1283" s="11">
        <v>19769.0</v>
      </c>
      <c r="O1283" s="13"/>
      <c r="P1283" s="11">
        <v>0.0</v>
      </c>
      <c r="Q1283" s="14">
        <v>0.0</v>
      </c>
      <c r="R1283" s="11">
        <v>1.0</v>
      </c>
      <c r="S1283">
        <f t="shared" si="1"/>
        <v>2016</v>
      </c>
      <c r="T1283">
        <f t="shared" si="2"/>
        <v>1</v>
      </c>
      <c r="U1283">
        <f t="shared" si="3"/>
        <v>1</v>
      </c>
      <c r="AG1283" s="15"/>
      <c r="AH1283" s="16"/>
      <c r="AM1283" s="15"/>
      <c r="AN1283" s="16"/>
    </row>
    <row r="1284">
      <c r="A1284" s="13" t="s">
        <v>2505</v>
      </c>
      <c r="B1284" s="10">
        <v>42370.0</v>
      </c>
      <c r="C1284" s="11" t="s">
        <v>52</v>
      </c>
      <c r="D1284" s="11" t="s">
        <v>213</v>
      </c>
      <c r="E1284" s="11" t="s">
        <v>39</v>
      </c>
      <c r="F1284" s="11" t="s">
        <v>40</v>
      </c>
      <c r="G1284" s="11" t="s">
        <v>45</v>
      </c>
      <c r="H1284" s="11" t="s">
        <v>84</v>
      </c>
      <c r="I1284" s="11" t="s">
        <v>2506</v>
      </c>
      <c r="J1284" s="11">
        <v>19.0</v>
      </c>
      <c r="K1284" s="39">
        <v>43271.0</v>
      </c>
      <c r="L1284" s="30"/>
      <c r="M1284" s="11">
        <v>681958.0</v>
      </c>
      <c r="N1284" s="11" t="s">
        <v>2507</v>
      </c>
      <c r="O1284" s="13"/>
      <c r="P1284" s="11">
        <v>0.0</v>
      </c>
      <c r="Q1284" s="14">
        <v>0.0</v>
      </c>
      <c r="R1284" s="11">
        <v>1.0</v>
      </c>
      <c r="S1284">
        <f t="shared" si="1"/>
        <v>2016</v>
      </c>
      <c r="T1284">
        <f t="shared" si="2"/>
        <v>1</v>
      </c>
      <c r="U1284">
        <f t="shared" si="3"/>
        <v>1</v>
      </c>
      <c r="AG1284" s="15"/>
      <c r="AH1284" s="16"/>
      <c r="AM1284" s="15"/>
      <c r="AN1284" s="16"/>
    </row>
    <row r="1285">
      <c r="A1285" s="13" t="s">
        <v>2508</v>
      </c>
      <c r="B1285" s="10">
        <v>42370.0</v>
      </c>
      <c r="C1285" s="11" t="s">
        <v>358</v>
      </c>
      <c r="D1285" s="11" t="s">
        <v>93</v>
      </c>
      <c r="E1285" s="11" t="s">
        <v>39</v>
      </c>
      <c r="F1285" s="11" t="s">
        <v>64</v>
      </c>
      <c r="G1285" s="11" t="s">
        <v>45</v>
      </c>
      <c r="H1285" s="11" t="s">
        <v>182</v>
      </c>
      <c r="I1285" s="11" t="s">
        <v>2509</v>
      </c>
      <c r="J1285" s="11">
        <v>21.0</v>
      </c>
      <c r="K1285" s="39">
        <v>43271.0</v>
      </c>
      <c r="L1285" s="30"/>
      <c r="M1285" s="11">
        <v>681022.0</v>
      </c>
      <c r="N1285" s="11" t="s">
        <v>2510</v>
      </c>
      <c r="O1285" s="13"/>
      <c r="P1285" s="11">
        <v>0.0</v>
      </c>
      <c r="Q1285" s="14">
        <v>0.0</v>
      </c>
      <c r="R1285" s="11">
        <v>1.0</v>
      </c>
      <c r="S1285">
        <f t="shared" si="1"/>
        <v>2016</v>
      </c>
      <c r="T1285">
        <f t="shared" si="2"/>
        <v>1</v>
      </c>
      <c r="U1285">
        <f t="shared" si="3"/>
        <v>1</v>
      </c>
      <c r="AG1285" s="15"/>
      <c r="AH1285" s="16"/>
      <c r="AM1285" s="15"/>
      <c r="AN1285" s="16"/>
    </row>
    <row r="1286">
      <c r="A1286" s="13" t="s">
        <v>2511</v>
      </c>
      <c r="B1286" s="10">
        <v>42370.0</v>
      </c>
      <c r="C1286" s="11" t="s">
        <v>358</v>
      </c>
      <c r="D1286" s="11" t="s">
        <v>221</v>
      </c>
      <c r="E1286" s="11" t="s">
        <v>39</v>
      </c>
      <c r="F1286" s="11" t="s">
        <v>64</v>
      </c>
      <c r="G1286" s="11" t="s">
        <v>45</v>
      </c>
      <c r="H1286" s="11" t="s">
        <v>84</v>
      </c>
      <c r="I1286" s="11" t="s">
        <v>1437</v>
      </c>
      <c r="J1286" s="11">
        <v>20.0</v>
      </c>
      <c r="K1286" s="39">
        <v>42912.0</v>
      </c>
      <c r="L1286" s="30"/>
      <c r="M1286" s="11">
        <v>664841.0</v>
      </c>
      <c r="N1286" s="11" t="s">
        <v>2512</v>
      </c>
      <c r="O1286" s="13"/>
      <c r="P1286" s="11">
        <v>0.0</v>
      </c>
      <c r="Q1286" s="14">
        <v>0.0</v>
      </c>
      <c r="R1286" s="11">
        <v>1.0</v>
      </c>
      <c r="S1286">
        <f t="shared" si="1"/>
        <v>2016</v>
      </c>
      <c r="T1286">
        <f t="shared" si="2"/>
        <v>1</v>
      </c>
      <c r="U1286">
        <f t="shared" si="3"/>
        <v>1</v>
      </c>
      <c r="AG1286" s="15"/>
      <c r="AH1286" s="16"/>
      <c r="AM1286" s="15"/>
      <c r="AN1286" s="16"/>
    </row>
    <row r="1287">
      <c r="A1287" s="13" t="s">
        <v>2513</v>
      </c>
      <c r="B1287" s="17">
        <v>42370.0</v>
      </c>
      <c r="C1287" s="11" t="s">
        <v>346</v>
      </c>
      <c r="D1287" s="11" t="s">
        <v>221</v>
      </c>
      <c r="E1287" s="11" t="s">
        <v>39</v>
      </c>
      <c r="F1287" s="11" t="s">
        <v>64</v>
      </c>
      <c r="G1287" s="11" t="s">
        <v>41</v>
      </c>
      <c r="H1287" s="11"/>
      <c r="I1287" s="11"/>
      <c r="J1287" s="11">
        <v>19.0</v>
      </c>
      <c r="K1287" s="39">
        <v>44358.0</v>
      </c>
      <c r="L1287" s="30"/>
      <c r="M1287" s="11">
        <v>642376.0</v>
      </c>
      <c r="N1287" s="11" t="s">
        <v>2514</v>
      </c>
      <c r="O1287" s="13"/>
      <c r="P1287" s="11">
        <v>0.0</v>
      </c>
      <c r="Q1287" s="14">
        <v>0.0</v>
      </c>
      <c r="R1287" s="11">
        <v>1.0</v>
      </c>
      <c r="S1287">
        <f t="shared" si="1"/>
        <v>2016</v>
      </c>
      <c r="T1287">
        <f t="shared" si="2"/>
        <v>1</v>
      </c>
      <c r="U1287">
        <f t="shared" si="3"/>
        <v>1</v>
      </c>
      <c r="Z1287" s="17">
        <v>44358.0</v>
      </c>
      <c r="AG1287" s="15"/>
      <c r="AH1287" s="16"/>
      <c r="AM1287" s="15"/>
      <c r="AN1287" s="16"/>
    </row>
    <row r="1288">
      <c r="A1288" s="13" t="s">
        <v>2515</v>
      </c>
      <c r="B1288" s="17">
        <v>42370.0</v>
      </c>
      <c r="C1288" s="11" t="s">
        <v>126</v>
      </c>
      <c r="D1288" s="11" t="s">
        <v>93</v>
      </c>
      <c r="E1288" s="11" t="s">
        <v>39</v>
      </c>
      <c r="F1288" s="11" t="s">
        <v>64</v>
      </c>
      <c r="G1288" s="11" t="s">
        <v>45</v>
      </c>
      <c r="H1288" s="11" t="s">
        <v>127</v>
      </c>
      <c r="I1288" s="11" t="s">
        <v>2516</v>
      </c>
      <c r="J1288" s="11">
        <v>19.0</v>
      </c>
      <c r="K1288" s="39">
        <v>43634.0</v>
      </c>
      <c r="L1288" s="30"/>
      <c r="M1288" s="11">
        <v>681886.0</v>
      </c>
      <c r="N1288" s="11" t="s">
        <v>2517</v>
      </c>
      <c r="O1288" s="13"/>
      <c r="P1288" s="11">
        <v>0.0</v>
      </c>
      <c r="Q1288" s="14">
        <v>0.0</v>
      </c>
      <c r="R1288" s="11">
        <v>1.0</v>
      </c>
      <c r="S1288">
        <f t="shared" si="1"/>
        <v>2016</v>
      </c>
      <c r="T1288">
        <f t="shared" si="2"/>
        <v>1</v>
      </c>
      <c r="U1288">
        <f t="shared" si="3"/>
        <v>1</v>
      </c>
      <c r="AG1288" s="15"/>
      <c r="AH1288" s="16"/>
      <c r="AM1288" s="15"/>
      <c r="AN1288" s="16"/>
    </row>
    <row r="1289">
      <c r="A1289" s="13" t="s">
        <v>2518</v>
      </c>
      <c r="B1289" s="17">
        <v>42370.0</v>
      </c>
      <c r="C1289" s="11" t="s">
        <v>126</v>
      </c>
      <c r="D1289" s="11" t="s">
        <v>93</v>
      </c>
      <c r="E1289" s="11" t="s">
        <v>39</v>
      </c>
      <c r="F1289" s="11" t="s">
        <v>40</v>
      </c>
      <c r="G1289" s="11" t="s">
        <v>45</v>
      </c>
      <c r="H1289" s="11" t="s">
        <v>231</v>
      </c>
      <c r="I1289" s="11" t="s">
        <v>2519</v>
      </c>
      <c r="J1289" s="11">
        <v>20.0</v>
      </c>
      <c r="K1289" s="39">
        <v>43647.0</v>
      </c>
      <c r="L1289" s="30"/>
      <c r="M1289" s="11">
        <v>684604.0</v>
      </c>
      <c r="N1289" s="11" t="s">
        <v>2520</v>
      </c>
      <c r="O1289" s="13"/>
      <c r="P1289" s="11">
        <v>0.0</v>
      </c>
      <c r="Q1289" s="14">
        <v>0.0</v>
      </c>
      <c r="R1289" s="11">
        <v>1.0</v>
      </c>
      <c r="S1289">
        <f t="shared" si="1"/>
        <v>2016</v>
      </c>
      <c r="T1289">
        <f t="shared" si="2"/>
        <v>1</v>
      </c>
      <c r="U1289">
        <f t="shared" si="3"/>
        <v>1</v>
      </c>
      <c r="AG1289" s="15"/>
      <c r="AH1289" s="16"/>
      <c r="AM1289" s="15"/>
      <c r="AN1289" s="16"/>
    </row>
    <row r="1290">
      <c r="A1290" s="13" t="s">
        <v>2521</v>
      </c>
      <c r="B1290" s="10">
        <v>42370.0</v>
      </c>
      <c r="C1290" s="11" t="s">
        <v>55</v>
      </c>
      <c r="D1290" s="11" t="s">
        <v>93</v>
      </c>
      <c r="E1290" s="11" t="s">
        <v>39</v>
      </c>
      <c r="F1290" s="11" t="s">
        <v>64</v>
      </c>
      <c r="G1290" s="11" t="s">
        <v>45</v>
      </c>
      <c r="H1290" s="11" t="s">
        <v>262</v>
      </c>
      <c r="I1290" s="11" t="s">
        <v>637</v>
      </c>
      <c r="J1290" s="11">
        <v>19.0</v>
      </c>
      <c r="K1290" s="39">
        <v>43665.0</v>
      </c>
      <c r="L1290" s="30"/>
      <c r="M1290" s="11">
        <v>663629.0</v>
      </c>
      <c r="N1290" s="11">
        <v>26364.0</v>
      </c>
      <c r="O1290" s="13"/>
      <c r="P1290" s="11">
        <v>0.0</v>
      </c>
      <c r="Q1290" s="14">
        <v>0.0</v>
      </c>
      <c r="R1290" s="11">
        <v>1.0</v>
      </c>
      <c r="S1290">
        <f t="shared" si="1"/>
        <v>2016</v>
      </c>
      <c r="T1290">
        <f t="shared" si="2"/>
        <v>1</v>
      </c>
      <c r="U1290">
        <f t="shared" si="3"/>
        <v>1</v>
      </c>
      <c r="AG1290" s="15"/>
      <c r="AH1290" s="16"/>
      <c r="AM1290" s="15"/>
      <c r="AN1290" s="16"/>
    </row>
    <row r="1291">
      <c r="A1291" s="13" t="s">
        <v>2522</v>
      </c>
      <c r="B1291" s="10">
        <v>42370.0</v>
      </c>
      <c r="C1291" s="11" t="s">
        <v>103</v>
      </c>
      <c r="D1291" s="11" t="s">
        <v>93</v>
      </c>
      <c r="E1291" s="11" t="s">
        <v>982</v>
      </c>
      <c r="F1291" s="11" t="s">
        <v>40</v>
      </c>
      <c r="G1291" s="11" t="s">
        <v>45</v>
      </c>
      <c r="H1291" s="11" t="s">
        <v>173</v>
      </c>
      <c r="I1291" s="11" t="s">
        <v>2523</v>
      </c>
      <c r="J1291" s="11">
        <v>21.0</v>
      </c>
      <c r="K1291" s="39">
        <v>42911.0</v>
      </c>
      <c r="L1291" s="30"/>
      <c r="M1291" s="11">
        <v>641625.0</v>
      </c>
      <c r="N1291" s="11" t="s">
        <v>2524</v>
      </c>
      <c r="O1291" s="13"/>
      <c r="P1291" s="11">
        <v>0.0</v>
      </c>
      <c r="Q1291" s="14">
        <v>0.0</v>
      </c>
      <c r="R1291" s="11">
        <v>1.0</v>
      </c>
      <c r="S1291">
        <f t="shared" si="1"/>
        <v>2016</v>
      </c>
      <c r="T1291">
        <f t="shared" si="2"/>
        <v>1</v>
      </c>
      <c r="U1291">
        <f t="shared" si="3"/>
        <v>1</v>
      </c>
      <c r="AG1291" s="15"/>
      <c r="AH1291" s="16"/>
      <c r="AM1291" s="15"/>
      <c r="AN1291" s="16"/>
    </row>
    <row r="1292">
      <c r="A1292" s="13" t="s">
        <v>2525</v>
      </c>
      <c r="B1292" s="10">
        <v>42370.0</v>
      </c>
      <c r="C1292" s="11" t="s">
        <v>49</v>
      </c>
      <c r="D1292" s="11" t="s">
        <v>221</v>
      </c>
      <c r="E1292" s="11" t="s">
        <v>39</v>
      </c>
      <c r="F1292" s="11" t="s">
        <v>40</v>
      </c>
      <c r="G1292" s="11" t="s">
        <v>41</v>
      </c>
      <c r="H1292" s="11"/>
      <c r="I1292" s="11"/>
      <c r="J1292" s="11">
        <v>18.0</v>
      </c>
      <c r="K1292" s="39">
        <v>43270.0</v>
      </c>
      <c r="L1292" s="30"/>
      <c r="M1292" s="11">
        <v>671305.0</v>
      </c>
      <c r="N1292" s="11" t="s">
        <v>2526</v>
      </c>
      <c r="O1292" s="13"/>
      <c r="P1292" s="11">
        <v>0.0</v>
      </c>
      <c r="Q1292" s="14">
        <v>0.0</v>
      </c>
      <c r="R1292" s="11">
        <v>1.0</v>
      </c>
      <c r="S1292">
        <f t="shared" si="1"/>
        <v>2016</v>
      </c>
      <c r="T1292">
        <f t="shared" si="2"/>
        <v>1</v>
      </c>
      <c r="U1292">
        <f t="shared" si="3"/>
        <v>1</v>
      </c>
      <c r="AG1292" s="15"/>
      <c r="AH1292" s="16"/>
      <c r="AM1292" s="15"/>
      <c r="AN1292" s="16"/>
    </row>
    <row r="1293">
      <c r="A1293" s="13" t="s">
        <v>2527</v>
      </c>
      <c r="B1293" s="10">
        <v>42370.0</v>
      </c>
      <c r="C1293" s="11" t="s">
        <v>49</v>
      </c>
      <c r="D1293" s="11" t="s">
        <v>221</v>
      </c>
      <c r="E1293" s="11" t="s">
        <v>39</v>
      </c>
      <c r="F1293" s="11" t="s">
        <v>40</v>
      </c>
      <c r="G1293" s="11" t="s">
        <v>41</v>
      </c>
      <c r="H1293" s="11"/>
      <c r="I1293" s="11"/>
      <c r="J1293" s="11">
        <v>23.0</v>
      </c>
      <c r="K1293" s="39">
        <v>42928.0</v>
      </c>
      <c r="L1293" s="30"/>
      <c r="M1293" s="11">
        <v>660424.0</v>
      </c>
      <c r="N1293" s="11" t="s">
        <v>2528</v>
      </c>
      <c r="O1293" s="13"/>
      <c r="P1293" s="11">
        <v>0.0</v>
      </c>
      <c r="Q1293" s="14">
        <v>0.0</v>
      </c>
      <c r="R1293" s="11">
        <v>1.0</v>
      </c>
      <c r="S1293">
        <f t="shared" si="1"/>
        <v>2016</v>
      </c>
      <c r="T1293">
        <f t="shared" si="2"/>
        <v>1</v>
      </c>
      <c r="U1293">
        <f t="shared" si="3"/>
        <v>1</v>
      </c>
      <c r="AG1293" s="15"/>
      <c r="AH1293" s="16"/>
      <c r="AM1293" s="15"/>
      <c r="AN1293" s="16"/>
    </row>
    <row r="1294">
      <c r="A1294" s="13" t="s">
        <v>2529</v>
      </c>
      <c r="B1294" s="10">
        <v>42370.0</v>
      </c>
      <c r="C1294" s="11" t="s">
        <v>108</v>
      </c>
      <c r="D1294" s="11" t="s">
        <v>709</v>
      </c>
      <c r="E1294" s="11" t="s">
        <v>39</v>
      </c>
      <c r="F1294" s="11" t="s">
        <v>40</v>
      </c>
      <c r="G1294" s="11" t="s">
        <v>45</v>
      </c>
      <c r="H1294" s="11" t="s">
        <v>112</v>
      </c>
      <c r="I1294" s="11"/>
      <c r="J1294" s="11">
        <v>22.0</v>
      </c>
      <c r="K1294" s="30"/>
      <c r="L1294" s="30"/>
      <c r="M1294" s="11">
        <v>544621.0</v>
      </c>
      <c r="N1294" s="11" t="s">
        <v>2530</v>
      </c>
      <c r="O1294" s="13"/>
      <c r="P1294" s="11">
        <v>0.0</v>
      </c>
      <c r="Q1294" s="14">
        <v>0.0</v>
      </c>
      <c r="R1294" s="11">
        <v>0.0</v>
      </c>
      <c r="S1294">
        <f t="shared" si="1"/>
        <v>2016</v>
      </c>
      <c r="T1294">
        <f t="shared" si="2"/>
        <v>1</v>
      </c>
      <c r="U1294">
        <f t="shared" si="3"/>
        <v>1</v>
      </c>
      <c r="AG1294" s="15"/>
      <c r="AH1294" s="16"/>
      <c r="AM1294" s="15"/>
      <c r="AN1294" s="16"/>
    </row>
    <row r="1295">
      <c r="A1295" s="13" t="s">
        <v>2531</v>
      </c>
      <c r="B1295" s="17">
        <v>42370.0</v>
      </c>
      <c r="C1295" s="11" t="s">
        <v>150</v>
      </c>
      <c r="D1295" s="11" t="s">
        <v>97</v>
      </c>
      <c r="E1295" s="11" t="s">
        <v>39</v>
      </c>
      <c r="F1295" s="11" t="s">
        <v>40</v>
      </c>
      <c r="G1295" s="11" t="s">
        <v>45</v>
      </c>
      <c r="H1295" s="11" t="s">
        <v>67</v>
      </c>
      <c r="I1295" s="11" t="s">
        <v>190</v>
      </c>
      <c r="J1295" s="11">
        <v>20.0</v>
      </c>
      <c r="K1295" s="39">
        <v>43269.0</v>
      </c>
      <c r="L1295" s="11"/>
      <c r="M1295" s="11">
        <v>667657.0</v>
      </c>
      <c r="N1295" s="11" t="s">
        <v>2532</v>
      </c>
      <c r="O1295" s="13"/>
      <c r="P1295" s="11">
        <v>0.0</v>
      </c>
      <c r="Q1295" s="14">
        <v>0.0</v>
      </c>
      <c r="R1295" s="11">
        <v>1.0</v>
      </c>
      <c r="S1295">
        <f t="shared" si="1"/>
        <v>2016</v>
      </c>
      <c r="T1295">
        <f t="shared" si="2"/>
        <v>1</v>
      </c>
      <c r="U1295">
        <f t="shared" si="3"/>
        <v>1</v>
      </c>
      <c r="Z1295" s="17"/>
      <c r="AG1295" s="15"/>
      <c r="AH1295" s="16"/>
      <c r="AM1295" s="15"/>
      <c r="AN1295" s="16"/>
    </row>
    <row r="1296">
      <c r="A1296" s="13" t="s">
        <v>2533</v>
      </c>
      <c r="B1296" s="17">
        <v>42370.0</v>
      </c>
      <c r="C1296" s="11" t="s">
        <v>150</v>
      </c>
      <c r="D1296" s="11" t="s">
        <v>88</v>
      </c>
      <c r="E1296" s="11" t="s">
        <v>660</v>
      </c>
      <c r="F1296" s="11" t="s">
        <v>40</v>
      </c>
      <c r="G1296" s="11" t="s">
        <v>45</v>
      </c>
      <c r="H1296" s="11" t="s">
        <v>67</v>
      </c>
      <c r="I1296" s="11"/>
      <c r="J1296" s="11">
        <v>22.0</v>
      </c>
      <c r="K1296" s="39">
        <v>43196.0</v>
      </c>
      <c r="L1296" s="11"/>
      <c r="M1296" s="11">
        <v>608339.0</v>
      </c>
      <c r="N1296" s="11" t="s">
        <v>2534</v>
      </c>
      <c r="O1296" s="13"/>
      <c r="P1296" s="11">
        <v>0.0</v>
      </c>
      <c r="Q1296" s="14">
        <v>0.0</v>
      </c>
      <c r="R1296" s="11">
        <v>1.0</v>
      </c>
      <c r="S1296">
        <f t="shared" si="1"/>
        <v>2016</v>
      </c>
      <c r="T1296">
        <f t="shared" si="2"/>
        <v>1</v>
      </c>
      <c r="U1296">
        <f t="shared" si="3"/>
        <v>1</v>
      </c>
      <c r="Z1296" s="17">
        <v>42913.0</v>
      </c>
      <c r="AG1296" s="15"/>
      <c r="AH1296" s="16"/>
      <c r="AM1296" s="15"/>
      <c r="AN1296" s="16"/>
    </row>
    <row r="1297">
      <c r="A1297" s="13" t="s">
        <v>2535</v>
      </c>
      <c r="B1297" s="17">
        <v>42370.0</v>
      </c>
      <c r="C1297" s="11" t="s">
        <v>362</v>
      </c>
      <c r="D1297" s="11" t="s">
        <v>93</v>
      </c>
      <c r="E1297" s="11" t="s">
        <v>39</v>
      </c>
      <c r="F1297" s="11" t="s">
        <v>40</v>
      </c>
      <c r="G1297" s="11" t="s">
        <v>45</v>
      </c>
      <c r="H1297" s="11" t="s">
        <v>84</v>
      </c>
      <c r="I1297" s="11" t="s">
        <v>517</v>
      </c>
      <c r="J1297" s="11">
        <v>22.0</v>
      </c>
      <c r="K1297" s="39">
        <v>42914.0</v>
      </c>
      <c r="L1297" s="11"/>
      <c r="M1297" s="11">
        <v>676964.0</v>
      </c>
      <c r="N1297" s="11" t="s">
        <v>2536</v>
      </c>
      <c r="O1297" s="13"/>
      <c r="P1297" s="11">
        <v>0.0</v>
      </c>
      <c r="Q1297" s="14">
        <v>0.0</v>
      </c>
      <c r="R1297" s="11">
        <v>1.0</v>
      </c>
      <c r="S1297">
        <f t="shared" si="1"/>
        <v>2016</v>
      </c>
      <c r="T1297">
        <f t="shared" si="2"/>
        <v>1</v>
      </c>
      <c r="U1297">
        <f t="shared" si="3"/>
        <v>1</v>
      </c>
      <c r="Z1297" s="17"/>
      <c r="AG1297" s="15"/>
      <c r="AH1297" s="16"/>
      <c r="AM1297" s="15"/>
      <c r="AN1297" s="16"/>
    </row>
    <row r="1298">
      <c r="A1298" s="13" t="s">
        <v>2537</v>
      </c>
      <c r="B1298" s="10">
        <v>42370.0</v>
      </c>
      <c r="C1298" s="11" t="s">
        <v>230</v>
      </c>
      <c r="D1298" s="11" t="s">
        <v>93</v>
      </c>
      <c r="E1298" s="11" t="s">
        <v>39</v>
      </c>
      <c r="F1298" s="11" t="s">
        <v>40</v>
      </c>
      <c r="G1298" s="11" t="s">
        <v>45</v>
      </c>
      <c r="H1298" s="11" t="s">
        <v>317</v>
      </c>
      <c r="I1298" s="11" t="s">
        <v>317</v>
      </c>
      <c r="J1298" s="11">
        <v>22.0</v>
      </c>
      <c r="K1298" s="39">
        <v>42835.0</v>
      </c>
      <c r="L1298" s="11"/>
      <c r="M1298" s="11">
        <v>666928.0</v>
      </c>
      <c r="N1298" s="11" t="s">
        <v>2538</v>
      </c>
      <c r="O1298" s="13"/>
      <c r="P1298" s="11">
        <v>0.0</v>
      </c>
      <c r="Q1298" s="14">
        <v>0.0</v>
      </c>
      <c r="R1298" s="11">
        <v>1.0</v>
      </c>
      <c r="S1298">
        <f t="shared" si="1"/>
        <v>2016</v>
      </c>
      <c r="T1298">
        <f t="shared" si="2"/>
        <v>1</v>
      </c>
      <c r="U1298">
        <f t="shared" si="3"/>
        <v>1</v>
      </c>
      <c r="Z1298" s="17">
        <v>42835.0</v>
      </c>
      <c r="AG1298" s="15"/>
      <c r="AH1298" s="16"/>
      <c r="AM1298" s="15"/>
      <c r="AN1298" s="16"/>
    </row>
    <row r="1299">
      <c r="A1299" s="13" t="s">
        <v>2539</v>
      </c>
      <c r="B1299" s="10">
        <v>42370.0</v>
      </c>
      <c r="C1299" s="11" t="s">
        <v>62</v>
      </c>
      <c r="D1299" s="11" t="s">
        <v>221</v>
      </c>
      <c r="E1299" s="11" t="s">
        <v>39</v>
      </c>
      <c r="F1299" s="11" t="s">
        <v>64</v>
      </c>
      <c r="G1299" s="11" t="s">
        <v>53</v>
      </c>
      <c r="H1299" s="11"/>
      <c r="I1299" s="11"/>
      <c r="J1299" s="11">
        <v>17.0</v>
      </c>
      <c r="K1299" s="39">
        <v>43271.0</v>
      </c>
      <c r="L1299" s="11"/>
      <c r="M1299" s="11">
        <v>661156.0</v>
      </c>
      <c r="N1299" s="11" t="s">
        <v>2540</v>
      </c>
      <c r="O1299" s="13"/>
      <c r="P1299" s="11">
        <v>0.0</v>
      </c>
      <c r="Q1299" s="14">
        <v>0.0</v>
      </c>
      <c r="R1299" s="11">
        <v>1.0</v>
      </c>
      <c r="S1299">
        <f t="shared" si="1"/>
        <v>2016</v>
      </c>
      <c r="T1299">
        <f t="shared" si="2"/>
        <v>1</v>
      </c>
      <c r="U1299">
        <f t="shared" si="3"/>
        <v>1</v>
      </c>
      <c r="Z1299" s="17">
        <v>43271.0</v>
      </c>
      <c r="AG1299" s="15"/>
      <c r="AH1299" s="16"/>
      <c r="AM1299" s="15"/>
      <c r="AN1299" s="16"/>
    </row>
    <row r="1300">
      <c r="A1300" s="13" t="s">
        <v>2541</v>
      </c>
      <c r="B1300" s="10">
        <v>42370.0</v>
      </c>
      <c r="C1300" s="11" t="s">
        <v>186</v>
      </c>
      <c r="D1300" s="11" t="s">
        <v>77</v>
      </c>
      <c r="E1300" s="11" t="s">
        <v>270</v>
      </c>
      <c r="F1300" s="11" t="s">
        <v>40</v>
      </c>
      <c r="G1300" s="11" t="s">
        <v>45</v>
      </c>
      <c r="H1300" s="11" t="s">
        <v>301</v>
      </c>
      <c r="I1300" s="11" t="s">
        <v>739</v>
      </c>
      <c r="J1300" s="11">
        <v>22.0</v>
      </c>
      <c r="K1300" s="39"/>
      <c r="L1300" s="11"/>
      <c r="M1300" s="11">
        <v>621556.0</v>
      </c>
      <c r="N1300" s="11" t="s">
        <v>2542</v>
      </c>
      <c r="O1300" s="13"/>
      <c r="P1300" s="11">
        <v>0.0</v>
      </c>
      <c r="Q1300" s="14">
        <v>0.0</v>
      </c>
      <c r="R1300" s="11">
        <v>0.0</v>
      </c>
      <c r="S1300">
        <f t="shared" si="1"/>
        <v>2016</v>
      </c>
      <c r="T1300">
        <f t="shared" si="2"/>
        <v>1</v>
      </c>
      <c r="U1300">
        <f t="shared" si="3"/>
        <v>1</v>
      </c>
      <c r="Z1300" s="17">
        <v>42912.0</v>
      </c>
      <c r="AG1300" s="15"/>
      <c r="AH1300" s="16"/>
      <c r="AM1300" s="15"/>
      <c r="AN1300" s="16"/>
    </row>
    <row r="1301">
      <c r="A1301" s="13" t="s">
        <v>2543</v>
      </c>
      <c r="B1301" s="17">
        <v>42370.0</v>
      </c>
      <c r="C1301" s="11" t="s">
        <v>186</v>
      </c>
      <c r="D1301" s="11" t="s">
        <v>93</v>
      </c>
      <c r="E1301" s="11" t="s">
        <v>39</v>
      </c>
      <c r="F1301" s="11" t="s">
        <v>40</v>
      </c>
      <c r="G1301" s="11" t="s">
        <v>45</v>
      </c>
      <c r="H1301" s="11" t="s">
        <v>182</v>
      </c>
      <c r="I1301" s="11" t="s">
        <v>2544</v>
      </c>
      <c r="J1301" s="11">
        <v>22.0</v>
      </c>
      <c r="K1301" s="39">
        <v>43269.0</v>
      </c>
      <c r="L1301" s="11"/>
      <c r="M1301" s="11">
        <v>664114.0</v>
      </c>
      <c r="N1301" s="11" t="s">
        <v>2545</v>
      </c>
      <c r="O1301" s="13"/>
      <c r="P1301" s="11">
        <v>0.0</v>
      </c>
      <c r="Q1301" s="14">
        <v>0.0</v>
      </c>
      <c r="R1301" s="11">
        <v>1.0</v>
      </c>
      <c r="S1301">
        <f t="shared" si="1"/>
        <v>2016</v>
      </c>
      <c r="T1301">
        <f t="shared" si="2"/>
        <v>1</v>
      </c>
      <c r="U1301">
        <f t="shared" si="3"/>
        <v>1</v>
      </c>
      <c r="Z1301" s="17"/>
      <c r="AG1301" s="15"/>
      <c r="AH1301" s="16"/>
      <c r="AM1301" s="15"/>
      <c r="AN1301" s="16"/>
    </row>
    <row r="1302">
      <c r="A1302" s="13" t="s">
        <v>2546</v>
      </c>
      <c r="B1302" s="17">
        <v>42370.0</v>
      </c>
      <c r="C1302" s="11" t="s">
        <v>235</v>
      </c>
      <c r="D1302" s="11" t="s">
        <v>709</v>
      </c>
      <c r="E1302" s="11" t="s">
        <v>39</v>
      </c>
      <c r="F1302" s="11" t="s">
        <v>64</v>
      </c>
      <c r="G1302" s="11" t="s">
        <v>45</v>
      </c>
      <c r="H1302" s="11" t="s">
        <v>163</v>
      </c>
      <c r="I1302" s="11" t="s">
        <v>164</v>
      </c>
      <c r="J1302" s="11">
        <v>22.0</v>
      </c>
      <c r="K1302" s="39">
        <v>42964.0</v>
      </c>
      <c r="L1302" s="11"/>
      <c r="M1302" s="11">
        <v>664157.0</v>
      </c>
      <c r="N1302" s="11">
        <v>18581.0</v>
      </c>
      <c r="O1302" s="13"/>
      <c r="P1302" s="11">
        <v>0.0</v>
      </c>
      <c r="Q1302" s="14">
        <v>0.0</v>
      </c>
      <c r="R1302" s="11">
        <v>1.0</v>
      </c>
      <c r="S1302">
        <f t="shared" si="1"/>
        <v>2016</v>
      </c>
      <c r="T1302">
        <f t="shared" si="2"/>
        <v>1</v>
      </c>
      <c r="U1302">
        <f t="shared" si="3"/>
        <v>1</v>
      </c>
      <c r="Z1302" s="17">
        <v>42941.0</v>
      </c>
      <c r="AG1302" s="15"/>
      <c r="AH1302" s="16"/>
      <c r="AM1302" s="15"/>
      <c r="AN1302" s="16"/>
    </row>
    <row r="1303">
      <c r="A1303" s="13" t="s">
        <v>2547</v>
      </c>
      <c r="B1303" s="17">
        <v>42370.0</v>
      </c>
      <c r="C1303" s="11" t="s">
        <v>76</v>
      </c>
      <c r="D1303" s="11" t="s">
        <v>93</v>
      </c>
      <c r="E1303" s="11" t="s">
        <v>39</v>
      </c>
      <c r="F1303" s="11" t="s">
        <v>64</v>
      </c>
      <c r="G1303" s="11" t="s">
        <v>45</v>
      </c>
      <c r="H1303" s="11" t="s">
        <v>231</v>
      </c>
      <c r="I1303" s="11" t="s">
        <v>124</v>
      </c>
      <c r="J1303" s="11">
        <v>20.0</v>
      </c>
      <c r="K1303" s="39">
        <v>43199.0</v>
      </c>
      <c r="L1303" s="11"/>
      <c r="M1303" s="11">
        <v>676687.0</v>
      </c>
      <c r="N1303" s="11" t="s">
        <v>2548</v>
      </c>
      <c r="O1303" s="13"/>
      <c r="P1303" s="11">
        <v>0.0</v>
      </c>
      <c r="Q1303" s="14">
        <v>0.0</v>
      </c>
      <c r="R1303" s="11">
        <v>1.0</v>
      </c>
      <c r="S1303">
        <f t="shared" si="1"/>
        <v>2016</v>
      </c>
      <c r="T1303">
        <f t="shared" si="2"/>
        <v>1</v>
      </c>
      <c r="U1303">
        <f t="shared" si="3"/>
        <v>1</v>
      </c>
      <c r="Z1303" s="17"/>
      <c r="AG1303" s="15"/>
      <c r="AH1303" s="16"/>
      <c r="AM1303" s="15"/>
      <c r="AN1303" s="16"/>
    </row>
    <row r="1304">
      <c r="A1304" s="13" t="s">
        <v>2549</v>
      </c>
      <c r="B1304" s="17">
        <v>42370.0</v>
      </c>
      <c r="C1304" s="11" t="s">
        <v>76</v>
      </c>
      <c r="D1304" s="11" t="s">
        <v>213</v>
      </c>
      <c r="E1304" s="11" t="s">
        <v>39</v>
      </c>
      <c r="F1304" s="11" t="s">
        <v>40</v>
      </c>
      <c r="G1304" s="11" t="s">
        <v>45</v>
      </c>
      <c r="H1304" s="11" t="s">
        <v>74</v>
      </c>
      <c r="I1304" s="11" t="s">
        <v>2550</v>
      </c>
      <c r="J1304" s="11">
        <v>18.0</v>
      </c>
      <c r="K1304" s="39">
        <v>43640.0</v>
      </c>
      <c r="L1304" s="11"/>
      <c r="M1304" s="11">
        <v>684937.0</v>
      </c>
      <c r="N1304" s="11" t="s">
        <v>2551</v>
      </c>
      <c r="O1304" s="13"/>
      <c r="P1304" s="11">
        <v>0.0</v>
      </c>
      <c r="Q1304" s="14">
        <v>0.0</v>
      </c>
      <c r="R1304" s="11">
        <v>1.0</v>
      </c>
      <c r="S1304">
        <f t="shared" si="1"/>
        <v>2016</v>
      </c>
      <c r="T1304">
        <f t="shared" si="2"/>
        <v>1</v>
      </c>
      <c r="U1304">
        <f t="shared" si="3"/>
        <v>1</v>
      </c>
      <c r="Z1304" s="17"/>
      <c r="AG1304" s="15"/>
      <c r="AH1304" s="16"/>
      <c r="AM1304" s="15"/>
      <c r="AN1304" s="16"/>
    </row>
    <row r="1305">
      <c r="A1305" s="13" t="s">
        <v>2552</v>
      </c>
      <c r="B1305" s="10">
        <v>42370.0</v>
      </c>
      <c r="C1305" s="11" t="s">
        <v>76</v>
      </c>
      <c r="D1305" s="11" t="s">
        <v>213</v>
      </c>
      <c r="E1305" s="11" t="s">
        <v>39</v>
      </c>
      <c r="F1305" s="11" t="s">
        <v>40</v>
      </c>
      <c r="G1305" s="11" t="s">
        <v>45</v>
      </c>
      <c r="H1305" s="11" t="s">
        <v>412</v>
      </c>
      <c r="I1305" s="11" t="s">
        <v>140</v>
      </c>
      <c r="J1305" s="11">
        <v>19.0</v>
      </c>
      <c r="K1305" s="39">
        <v>43282.0</v>
      </c>
      <c r="L1305" s="11"/>
      <c r="M1305" s="11">
        <v>668697.0</v>
      </c>
      <c r="N1305" s="11" t="s">
        <v>2553</v>
      </c>
      <c r="O1305" s="13"/>
      <c r="P1305" s="11">
        <v>0.0</v>
      </c>
      <c r="Q1305" s="14">
        <v>0.0</v>
      </c>
      <c r="R1305" s="11">
        <v>1.0</v>
      </c>
      <c r="S1305">
        <f t="shared" si="1"/>
        <v>2016</v>
      </c>
      <c r="T1305">
        <f t="shared" si="2"/>
        <v>1</v>
      </c>
      <c r="U1305">
        <f t="shared" si="3"/>
        <v>1</v>
      </c>
      <c r="Z1305" s="17"/>
      <c r="AG1305" s="15"/>
      <c r="AH1305" s="16"/>
      <c r="AM1305" s="15"/>
      <c r="AN1305" s="16"/>
    </row>
    <row r="1306">
      <c r="A1306" s="13" t="s">
        <v>2554</v>
      </c>
      <c r="B1306" s="10">
        <v>42318.0</v>
      </c>
      <c r="C1306" s="11" t="s">
        <v>362</v>
      </c>
      <c r="D1306" s="11" t="s">
        <v>58</v>
      </c>
      <c r="E1306" s="11" t="s">
        <v>39</v>
      </c>
      <c r="F1306" s="11" t="s">
        <v>40</v>
      </c>
      <c r="G1306" s="11" t="s">
        <v>45</v>
      </c>
      <c r="H1306" s="11" t="s">
        <v>112</v>
      </c>
      <c r="I1306" s="11" t="s">
        <v>2555</v>
      </c>
      <c r="J1306" s="11">
        <v>24.0</v>
      </c>
      <c r="K1306" s="39">
        <v>42892.0</v>
      </c>
      <c r="L1306" s="11">
        <f t="shared" ref="L1306:L1308" si="135">ROUND(((K1306-B1306)/365)*12,0)</f>
        <v>19</v>
      </c>
      <c r="M1306" s="11">
        <v>594987.0</v>
      </c>
      <c r="N1306" s="11">
        <v>11209.0</v>
      </c>
      <c r="O1306" s="13"/>
      <c r="P1306" s="11">
        <v>0.0</v>
      </c>
      <c r="Q1306" s="14">
        <v>0.0</v>
      </c>
      <c r="R1306" s="41">
        <v>1.0</v>
      </c>
      <c r="S1306">
        <f t="shared" si="1"/>
        <v>2015</v>
      </c>
      <c r="T1306">
        <f t="shared" si="2"/>
        <v>11</v>
      </c>
      <c r="U1306">
        <f t="shared" si="3"/>
        <v>10</v>
      </c>
      <c r="Y1306" s="17">
        <v>42806.0</v>
      </c>
      <c r="Z1306" s="17">
        <v>42870.0</v>
      </c>
      <c r="AG1306" s="15"/>
      <c r="AH1306" s="16"/>
      <c r="AM1306" s="15"/>
      <c r="AN1306" s="16"/>
    </row>
    <row r="1307">
      <c r="A1307" s="13" t="s">
        <v>2556</v>
      </c>
      <c r="B1307" s="10">
        <v>42318.0</v>
      </c>
      <c r="C1307" s="11" t="s">
        <v>83</v>
      </c>
      <c r="D1307" s="11" t="s">
        <v>38</v>
      </c>
      <c r="E1307" s="11" t="s">
        <v>39</v>
      </c>
      <c r="F1307" s="11" t="s">
        <v>40</v>
      </c>
      <c r="G1307" s="11" t="s">
        <v>45</v>
      </c>
      <c r="H1307" s="11" t="s">
        <v>412</v>
      </c>
      <c r="I1307" s="11" t="s">
        <v>159</v>
      </c>
      <c r="J1307" s="11">
        <v>28.0</v>
      </c>
      <c r="K1307" s="39">
        <v>42831.0</v>
      </c>
      <c r="L1307" s="11">
        <f t="shared" si="135"/>
        <v>17</v>
      </c>
      <c r="M1307" s="11">
        <v>458681.0</v>
      </c>
      <c r="N1307" s="11">
        <v>2520.0</v>
      </c>
      <c r="O1307" s="13" t="s">
        <v>1332</v>
      </c>
      <c r="P1307" s="11">
        <v>33.0</v>
      </c>
      <c r="Q1307" s="14">
        <v>186.333</v>
      </c>
      <c r="R1307" s="41">
        <v>1.0</v>
      </c>
      <c r="S1307">
        <f t="shared" si="1"/>
        <v>2015</v>
      </c>
      <c r="T1307">
        <f t="shared" si="2"/>
        <v>11</v>
      </c>
      <c r="U1307">
        <f t="shared" si="3"/>
        <v>10</v>
      </c>
      <c r="Z1307" s="17">
        <v>42597.0</v>
      </c>
      <c r="AG1307" s="15"/>
      <c r="AH1307" s="16"/>
      <c r="AM1307" s="15"/>
      <c r="AN1307" s="16"/>
    </row>
    <row r="1308">
      <c r="A1308" s="19" t="s">
        <v>2557</v>
      </c>
      <c r="B1308" s="20">
        <v>42309.0</v>
      </c>
      <c r="C1308" s="21" t="s">
        <v>175</v>
      </c>
      <c r="D1308" s="21" t="s">
        <v>221</v>
      </c>
      <c r="E1308" s="21" t="s">
        <v>39</v>
      </c>
      <c r="F1308" s="21" t="s">
        <v>40</v>
      </c>
      <c r="G1308" s="21" t="s">
        <v>41</v>
      </c>
      <c r="H1308" s="19"/>
      <c r="I1308" s="19"/>
      <c r="J1308" s="21">
        <v>18.0</v>
      </c>
      <c r="K1308" s="39">
        <v>42910.0</v>
      </c>
      <c r="L1308" s="11">
        <f t="shared" si="135"/>
        <v>20</v>
      </c>
      <c r="M1308" s="21">
        <v>650840.0</v>
      </c>
      <c r="N1308" s="21" t="s">
        <v>2558</v>
      </c>
      <c r="O1308" s="19"/>
      <c r="P1308" s="21">
        <v>0.0</v>
      </c>
      <c r="Q1308" s="23">
        <v>0.0</v>
      </c>
      <c r="R1308" s="21">
        <v>1.0</v>
      </c>
      <c r="S1308" s="33">
        <f t="shared" si="1"/>
        <v>2015</v>
      </c>
      <c r="T1308" s="33">
        <f t="shared" si="2"/>
        <v>11</v>
      </c>
      <c r="U1308">
        <f t="shared" si="3"/>
        <v>1</v>
      </c>
      <c r="V1308" s="24"/>
      <c r="W1308" s="24"/>
      <c r="X1308" s="24"/>
      <c r="Y1308" s="24"/>
      <c r="Z1308" s="34">
        <v>42910.0</v>
      </c>
      <c r="AA1308" s="24"/>
      <c r="AB1308" s="24"/>
      <c r="AC1308" s="24"/>
      <c r="AD1308" s="24"/>
      <c r="AE1308" s="24"/>
      <c r="AF1308" s="24"/>
      <c r="AG1308" s="26"/>
      <c r="AH1308" s="27"/>
      <c r="AI1308" s="24"/>
      <c r="AJ1308" s="24"/>
      <c r="AK1308" s="24"/>
      <c r="AL1308" s="24"/>
      <c r="AM1308" s="26"/>
      <c r="AN1308" s="27"/>
      <c r="AO1308" s="24"/>
      <c r="AP1308" s="24"/>
    </row>
    <row r="1309">
      <c r="A1309" s="13" t="s">
        <v>516</v>
      </c>
      <c r="B1309" s="17">
        <v>42306.0</v>
      </c>
      <c r="C1309" s="11" t="s">
        <v>156</v>
      </c>
      <c r="D1309" s="11" t="s">
        <v>213</v>
      </c>
      <c r="E1309" s="11" t="s">
        <v>39</v>
      </c>
      <c r="F1309" s="11" t="s">
        <v>64</v>
      </c>
      <c r="G1309" s="11" t="s">
        <v>45</v>
      </c>
      <c r="H1309" s="11" t="s">
        <v>84</v>
      </c>
      <c r="I1309" s="11" t="s">
        <v>517</v>
      </c>
      <c r="J1309" s="11">
        <v>18.0</v>
      </c>
      <c r="K1309" s="39">
        <v>43325.0</v>
      </c>
      <c r="L1309" s="30"/>
      <c r="M1309" s="11">
        <v>663556.0</v>
      </c>
      <c r="N1309" s="11">
        <v>21483.0</v>
      </c>
      <c r="O1309" s="13"/>
      <c r="P1309" s="11">
        <v>0.0</v>
      </c>
      <c r="Q1309" s="14">
        <v>0.0</v>
      </c>
      <c r="R1309" s="11">
        <v>1.0</v>
      </c>
      <c r="S1309" s="33">
        <f t="shared" si="1"/>
        <v>2015</v>
      </c>
      <c r="T1309" s="33">
        <f t="shared" si="2"/>
        <v>10</v>
      </c>
      <c r="U1309">
        <f t="shared" si="3"/>
        <v>29</v>
      </c>
      <c r="Z1309" s="17">
        <v>45846.0</v>
      </c>
      <c r="AG1309" s="15"/>
      <c r="AH1309" s="16"/>
      <c r="AM1309" s="15"/>
      <c r="AN1309" s="16"/>
    </row>
    <row r="1310">
      <c r="A1310" s="13" t="s">
        <v>2559</v>
      </c>
      <c r="B1310" s="10">
        <v>42298.0</v>
      </c>
      <c r="C1310" s="11" t="s">
        <v>37</v>
      </c>
      <c r="D1310" s="11" t="s">
        <v>97</v>
      </c>
      <c r="E1310" s="11" t="s">
        <v>39</v>
      </c>
      <c r="F1310" s="11" t="s">
        <v>40</v>
      </c>
      <c r="G1310" s="11" t="s">
        <v>45</v>
      </c>
      <c r="H1310" s="11" t="s">
        <v>112</v>
      </c>
      <c r="I1310" s="11"/>
      <c r="J1310" s="11">
        <v>23.0</v>
      </c>
      <c r="K1310" s="30"/>
      <c r="L1310" s="30"/>
      <c r="M1310" s="11">
        <v>605285.0</v>
      </c>
      <c r="N1310" s="11" t="s">
        <v>2560</v>
      </c>
      <c r="O1310" s="13"/>
      <c r="P1310" s="11">
        <v>0.0</v>
      </c>
      <c r="Q1310" s="14">
        <v>0.0</v>
      </c>
      <c r="R1310" s="11">
        <v>0.0</v>
      </c>
      <c r="S1310" s="33">
        <f t="shared" si="1"/>
        <v>2015</v>
      </c>
      <c r="T1310" s="33">
        <f t="shared" si="2"/>
        <v>10</v>
      </c>
      <c r="U1310">
        <f t="shared" si="3"/>
        <v>21</v>
      </c>
      <c r="AG1310" s="15"/>
      <c r="AH1310" s="16"/>
      <c r="AM1310" s="15"/>
      <c r="AN1310" s="16"/>
    </row>
    <row r="1311">
      <c r="A1311" s="13" t="s">
        <v>2561</v>
      </c>
      <c r="B1311" s="10">
        <v>42297.0</v>
      </c>
      <c r="C1311" s="11" t="s">
        <v>49</v>
      </c>
      <c r="D1311" s="11" t="s">
        <v>97</v>
      </c>
      <c r="E1311" s="11" t="s">
        <v>39</v>
      </c>
      <c r="F1311" s="11" t="s">
        <v>40</v>
      </c>
      <c r="G1311" s="11" t="s">
        <v>45</v>
      </c>
      <c r="H1311" s="11" t="s">
        <v>163</v>
      </c>
      <c r="I1311" s="11" t="s">
        <v>2562</v>
      </c>
      <c r="J1311" s="11">
        <v>24.0</v>
      </c>
      <c r="K1311" s="39">
        <v>42831.0</v>
      </c>
      <c r="L1311" s="11">
        <f t="shared" ref="L1311:L1313" si="136">ROUND(((K1311-B1311)/365)*12,0)</f>
        <v>18</v>
      </c>
      <c r="M1311" s="11">
        <v>643344.0</v>
      </c>
      <c r="N1311" s="11" t="s">
        <v>2563</v>
      </c>
      <c r="O1311" s="13"/>
      <c r="P1311" s="11">
        <v>0.0</v>
      </c>
      <c r="Q1311" s="14">
        <v>0.0</v>
      </c>
      <c r="R1311" s="41">
        <v>1.0</v>
      </c>
      <c r="S1311">
        <f t="shared" si="1"/>
        <v>2015</v>
      </c>
      <c r="T1311">
        <f t="shared" si="2"/>
        <v>10</v>
      </c>
      <c r="U1311">
        <f t="shared" si="3"/>
        <v>20</v>
      </c>
      <c r="Z1311" s="17">
        <v>42831.0</v>
      </c>
      <c r="AG1311" s="15"/>
      <c r="AH1311" s="16"/>
      <c r="AM1311" s="15"/>
      <c r="AN1311" s="16"/>
    </row>
    <row r="1312">
      <c r="A1312" s="13" t="s">
        <v>2564</v>
      </c>
      <c r="B1312" s="10">
        <v>42291.0</v>
      </c>
      <c r="C1312" s="11" t="s">
        <v>150</v>
      </c>
      <c r="D1312" s="11" t="s">
        <v>58</v>
      </c>
      <c r="E1312" s="11" t="s">
        <v>39</v>
      </c>
      <c r="F1312" s="11" t="s">
        <v>64</v>
      </c>
      <c r="G1312" s="11" t="s">
        <v>45</v>
      </c>
      <c r="H1312" s="11" t="s">
        <v>109</v>
      </c>
      <c r="I1312" s="11"/>
      <c r="J1312" s="11">
        <v>23.0</v>
      </c>
      <c r="K1312" s="39">
        <v>43196.0</v>
      </c>
      <c r="L1312" s="11">
        <f t="shared" si="136"/>
        <v>30</v>
      </c>
      <c r="M1312" s="11">
        <v>592145.0</v>
      </c>
      <c r="N1312" s="11">
        <v>11437.0</v>
      </c>
      <c r="O1312" s="13" t="s">
        <v>1591</v>
      </c>
      <c r="P1312" s="11">
        <v>0.0</v>
      </c>
      <c r="Q1312" s="14">
        <v>0.0</v>
      </c>
      <c r="R1312" s="41">
        <v>1.0</v>
      </c>
      <c r="S1312">
        <f t="shared" si="1"/>
        <v>2015</v>
      </c>
      <c r="T1312">
        <f t="shared" si="2"/>
        <v>10</v>
      </c>
      <c r="U1312">
        <f t="shared" si="3"/>
        <v>14</v>
      </c>
      <c r="Z1312" s="17">
        <v>42832.0</v>
      </c>
      <c r="AG1312" s="15"/>
      <c r="AH1312" s="16"/>
      <c r="AM1312" s="15"/>
      <c r="AN1312" s="16"/>
    </row>
    <row r="1313">
      <c r="A1313" s="13" t="s">
        <v>2565</v>
      </c>
      <c r="B1313" s="10">
        <v>42285.0</v>
      </c>
      <c r="C1313" s="11" t="s">
        <v>138</v>
      </c>
      <c r="D1313" s="11" t="s">
        <v>77</v>
      </c>
      <c r="E1313" s="11" t="s">
        <v>39</v>
      </c>
      <c r="F1313" s="11" t="s">
        <v>40</v>
      </c>
      <c r="G1313" s="11" t="s">
        <v>45</v>
      </c>
      <c r="H1313" s="11" t="s">
        <v>566</v>
      </c>
      <c r="I1313" s="11" t="s">
        <v>46</v>
      </c>
      <c r="J1313" s="11">
        <v>23.0</v>
      </c>
      <c r="K1313" s="39">
        <v>43240.0</v>
      </c>
      <c r="L1313" s="11">
        <f t="shared" si="136"/>
        <v>31</v>
      </c>
      <c r="M1313" s="11">
        <v>571858.0</v>
      </c>
      <c r="N1313" s="11">
        <v>14101.0</v>
      </c>
      <c r="O1313" s="13" t="s">
        <v>761</v>
      </c>
      <c r="P1313" s="11">
        <v>0.0</v>
      </c>
      <c r="Q1313" s="14">
        <v>0.0</v>
      </c>
      <c r="R1313" s="41">
        <v>1.0</v>
      </c>
      <c r="S1313">
        <f t="shared" si="1"/>
        <v>2015</v>
      </c>
      <c r="T1313">
        <f t="shared" si="2"/>
        <v>10</v>
      </c>
      <c r="U1313">
        <f t="shared" si="3"/>
        <v>8</v>
      </c>
      <c r="X1313" s="17">
        <v>42745.0</v>
      </c>
      <c r="AA1313" s="17">
        <v>42795.0</v>
      </c>
      <c r="AB1313" s="13" t="s">
        <v>2566</v>
      </c>
      <c r="AC1313" s="17">
        <v>42840.0</v>
      </c>
      <c r="AD1313" s="13" t="s">
        <v>2567</v>
      </c>
      <c r="AG1313" s="15"/>
      <c r="AH1313" s="16"/>
      <c r="AM1313" s="15"/>
      <c r="AN1313" s="16"/>
    </row>
    <row r="1314">
      <c r="A1314" s="13" t="s">
        <v>2568</v>
      </c>
      <c r="B1314" s="10">
        <v>42285.0</v>
      </c>
      <c r="C1314" s="11" t="s">
        <v>230</v>
      </c>
      <c r="D1314" s="11" t="s">
        <v>93</v>
      </c>
      <c r="E1314" s="11" t="s">
        <v>39</v>
      </c>
      <c r="F1314" s="11" t="s">
        <v>64</v>
      </c>
      <c r="G1314" s="11" t="s">
        <v>45</v>
      </c>
      <c r="H1314" s="11" t="s">
        <v>133</v>
      </c>
      <c r="I1314" s="11" t="s">
        <v>133</v>
      </c>
      <c r="J1314" s="11">
        <v>19.0</v>
      </c>
      <c r="K1314" s="39">
        <v>43630.0</v>
      </c>
      <c r="L1314" s="11"/>
      <c r="M1314" s="11">
        <v>688010.0</v>
      </c>
      <c r="N1314" s="11">
        <v>25512.0</v>
      </c>
      <c r="O1314" s="13"/>
      <c r="P1314" s="11">
        <v>0.0</v>
      </c>
      <c r="Q1314" s="14">
        <v>0.0</v>
      </c>
      <c r="R1314" s="11">
        <v>1.0</v>
      </c>
      <c r="S1314">
        <f t="shared" si="1"/>
        <v>2015</v>
      </c>
      <c r="T1314">
        <f t="shared" si="2"/>
        <v>10</v>
      </c>
      <c r="U1314">
        <f t="shared" si="3"/>
        <v>8</v>
      </c>
      <c r="V1314" s="17"/>
      <c r="Y1314" s="17"/>
      <c r="Z1314" s="17">
        <v>43630.0</v>
      </c>
      <c r="AG1314" s="15"/>
      <c r="AH1314" s="16"/>
      <c r="AM1314" s="15"/>
      <c r="AN1314" s="16"/>
    </row>
    <row r="1315">
      <c r="A1315" s="13" t="s">
        <v>2569</v>
      </c>
      <c r="B1315" s="10">
        <v>42279.0</v>
      </c>
      <c r="C1315" s="11" t="s">
        <v>358</v>
      </c>
      <c r="D1315" s="11" t="s">
        <v>38</v>
      </c>
      <c r="E1315" s="11" t="s">
        <v>39</v>
      </c>
      <c r="F1315" s="11" t="s">
        <v>40</v>
      </c>
      <c r="G1315" s="11" t="s">
        <v>45</v>
      </c>
      <c r="H1315" s="11" t="s">
        <v>127</v>
      </c>
      <c r="I1315" s="11" t="s">
        <v>2570</v>
      </c>
      <c r="J1315" s="11">
        <v>29.0</v>
      </c>
      <c r="K1315" s="39">
        <v>42828.0</v>
      </c>
      <c r="L1315" s="11">
        <f t="shared" ref="L1315:L1317" si="137">ROUND(((K1315-B1315)/365)*12,0)</f>
        <v>18</v>
      </c>
      <c r="M1315" s="11">
        <v>518813.0</v>
      </c>
      <c r="N1315" s="11">
        <v>7196.0</v>
      </c>
      <c r="O1315" s="13" t="s">
        <v>69</v>
      </c>
      <c r="P1315" s="11">
        <v>61.0</v>
      </c>
      <c r="Q1315" s="14">
        <v>57.333</v>
      </c>
      <c r="R1315" s="41">
        <v>1.0</v>
      </c>
      <c r="S1315">
        <f t="shared" si="1"/>
        <v>2015</v>
      </c>
      <c r="T1315">
        <f t="shared" si="2"/>
        <v>10</v>
      </c>
      <c r="U1315">
        <f t="shared" si="3"/>
        <v>2</v>
      </c>
      <c r="V1315" s="17">
        <v>42465.0</v>
      </c>
      <c r="Y1315" s="17">
        <v>42803.0</v>
      </c>
      <c r="Z1315" s="17">
        <v>42828.0</v>
      </c>
      <c r="AG1315" s="15"/>
      <c r="AH1315" s="16"/>
      <c r="AM1315" s="15"/>
      <c r="AN1315" s="16"/>
    </row>
    <row r="1316">
      <c r="A1316" s="13" t="s">
        <v>2571</v>
      </c>
      <c r="B1316" s="10">
        <v>42270.0</v>
      </c>
      <c r="C1316" s="11" t="s">
        <v>52</v>
      </c>
      <c r="D1316" s="11" t="s">
        <v>58</v>
      </c>
      <c r="E1316" s="11" t="s">
        <v>39</v>
      </c>
      <c r="F1316" s="11" t="s">
        <v>40</v>
      </c>
      <c r="G1316" s="11" t="s">
        <v>45</v>
      </c>
      <c r="H1316" s="11" t="s">
        <v>67</v>
      </c>
      <c r="I1316" s="11" t="s">
        <v>2572</v>
      </c>
      <c r="J1316" s="11">
        <v>25.0</v>
      </c>
      <c r="K1316" s="39">
        <v>42831.0</v>
      </c>
      <c r="L1316" s="11">
        <f t="shared" si="137"/>
        <v>18</v>
      </c>
      <c r="M1316" s="11">
        <v>607316.0</v>
      </c>
      <c r="N1316" s="11" t="s">
        <v>2573</v>
      </c>
      <c r="O1316" s="13" t="s">
        <v>2059</v>
      </c>
      <c r="P1316" s="11">
        <v>0.0</v>
      </c>
      <c r="Q1316" s="14">
        <v>0.0</v>
      </c>
      <c r="R1316" s="11">
        <v>1.0</v>
      </c>
      <c r="S1316">
        <f t="shared" si="1"/>
        <v>2015</v>
      </c>
      <c r="T1316">
        <f t="shared" si="2"/>
        <v>9</v>
      </c>
      <c r="U1316">
        <f t="shared" si="3"/>
        <v>23</v>
      </c>
      <c r="Z1316" s="17">
        <v>42613.0</v>
      </c>
      <c r="AG1316" s="15"/>
      <c r="AH1316" s="16"/>
      <c r="AM1316" s="15"/>
      <c r="AN1316" s="16"/>
    </row>
    <row r="1317">
      <c r="A1317" s="13" t="s">
        <v>2574</v>
      </c>
      <c r="B1317" s="10">
        <v>42263.0</v>
      </c>
      <c r="C1317" s="11" t="s">
        <v>62</v>
      </c>
      <c r="D1317" s="11" t="s">
        <v>93</v>
      </c>
      <c r="E1317" s="11" t="s">
        <v>39</v>
      </c>
      <c r="F1317" s="11" t="s">
        <v>64</v>
      </c>
      <c r="G1317" s="11" t="s">
        <v>45</v>
      </c>
      <c r="H1317" s="11" t="s">
        <v>67</v>
      </c>
      <c r="I1317" s="11" t="s">
        <v>508</v>
      </c>
      <c r="J1317" s="11">
        <v>19.0</v>
      </c>
      <c r="K1317" s="39">
        <v>42605.0</v>
      </c>
      <c r="L1317" s="11">
        <f t="shared" si="137"/>
        <v>11</v>
      </c>
      <c r="M1317" s="11">
        <v>656203.0</v>
      </c>
      <c r="N1317" s="11" t="s">
        <v>2575</v>
      </c>
      <c r="O1317" s="13"/>
      <c r="P1317" s="11">
        <v>0.0</v>
      </c>
      <c r="Q1317" s="14">
        <v>0.0</v>
      </c>
      <c r="R1317" s="41">
        <v>1.0</v>
      </c>
      <c r="S1317">
        <f t="shared" si="1"/>
        <v>2015</v>
      </c>
      <c r="T1317">
        <f t="shared" si="2"/>
        <v>9</v>
      </c>
      <c r="U1317">
        <f t="shared" si="3"/>
        <v>16</v>
      </c>
      <c r="AG1317" s="15"/>
      <c r="AH1317" s="16"/>
      <c r="AM1317" s="15"/>
      <c r="AN1317" s="16"/>
    </row>
    <row r="1318">
      <c r="A1318" s="13" t="s">
        <v>2576</v>
      </c>
      <c r="B1318" s="10">
        <v>42250.0</v>
      </c>
      <c r="C1318" s="11" t="s">
        <v>55</v>
      </c>
      <c r="D1318" s="11" t="s">
        <v>93</v>
      </c>
      <c r="E1318" s="11" t="s">
        <v>39</v>
      </c>
      <c r="F1318" s="11" t="s">
        <v>40</v>
      </c>
      <c r="G1318" s="11" t="s">
        <v>45</v>
      </c>
      <c r="H1318" s="11" t="s">
        <v>84</v>
      </c>
      <c r="I1318" s="11" t="s">
        <v>2577</v>
      </c>
      <c r="J1318" s="11">
        <v>20.0</v>
      </c>
      <c r="K1318" s="39">
        <v>43270.0</v>
      </c>
      <c r="L1318" s="11"/>
      <c r="M1318" s="11">
        <v>657265.0</v>
      </c>
      <c r="N1318" s="11">
        <v>21367.0</v>
      </c>
      <c r="O1318" s="13" t="s">
        <v>2578</v>
      </c>
      <c r="P1318" s="11">
        <v>0.0</v>
      </c>
      <c r="Q1318" s="14">
        <v>0.0</v>
      </c>
      <c r="R1318" s="11">
        <v>1.0</v>
      </c>
      <c r="S1318">
        <f t="shared" si="1"/>
        <v>2015</v>
      </c>
      <c r="T1318">
        <f t="shared" si="2"/>
        <v>9</v>
      </c>
      <c r="U1318">
        <f t="shared" si="3"/>
        <v>3</v>
      </c>
      <c r="AG1318" s="15"/>
      <c r="AH1318" s="16"/>
      <c r="AM1318" s="15"/>
      <c r="AN1318" s="16"/>
    </row>
    <row r="1319">
      <c r="A1319" s="13" t="s">
        <v>2579</v>
      </c>
      <c r="B1319" s="10">
        <v>42250.0</v>
      </c>
      <c r="C1319" s="11" t="s">
        <v>76</v>
      </c>
      <c r="D1319" s="11" t="s">
        <v>38</v>
      </c>
      <c r="E1319" s="11" t="s">
        <v>39</v>
      </c>
      <c r="F1319" s="11" t="s">
        <v>40</v>
      </c>
      <c r="G1319" s="11" t="s">
        <v>45</v>
      </c>
      <c r="H1319" s="11" t="s">
        <v>412</v>
      </c>
      <c r="I1319" s="11" t="s">
        <v>2580</v>
      </c>
      <c r="J1319" s="11">
        <v>27.0</v>
      </c>
      <c r="K1319" s="39">
        <v>43715.0</v>
      </c>
      <c r="L1319" s="11">
        <f t="shared" ref="L1319:L1327" si="138">ROUND(((K1319-B1319)/365)*12,0)</f>
        <v>48</v>
      </c>
      <c r="M1319" s="11">
        <v>502578.0</v>
      </c>
      <c r="N1319" s="11">
        <v>11243.0</v>
      </c>
      <c r="O1319" s="13" t="s">
        <v>761</v>
      </c>
      <c r="P1319" s="11">
        <v>0.0</v>
      </c>
      <c r="Q1319" s="14">
        <v>0.0</v>
      </c>
      <c r="R1319" s="41">
        <v>1.0</v>
      </c>
      <c r="S1319">
        <f t="shared" si="1"/>
        <v>2015</v>
      </c>
      <c r="T1319">
        <f t="shared" si="2"/>
        <v>9</v>
      </c>
      <c r="U1319">
        <f t="shared" si="3"/>
        <v>3</v>
      </c>
      <c r="V1319" s="17">
        <v>42422.0</v>
      </c>
      <c r="Z1319" s="17">
        <v>43266.0</v>
      </c>
      <c r="AA1319" s="17">
        <v>42348.0</v>
      </c>
      <c r="AB1319" s="13" t="s">
        <v>2581</v>
      </c>
      <c r="AC1319" s="17">
        <v>42574.0</v>
      </c>
      <c r="AD1319" s="13" t="s">
        <v>2582</v>
      </c>
      <c r="AG1319" s="15"/>
      <c r="AH1319" s="16"/>
      <c r="AM1319" s="15"/>
      <c r="AN1319" s="16"/>
    </row>
    <row r="1320">
      <c r="A1320" s="13" t="s">
        <v>2583</v>
      </c>
      <c r="B1320" s="10">
        <v>42248.0</v>
      </c>
      <c r="C1320" s="11" t="s">
        <v>116</v>
      </c>
      <c r="D1320" s="11" t="s">
        <v>58</v>
      </c>
      <c r="E1320" s="11" t="s">
        <v>39</v>
      </c>
      <c r="F1320" s="11" t="s">
        <v>64</v>
      </c>
      <c r="G1320" s="11" t="s">
        <v>45</v>
      </c>
      <c r="H1320" s="11" t="s">
        <v>84</v>
      </c>
      <c r="I1320" s="11" t="s">
        <v>84</v>
      </c>
      <c r="J1320" s="11">
        <v>24.0</v>
      </c>
      <c r="K1320" s="39">
        <v>43570.0</v>
      </c>
      <c r="L1320" s="11">
        <f t="shared" si="138"/>
        <v>43</v>
      </c>
      <c r="M1320" s="11">
        <v>572089.0</v>
      </c>
      <c r="N1320" s="11">
        <v>13398.0</v>
      </c>
      <c r="O1320" s="13"/>
      <c r="P1320" s="11">
        <v>0.0</v>
      </c>
      <c r="Q1320" s="14">
        <v>0.0</v>
      </c>
      <c r="R1320" s="41">
        <v>1.0</v>
      </c>
      <c r="S1320">
        <f t="shared" si="1"/>
        <v>2015</v>
      </c>
      <c r="T1320">
        <f t="shared" si="2"/>
        <v>9</v>
      </c>
      <c r="U1320">
        <f t="shared" si="3"/>
        <v>1</v>
      </c>
      <c r="Y1320" s="17">
        <v>42796.0</v>
      </c>
      <c r="Z1320" s="17">
        <v>42954.0</v>
      </c>
      <c r="AG1320" s="15"/>
      <c r="AH1320" s="16"/>
      <c r="AM1320" s="15"/>
      <c r="AN1320" s="16"/>
    </row>
    <row r="1321">
      <c r="A1321" s="13" t="s">
        <v>2584</v>
      </c>
      <c r="B1321" s="10">
        <v>42248.0</v>
      </c>
      <c r="C1321" s="11" t="s">
        <v>44</v>
      </c>
      <c r="D1321" s="11" t="s">
        <v>709</v>
      </c>
      <c r="E1321" s="11" t="s">
        <v>104</v>
      </c>
      <c r="F1321" s="11" t="s">
        <v>40</v>
      </c>
      <c r="G1321" s="11" t="s">
        <v>245</v>
      </c>
      <c r="H1321" s="11"/>
      <c r="I1321" s="11"/>
      <c r="J1321" s="11">
        <v>21.0</v>
      </c>
      <c r="K1321" s="39">
        <v>42567.0</v>
      </c>
      <c r="L1321" s="11">
        <f t="shared" si="138"/>
        <v>10</v>
      </c>
      <c r="M1321" s="11">
        <v>644375.0</v>
      </c>
      <c r="N1321" s="11" t="s">
        <v>2585</v>
      </c>
      <c r="O1321" s="13"/>
      <c r="P1321" s="11">
        <v>0.0</v>
      </c>
      <c r="Q1321" s="14">
        <v>0.0</v>
      </c>
      <c r="R1321" s="41">
        <v>1.0</v>
      </c>
      <c r="S1321">
        <f t="shared" si="1"/>
        <v>2015</v>
      </c>
      <c r="T1321">
        <f t="shared" si="2"/>
        <v>9</v>
      </c>
      <c r="U1321">
        <f t="shared" si="3"/>
        <v>1</v>
      </c>
      <c r="AG1321" s="15"/>
      <c r="AH1321" s="16"/>
      <c r="AM1321" s="15"/>
      <c r="AN1321" s="16"/>
    </row>
    <row r="1322">
      <c r="A1322" s="13" t="s">
        <v>2586</v>
      </c>
      <c r="B1322" s="10">
        <v>42248.0</v>
      </c>
      <c r="C1322" s="11" t="s">
        <v>55</v>
      </c>
      <c r="D1322" s="11" t="s">
        <v>97</v>
      </c>
      <c r="E1322" s="11" t="s">
        <v>39</v>
      </c>
      <c r="F1322" s="11" t="s">
        <v>64</v>
      </c>
      <c r="G1322" s="11" t="s">
        <v>45</v>
      </c>
      <c r="H1322" s="11" t="s">
        <v>46</v>
      </c>
      <c r="I1322" s="11" t="s">
        <v>46</v>
      </c>
      <c r="J1322" s="11">
        <v>21.0</v>
      </c>
      <c r="K1322" s="39">
        <v>43198.0</v>
      </c>
      <c r="L1322" s="11">
        <f t="shared" si="138"/>
        <v>31</v>
      </c>
      <c r="M1322" s="11">
        <v>621403.0</v>
      </c>
      <c r="N1322" s="11" t="s">
        <v>2587</v>
      </c>
      <c r="O1322" s="13" t="s">
        <v>1031</v>
      </c>
      <c r="P1322" s="11">
        <v>0.0</v>
      </c>
      <c r="Q1322" s="14">
        <v>0.0</v>
      </c>
      <c r="R1322" s="41">
        <v>1.0</v>
      </c>
      <c r="S1322">
        <f t="shared" si="1"/>
        <v>2015</v>
      </c>
      <c r="T1322">
        <f t="shared" si="2"/>
        <v>9</v>
      </c>
      <c r="U1322">
        <f t="shared" si="3"/>
        <v>1</v>
      </c>
      <c r="AA1322" s="17">
        <v>42864.0</v>
      </c>
      <c r="AB1322" s="13" t="s">
        <v>2060</v>
      </c>
      <c r="AG1322" s="15"/>
      <c r="AH1322" s="16"/>
      <c r="AM1322" s="15"/>
      <c r="AN1322" s="16"/>
    </row>
    <row r="1323">
      <c r="A1323" s="13" t="s">
        <v>2588</v>
      </c>
      <c r="B1323" s="10">
        <v>42248.0</v>
      </c>
      <c r="C1323" s="11" t="s">
        <v>49</v>
      </c>
      <c r="D1323" s="11" t="s">
        <v>88</v>
      </c>
      <c r="E1323" s="11" t="s">
        <v>39</v>
      </c>
      <c r="F1323" s="11" t="s">
        <v>40</v>
      </c>
      <c r="G1323" s="11" t="s">
        <v>41</v>
      </c>
      <c r="H1323" s="11"/>
      <c r="I1323" s="11"/>
      <c r="J1323" s="11">
        <v>20.0</v>
      </c>
      <c r="K1323" s="39">
        <v>42871.0</v>
      </c>
      <c r="L1323" s="11">
        <f t="shared" si="138"/>
        <v>20</v>
      </c>
      <c r="M1323" s="11">
        <v>622506.0</v>
      </c>
      <c r="N1323" s="11" t="s">
        <v>2589</v>
      </c>
      <c r="O1323" s="13"/>
      <c r="P1323" s="11">
        <v>0.0</v>
      </c>
      <c r="Q1323" s="14">
        <v>0.0</v>
      </c>
      <c r="R1323" s="41">
        <v>1.0</v>
      </c>
      <c r="S1323">
        <f t="shared" si="1"/>
        <v>2015</v>
      </c>
      <c r="T1323">
        <f t="shared" si="2"/>
        <v>9</v>
      </c>
      <c r="U1323">
        <f t="shared" si="3"/>
        <v>1</v>
      </c>
      <c r="Z1323" s="17">
        <v>42871.0</v>
      </c>
      <c r="AG1323" s="15"/>
      <c r="AH1323" s="16"/>
      <c r="AM1323" s="15"/>
      <c r="AN1323" s="16"/>
    </row>
    <row r="1324">
      <c r="A1324" s="13" t="s">
        <v>2590</v>
      </c>
      <c r="B1324" s="10">
        <v>42248.0</v>
      </c>
      <c r="C1324" s="11" t="s">
        <v>362</v>
      </c>
      <c r="D1324" s="11" t="s">
        <v>58</v>
      </c>
      <c r="E1324" s="11" t="s">
        <v>39</v>
      </c>
      <c r="F1324" s="11" t="s">
        <v>40</v>
      </c>
      <c r="G1324" s="11" t="s">
        <v>41</v>
      </c>
      <c r="H1324" s="11"/>
      <c r="I1324" s="11"/>
      <c r="J1324" s="11">
        <v>25.0</v>
      </c>
      <c r="K1324" s="39">
        <v>42833.0</v>
      </c>
      <c r="L1324" s="11">
        <f t="shared" si="138"/>
        <v>19</v>
      </c>
      <c r="M1324" s="11">
        <v>605795.0</v>
      </c>
      <c r="N1324" s="11">
        <v>11776.0</v>
      </c>
      <c r="O1324" s="13"/>
      <c r="P1324" s="11">
        <v>8.0</v>
      </c>
      <c r="Q1324" s="14">
        <v>12.333</v>
      </c>
      <c r="R1324" s="41">
        <v>1.0</v>
      </c>
      <c r="S1324">
        <f t="shared" si="1"/>
        <v>2015</v>
      </c>
      <c r="T1324">
        <f t="shared" si="2"/>
        <v>9</v>
      </c>
      <c r="U1324">
        <f t="shared" si="3"/>
        <v>1</v>
      </c>
      <c r="Y1324" s="17">
        <v>42802.0</v>
      </c>
      <c r="Z1324" s="17">
        <v>42833.0</v>
      </c>
      <c r="AG1324" s="15"/>
      <c r="AH1324" s="16"/>
      <c r="AM1324" s="15"/>
      <c r="AN1324" s="16"/>
    </row>
    <row r="1325">
      <c r="A1325" s="13" t="s">
        <v>2591</v>
      </c>
      <c r="B1325" s="10">
        <v>42248.0</v>
      </c>
      <c r="C1325" s="11" t="s">
        <v>362</v>
      </c>
      <c r="D1325" s="11" t="s">
        <v>213</v>
      </c>
      <c r="E1325" s="11" t="s">
        <v>39</v>
      </c>
      <c r="F1325" s="11" t="s">
        <v>40</v>
      </c>
      <c r="G1325" s="11" t="s">
        <v>41</v>
      </c>
      <c r="H1325" s="11"/>
      <c r="I1325" s="11"/>
      <c r="J1325" s="11">
        <v>17.0</v>
      </c>
      <c r="K1325" s="39">
        <v>42891.0</v>
      </c>
      <c r="L1325" s="11">
        <f t="shared" si="138"/>
        <v>21</v>
      </c>
      <c r="M1325" s="11">
        <v>664328.0</v>
      </c>
      <c r="N1325" s="11" t="s">
        <v>2592</v>
      </c>
      <c r="O1325" s="13"/>
      <c r="P1325" s="11">
        <v>0.0</v>
      </c>
      <c r="Q1325" s="14">
        <v>0.0</v>
      </c>
      <c r="R1325" s="41">
        <v>1.0</v>
      </c>
      <c r="S1325">
        <f t="shared" si="1"/>
        <v>2015</v>
      </c>
      <c r="T1325">
        <f t="shared" si="2"/>
        <v>9</v>
      </c>
      <c r="U1325">
        <f t="shared" si="3"/>
        <v>1</v>
      </c>
      <c r="AG1325" s="15"/>
      <c r="AH1325" s="16"/>
      <c r="AM1325" s="15"/>
      <c r="AN1325" s="16"/>
    </row>
    <row r="1326">
      <c r="A1326" s="13" t="s">
        <v>2593</v>
      </c>
      <c r="B1326" s="10">
        <v>42247.0</v>
      </c>
      <c r="C1326" s="11" t="s">
        <v>49</v>
      </c>
      <c r="D1326" s="11" t="s">
        <v>221</v>
      </c>
      <c r="E1326" s="11" t="s">
        <v>39</v>
      </c>
      <c r="F1326" s="11" t="s">
        <v>40</v>
      </c>
      <c r="G1326" s="11" t="s">
        <v>45</v>
      </c>
      <c r="H1326" s="11" t="s">
        <v>243</v>
      </c>
      <c r="I1326" s="11" t="s">
        <v>1105</v>
      </c>
      <c r="J1326" s="11">
        <v>22.0</v>
      </c>
      <c r="K1326" s="39">
        <v>42906.0</v>
      </c>
      <c r="L1326" s="11">
        <f t="shared" si="138"/>
        <v>22</v>
      </c>
      <c r="M1326" s="11">
        <v>607444.0</v>
      </c>
      <c r="N1326" s="11" t="s">
        <v>2594</v>
      </c>
      <c r="O1326" s="13"/>
      <c r="P1326" s="11">
        <v>0.0</v>
      </c>
      <c r="Q1326" s="14">
        <v>0.0</v>
      </c>
      <c r="R1326" s="41">
        <v>1.0</v>
      </c>
      <c r="S1326">
        <f t="shared" si="1"/>
        <v>2015</v>
      </c>
      <c r="T1326">
        <f t="shared" si="2"/>
        <v>8</v>
      </c>
      <c r="U1326">
        <f t="shared" si="3"/>
        <v>31</v>
      </c>
      <c r="AG1326" s="15"/>
      <c r="AH1326" s="16"/>
      <c r="AM1326" s="15"/>
      <c r="AN1326" s="16"/>
    </row>
    <row r="1327">
      <c r="A1327" s="13" t="s">
        <v>2595</v>
      </c>
      <c r="B1327" s="10">
        <v>42243.0</v>
      </c>
      <c r="C1327" s="11" t="s">
        <v>76</v>
      </c>
      <c r="D1327" s="11" t="s">
        <v>709</v>
      </c>
      <c r="E1327" s="11" t="s">
        <v>39</v>
      </c>
      <c r="F1327" s="11" t="s">
        <v>40</v>
      </c>
      <c r="G1327" s="11" t="s">
        <v>53</v>
      </c>
      <c r="H1327" s="11"/>
      <c r="I1327" s="11"/>
      <c r="J1327" s="11">
        <v>23.0</v>
      </c>
      <c r="K1327" s="39">
        <v>42601.0</v>
      </c>
      <c r="L1327" s="11">
        <f t="shared" si="138"/>
        <v>12</v>
      </c>
      <c r="M1327" s="11">
        <v>625349.0</v>
      </c>
      <c r="N1327" s="11" t="s">
        <v>2596</v>
      </c>
      <c r="O1327" s="13"/>
      <c r="P1327" s="11">
        <v>0.0</v>
      </c>
      <c r="Q1327" s="14">
        <v>0.0</v>
      </c>
      <c r="R1327" s="41">
        <v>1.0</v>
      </c>
      <c r="S1327">
        <f t="shared" si="1"/>
        <v>2015</v>
      </c>
      <c r="T1327">
        <f t="shared" si="2"/>
        <v>8</v>
      </c>
      <c r="U1327">
        <f t="shared" si="3"/>
        <v>27</v>
      </c>
      <c r="AG1327" s="15"/>
      <c r="AH1327" s="16"/>
      <c r="AM1327" s="15"/>
      <c r="AN1327" s="16"/>
    </row>
    <row r="1328">
      <c r="A1328" s="13" t="s">
        <v>2597</v>
      </c>
      <c r="B1328" s="10">
        <v>42240.0</v>
      </c>
      <c r="C1328" s="11" t="s">
        <v>175</v>
      </c>
      <c r="D1328" s="11" t="s">
        <v>77</v>
      </c>
      <c r="E1328" s="11" t="s">
        <v>39</v>
      </c>
      <c r="F1328" s="11" t="s">
        <v>40</v>
      </c>
      <c r="G1328" s="11" t="s">
        <v>45</v>
      </c>
      <c r="H1328" s="11" t="s">
        <v>67</v>
      </c>
      <c r="I1328" s="11"/>
      <c r="J1328" s="11">
        <v>24.0</v>
      </c>
      <c r="K1328" s="39">
        <v>42977.0</v>
      </c>
      <c r="L1328" s="30"/>
      <c r="M1328" s="11">
        <v>571982.0</v>
      </c>
      <c r="N1328" s="11" t="s">
        <v>2598</v>
      </c>
      <c r="O1328" s="13"/>
      <c r="P1328" s="11">
        <v>0.0</v>
      </c>
      <c r="Q1328" s="14">
        <v>0.0</v>
      </c>
      <c r="R1328" s="41">
        <v>1.0</v>
      </c>
      <c r="S1328">
        <f t="shared" si="1"/>
        <v>2015</v>
      </c>
      <c r="T1328">
        <f t="shared" si="2"/>
        <v>8</v>
      </c>
      <c r="U1328">
        <f t="shared" si="3"/>
        <v>24</v>
      </c>
      <c r="AG1328" s="15"/>
      <c r="AH1328" s="16"/>
      <c r="AM1328" s="15"/>
      <c r="AN1328" s="16"/>
    </row>
    <row r="1329">
      <c r="A1329" s="13" t="s">
        <v>2599</v>
      </c>
      <c r="B1329" s="10">
        <v>42235.0</v>
      </c>
      <c r="C1329" s="11" t="s">
        <v>62</v>
      </c>
      <c r="D1329" s="11" t="s">
        <v>93</v>
      </c>
      <c r="E1329" s="11" t="s">
        <v>39</v>
      </c>
      <c r="F1329" s="11" t="s">
        <v>40</v>
      </c>
      <c r="G1329" s="11" t="s">
        <v>45</v>
      </c>
      <c r="H1329" s="11" t="s">
        <v>56</v>
      </c>
      <c r="I1329" s="11" t="s">
        <v>208</v>
      </c>
      <c r="J1329" s="11">
        <v>20.0</v>
      </c>
      <c r="K1329" s="39">
        <v>43297.0</v>
      </c>
      <c r="L1329" s="11"/>
      <c r="M1329" s="11">
        <v>673966.0</v>
      </c>
      <c r="N1329" s="11" t="s">
        <v>2600</v>
      </c>
      <c r="O1329" s="13"/>
      <c r="P1329" s="11">
        <v>0.0</v>
      </c>
      <c r="Q1329" s="14">
        <v>0.0</v>
      </c>
      <c r="R1329" s="11">
        <v>1.0</v>
      </c>
      <c r="S1329">
        <f t="shared" si="1"/>
        <v>2015</v>
      </c>
      <c r="T1329">
        <f t="shared" si="2"/>
        <v>8</v>
      </c>
      <c r="U1329">
        <f t="shared" si="3"/>
        <v>19</v>
      </c>
      <c r="AG1329" s="15"/>
      <c r="AH1329" s="16"/>
      <c r="AM1329" s="15"/>
      <c r="AN1329" s="16"/>
    </row>
    <row r="1330">
      <c r="A1330" s="19" t="s">
        <v>2601</v>
      </c>
      <c r="B1330" s="29">
        <v>42228.0</v>
      </c>
      <c r="C1330" s="21" t="s">
        <v>186</v>
      </c>
      <c r="D1330" s="21" t="s">
        <v>97</v>
      </c>
      <c r="E1330" s="21" t="s">
        <v>39</v>
      </c>
      <c r="F1330" s="21" t="s">
        <v>40</v>
      </c>
      <c r="G1330" s="21" t="s">
        <v>53</v>
      </c>
      <c r="H1330" s="21"/>
      <c r="I1330" s="21"/>
      <c r="J1330" s="21">
        <v>22.0</v>
      </c>
      <c r="K1330" s="44">
        <v>42831.0</v>
      </c>
      <c r="L1330" s="19"/>
      <c r="M1330" s="21">
        <v>600965.0</v>
      </c>
      <c r="N1330" s="21">
        <v>15458.0</v>
      </c>
      <c r="O1330" s="19" t="s">
        <v>42</v>
      </c>
      <c r="P1330" s="21">
        <v>16.0</v>
      </c>
      <c r="Q1330" s="23">
        <v>13.0</v>
      </c>
      <c r="R1330" s="21">
        <v>1.0</v>
      </c>
      <c r="S1330" s="33">
        <f t="shared" si="1"/>
        <v>2015</v>
      </c>
      <c r="T1330" s="33">
        <f t="shared" si="2"/>
        <v>8</v>
      </c>
      <c r="U1330" s="33">
        <f t="shared" si="3"/>
        <v>12</v>
      </c>
      <c r="V1330" s="24"/>
      <c r="W1330" s="24"/>
      <c r="X1330" s="24"/>
      <c r="Y1330" s="24"/>
      <c r="Z1330" s="24"/>
      <c r="AA1330" s="24"/>
      <c r="AB1330" s="24"/>
      <c r="AC1330" s="24"/>
      <c r="AD1330" s="24"/>
      <c r="AE1330" s="24"/>
      <c r="AF1330" s="24"/>
      <c r="AG1330" s="26"/>
      <c r="AH1330" s="27"/>
      <c r="AI1330" s="24"/>
      <c r="AJ1330" s="24"/>
      <c r="AK1330" s="24"/>
      <c r="AL1330" s="24"/>
      <c r="AM1330" s="26"/>
      <c r="AN1330" s="27"/>
      <c r="AO1330" s="24"/>
      <c r="AP1330" s="24"/>
    </row>
    <row r="1331">
      <c r="A1331" s="13" t="s">
        <v>2602</v>
      </c>
      <c r="B1331" s="10">
        <v>42227.0</v>
      </c>
      <c r="C1331" s="11" t="s">
        <v>143</v>
      </c>
      <c r="D1331" s="11" t="s">
        <v>221</v>
      </c>
      <c r="E1331" s="11" t="s">
        <v>39</v>
      </c>
      <c r="F1331" s="11" t="s">
        <v>64</v>
      </c>
      <c r="G1331" s="11" t="s">
        <v>45</v>
      </c>
      <c r="H1331" s="11" t="s">
        <v>317</v>
      </c>
      <c r="I1331" s="11" t="s">
        <v>133</v>
      </c>
      <c r="J1331" s="11">
        <v>21.0</v>
      </c>
      <c r="K1331" s="39">
        <v>42558.0</v>
      </c>
      <c r="L1331" s="11">
        <f t="shared" ref="L1331:L1334" si="139">ROUND(((K1331-B1331)/365)*12,0)</f>
        <v>11</v>
      </c>
      <c r="M1331" s="11">
        <v>607481.0</v>
      </c>
      <c r="N1331" s="11">
        <v>16258.0</v>
      </c>
      <c r="O1331" s="13"/>
      <c r="P1331" s="11">
        <v>30.0</v>
      </c>
      <c r="Q1331" s="14">
        <v>22.0</v>
      </c>
      <c r="R1331" s="41">
        <v>1.0</v>
      </c>
      <c r="S1331">
        <f t="shared" si="1"/>
        <v>2015</v>
      </c>
      <c r="T1331">
        <f t="shared" si="2"/>
        <v>8</v>
      </c>
      <c r="U1331">
        <f t="shared" si="3"/>
        <v>11</v>
      </c>
      <c r="AG1331" s="15"/>
      <c r="AH1331" s="16"/>
      <c r="AM1331" s="15"/>
      <c r="AN1331" s="16"/>
    </row>
    <row r="1332">
      <c r="A1332" s="13" t="s">
        <v>2603</v>
      </c>
      <c r="B1332" s="10">
        <v>42227.0</v>
      </c>
      <c r="C1332" s="11" t="s">
        <v>55</v>
      </c>
      <c r="D1332" s="11" t="s">
        <v>88</v>
      </c>
      <c r="E1332" s="11" t="s">
        <v>39</v>
      </c>
      <c r="F1332" s="11" t="s">
        <v>40</v>
      </c>
      <c r="G1332" s="11" t="s">
        <v>45</v>
      </c>
      <c r="H1332" s="11" t="s">
        <v>182</v>
      </c>
      <c r="I1332" s="11" t="s">
        <v>479</v>
      </c>
      <c r="J1332" s="11">
        <v>23.0</v>
      </c>
      <c r="K1332" s="39">
        <v>42833.0</v>
      </c>
      <c r="L1332" s="11">
        <f t="shared" si="139"/>
        <v>20</v>
      </c>
      <c r="M1332" s="11">
        <v>592865.0</v>
      </c>
      <c r="N1332" s="11">
        <v>14899.0</v>
      </c>
      <c r="O1332" s="13" t="s">
        <v>1031</v>
      </c>
      <c r="P1332" s="11">
        <v>5.0</v>
      </c>
      <c r="Q1332" s="14">
        <v>4.667</v>
      </c>
      <c r="R1332" s="41">
        <v>1.0</v>
      </c>
      <c r="S1332">
        <f t="shared" si="1"/>
        <v>2015</v>
      </c>
      <c r="T1332">
        <f t="shared" si="2"/>
        <v>8</v>
      </c>
      <c r="U1332">
        <f t="shared" si="3"/>
        <v>11</v>
      </c>
      <c r="Y1332" s="17">
        <v>42790.0</v>
      </c>
      <c r="Z1332" s="17">
        <v>42833.0</v>
      </c>
      <c r="AG1332" s="15"/>
      <c r="AH1332" s="16"/>
      <c r="AM1332" s="15"/>
      <c r="AN1332" s="16"/>
    </row>
    <row r="1333">
      <c r="A1333" s="19" t="s">
        <v>2604</v>
      </c>
      <c r="B1333" s="20">
        <v>42221.0</v>
      </c>
      <c r="C1333" s="21" t="s">
        <v>358</v>
      </c>
      <c r="D1333" s="21" t="s">
        <v>38</v>
      </c>
      <c r="E1333" s="21" t="s">
        <v>39</v>
      </c>
      <c r="F1333" s="21" t="s">
        <v>64</v>
      </c>
      <c r="G1333" s="21" t="s">
        <v>45</v>
      </c>
      <c r="H1333" s="21" t="s">
        <v>67</v>
      </c>
      <c r="I1333" s="21" t="s">
        <v>2605</v>
      </c>
      <c r="J1333" s="21">
        <v>32.0</v>
      </c>
      <c r="K1333" s="47">
        <v>42630.0</v>
      </c>
      <c r="L1333" s="11">
        <f t="shared" si="139"/>
        <v>13</v>
      </c>
      <c r="M1333" s="21">
        <v>450306.0</v>
      </c>
      <c r="N1333" s="21">
        <v>8044.0</v>
      </c>
      <c r="O1333" s="19"/>
      <c r="P1333" s="18">
        <v>35.0</v>
      </c>
      <c r="Q1333" s="36">
        <v>191.667</v>
      </c>
      <c r="R1333" s="21">
        <v>1.0</v>
      </c>
      <c r="S1333" s="33">
        <f t="shared" si="1"/>
        <v>2015</v>
      </c>
      <c r="T1333" s="33">
        <f t="shared" si="2"/>
        <v>8</v>
      </c>
      <c r="U1333">
        <f t="shared" si="3"/>
        <v>5</v>
      </c>
      <c r="V1333" s="34">
        <v>42384.0</v>
      </c>
      <c r="W1333" s="24"/>
      <c r="X1333" s="34">
        <v>42559.0</v>
      </c>
      <c r="Y1333" s="24"/>
      <c r="Z1333" s="34">
        <v>42589.0</v>
      </c>
      <c r="AA1333" s="24"/>
      <c r="AB1333" s="24"/>
      <c r="AC1333" s="24"/>
      <c r="AD1333" s="24"/>
      <c r="AE1333" s="24"/>
      <c r="AF1333" s="24"/>
      <c r="AG1333" s="26"/>
      <c r="AH1333" s="27"/>
      <c r="AI1333" s="24"/>
      <c r="AJ1333" s="24"/>
      <c r="AK1333" s="24"/>
      <c r="AL1333" s="24"/>
      <c r="AM1333" s="26"/>
      <c r="AN1333" s="27"/>
      <c r="AO1333" s="24"/>
      <c r="AP1333" s="24"/>
    </row>
    <row r="1334">
      <c r="A1334" s="13" t="s">
        <v>755</v>
      </c>
      <c r="B1334" s="10">
        <v>42221.0</v>
      </c>
      <c r="C1334" s="11" t="s">
        <v>126</v>
      </c>
      <c r="D1334" s="11" t="s">
        <v>93</v>
      </c>
      <c r="E1334" s="11" t="s">
        <v>39</v>
      </c>
      <c r="F1334" s="11" t="s">
        <v>40</v>
      </c>
      <c r="G1334" s="11" t="s">
        <v>45</v>
      </c>
      <c r="H1334" s="11" t="s">
        <v>231</v>
      </c>
      <c r="I1334" s="11" t="s">
        <v>140</v>
      </c>
      <c r="J1334" s="11">
        <v>20.0</v>
      </c>
      <c r="K1334" s="47">
        <v>42558.0</v>
      </c>
      <c r="L1334" s="11">
        <f t="shared" si="139"/>
        <v>11</v>
      </c>
      <c r="M1334" s="11">
        <v>621111.0</v>
      </c>
      <c r="N1334" s="11">
        <v>19374.0</v>
      </c>
      <c r="O1334" s="13" t="s">
        <v>69</v>
      </c>
      <c r="P1334" s="11">
        <v>8.0</v>
      </c>
      <c r="Q1334" s="14">
        <v>9.333</v>
      </c>
      <c r="R1334" s="41">
        <v>1.0</v>
      </c>
      <c r="S1334">
        <f t="shared" si="1"/>
        <v>2015</v>
      </c>
      <c r="T1334">
        <f t="shared" si="2"/>
        <v>8</v>
      </c>
      <c r="U1334">
        <f t="shared" si="3"/>
        <v>5</v>
      </c>
      <c r="Z1334" s="17">
        <v>42558.0</v>
      </c>
      <c r="AG1334" s="15"/>
      <c r="AH1334" s="16"/>
      <c r="AM1334" s="15"/>
      <c r="AN1334" s="16"/>
    </row>
    <row r="1335">
      <c r="A1335" s="13" t="s">
        <v>2606</v>
      </c>
      <c r="B1335" s="10">
        <v>42220.0</v>
      </c>
      <c r="C1335" s="11" t="s">
        <v>162</v>
      </c>
      <c r="D1335" s="11" t="s">
        <v>38</v>
      </c>
      <c r="E1335" s="11" t="s">
        <v>39</v>
      </c>
      <c r="F1335" s="11" t="s">
        <v>40</v>
      </c>
      <c r="G1335" s="11" t="s">
        <v>45</v>
      </c>
      <c r="H1335" s="11" t="s">
        <v>231</v>
      </c>
      <c r="I1335" s="11"/>
      <c r="J1335" s="11">
        <v>27.0</v>
      </c>
      <c r="K1335" s="30"/>
      <c r="L1335" s="30"/>
      <c r="M1335" s="11">
        <v>502264.0</v>
      </c>
      <c r="N1335" s="11">
        <v>3282.0</v>
      </c>
      <c r="O1335" s="13" t="s">
        <v>355</v>
      </c>
      <c r="P1335" s="11">
        <v>0.0</v>
      </c>
      <c r="Q1335" s="14">
        <v>0.0</v>
      </c>
      <c r="R1335" s="11">
        <v>0.0</v>
      </c>
      <c r="S1335">
        <f t="shared" si="1"/>
        <v>2015</v>
      </c>
      <c r="T1335">
        <f t="shared" si="2"/>
        <v>8</v>
      </c>
      <c r="U1335">
        <f t="shared" si="3"/>
        <v>4</v>
      </c>
      <c r="AG1335" s="15"/>
      <c r="AH1335" s="16"/>
      <c r="AM1335" s="15"/>
      <c r="AN1335" s="16"/>
    </row>
    <row r="1336">
      <c r="A1336" s="13" t="s">
        <v>2607</v>
      </c>
      <c r="B1336" s="10">
        <v>42220.0</v>
      </c>
      <c r="C1336" s="11" t="s">
        <v>162</v>
      </c>
      <c r="D1336" s="11" t="s">
        <v>221</v>
      </c>
      <c r="E1336" s="11" t="s">
        <v>104</v>
      </c>
      <c r="F1336" s="11" t="s">
        <v>40</v>
      </c>
      <c r="G1336" s="11" t="s">
        <v>194</v>
      </c>
      <c r="H1336" s="11"/>
      <c r="I1336" s="11"/>
      <c r="J1336" s="11">
        <v>19.0</v>
      </c>
      <c r="K1336" s="39">
        <v>42542.0</v>
      </c>
      <c r="L1336" s="11">
        <f t="shared" ref="L1336:L1350" si="140">ROUND(((K1336-B1336)/365)*12,0)</f>
        <v>11</v>
      </c>
      <c r="M1336" s="11">
        <v>641797.0</v>
      </c>
      <c r="N1336" s="11" t="s">
        <v>2608</v>
      </c>
      <c r="O1336" s="13"/>
      <c r="P1336" s="11">
        <v>0.0</v>
      </c>
      <c r="Q1336" s="14">
        <v>0.0</v>
      </c>
      <c r="R1336" s="41">
        <v>1.0</v>
      </c>
      <c r="S1336">
        <f t="shared" si="1"/>
        <v>2015</v>
      </c>
      <c r="T1336">
        <f t="shared" si="2"/>
        <v>8</v>
      </c>
      <c r="U1336">
        <f t="shared" si="3"/>
        <v>4</v>
      </c>
      <c r="AG1336" s="15"/>
      <c r="AH1336" s="16"/>
      <c r="AM1336" s="15"/>
      <c r="AN1336" s="16"/>
    </row>
    <row r="1337">
      <c r="A1337" s="13" t="s">
        <v>2609</v>
      </c>
      <c r="B1337" s="10">
        <v>42220.0</v>
      </c>
      <c r="C1337" s="11" t="s">
        <v>362</v>
      </c>
      <c r="D1337" s="11" t="s">
        <v>709</v>
      </c>
      <c r="E1337" s="11" t="s">
        <v>39</v>
      </c>
      <c r="F1337" s="11" t="s">
        <v>64</v>
      </c>
      <c r="G1337" s="11" t="s">
        <v>41</v>
      </c>
      <c r="H1337" s="11"/>
      <c r="I1337" s="11"/>
      <c r="J1337" s="11">
        <v>19.0</v>
      </c>
      <c r="K1337" s="39">
        <v>42833.0</v>
      </c>
      <c r="L1337" s="11">
        <f t="shared" si="140"/>
        <v>20</v>
      </c>
      <c r="M1337" s="11">
        <v>642390.0</v>
      </c>
      <c r="N1337" s="11" t="s">
        <v>2610</v>
      </c>
      <c r="O1337" s="13"/>
      <c r="P1337" s="11">
        <v>0.0</v>
      </c>
      <c r="Q1337" s="14">
        <v>0.0</v>
      </c>
      <c r="R1337" s="41">
        <v>1.0</v>
      </c>
      <c r="S1337">
        <f t="shared" si="1"/>
        <v>2015</v>
      </c>
      <c r="T1337">
        <f t="shared" si="2"/>
        <v>8</v>
      </c>
      <c r="U1337">
        <f t="shared" si="3"/>
        <v>4</v>
      </c>
      <c r="AG1337" s="15"/>
      <c r="AH1337" s="16"/>
      <c r="AM1337" s="15"/>
      <c r="AN1337" s="16"/>
    </row>
    <row r="1338">
      <c r="A1338" s="13" t="s">
        <v>2611</v>
      </c>
      <c r="B1338" s="10">
        <v>42217.0</v>
      </c>
      <c r="C1338" s="11" t="s">
        <v>101</v>
      </c>
      <c r="D1338" s="11" t="s">
        <v>709</v>
      </c>
      <c r="E1338" s="11" t="s">
        <v>270</v>
      </c>
      <c r="F1338" s="11" t="s">
        <v>40</v>
      </c>
      <c r="G1338" s="11" t="s">
        <v>41</v>
      </c>
      <c r="H1338" s="11"/>
      <c r="I1338" s="11"/>
      <c r="J1338" s="11">
        <v>19.0</v>
      </c>
      <c r="K1338" s="39">
        <v>42521.0</v>
      </c>
      <c r="L1338" s="11">
        <f t="shared" si="140"/>
        <v>10</v>
      </c>
      <c r="M1338" s="11">
        <v>642271.0</v>
      </c>
      <c r="N1338" s="11" t="s">
        <v>2612</v>
      </c>
      <c r="O1338" s="13"/>
      <c r="P1338" s="11">
        <v>0.0</v>
      </c>
      <c r="Q1338" s="14">
        <v>0.0</v>
      </c>
      <c r="R1338" s="41">
        <v>1.0</v>
      </c>
      <c r="S1338">
        <f t="shared" si="1"/>
        <v>2015</v>
      </c>
      <c r="T1338">
        <f t="shared" si="2"/>
        <v>8</v>
      </c>
      <c r="U1338">
        <f t="shared" si="3"/>
        <v>1</v>
      </c>
      <c r="AG1338" s="15"/>
      <c r="AH1338" s="16"/>
      <c r="AM1338" s="15"/>
      <c r="AN1338" s="16"/>
    </row>
    <row r="1339">
      <c r="A1339" s="13" t="s">
        <v>2613</v>
      </c>
      <c r="B1339" s="10">
        <v>42217.0</v>
      </c>
      <c r="C1339" s="11" t="s">
        <v>162</v>
      </c>
      <c r="D1339" s="11" t="s">
        <v>97</v>
      </c>
      <c r="E1339" s="11" t="s">
        <v>39</v>
      </c>
      <c r="F1339" s="11" t="s">
        <v>40</v>
      </c>
      <c r="G1339" s="11" t="s">
        <v>45</v>
      </c>
      <c r="H1339" s="11" t="s">
        <v>59</v>
      </c>
      <c r="I1339" s="11" t="s">
        <v>1093</v>
      </c>
      <c r="J1339" s="11">
        <v>22.0</v>
      </c>
      <c r="K1339" s="39">
        <v>42865.0</v>
      </c>
      <c r="L1339" s="11">
        <f t="shared" si="140"/>
        <v>21</v>
      </c>
      <c r="M1339" s="11">
        <v>641715.0</v>
      </c>
      <c r="N1339" s="11" t="s">
        <v>2614</v>
      </c>
      <c r="O1339" s="13"/>
      <c r="P1339" s="11">
        <v>0.0</v>
      </c>
      <c r="Q1339" s="14">
        <v>0.0</v>
      </c>
      <c r="R1339" s="11">
        <v>1.0</v>
      </c>
      <c r="S1339">
        <f t="shared" si="1"/>
        <v>2015</v>
      </c>
      <c r="T1339">
        <f t="shared" si="2"/>
        <v>8</v>
      </c>
      <c r="U1339">
        <f t="shared" si="3"/>
        <v>1</v>
      </c>
      <c r="AG1339" s="15"/>
      <c r="AH1339" s="16"/>
      <c r="AM1339" s="15"/>
      <c r="AN1339" s="16"/>
    </row>
    <row r="1340">
      <c r="A1340" s="13" t="s">
        <v>2615</v>
      </c>
      <c r="B1340" s="10">
        <v>42217.0</v>
      </c>
      <c r="C1340" s="11" t="s">
        <v>103</v>
      </c>
      <c r="D1340" s="11" t="s">
        <v>221</v>
      </c>
      <c r="E1340" s="11" t="s">
        <v>39</v>
      </c>
      <c r="F1340" s="11" t="s">
        <v>40</v>
      </c>
      <c r="G1340" s="11" t="s">
        <v>53</v>
      </c>
      <c r="H1340" s="11"/>
      <c r="I1340" s="11"/>
      <c r="J1340" s="11">
        <v>16.0</v>
      </c>
      <c r="K1340" s="39">
        <v>42912.0</v>
      </c>
      <c r="L1340" s="11">
        <f t="shared" si="140"/>
        <v>23</v>
      </c>
      <c r="M1340" s="11">
        <v>660813.0</v>
      </c>
      <c r="N1340" s="11">
        <v>20367.0</v>
      </c>
      <c r="O1340" s="13"/>
      <c r="P1340" s="11">
        <v>0.0</v>
      </c>
      <c r="Q1340" s="14">
        <v>0.0</v>
      </c>
      <c r="R1340" s="41">
        <v>1.0</v>
      </c>
      <c r="S1340">
        <f t="shared" si="1"/>
        <v>2015</v>
      </c>
      <c r="T1340">
        <f t="shared" si="2"/>
        <v>8</v>
      </c>
      <c r="U1340">
        <f t="shared" si="3"/>
        <v>1</v>
      </c>
      <c r="AG1340" s="15"/>
      <c r="AH1340" s="16"/>
      <c r="AM1340" s="15"/>
      <c r="AN1340" s="16"/>
    </row>
    <row r="1341">
      <c r="A1341" s="13" t="s">
        <v>2616</v>
      </c>
      <c r="B1341" s="10">
        <v>42216.0</v>
      </c>
      <c r="C1341" s="11" t="s">
        <v>49</v>
      </c>
      <c r="D1341" s="11" t="s">
        <v>709</v>
      </c>
      <c r="E1341" s="11" t="s">
        <v>39</v>
      </c>
      <c r="F1341" s="11" t="s">
        <v>64</v>
      </c>
      <c r="G1341" s="11" t="s">
        <v>45</v>
      </c>
      <c r="H1341" s="11" t="s">
        <v>67</v>
      </c>
      <c r="I1341" s="11"/>
      <c r="J1341" s="11">
        <v>19.0</v>
      </c>
      <c r="K1341" s="39">
        <v>42836.0</v>
      </c>
      <c r="L1341" s="11">
        <f t="shared" si="140"/>
        <v>20</v>
      </c>
      <c r="M1341" s="11">
        <v>642130.0</v>
      </c>
      <c r="N1341" s="11">
        <v>16418.0</v>
      </c>
      <c r="O1341" s="13" t="s">
        <v>1407</v>
      </c>
      <c r="P1341" s="11">
        <v>0.0</v>
      </c>
      <c r="Q1341" s="14">
        <v>0.0</v>
      </c>
      <c r="R1341" s="41">
        <v>1.0</v>
      </c>
      <c r="S1341">
        <f t="shared" si="1"/>
        <v>2015</v>
      </c>
      <c r="T1341">
        <f t="shared" si="2"/>
        <v>7</v>
      </c>
      <c r="U1341">
        <f t="shared" si="3"/>
        <v>31</v>
      </c>
      <c r="AG1341" s="15"/>
      <c r="AH1341" s="16"/>
      <c r="AM1341" s="15"/>
      <c r="AN1341" s="16"/>
    </row>
    <row r="1342">
      <c r="A1342" s="13" t="s">
        <v>2617</v>
      </c>
      <c r="B1342" s="10">
        <v>42215.0</v>
      </c>
      <c r="C1342" s="11" t="s">
        <v>101</v>
      </c>
      <c r="D1342" s="11" t="s">
        <v>213</v>
      </c>
      <c r="E1342" s="11" t="s">
        <v>39</v>
      </c>
      <c r="F1342" s="11" t="s">
        <v>40</v>
      </c>
      <c r="G1342" s="11" t="s">
        <v>45</v>
      </c>
      <c r="H1342" s="11" t="s">
        <v>59</v>
      </c>
      <c r="I1342" s="11"/>
      <c r="J1342" s="11">
        <v>18.0</v>
      </c>
      <c r="K1342" s="39">
        <v>42587.0</v>
      </c>
      <c r="L1342" s="11">
        <f t="shared" si="140"/>
        <v>12</v>
      </c>
      <c r="M1342" s="11">
        <v>663718.0</v>
      </c>
      <c r="N1342" s="11" t="s">
        <v>2618</v>
      </c>
      <c r="O1342" s="13"/>
      <c r="P1342" s="11">
        <v>0.0</v>
      </c>
      <c r="Q1342" s="14">
        <v>0.0</v>
      </c>
      <c r="R1342" s="41">
        <v>1.0</v>
      </c>
      <c r="S1342">
        <f t="shared" si="1"/>
        <v>2015</v>
      </c>
      <c r="T1342">
        <f t="shared" si="2"/>
        <v>7</v>
      </c>
      <c r="U1342">
        <f t="shared" si="3"/>
        <v>30</v>
      </c>
      <c r="AG1342" s="15"/>
      <c r="AH1342" s="16"/>
      <c r="AM1342" s="15"/>
      <c r="AN1342" s="16"/>
    </row>
    <row r="1343">
      <c r="A1343" s="13" t="s">
        <v>2619</v>
      </c>
      <c r="B1343" s="10">
        <v>42215.0</v>
      </c>
      <c r="C1343" s="11" t="s">
        <v>49</v>
      </c>
      <c r="D1343" s="11" t="s">
        <v>38</v>
      </c>
      <c r="E1343" s="11" t="s">
        <v>39</v>
      </c>
      <c r="F1343" s="11" t="s">
        <v>64</v>
      </c>
      <c r="G1343" s="11" t="s">
        <v>45</v>
      </c>
      <c r="H1343" s="11" t="s">
        <v>729</v>
      </c>
      <c r="I1343" s="11" t="s">
        <v>729</v>
      </c>
      <c r="J1343" s="11">
        <v>24.0</v>
      </c>
      <c r="K1343" s="39">
        <v>42922.0</v>
      </c>
      <c r="L1343" s="11">
        <f t="shared" si="140"/>
        <v>23</v>
      </c>
      <c r="M1343" s="11">
        <v>605333.0</v>
      </c>
      <c r="N1343" s="11">
        <v>12562.0</v>
      </c>
      <c r="O1343" s="13" t="s">
        <v>1407</v>
      </c>
      <c r="P1343" s="11">
        <v>7.0</v>
      </c>
      <c r="Q1343" s="14">
        <v>5.0</v>
      </c>
      <c r="R1343" s="41">
        <v>1.0</v>
      </c>
      <c r="S1343">
        <f t="shared" si="1"/>
        <v>2015</v>
      </c>
      <c r="T1343">
        <f t="shared" si="2"/>
        <v>7</v>
      </c>
      <c r="U1343">
        <f t="shared" si="3"/>
        <v>30</v>
      </c>
      <c r="V1343" s="17">
        <v>42350.0</v>
      </c>
      <c r="Z1343" s="17">
        <v>42543.0</v>
      </c>
      <c r="AG1343" s="15"/>
      <c r="AH1343" s="16"/>
      <c r="AM1343" s="15"/>
      <c r="AN1343" s="16"/>
    </row>
    <row r="1344">
      <c r="A1344" s="13" t="s">
        <v>2620</v>
      </c>
      <c r="B1344" s="10">
        <v>42214.0</v>
      </c>
      <c r="C1344" s="11" t="s">
        <v>138</v>
      </c>
      <c r="D1344" s="11" t="s">
        <v>97</v>
      </c>
      <c r="E1344" s="11" t="s">
        <v>39</v>
      </c>
      <c r="F1344" s="11" t="s">
        <v>64</v>
      </c>
      <c r="G1344" s="11" t="s">
        <v>45</v>
      </c>
      <c r="H1344" s="11" t="s">
        <v>73</v>
      </c>
      <c r="I1344" s="11" t="s">
        <v>2621</v>
      </c>
      <c r="J1344" s="11">
        <v>22.0</v>
      </c>
      <c r="K1344" s="39">
        <v>42851.0</v>
      </c>
      <c r="L1344" s="11">
        <f t="shared" si="140"/>
        <v>21</v>
      </c>
      <c r="M1344" s="11">
        <v>657058.0</v>
      </c>
      <c r="N1344" s="11" t="s">
        <v>2622</v>
      </c>
      <c r="O1344" s="13"/>
      <c r="P1344" s="11">
        <v>0.0</v>
      </c>
      <c r="Q1344" s="14">
        <v>0.0</v>
      </c>
      <c r="R1344" s="41">
        <v>1.0</v>
      </c>
      <c r="S1344">
        <f t="shared" si="1"/>
        <v>2015</v>
      </c>
      <c r="T1344">
        <f t="shared" si="2"/>
        <v>7</v>
      </c>
      <c r="U1344">
        <f t="shared" si="3"/>
        <v>29</v>
      </c>
      <c r="AG1344" s="15"/>
      <c r="AH1344" s="16"/>
      <c r="AM1344" s="15"/>
      <c r="AN1344" s="16"/>
    </row>
    <row r="1345">
      <c r="A1345" s="13" t="s">
        <v>2623</v>
      </c>
      <c r="B1345" s="10">
        <v>42214.0</v>
      </c>
      <c r="C1345" s="11" t="s">
        <v>156</v>
      </c>
      <c r="D1345" s="11" t="s">
        <v>709</v>
      </c>
      <c r="E1345" s="11" t="s">
        <v>39</v>
      </c>
      <c r="F1345" s="11" t="s">
        <v>64</v>
      </c>
      <c r="G1345" s="11" t="s">
        <v>45</v>
      </c>
      <c r="H1345" s="11" t="s">
        <v>56</v>
      </c>
      <c r="I1345" s="11" t="s">
        <v>2624</v>
      </c>
      <c r="J1345" s="11">
        <v>20.0</v>
      </c>
      <c r="K1345" s="39">
        <v>42610.0</v>
      </c>
      <c r="L1345" s="11">
        <f t="shared" si="140"/>
        <v>13</v>
      </c>
      <c r="M1345" s="11">
        <v>657671.0</v>
      </c>
      <c r="N1345" s="11" t="s">
        <v>2625</v>
      </c>
      <c r="O1345" s="13"/>
      <c r="P1345" s="11">
        <v>0.0</v>
      </c>
      <c r="Q1345" s="14">
        <v>0.0</v>
      </c>
      <c r="R1345" s="41">
        <v>1.0</v>
      </c>
      <c r="S1345">
        <f t="shared" si="1"/>
        <v>2015</v>
      </c>
      <c r="T1345">
        <f t="shared" si="2"/>
        <v>7</v>
      </c>
      <c r="U1345">
        <f t="shared" si="3"/>
        <v>29</v>
      </c>
      <c r="Z1345" s="17">
        <v>42581.0</v>
      </c>
      <c r="AG1345" s="15"/>
      <c r="AH1345" s="16"/>
      <c r="AM1345" s="15"/>
      <c r="AN1345" s="16"/>
    </row>
    <row r="1346">
      <c r="A1346" s="13" t="s">
        <v>2626</v>
      </c>
      <c r="B1346" s="10">
        <v>42208.0</v>
      </c>
      <c r="C1346" s="11" t="s">
        <v>346</v>
      </c>
      <c r="D1346" s="11" t="s">
        <v>97</v>
      </c>
      <c r="E1346" s="11" t="s">
        <v>39</v>
      </c>
      <c r="F1346" s="11" t="s">
        <v>64</v>
      </c>
      <c r="G1346" s="11" t="s">
        <v>45</v>
      </c>
      <c r="H1346" s="11" t="s">
        <v>67</v>
      </c>
      <c r="I1346" s="11"/>
      <c r="J1346" s="11">
        <v>20.0</v>
      </c>
      <c r="K1346" s="39">
        <v>42833.0</v>
      </c>
      <c r="L1346" s="11">
        <f t="shared" si="140"/>
        <v>21</v>
      </c>
      <c r="M1346" s="11">
        <v>642196.0</v>
      </c>
      <c r="N1346" s="11" t="s">
        <v>2627</v>
      </c>
      <c r="O1346" s="13" t="s">
        <v>2628</v>
      </c>
      <c r="P1346" s="11">
        <v>0.0</v>
      </c>
      <c r="Q1346" s="14">
        <v>0.0</v>
      </c>
      <c r="R1346" s="41">
        <v>1.0</v>
      </c>
      <c r="S1346">
        <f t="shared" si="1"/>
        <v>2015</v>
      </c>
      <c r="T1346">
        <f t="shared" si="2"/>
        <v>7</v>
      </c>
      <c r="U1346">
        <f t="shared" si="3"/>
        <v>23</v>
      </c>
      <c r="AG1346" s="15"/>
      <c r="AH1346" s="16"/>
      <c r="AM1346" s="15"/>
      <c r="AN1346" s="16"/>
    </row>
    <row r="1347">
      <c r="A1347" s="13" t="s">
        <v>2629</v>
      </c>
      <c r="B1347" s="10">
        <v>42208.0</v>
      </c>
      <c r="C1347" s="11" t="s">
        <v>156</v>
      </c>
      <c r="D1347" s="11" t="s">
        <v>213</v>
      </c>
      <c r="E1347" s="11" t="s">
        <v>104</v>
      </c>
      <c r="F1347" s="11" t="s">
        <v>40</v>
      </c>
      <c r="G1347" s="11" t="s">
        <v>45</v>
      </c>
      <c r="H1347" s="11" t="s">
        <v>67</v>
      </c>
      <c r="I1347" s="11"/>
      <c r="J1347" s="11">
        <v>18.0</v>
      </c>
      <c r="K1347" s="39">
        <v>42545.0</v>
      </c>
      <c r="L1347" s="11">
        <f t="shared" si="140"/>
        <v>11</v>
      </c>
      <c r="M1347" s="11">
        <v>663341.0</v>
      </c>
      <c r="N1347" s="11" t="s">
        <v>2630</v>
      </c>
      <c r="O1347" s="13" t="s">
        <v>761</v>
      </c>
      <c r="P1347" s="11">
        <v>0.0</v>
      </c>
      <c r="Q1347" s="14">
        <v>0.0</v>
      </c>
      <c r="R1347" s="41">
        <v>1.0</v>
      </c>
      <c r="S1347">
        <f t="shared" si="1"/>
        <v>2015</v>
      </c>
      <c r="T1347">
        <f t="shared" si="2"/>
        <v>7</v>
      </c>
      <c r="U1347">
        <f t="shared" si="3"/>
        <v>23</v>
      </c>
      <c r="AG1347" s="15"/>
      <c r="AH1347" s="16"/>
      <c r="AM1347" s="15"/>
      <c r="AN1347" s="16"/>
    </row>
    <row r="1348">
      <c r="A1348" s="13" t="s">
        <v>2631</v>
      </c>
      <c r="B1348" s="10">
        <v>42206.0</v>
      </c>
      <c r="C1348" s="11" t="s">
        <v>162</v>
      </c>
      <c r="D1348" s="11" t="s">
        <v>97</v>
      </c>
      <c r="E1348" s="11" t="s">
        <v>39</v>
      </c>
      <c r="F1348" s="11" t="s">
        <v>40</v>
      </c>
      <c r="G1348" s="11" t="s">
        <v>45</v>
      </c>
      <c r="H1348" s="11" t="s">
        <v>59</v>
      </c>
      <c r="I1348" s="11"/>
      <c r="J1348" s="11">
        <v>20.0</v>
      </c>
      <c r="K1348" s="39">
        <v>42885.0</v>
      </c>
      <c r="L1348" s="11">
        <f t="shared" si="140"/>
        <v>22</v>
      </c>
      <c r="M1348" s="11">
        <v>641316.0</v>
      </c>
      <c r="N1348" s="11" t="s">
        <v>2632</v>
      </c>
      <c r="O1348" s="13"/>
      <c r="P1348" s="11">
        <v>0.0</v>
      </c>
      <c r="Q1348" s="14">
        <v>0.0</v>
      </c>
      <c r="R1348" s="11">
        <v>1.0</v>
      </c>
      <c r="S1348">
        <f t="shared" si="1"/>
        <v>2015</v>
      </c>
      <c r="T1348">
        <f t="shared" si="2"/>
        <v>7</v>
      </c>
      <c r="U1348">
        <f t="shared" si="3"/>
        <v>21</v>
      </c>
      <c r="AG1348" s="15"/>
      <c r="AH1348" s="16"/>
      <c r="AM1348" s="15"/>
      <c r="AN1348" s="16"/>
    </row>
    <row r="1349">
      <c r="A1349" s="13" t="s">
        <v>2633</v>
      </c>
      <c r="B1349" s="10">
        <v>42201.0</v>
      </c>
      <c r="C1349" s="11" t="s">
        <v>143</v>
      </c>
      <c r="D1349" s="11" t="s">
        <v>93</v>
      </c>
      <c r="E1349" s="11" t="s">
        <v>39</v>
      </c>
      <c r="F1349" s="11" t="s">
        <v>40</v>
      </c>
      <c r="G1349" s="11" t="s">
        <v>45</v>
      </c>
      <c r="H1349" s="11" t="s">
        <v>73</v>
      </c>
      <c r="I1349" s="11" t="s">
        <v>735</v>
      </c>
      <c r="J1349" s="11">
        <v>21.0</v>
      </c>
      <c r="K1349" s="39">
        <v>42886.0</v>
      </c>
      <c r="L1349" s="11">
        <f t="shared" si="140"/>
        <v>23</v>
      </c>
      <c r="M1349" s="11">
        <v>608341.0</v>
      </c>
      <c r="N1349" s="11" t="s">
        <v>2634</v>
      </c>
      <c r="O1349" s="13"/>
      <c r="P1349" s="11">
        <v>0.0</v>
      </c>
      <c r="Q1349" s="14">
        <v>0.0</v>
      </c>
      <c r="R1349" s="41">
        <v>1.0</v>
      </c>
      <c r="S1349">
        <f t="shared" si="1"/>
        <v>2015</v>
      </c>
      <c r="T1349">
        <f t="shared" si="2"/>
        <v>7</v>
      </c>
      <c r="U1349">
        <f t="shared" si="3"/>
        <v>16</v>
      </c>
      <c r="Z1349" s="17">
        <v>42833.0</v>
      </c>
      <c r="AG1349" s="15"/>
      <c r="AH1349" s="16"/>
      <c r="AM1349" s="15"/>
      <c r="AN1349" s="16"/>
    </row>
    <row r="1350">
      <c r="A1350" s="13" t="s">
        <v>2635</v>
      </c>
      <c r="B1350" s="10">
        <v>42200.0</v>
      </c>
      <c r="C1350" s="11" t="s">
        <v>143</v>
      </c>
      <c r="D1350" s="11" t="s">
        <v>221</v>
      </c>
      <c r="E1350" s="11" t="s">
        <v>39</v>
      </c>
      <c r="F1350" s="11" t="s">
        <v>40</v>
      </c>
      <c r="G1350" s="11" t="s">
        <v>45</v>
      </c>
      <c r="H1350" s="11" t="s">
        <v>67</v>
      </c>
      <c r="I1350" s="11" t="s">
        <v>375</v>
      </c>
      <c r="J1350" s="11">
        <v>24.0</v>
      </c>
      <c r="K1350" s="12">
        <v>42585.0</v>
      </c>
      <c r="L1350" s="11">
        <f t="shared" si="140"/>
        <v>13</v>
      </c>
      <c r="M1350" s="11">
        <v>657596.0</v>
      </c>
      <c r="N1350" s="11" t="s">
        <v>2636</v>
      </c>
      <c r="O1350" s="13"/>
      <c r="P1350" s="11">
        <v>0.0</v>
      </c>
      <c r="Q1350" s="14">
        <v>0.0</v>
      </c>
      <c r="R1350" s="41">
        <v>1.0</v>
      </c>
      <c r="S1350">
        <f t="shared" si="1"/>
        <v>2015</v>
      </c>
      <c r="T1350">
        <f t="shared" si="2"/>
        <v>7</v>
      </c>
      <c r="U1350">
        <f t="shared" si="3"/>
        <v>15</v>
      </c>
      <c r="AG1350" s="15"/>
      <c r="AH1350" s="16"/>
      <c r="AM1350" s="15"/>
      <c r="AN1350" s="16"/>
    </row>
    <row r="1351">
      <c r="A1351" s="13" t="s">
        <v>2637</v>
      </c>
      <c r="B1351" s="10">
        <v>42200.0</v>
      </c>
      <c r="C1351" s="11" t="s">
        <v>346</v>
      </c>
      <c r="D1351" s="11" t="s">
        <v>88</v>
      </c>
      <c r="E1351" s="11" t="s">
        <v>39</v>
      </c>
      <c r="F1351" s="11" t="s">
        <v>40</v>
      </c>
      <c r="G1351" s="11" t="s">
        <v>45</v>
      </c>
      <c r="H1351" s="11" t="s">
        <v>56</v>
      </c>
      <c r="I1351" s="11" t="s">
        <v>294</v>
      </c>
      <c r="J1351" s="11">
        <v>25.0</v>
      </c>
      <c r="K1351" s="12"/>
      <c r="L1351" s="30"/>
      <c r="M1351" s="11">
        <v>643546.0</v>
      </c>
      <c r="N1351" s="11" t="s">
        <v>2638</v>
      </c>
      <c r="O1351" s="13" t="s">
        <v>42</v>
      </c>
      <c r="P1351" s="11">
        <v>0.0</v>
      </c>
      <c r="Q1351" s="14">
        <v>0.0</v>
      </c>
      <c r="R1351" s="11">
        <v>0.0</v>
      </c>
      <c r="S1351">
        <f t="shared" si="1"/>
        <v>2015</v>
      </c>
      <c r="T1351">
        <f t="shared" si="2"/>
        <v>7</v>
      </c>
      <c r="U1351">
        <f t="shared" si="3"/>
        <v>15</v>
      </c>
      <c r="AG1351" s="15"/>
      <c r="AH1351" s="16"/>
      <c r="AM1351" s="15"/>
      <c r="AN1351" s="16"/>
    </row>
    <row r="1352">
      <c r="A1352" s="19" t="s">
        <v>2639</v>
      </c>
      <c r="B1352" s="20">
        <v>42200.0</v>
      </c>
      <c r="C1352" s="21" t="s">
        <v>55</v>
      </c>
      <c r="D1352" s="21" t="s">
        <v>93</v>
      </c>
      <c r="E1352" s="21" t="s">
        <v>39</v>
      </c>
      <c r="F1352" s="21" t="s">
        <v>40</v>
      </c>
      <c r="G1352" s="21" t="s">
        <v>45</v>
      </c>
      <c r="H1352" s="21" t="s">
        <v>119</v>
      </c>
      <c r="I1352" s="21" t="s">
        <v>2640</v>
      </c>
      <c r="J1352" s="21">
        <v>20.0</v>
      </c>
      <c r="K1352" s="44">
        <v>43269.0</v>
      </c>
      <c r="L1352" s="19"/>
      <c r="M1352" s="21">
        <v>682447.0</v>
      </c>
      <c r="N1352" s="21" t="s">
        <v>2641</v>
      </c>
      <c r="O1352" s="19" t="s">
        <v>2642</v>
      </c>
      <c r="P1352" s="21">
        <v>0.0</v>
      </c>
      <c r="Q1352" s="23">
        <v>0.0</v>
      </c>
      <c r="R1352" s="21">
        <v>1.0</v>
      </c>
      <c r="S1352" s="33">
        <f t="shared" si="1"/>
        <v>2015</v>
      </c>
      <c r="T1352" s="33">
        <f t="shared" si="2"/>
        <v>7</v>
      </c>
      <c r="U1352" s="33">
        <f t="shared" si="3"/>
        <v>15</v>
      </c>
      <c r="V1352" s="24"/>
      <c r="W1352" s="24"/>
      <c r="X1352" s="24"/>
      <c r="Y1352" s="24"/>
      <c r="Z1352" s="40"/>
      <c r="AA1352" s="24"/>
      <c r="AB1352" s="24"/>
      <c r="AC1352" s="24"/>
      <c r="AD1352" s="24"/>
      <c r="AE1352" s="24"/>
      <c r="AF1352" s="24"/>
      <c r="AG1352" s="26"/>
      <c r="AH1352" s="27"/>
      <c r="AI1352" s="24"/>
      <c r="AJ1352" s="24"/>
      <c r="AK1352" s="24"/>
      <c r="AL1352" s="24"/>
      <c r="AM1352" s="26"/>
      <c r="AN1352" s="27"/>
      <c r="AO1352" s="24"/>
      <c r="AP1352" s="24"/>
    </row>
    <row r="1353">
      <c r="A1353" s="13" t="s">
        <v>2643</v>
      </c>
      <c r="B1353" s="10">
        <v>42199.0</v>
      </c>
      <c r="C1353" s="11" t="s">
        <v>37</v>
      </c>
      <c r="D1353" s="11" t="s">
        <v>38</v>
      </c>
      <c r="E1353" s="11" t="s">
        <v>118</v>
      </c>
      <c r="F1353" s="11" t="s">
        <v>40</v>
      </c>
      <c r="G1353" s="11" t="s">
        <v>45</v>
      </c>
      <c r="H1353" s="11" t="s">
        <v>109</v>
      </c>
      <c r="I1353" s="11" t="s">
        <v>2644</v>
      </c>
      <c r="J1353" s="11">
        <v>35.0</v>
      </c>
      <c r="K1353" s="39">
        <v>42557.0</v>
      </c>
      <c r="L1353" s="11">
        <f>ROUND(((K1353-B1353)/365)*12,0)</f>
        <v>12</v>
      </c>
      <c r="M1353" s="11">
        <v>430603.0</v>
      </c>
      <c r="N1353" s="11">
        <v>2216.0</v>
      </c>
      <c r="O1353" s="13" t="s">
        <v>761</v>
      </c>
      <c r="P1353" s="11">
        <v>13.0</v>
      </c>
      <c r="Q1353" s="14">
        <v>30.0</v>
      </c>
      <c r="R1353" s="41">
        <v>1.0</v>
      </c>
      <c r="S1353">
        <f t="shared" si="1"/>
        <v>2015</v>
      </c>
      <c r="T1353">
        <f t="shared" si="2"/>
        <v>7</v>
      </c>
      <c r="U1353">
        <f t="shared" si="3"/>
        <v>14</v>
      </c>
      <c r="Z1353" s="17">
        <v>42467.0</v>
      </c>
      <c r="AG1353" s="15"/>
      <c r="AH1353" s="16"/>
      <c r="AM1353" s="15"/>
      <c r="AN1353" s="16"/>
    </row>
    <row r="1354">
      <c r="A1354" s="13" t="s">
        <v>2645</v>
      </c>
      <c r="B1354" s="10">
        <v>42186.0</v>
      </c>
      <c r="C1354" s="11" t="s">
        <v>101</v>
      </c>
      <c r="D1354" s="11" t="s">
        <v>93</v>
      </c>
      <c r="E1354" s="11" t="s">
        <v>660</v>
      </c>
      <c r="F1354" s="11" t="s">
        <v>64</v>
      </c>
      <c r="G1354" s="11" t="s">
        <v>45</v>
      </c>
      <c r="H1354" s="11" t="s">
        <v>84</v>
      </c>
      <c r="I1354" s="11" t="s">
        <v>46</v>
      </c>
      <c r="J1354" s="11">
        <v>19.0</v>
      </c>
      <c r="K1354" s="12">
        <v>42909.0</v>
      </c>
      <c r="L1354" s="11"/>
      <c r="M1354" s="11">
        <v>656976.0</v>
      </c>
      <c r="N1354" s="11">
        <v>19892.0</v>
      </c>
      <c r="O1354" s="13"/>
      <c r="P1354" s="11">
        <v>0.0</v>
      </c>
      <c r="Q1354" s="14">
        <v>0.0</v>
      </c>
      <c r="R1354" s="11">
        <v>1.0</v>
      </c>
      <c r="S1354">
        <f t="shared" si="1"/>
        <v>2015</v>
      </c>
      <c r="T1354">
        <f t="shared" si="2"/>
        <v>7</v>
      </c>
      <c r="U1354">
        <f t="shared" si="3"/>
        <v>1</v>
      </c>
      <c r="AG1354" s="15"/>
      <c r="AH1354" s="16"/>
      <c r="AM1354" s="15"/>
      <c r="AN1354" s="16"/>
    </row>
    <row r="1355">
      <c r="A1355" s="13" t="s">
        <v>2646</v>
      </c>
      <c r="B1355" s="17">
        <v>42186.0</v>
      </c>
      <c r="C1355" s="11" t="s">
        <v>167</v>
      </c>
      <c r="D1355" s="11" t="s">
        <v>213</v>
      </c>
      <c r="E1355" s="11" t="s">
        <v>39</v>
      </c>
      <c r="F1355" s="11" t="s">
        <v>40</v>
      </c>
      <c r="G1355" s="11" t="s">
        <v>45</v>
      </c>
      <c r="H1355" s="11" t="s">
        <v>729</v>
      </c>
      <c r="I1355" s="11" t="s">
        <v>645</v>
      </c>
      <c r="J1355" s="11">
        <v>18.0</v>
      </c>
      <c r="K1355" s="39">
        <v>43652.0</v>
      </c>
      <c r="L1355" s="11"/>
      <c r="M1355" s="11">
        <v>674937.0</v>
      </c>
      <c r="N1355" s="11" t="s">
        <v>2647</v>
      </c>
      <c r="O1355" s="13"/>
      <c r="P1355" s="11">
        <v>0.0</v>
      </c>
      <c r="Q1355" s="14">
        <v>0.0</v>
      </c>
      <c r="R1355" s="11">
        <v>1.0</v>
      </c>
      <c r="S1355">
        <f t="shared" si="1"/>
        <v>2015</v>
      </c>
      <c r="T1355">
        <f t="shared" si="2"/>
        <v>7</v>
      </c>
      <c r="U1355">
        <f t="shared" si="3"/>
        <v>1</v>
      </c>
      <c r="AG1355" s="15"/>
      <c r="AH1355" s="16"/>
      <c r="AM1355" s="15"/>
      <c r="AN1355" s="16"/>
    </row>
    <row r="1356">
      <c r="A1356" s="13" t="s">
        <v>2648</v>
      </c>
      <c r="B1356" s="10">
        <v>42186.0</v>
      </c>
      <c r="C1356" s="11" t="s">
        <v>162</v>
      </c>
      <c r="D1356" s="11" t="s">
        <v>77</v>
      </c>
      <c r="E1356" s="11" t="s">
        <v>39</v>
      </c>
      <c r="F1356" s="11" t="s">
        <v>40</v>
      </c>
      <c r="G1356" s="11" t="s">
        <v>45</v>
      </c>
      <c r="H1356" s="11" t="s">
        <v>139</v>
      </c>
      <c r="I1356" s="11" t="s">
        <v>140</v>
      </c>
      <c r="J1356" s="11">
        <v>27.0</v>
      </c>
      <c r="K1356" s="39">
        <v>42847.0</v>
      </c>
      <c r="L1356" s="11">
        <f t="shared" ref="L1356:L1357" si="141">ROUND(((K1356-B1356)/365)*12,0)</f>
        <v>22</v>
      </c>
      <c r="M1356" s="11">
        <v>543023.0</v>
      </c>
      <c r="N1356" s="11">
        <v>10332.0</v>
      </c>
      <c r="O1356" s="13"/>
      <c r="P1356" s="11">
        <v>0.0</v>
      </c>
      <c r="Q1356" s="14">
        <v>0.0</v>
      </c>
      <c r="R1356" s="11">
        <v>1.0</v>
      </c>
      <c r="S1356">
        <f t="shared" si="1"/>
        <v>2015</v>
      </c>
      <c r="T1356">
        <f t="shared" si="2"/>
        <v>7</v>
      </c>
      <c r="U1356">
        <f t="shared" si="3"/>
        <v>1</v>
      </c>
      <c r="AG1356" s="15"/>
      <c r="AH1356" s="16"/>
      <c r="AM1356" s="15"/>
      <c r="AN1356" s="16"/>
    </row>
    <row r="1357">
      <c r="A1357" s="13" t="s">
        <v>2649</v>
      </c>
      <c r="B1357" s="10">
        <v>42186.0</v>
      </c>
      <c r="C1357" s="11" t="s">
        <v>358</v>
      </c>
      <c r="D1357" s="11" t="s">
        <v>77</v>
      </c>
      <c r="E1357" s="11" t="s">
        <v>39</v>
      </c>
      <c r="F1357" s="11" t="s">
        <v>40</v>
      </c>
      <c r="G1357" s="11" t="s">
        <v>45</v>
      </c>
      <c r="H1357" s="11" t="s">
        <v>56</v>
      </c>
      <c r="I1357" s="11" t="s">
        <v>2650</v>
      </c>
      <c r="J1357" s="11">
        <v>23.0</v>
      </c>
      <c r="K1357" s="39">
        <v>42601.0</v>
      </c>
      <c r="L1357" s="11">
        <f t="shared" si="141"/>
        <v>14</v>
      </c>
      <c r="M1357" s="11">
        <v>642098.0</v>
      </c>
      <c r="N1357" s="11">
        <v>15200.0</v>
      </c>
      <c r="O1357" s="13"/>
      <c r="P1357" s="11">
        <v>2.0</v>
      </c>
      <c r="Q1357" s="14">
        <v>1.0</v>
      </c>
      <c r="R1357" s="41">
        <v>1.0</v>
      </c>
      <c r="S1357">
        <f t="shared" si="1"/>
        <v>2015</v>
      </c>
      <c r="T1357">
        <f t="shared" si="2"/>
        <v>7</v>
      </c>
      <c r="U1357">
        <f t="shared" si="3"/>
        <v>1</v>
      </c>
      <c r="AG1357" s="15"/>
      <c r="AH1357" s="16"/>
      <c r="AM1357" s="15"/>
      <c r="AN1357" s="16"/>
    </row>
    <row r="1358">
      <c r="A1358" s="13" t="s">
        <v>2651</v>
      </c>
      <c r="B1358" s="10">
        <v>42186.0</v>
      </c>
      <c r="C1358" s="11" t="s">
        <v>108</v>
      </c>
      <c r="D1358" s="11" t="s">
        <v>38</v>
      </c>
      <c r="E1358" s="11" t="s">
        <v>39</v>
      </c>
      <c r="F1358" s="11" t="s">
        <v>40</v>
      </c>
      <c r="G1358" s="11" t="s">
        <v>45</v>
      </c>
      <c r="H1358" s="11" t="s">
        <v>67</v>
      </c>
      <c r="I1358" s="11"/>
      <c r="J1358" s="11">
        <v>31.0</v>
      </c>
      <c r="K1358" s="30"/>
      <c r="L1358" s="30"/>
      <c r="M1358" s="11">
        <v>435045.0</v>
      </c>
      <c r="N1358" s="11">
        <v>4734.0</v>
      </c>
      <c r="O1358" s="13" t="s">
        <v>494</v>
      </c>
      <c r="P1358" s="11">
        <v>0.0</v>
      </c>
      <c r="Q1358" s="14">
        <v>0.0</v>
      </c>
      <c r="R1358" s="11">
        <v>0.0</v>
      </c>
      <c r="S1358">
        <f t="shared" si="1"/>
        <v>2015</v>
      </c>
      <c r="T1358">
        <f t="shared" si="2"/>
        <v>7</v>
      </c>
      <c r="U1358">
        <f t="shared" si="3"/>
        <v>1</v>
      </c>
      <c r="AG1358" s="15"/>
      <c r="AH1358" s="16"/>
      <c r="AM1358" s="15"/>
      <c r="AN1358" s="16"/>
    </row>
    <row r="1359">
      <c r="A1359" s="13" t="s">
        <v>2652</v>
      </c>
      <c r="B1359" s="10">
        <v>42186.0</v>
      </c>
      <c r="C1359" s="11" t="s">
        <v>362</v>
      </c>
      <c r="D1359" s="11" t="s">
        <v>221</v>
      </c>
      <c r="E1359" s="11" t="s">
        <v>39</v>
      </c>
      <c r="F1359" s="11" t="s">
        <v>40</v>
      </c>
      <c r="G1359" s="11" t="s">
        <v>45</v>
      </c>
      <c r="H1359" s="11" t="s">
        <v>159</v>
      </c>
      <c r="I1359" s="11" t="s">
        <v>2653</v>
      </c>
      <c r="J1359" s="11">
        <v>19.0</v>
      </c>
      <c r="K1359" s="39">
        <v>42585.0</v>
      </c>
      <c r="L1359" s="11">
        <f t="shared" ref="L1359:L1360" si="142">ROUND(((K1359-B1359)/365)*12,0)</f>
        <v>13</v>
      </c>
      <c r="M1359" s="11">
        <v>663995.0</v>
      </c>
      <c r="N1359" s="11" t="s">
        <v>2654</v>
      </c>
      <c r="O1359" s="13"/>
      <c r="P1359" s="11">
        <v>0.0</v>
      </c>
      <c r="Q1359" s="14">
        <v>0.0</v>
      </c>
      <c r="R1359" s="41">
        <v>1.0</v>
      </c>
      <c r="S1359">
        <f t="shared" si="1"/>
        <v>2015</v>
      </c>
      <c r="T1359">
        <f t="shared" si="2"/>
        <v>7</v>
      </c>
      <c r="U1359">
        <f t="shared" si="3"/>
        <v>1</v>
      </c>
      <c r="AG1359" s="15"/>
      <c r="AH1359" s="16"/>
      <c r="AM1359" s="15"/>
      <c r="AN1359" s="16"/>
    </row>
    <row r="1360">
      <c r="A1360" s="13" t="s">
        <v>2655</v>
      </c>
      <c r="B1360" s="10">
        <v>42184.0</v>
      </c>
      <c r="C1360" s="11" t="s">
        <v>186</v>
      </c>
      <c r="D1360" s="11" t="s">
        <v>97</v>
      </c>
      <c r="E1360" s="11" t="s">
        <v>104</v>
      </c>
      <c r="F1360" s="11" t="s">
        <v>40</v>
      </c>
      <c r="G1360" s="11" t="s">
        <v>45</v>
      </c>
      <c r="H1360" s="11" t="s">
        <v>67</v>
      </c>
      <c r="I1360" s="11" t="s">
        <v>265</v>
      </c>
      <c r="J1360" s="11">
        <v>20.0</v>
      </c>
      <c r="K1360" s="12">
        <v>42503.0</v>
      </c>
      <c r="L1360" s="11">
        <f t="shared" si="142"/>
        <v>10</v>
      </c>
      <c r="M1360" s="11">
        <v>621522.0</v>
      </c>
      <c r="N1360" s="11" t="s">
        <v>2656</v>
      </c>
      <c r="O1360" s="13"/>
      <c r="P1360" s="11">
        <v>0.0</v>
      </c>
      <c r="Q1360" s="14">
        <v>0.0</v>
      </c>
      <c r="R1360" s="41">
        <v>1.0</v>
      </c>
      <c r="S1360">
        <f t="shared" si="1"/>
        <v>2015</v>
      </c>
      <c r="T1360">
        <f t="shared" si="2"/>
        <v>6</v>
      </c>
      <c r="U1360">
        <f t="shared" si="3"/>
        <v>29</v>
      </c>
      <c r="AG1360" s="15"/>
      <c r="AH1360" s="16"/>
      <c r="AM1360" s="15"/>
      <c r="AN1360" s="16"/>
    </row>
    <row r="1361">
      <c r="A1361" s="13" t="s">
        <v>2657</v>
      </c>
      <c r="B1361" s="10">
        <v>42179.0</v>
      </c>
      <c r="C1361" s="11" t="s">
        <v>62</v>
      </c>
      <c r="D1361" s="11" t="s">
        <v>88</v>
      </c>
      <c r="E1361" s="11" t="s">
        <v>39</v>
      </c>
      <c r="F1361" s="11" t="s">
        <v>40</v>
      </c>
      <c r="G1361" s="11" t="s">
        <v>45</v>
      </c>
      <c r="H1361" s="11" t="s">
        <v>67</v>
      </c>
      <c r="I1361" s="11" t="s">
        <v>190</v>
      </c>
      <c r="J1361" s="11">
        <v>23.0</v>
      </c>
      <c r="K1361" s="30"/>
      <c r="L1361" s="30"/>
      <c r="M1361" s="11">
        <v>594589.0</v>
      </c>
      <c r="N1361" s="11" t="s">
        <v>2658</v>
      </c>
      <c r="O1361" s="13" t="s">
        <v>69</v>
      </c>
      <c r="P1361" s="11">
        <v>0.0</v>
      </c>
      <c r="Q1361" s="14">
        <v>0.0</v>
      </c>
      <c r="R1361" s="11">
        <v>0.0</v>
      </c>
      <c r="S1361">
        <f t="shared" si="1"/>
        <v>2015</v>
      </c>
      <c r="T1361">
        <f t="shared" si="2"/>
        <v>6</v>
      </c>
      <c r="U1361">
        <f t="shared" si="3"/>
        <v>24</v>
      </c>
      <c r="AG1361" s="15"/>
      <c r="AH1361" s="16"/>
      <c r="AM1361" s="15"/>
      <c r="AN1361" s="16"/>
    </row>
    <row r="1362">
      <c r="A1362" s="48" t="s">
        <v>2659</v>
      </c>
      <c r="B1362" s="10">
        <v>42178.0</v>
      </c>
      <c r="C1362" s="11" t="s">
        <v>167</v>
      </c>
      <c r="D1362" s="11" t="s">
        <v>93</v>
      </c>
      <c r="E1362" s="11" t="s">
        <v>39</v>
      </c>
      <c r="F1362" s="11" t="s">
        <v>40</v>
      </c>
      <c r="G1362" s="11" t="s">
        <v>45</v>
      </c>
      <c r="H1362" s="11" t="s">
        <v>243</v>
      </c>
      <c r="I1362" s="11" t="s">
        <v>654</v>
      </c>
      <c r="J1362" s="11">
        <v>20.0</v>
      </c>
      <c r="K1362" s="39">
        <v>42942.0</v>
      </c>
      <c r="L1362" s="11"/>
      <c r="M1362" s="11">
        <v>624522.0</v>
      </c>
      <c r="N1362" s="11">
        <v>19795.0</v>
      </c>
      <c r="O1362" s="13"/>
      <c r="P1362" s="11">
        <v>0.0</v>
      </c>
      <c r="Q1362" s="14">
        <v>0.0</v>
      </c>
      <c r="R1362" s="11">
        <v>1.0</v>
      </c>
      <c r="S1362">
        <f t="shared" si="1"/>
        <v>2015</v>
      </c>
      <c r="T1362">
        <f t="shared" si="2"/>
        <v>6</v>
      </c>
      <c r="U1362">
        <f t="shared" si="3"/>
        <v>23</v>
      </c>
      <c r="AG1362" s="15"/>
      <c r="AH1362" s="16"/>
      <c r="AM1362" s="15"/>
      <c r="AN1362" s="16"/>
    </row>
    <row r="1363">
      <c r="A1363" s="13" t="s">
        <v>2660</v>
      </c>
      <c r="B1363" s="10">
        <v>42173.0</v>
      </c>
      <c r="C1363" s="11" t="s">
        <v>143</v>
      </c>
      <c r="D1363" s="11" t="s">
        <v>88</v>
      </c>
      <c r="E1363" s="11" t="s">
        <v>39</v>
      </c>
      <c r="F1363" s="11" t="s">
        <v>64</v>
      </c>
      <c r="G1363" s="11" t="s">
        <v>45</v>
      </c>
      <c r="H1363" s="11" t="s">
        <v>451</v>
      </c>
      <c r="I1363" s="11" t="s">
        <v>179</v>
      </c>
      <c r="J1363" s="11">
        <v>21.0</v>
      </c>
      <c r="K1363" s="39">
        <v>42832.0</v>
      </c>
      <c r="L1363" s="11">
        <f t="shared" ref="L1363:L1364" si="143">ROUND(((K1363-B1363)/365)*12,0)</f>
        <v>22</v>
      </c>
      <c r="M1363" s="11">
        <v>605240.0</v>
      </c>
      <c r="N1363" s="11">
        <v>16159.0</v>
      </c>
      <c r="O1363" s="13"/>
      <c r="P1363" s="11">
        <v>11.0</v>
      </c>
      <c r="Q1363" s="14">
        <v>6.667</v>
      </c>
      <c r="R1363" s="41">
        <v>1.0</v>
      </c>
      <c r="S1363">
        <f t="shared" si="1"/>
        <v>2015</v>
      </c>
      <c r="T1363">
        <f t="shared" si="2"/>
        <v>6</v>
      </c>
      <c r="U1363">
        <f t="shared" si="3"/>
        <v>18</v>
      </c>
      <c r="AG1363" s="15"/>
      <c r="AH1363" s="16"/>
      <c r="AM1363" s="15"/>
      <c r="AN1363" s="16"/>
    </row>
    <row r="1364">
      <c r="A1364" s="13" t="s">
        <v>1808</v>
      </c>
      <c r="B1364" s="10">
        <v>42172.0</v>
      </c>
      <c r="C1364" s="11" t="s">
        <v>44</v>
      </c>
      <c r="D1364" s="11" t="s">
        <v>221</v>
      </c>
      <c r="E1364" s="11" t="s">
        <v>39</v>
      </c>
      <c r="F1364" s="11" t="s">
        <v>40</v>
      </c>
      <c r="G1364" s="11" t="s">
        <v>45</v>
      </c>
      <c r="H1364" s="11" t="s">
        <v>67</v>
      </c>
      <c r="I1364" s="11"/>
      <c r="J1364" s="11">
        <v>19.0</v>
      </c>
      <c r="K1364" s="39">
        <v>42906.0</v>
      </c>
      <c r="L1364" s="11">
        <f t="shared" si="143"/>
        <v>24</v>
      </c>
      <c r="M1364" s="11">
        <v>656545.0</v>
      </c>
      <c r="N1364" s="11" t="s">
        <v>1809</v>
      </c>
      <c r="O1364" s="13"/>
      <c r="P1364" s="11">
        <v>0.0</v>
      </c>
      <c r="Q1364" s="14">
        <v>0.0</v>
      </c>
      <c r="R1364" s="41">
        <v>1.0</v>
      </c>
      <c r="S1364">
        <f t="shared" si="1"/>
        <v>2015</v>
      </c>
      <c r="T1364">
        <f t="shared" si="2"/>
        <v>6</v>
      </c>
      <c r="U1364">
        <f t="shared" si="3"/>
        <v>17</v>
      </c>
      <c r="AG1364" s="15"/>
      <c r="AH1364" s="16"/>
      <c r="AM1364" s="15"/>
      <c r="AN1364" s="16"/>
    </row>
    <row r="1365">
      <c r="A1365" s="13" t="s">
        <v>2661</v>
      </c>
      <c r="B1365" s="10">
        <v>42172.0</v>
      </c>
      <c r="C1365" s="11" t="s">
        <v>44</v>
      </c>
      <c r="D1365" s="11" t="s">
        <v>221</v>
      </c>
      <c r="E1365" s="11" t="s">
        <v>39</v>
      </c>
      <c r="F1365" s="11" t="s">
        <v>40</v>
      </c>
      <c r="G1365" s="11" t="s">
        <v>45</v>
      </c>
      <c r="H1365" s="11" t="s">
        <v>317</v>
      </c>
      <c r="I1365" s="11" t="s">
        <v>2662</v>
      </c>
      <c r="J1365" s="11">
        <v>22.0</v>
      </c>
      <c r="K1365" s="30"/>
      <c r="L1365" s="30"/>
      <c r="M1365" s="11">
        <v>607193.0</v>
      </c>
      <c r="N1365" s="11" t="s">
        <v>2663</v>
      </c>
      <c r="O1365" s="13"/>
      <c r="P1365" s="11">
        <v>0.0</v>
      </c>
      <c r="Q1365" s="14">
        <v>0.0</v>
      </c>
      <c r="R1365" s="11">
        <v>0.0</v>
      </c>
      <c r="S1365">
        <f t="shared" si="1"/>
        <v>2015</v>
      </c>
      <c r="T1365">
        <f t="shared" si="2"/>
        <v>6</v>
      </c>
      <c r="U1365">
        <f t="shared" si="3"/>
        <v>17</v>
      </c>
      <c r="AG1365" s="15"/>
      <c r="AH1365" s="16"/>
      <c r="AM1365" s="15"/>
      <c r="AN1365" s="16"/>
    </row>
    <row r="1366">
      <c r="A1366" s="13" t="s">
        <v>2664</v>
      </c>
      <c r="B1366" s="17">
        <v>42172.0</v>
      </c>
      <c r="C1366" s="11" t="s">
        <v>52</v>
      </c>
      <c r="D1366" s="11" t="s">
        <v>213</v>
      </c>
      <c r="E1366" s="11" t="s">
        <v>39</v>
      </c>
      <c r="F1366" s="11" t="s">
        <v>40</v>
      </c>
      <c r="G1366" s="11" t="s">
        <v>45</v>
      </c>
      <c r="H1366" s="11" t="s">
        <v>236</v>
      </c>
      <c r="I1366" s="11" t="s">
        <v>140</v>
      </c>
      <c r="J1366" s="11">
        <v>16.0</v>
      </c>
      <c r="K1366" s="39">
        <v>44323.0</v>
      </c>
      <c r="L1366" s="11"/>
      <c r="M1366" s="11">
        <v>675973.0</v>
      </c>
      <c r="N1366" s="11" t="s">
        <v>2665</v>
      </c>
      <c r="O1366" s="13"/>
      <c r="P1366" s="11">
        <v>0.0</v>
      </c>
      <c r="Q1366" s="14">
        <v>0.0</v>
      </c>
      <c r="R1366" s="11">
        <v>1.0</v>
      </c>
      <c r="S1366">
        <f t="shared" si="1"/>
        <v>2015</v>
      </c>
      <c r="T1366">
        <f t="shared" si="2"/>
        <v>6</v>
      </c>
      <c r="U1366">
        <f t="shared" si="3"/>
        <v>17</v>
      </c>
      <c r="AG1366" s="15"/>
      <c r="AH1366" s="16"/>
      <c r="AM1366" s="15"/>
      <c r="AN1366" s="16"/>
    </row>
    <row r="1367">
      <c r="A1367" s="13" t="s">
        <v>2666</v>
      </c>
      <c r="B1367" s="10">
        <v>42171.0</v>
      </c>
      <c r="C1367" s="11" t="s">
        <v>192</v>
      </c>
      <c r="D1367" s="11" t="s">
        <v>221</v>
      </c>
      <c r="E1367" s="11" t="s">
        <v>39</v>
      </c>
      <c r="F1367" s="11" t="s">
        <v>40</v>
      </c>
      <c r="G1367" s="11" t="s">
        <v>45</v>
      </c>
      <c r="H1367" s="11" t="s">
        <v>139</v>
      </c>
      <c r="I1367" s="11" t="s">
        <v>2667</v>
      </c>
      <c r="J1367" s="11">
        <v>24.0</v>
      </c>
      <c r="K1367" s="39">
        <v>42539.0</v>
      </c>
      <c r="L1367" s="11">
        <f t="shared" ref="L1367:L1370" si="144">ROUND(((K1367-B1367)/365)*12,0)</f>
        <v>12</v>
      </c>
      <c r="M1367" s="11">
        <v>628715.0</v>
      </c>
      <c r="N1367" s="11" t="s">
        <v>2668</v>
      </c>
      <c r="O1367" s="13" t="s">
        <v>761</v>
      </c>
      <c r="P1367" s="11">
        <v>0.0</v>
      </c>
      <c r="Q1367" s="14">
        <v>0.0</v>
      </c>
      <c r="R1367" s="41">
        <v>1.0</v>
      </c>
      <c r="S1367">
        <f t="shared" si="1"/>
        <v>2015</v>
      </c>
      <c r="T1367">
        <f t="shared" si="2"/>
        <v>6</v>
      </c>
      <c r="U1367">
        <f t="shared" si="3"/>
        <v>16</v>
      </c>
      <c r="AG1367" s="15"/>
      <c r="AH1367" s="16"/>
      <c r="AM1367" s="15"/>
      <c r="AN1367" s="16"/>
    </row>
    <row r="1368">
      <c r="A1368" s="13" t="s">
        <v>2669</v>
      </c>
      <c r="B1368" s="10">
        <v>42171.0</v>
      </c>
      <c r="C1368" s="11" t="s">
        <v>362</v>
      </c>
      <c r="D1368" s="11" t="s">
        <v>221</v>
      </c>
      <c r="E1368" s="11" t="s">
        <v>39</v>
      </c>
      <c r="F1368" s="11" t="s">
        <v>40</v>
      </c>
      <c r="G1368" s="11" t="s">
        <v>326</v>
      </c>
      <c r="H1368" s="11"/>
      <c r="I1368" s="11"/>
      <c r="J1368" s="11">
        <v>20.0</v>
      </c>
      <c r="K1368" s="39">
        <v>42556.0</v>
      </c>
      <c r="L1368" s="11">
        <f t="shared" si="144"/>
        <v>13</v>
      </c>
      <c r="M1368" s="11">
        <v>622747.0</v>
      </c>
      <c r="N1368" s="11" t="s">
        <v>2670</v>
      </c>
      <c r="O1368" s="13" t="s">
        <v>2671</v>
      </c>
      <c r="P1368" s="11">
        <v>0.0</v>
      </c>
      <c r="Q1368" s="14">
        <v>0.0</v>
      </c>
      <c r="R1368" s="41">
        <v>1.0</v>
      </c>
      <c r="S1368">
        <f t="shared" si="1"/>
        <v>2015</v>
      </c>
      <c r="T1368">
        <f t="shared" si="2"/>
        <v>6</v>
      </c>
      <c r="U1368">
        <f t="shared" si="3"/>
        <v>16</v>
      </c>
      <c r="AG1368" s="15"/>
      <c r="AH1368" s="16"/>
      <c r="AM1368" s="15"/>
      <c r="AN1368" s="16"/>
    </row>
    <row r="1369">
      <c r="A1369" s="13" t="s">
        <v>2672</v>
      </c>
      <c r="B1369" s="10">
        <v>42170.0</v>
      </c>
      <c r="C1369" s="11" t="s">
        <v>72</v>
      </c>
      <c r="D1369" s="11" t="s">
        <v>38</v>
      </c>
      <c r="E1369" s="11" t="s">
        <v>39</v>
      </c>
      <c r="F1369" s="11" t="s">
        <v>40</v>
      </c>
      <c r="G1369" s="11" t="s">
        <v>45</v>
      </c>
      <c r="H1369" s="11" t="s">
        <v>56</v>
      </c>
      <c r="I1369" s="11" t="s">
        <v>56</v>
      </c>
      <c r="J1369" s="11">
        <v>26.0</v>
      </c>
      <c r="K1369" s="39">
        <v>42859.0</v>
      </c>
      <c r="L1369" s="11">
        <f t="shared" si="144"/>
        <v>23</v>
      </c>
      <c r="M1369" s="11">
        <v>519443.0</v>
      </c>
      <c r="N1369" s="11">
        <v>11428.0</v>
      </c>
      <c r="O1369" s="13" t="s">
        <v>761</v>
      </c>
      <c r="P1369" s="11">
        <v>33.0</v>
      </c>
      <c r="Q1369" s="14">
        <v>39.667</v>
      </c>
      <c r="R1369" s="41">
        <v>1.0</v>
      </c>
      <c r="S1369">
        <f t="shared" si="1"/>
        <v>2015</v>
      </c>
      <c r="T1369">
        <f t="shared" si="2"/>
        <v>6</v>
      </c>
      <c r="U1369">
        <f t="shared" si="3"/>
        <v>15</v>
      </c>
      <c r="V1369" s="17">
        <v>42292.0</v>
      </c>
      <c r="Z1369" s="17">
        <v>42510.0</v>
      </c>
      <c r="AG1369" s="15"/>
      <c r="AH1369" s="16"/>
      <c r="AM1369" s="15"/>
      <c r="AN1369" s="16"/>
    </row>
    <row r="1370">
      <c r="A1370" s="13" t="s">
        <v>2673</v>
      </c>
      <c r="B1370" s="10">
        <v>42167.0</v>
      </c>
      <c r="C1370" s="11" t="s">
        <v>108</v>
      </c>
      <c r="D1370" s="11" t="s">
        <v>97</v>
      </c>
      <c r="E1370" s="11" t="s">
        <v>39</v>
      </c>
      <c r="F1370" s="11" t="s">
        <v>40</v>
      </c>
      <c r="G1370" s="11" t="s">
        <v>45</v>
      </c>
      <c r="H1370" s="11" t="s">
        <v>109</v>
      </c>
      <c r="I1370" s="11" t="s">
        <v>2467</v>
      </c>
      <c r="J1370" s="11">
        <v>23.0</v>
      </c>
      <c r="K1370" s="39">
        <v>42891.0</v>
      </c>
      <c r="L1370" s="11">
        <f t="shared" si="144"/>
        <v>24</v>
      </c>
      <c r="M1370" s="11">
        <v>642840.0</v>
      </c>
      <c r="N1370" s="11">
        <v>16459.0</v>
      </c>
      <c r="O1370" s="13"/>
      <c r="P1370" s="11">
        <v>0.0</v>
      </c>
      <c r="Q1370" s="14">
        <v>0.0</v>
      </c>
      <c r="R1370" s="41">
        <v>1.0</v>
      </c>
      <c r="S1370">
        <f t="shared" si="1"/>
        <v>2015</v>
      </c>
      <c r="T1370">
        <f t="shared" si="2"/>
        <v>6</v>
      </c>
      <c r="U1370">
        <f t="shared" si="3"/>
        <v>12</v>
      </c>
      <c r="AG1370" s="15"/>
      <c r="AH1370" s="16"/>
      <c r="AM1370" s="15"/>
      <c r="AN1370" s="16"/>
    </row>
    <row r="1371">
      <c r="A1371" s="48" t="s">
        <v>2674</v>
      </c>
      <c r="B1371" s="10">
        <v>42164.0</v>
      </c>
      <c r="C1371" s="11" t="s">
        <v>167</v>
      </c>
      <c r="D1371" s="11" t="s">
        <v>213</v>
      </c>
      <c r="E1371" s="11" t="s">
        <v>39</v>
      </c>
      <c r="F1371" s="11" t="s">
        <v>40</v>
      </c>
      <c r="G1371" s="11" t="s">
        <v>45</v>
      </c>
      <c r="H1371" s="11" t="s">
        <v>231</v>
      </c>
      <c r="I1371" s="11" t="s">
        <v>746</v>
      </c>
      <c r="J1371" s="11">
        <v>18.0</v>
      </c>
      <c r="K1371" s="39">
        <v>43294.0</v>
      </c>
      <c r="L1371" s="11"/>
      <c r="M1371" s="11">
        <v>663929.0</v>
      </c>
      <c r="N1371" s="11" t="s">
        <v>2675</v>
      </c>
      <c r="O1371" s="13"/>
      <c r="P1371" s="11">
        <v>0.0</v>
      </c>
      <c r="Q1371" s="14">
        <v>0.0</v>
      </c>
      <c r="R1371" s="11">
        <v>1.0</v>
      </c>
      <c r="S1371">
        <f t="shared" si="1"/>
        <v>2015</v>
      </c>
      <c r="T1371">
        <f t="shared" si="2"/>
        <v>6</v>
      </c>
      <c r="U1371">
        <f t="shared" si="3"/>
        <v>9</v>
      </c>
      <c r="AG1371" s="15"/>
      <c r="AH1371" s="16"/>
      <c r="AM1371" s="15"/>
      <c r="AN1371" s="16"/>
    </row>
    <row r="1372">
      <c r="A1372" s="13" t="s">
        <v>2676</v>
      </c>
      <c r="B1372" s="10">
        <v>42158.0</v>
      </c>
      <c r="C1372" s="11" t="s">
        <v>138</v>
      </c>
      <c r="D1372" s="11" t="s">
        <v>97</v>
      </c>
      <c r="E1372" s="11" t="s">
        <v>39</v>
      </c>
      <c r="F1372" s="11" t="s">
        <v>40</v>
      </c>
      <c r="G1372" s="11" t="s">
        <v>45</v>
      </c>
      <c r="H1372" s="11" t="s">
        <v>127</v>
      </c>
      <c r="I1372" s="11" t="s">
        <v>2677</v>
      </c>
      <c r="J1372" s="11">
        <v>24.0</v>
      </c>
      <c r="K1372" s="39">
        <v>42833.0</v>
      </c>
      <c r="L1372" s="11">
        <f t="shared" ref="L1372:L1373" si="145">ROUND(((K1372-B1372)/365)*12,0)</f>
        <v>22</v>
      </c>
      <c r="M1372" s="11">
        <v>621298.0</v>
      </c>
      <c r="N1372" s="11" t="s">
        <v>2678</v>
      </c>
      <c r="O1372" s="13"/>
      <c r="P1372" s="11">
        <v>0.0</v>
      </c>
      <c r="Q1372" s="14">
        <v>0.0</v>
      </c>
      <c r="R1372" s="41">
        <v>1.0</v>
      </c>
      <c r="S1372">
        <f t="shared" si="1"/>
        <v>2015</v>
      </c>
      <c r="T1372">
        <f t="shared" si="2"/>
        <v>6</v>
      </c>
      <c r="U1372">
        <f t="shared" si="3"/>
        <v>3</v>
      </c>
      <c r="AG1372" s="15"/>
      <c r="AH1372" s="16"/>
      <c r="AM1372" s="15"/>
      <c r="AN1372" s="16"/>
    </row>
    <row r="1373">
      <c r="A1373" s="13" t="s">
        <v>2679</v>
      </c>
      <c r="B1373" s="10">
        <v>42158.0</v>
      </c>
      <c r="C1373" s="11" t="s">
        <v>52</v>
      </c>
      <c r="D1373" s="11" t="s">
        <v>77</v>
      </c>
      <c r="E1373" s="11" t="s">
        <v>39</v>
      </c>
      <c r="F1373" s="11" t="s">
        <v>64</v>
      </c>
      <c r="G1373" s="11" t="s">
        <v>45</v>
      </c>
      <c r="H1373" s="11" t="s">
        <v>163</v>
      </c>
      <c r="I1373" s="11" t="s">
        <v>127</v>
      </c>
      <c r="J1373" s="11">
        <v>23.0</v>
      </c>
      <c r="K1373" s="12">
        <v>42517.0</v>
      </c>
      <c r="L1373" s="11">
        <f t="shared" si="145"/>
        <v>12</v>
      </c>
      <c r="M1373" s="11">
        <v>592288.0</v>
      </c>
      <c r="N1373" s="11">
        <v>15849.0</v>
      </c>
      <c r="O1373" s="13"/>
      <c r="P1373" s="11">
        <v>0.0</v>
      </c>
      <c r="Q1373" s="14">
        <v>0.0</v>
      </c>
      <c r="R1373" s="41">
        <v>1.0</v>
      </c>
      <c r="S1373">
        <f t="shared" si="1"/>
        <v>2015</v>
      </c>
      <c r="T1373">
        <f t="shared" si="2"/>
        <v>6</v>
      </c>
      <c r="U1373">
        <f t="shared" si="3"/>
        <v>3</v>
      </c>
      <c r="AG1373" s="15"/>
      <c r="AH1373" s="16"/>
      <c r="AM1373" s="15"/>
      <c r="AN1373" s="16"/>
    </row>
    <row r="1374">
      <c r="A1374" s="48" t="s">
        <v>2680</v>
      </c>
      <c r="B1374" s="10">
        <v>42157.0</v>
      </c>
      <c r="C1374" s="11" t="s">
        <v>44</v>
      </c>
      <c r="D1374" s="11" t="s">
        <v>213</v>
      </c>
      <c r="E1374" s="11" t="s">
        <v>39</v>
      </c>
      <c r="F1374" s="11" t="s">
        <v>40</v>
      </c>
      <c r="G1374" s="11" t="s">
        <v>45</v>
      </c>
      <c r="H1374" s="11" t="s">
        <v>566</v>
      </c>
      <c r="I1374" s="11" t="s">
        <v>173</v>
      </c>
      <c r="J1374" s="11">
        <v>18.0</v>
      </c>
      <c r="K1374" s="39">
        <v>43582.0</v>
      </c>
      <c r="L1374" s="11"/>
      <c r="M1374" s="11">
        <v>663752.0</v>
      </c>
      <c r="N1374" s="11">
        <v>25388.0</v>
      </c>
      <c r="O1374" s="13" t="s">
        <v>761</v>
      </c>
      <c r="P1374" s="11">
        <v>0.0</v>
      </c>
      <c r="Q1374" s="14">
        <v>0.0</v>
      </c>
      <c r="R1374" s="11">
        <v>1.0</v>
      </c>
      <c r="S1374">
        <f t="shared" si="1"/>
        <v>2015</v>
      </c>
      <c r="T1374">
        <f t="shared" si="2"/>
        <v>6</v>
      </c>
      <c r="U1374">
        <f t="shared" si="3"/>
        <v>2</v>
      </c>
      <c r="AG1374" s="15"/>
      <c r="AH1374" s="16"/>
      <c r="AM1374" s="15"/>
      <c r="AN1374" s="16"/>
    </row>
    <row r="1375">
      <c r="A1375" s="13" t="s">
        <v>2681</v>
      </c>
      <c r="B1375" s="10">
        <v>42157.0</v>
      </c>
      <c r="C1375" s="11" t="s">
        <v>362</v>
      </c>
      <c r="D1375" s="11" t="s">
        <v>709</v>
      </c>
      <c r="E1375" s="11" t="s">
        <v>104</v>
      </c>
      <c r="F1375" s="11" t="s">
        <v>40</v>
      </c>
      <c r="G1375" s="11" t="s">
        <v>45</v>
      </c>
      <c r="H1375" s="11" t="s">
        <v>59</v>
      </c>
      <c r="I1375" s="11" t="s">
        <v>2305</v>
      </c>
      <c r="J1375" s="11">
        <v>22.0</v>
      </c>
      <c r="K1375" s="39">
        <v>42538.0</v>
      </c>
      <c r="L1375" s="11">
        <f>ROUND(((K1375-B1375)/365)*12,0)</f>
        <v>13</v>
      </c>
      <c r="M1375" s="11">
        <v>656632.0</v>
      </c>
      <c r="N1375" s="11" t="s">
        <v>2682</v>
      </c>
      <c r="O1375" s="13"/>
      <c r="P1375" s="11">
        <v>0.0</v>
      </c>
      <c r="Q1375" s="14">
        <v>0.0</v>
      </c>
      <c r="R1375" s="41">
        <v>1.0</v>
      </c>
      <c r="S1375">
        <f t="shared" si="1"/>
        <v>2015</v>
      </c>
      <c r="T1375">
        <f t="shared" si="2"/>
        <v>6</v>
      </c>
      <c r="U1375">
        <f t="shared" si="3"/>
        <v>2</v>
      </c>
      <c r="AG1375" s="15"/>
      <c r="AH1375" s="16"/>
      <c r="AM1375" s="15"/>
      <c r="AN1375" s="16"/>
    </row>
    <row r="1376">
      <c r="A1376" s="13" t="s">
        <v>2683</v>
      </c>
      <c r="B1376" s="10">
        <v>42156.0</v>
      </c>
      <c r="C1376" s="11" t="s">
        <v>167</v>
      </c>
      <c r="D1376" s="11" t="s">
        <v>709</v>
      </c>
      <c r="E1376" s="11" t="s">
        <v>39</v>
      </c>
      <c r="F1376" s="11" t="s">
        <v>40</v>
      </c>
      <c r="G1376" s="11" t="s">
        <v>41</v>
      </c>
      <c r="H1376" s="11"/>
      <c r="I1376" s="11"/>
      <c r="J1376" s="11">
        <v>21.0</v>
      </c>
      <c r="K1376" s="30"/>
      <c r="L1376" s="30"/>
      <c r="M1376" s="11">
        <v>600934.0</v>
      </c>
      <c r="N1376" s="11" t="s">
        <v>2684</v>
      </c>
      <c r="O1376" s="13"/>
      <c r="P1376" s="11">
        <v>0.0</v>
      </c>
      <c r="Q1376" s="14">
        <v>0.0</v>
      </c>
      <c r="R1376" s="11">
        <v>0.0</v>
      </c>
      <c r="S1376">
        <f t="shared" si="1"/>
        <v>2015</v>
      </c>
      <c r="T1376">
        <f t="shared" si="2"/>
        <v>6</v>
      </c>
      <c r="U1376">
        <f t="shared" si="3"/>
        <v>1</v>
      </c>
      <c r="AG1376" s="15"/>
      <c r="AH1376" s="16"/>
      <c r="AM1376" s="15"/>
      <c r="AN1376" s="16"/>
    </row>
    <row r="1377">
      <c r="A1377" s="48" t="s">
        <v>2685</v>
      </c>
      <c r="B1377" s="10">
        <v>42156.0</v>
      </c>
      <c r="C1377" s="11" t="s">
        <v>37</v>
      </c>
      <c r="D1377" s="11" t="s">
        <v>213</v>
      </c>
      <c r="E1377" s="11" t="s">
        <v>39</v>
      </c>
      <c r="F1377" s="11" t="s">
        <v>40</v>
      </c>
      <c r="G1377" s="11" t="s">
        <v>45</v>
      </c>
      <c r="H1377" s="11" t="s">
        <v>412</v>
      </c>
      <c r="I1377" s="11" t="s">
        <v>746</v>
      </c>
      <c r="J1377" s="11">
        <v>18.0</v>
      </c>
      <c r="K1377" s="39">
        <v>43658.0</v>
      </c>
      <c r="L1377" s="11"/>
      <c r="M1377" s="11">
        <v>663773.0</v>
      </c>
      <c r="N1377" s="11">
        <v>26304.0</v>
      </c>
      <c r="O1377" s="13"/>
      <c r="P1377" s="11">
        <v>0.0</v>
      </c>
      <c r="Q1377" s="14">
        <v>0.0</v>
      </c>
      <c r="R1377" s="11">
        <v>1.0</v>
      </c>
      <c r="S1377">
        <f t="shared" si="1"/>
        <v>2015</v>
      </c>
      <c r="T1377">
        <f t="shared" si="2"/>
        <v>6</v>
      </c>
      <c r="U1377">
        <f t="shared" si="3"/>
        <v>1</v>
      </c>
      <c r="AG1377" s="15"/>
      <c r="AH1377" s="16"/>
      <c r="AM1377" s="15"/>
      <c r="AN1377" s="16"/>
    </row>
    <row r="1378">
      <c r="A1378" s="13" t="s">
        <v>2686</v>
      </c>
      <c r="B1378" s="10">
        <v>42156.0</v>
      </c>
      <c r="C1378" s="11" t="s">
        <v>362</v>
      </c>
      <c r="D1378" s="11" t="s">
        <v>221</v>
      </c>
      <c r="E1378" s="11" t="s">
        <v>39</v>
      </c>
      <c r="F1378" s="11" t="s">
        <v>40</v>
      </c>
      <c r="G1378" s="11" t="s">
        <v>41</v>
      </c>
      <c r="H1378" s="11"/>
      <c r="I1378" s="11"/>
      <c r="J1378" s="11">
        <v>23.0</v>
      </c>
      <c r="K1378" s="39">
        <v>42594.0</v>
      </c>
      <c r="L1378" s="11">
        <f t="shared" ref="L1378:L1379" si="146">ROUND(((K1378-B1378)/365)*12,0)</f>
        <v>14</v>
      </c>
      <c r="M1378" s="11">
        <v>642674.0</v>
      </c>
      <c r="N1378" s="11" t="s">
        <v>2687</v>
      </c>
      <c r="O1378" s="13"/>
      <c r="P1378" s="11">
        <v>0.0</v>
      </c>
      <c r="Q1378" s="14">
        <v>0.0</v>
      </c>
      <c r="R1378" s="41">
        <v>1.0</v>
      </c>
      <c r="S1378">
        <f t="shared" si="1"/>
        <v>2015</v>
      </c>
      <c r="T1378">
        <f t="shared" si="2"/>
        <v>6</v>
      </c>
      <c r="U1378">
        <f t="shared" si="3"/>
        <v>1</v>
      </c>
      <c r="AG1378" s="15"/>
      <c r="AH1378" s="16"/>
      <c r="AM1378" s="15"/>
      <c r="AN1378" s="16"/>
    </row>
    <row r="1379">
      <c r="A1379" s="13" t="s">
        <v>2688</v>
      </c>
      <c r="B1379" s="10">
        <v>42156.0</v>
      </c>
      <c r="C1379" s="11" t="s">
        <v>175</v>
      </c>
      <c r="D1379" s="11" t="s">
        <v>88</v>
      </c>
      <c r="E1379" s="11" t="s">
        <v>39</v>
      </c>
      <c r="F1379" s="11" t="s">
        <v>40</v>
      </c>
      <c r="G1379" s="11" t="s">
        <v>45</v>
      </c>
      <c r="H1379" s="11" t="s">
        <v>84</v>
      </c>
      <c r="I1379" s="11"/>
      <c r="J1379" s="11">
        <v>21.0</v>
      </c>
      <c r="K1379" s="39">
        <v>43199.0</v>
      </c>
      <c r="L1379" s="11">
        <f t="shared" si="146"/>
        <v>34</v>
      </c>
      <c r="M1379" s="11">
        <v>608381.0</v>
      </c>
      <c r="N1379" s="11" t="s">
        <v>2689</v>
      </c>
      <c r="O1379" s="13"/>
      <c r="P1379" s="11">
        <v>0.0</v>
      </c>
      <c r="Q1379" s="14">
        <v>0.0</v>
      </c>
      <c r="R1379" s="41">
        <v>1.0</v>
      </c>
      <c r="S1379">
        <f t="shared" si="1"/>
        <v>2015</v>
      </c>
      <c r="T1379">
        <f t="shared" si="2"/>
        <v>6</v>
      </c>
      <c r="U1379">
        <f t="shared" si="3"/>
        <v>1</v>
      </c>
      <c r="AG1379" s="15"/>
      <c r="AH1379" s="16"/>
      <c r="AM1379" s="15"/>
      <c r="AN1379" s="16"/>
    </row>
    <row r="1380">
      <c r="A1380" s="13" t="s">
        <v>2069</v>
      </c>
      <c r="B1380" s="10">
        <v>42152.0</v>
      </c>
      <c r="C1380" s="11" t="s">
        <v>55</v>
      </c>
      <c r="D1380" s="11" t="s">
        <v>221</v>
      </c>
      <c r="E1380" s="11" t="s">
        <v>39</v>
      </c>
      <c r="F1380" s="11" t="s">
        <v>40</v>
      </c>
      <c r="G1380" s="11" t="s">
        <v>53</v>
      </c>
      <c r="H1380" s="11"/>
      <c r="I1380" s="11"/>
      <c r="J1380" s="11">
        <v>19.0</v>
      </c>
      <c r="K1380" s="30"/>
      <c r="L1380" s="30"/>
      <c r="M1380" s="11">
        <v>642510.0</v>
      </c>
      <c r="N1380" s="11" t="s">
        <v>2070</v>
      </c>
      <c r="O1380" s="13"/>
      <c r="P1380" s="11">
        <v>0.0</v>
      </c>
      <c r="Q1380" s="14">
        <v>0.0</v>
      </c>
      <c r="R1380" s="11">
        <v>0.0</v>
      </c>
      <c r="S1380">
        <f t="shared" si="1"/>
        <v>2015</v>
      </c>
      <c r="T1380">
        <f t="shared" si="2"/>
        <v>5</v>
      </c>
      <c r="U1380">
        <f t="shared" si="3"/>
        <v>28</v>
      </c>
      <c r="AG1380" s="15"/>
      <c r="AH1380" s="16"/>
      <c r="AM1380" s="15"/>
      <c r="AN1380" s="16"/>
    </row>
    <row r="1381">
      <c r="A1381" s="13" t="s">
        <v>2690</v>
      </c>
      <c r="B1381" s="10">
        <v>42151.0</v>
      </c>
      <c r="C1381" s="11" t="s">
        <v>44</v>
      </c>
      <c r="D1381" s="11" t="s">
        <v>93</v>
      </c>
      <c r="E1381" s="11" t="s">
        <v>39</v>
      </c>
      <c r="F1381" s="11" t="s">
        <v>40</v>
      </c>
      <c r="G1381" s="11" t="s">
        <v>45</v>
      </c>
      <c r="H1381" s="11" t="s">
        <v>67</v>
      </c>
      <c r="I1381" s="11" t="s">
        <v>925</v>
      </c>
      <c r="J1381" s="11">
        <v>21.0</v>
      </c>
      <c r="K1381" s="39">
        <v>42581.0</v>
      </c>
      <c r="L1381" s="11">
        <f t="shared" ref="L1381:L1388" si="147">ROUND(((K1381-B1381)/365)*12,0)</f>
        <v>14</v>
      </c>
      <c r="M1381" s="11">
        <v>621057.0</v>
      </c>
      <c r="N1381" s="11">
        <v>19784.0</v>
      </c>
      <c r="O1381" s="13"/>
      <c r="P1381" s="11">
        <v>0.0</v>
      </c>
      <c r="Q1381" s="14">
        <v>0.0</v>
      </c>
      <c r="R1381" s="41">
        <v>1.0</v>
      </c>
      <c r="S1381">
        <f t="shared" si="1"/>
        <v>2015</v>
      </c>
      <c r="T1381">
        <f t="shared" si="2"/>
        <v>5</v>
      </c>
      <c r="U1381">
        <f t="shared" si="3"/>
        <v>27</v>
      </c>
      <c r="AG1381" s="15"/>
      <c r="AH1381" s="16"/>
      <c r="AM1381" s="15"/>
      <c r="AN1381" s="16"/>
    </row>
    <row r="1382">
      <c r="A1382" s="13" t="s">
        <v>2691</v>
      </c>
      <c r="B1382" s="10">
        <v>42151.0</v>
      </c>
      <c r="C1382" s="11" t="s">
        <v>362</v>
      </c>
      <c r="D1382" s="11" t="s">
        <v>58</v>
      </c>
      <c r="E1382" s="11" t="s">
        <v>39</v>
      </c>
      <c r="F1382" s="11" t="s">
        <v>40</v>
      </c>
      <c r="G1382" s="11" t="s">
        <v>45</v>
      </c>
      <c r="H1382" s="11" t="s">
        <v>301</v>
      </c>
      <c r="I1382" s="11"/>
      <c r="J1382" s="11">
        <v>23.0</v>
      </c>
      <c r="K1382" s="39">
        <v>42872.0</v>
      </c>
      <c r="L1382" s="11">
        <f t="shared" si="147"/>
        <v>24</v>
      </c>
      <c r="M1382" s="11">
        <v>592468.0</v>
      </c>
      <c r="N1382" s="11">
        <v>11694.0</v>
      </c>
      <c r="O1382" s="13" t="s">
        <v>1407</v>
      </c>
      <c r="P1382" s="11">
        <v>0.0</v>
      </c>
      <c r="Q1382" s="14">
        <v>0.0</v>
      </c>
      <c r="R1382" s="41">
        <v>1.0</v>
      </c>
      <c r="S1382">
        <f t="shared" si="1"/>
        <v>2015</v>
      </c>
      <c r="T1382">
        <f t="shared" si="2"/>
        <v>5</v>
      </c>
      <c r="U1382">
        <f t="shared" si="3"/>
        <v>27</v>
      </c>
      <c r="V1382" s="17">
        <v>42263.0</v>
      </c>
      <c r="AG1382" s="15"/>
      <c r="AH1382" s="16"/>
      <c r="AM1382" s="15"/>
      <c r="AN1382" s="16"/>
    </row>
    <row r="1383">
      <c r="A1383" s="13" t="s">
        <v>2692</v>
      </c>
      <c r="B1383" s="10">
        <v>42146.0</v>
      </c>
      <c r="C1383" s="11" t="s">
        <v>76</v>
      </c>
      <c r="D1383" s="11" t="s">
        <v>709</v>
      </c>
      <c r="E1383" s="11" t="s">
        <v>39</v>
      </c>
      <c r="F1383" s="11" t="s">
        <v>40</v>
      </c>
      <c r="G1383" s="11" t="s">
        <v>45</v>
      </c>
      <c r="H1383" s="11" t="s">
        <v>129</v>
      </c>
      <c r="I1383" s="11" t="s">
        <v>129</v>
      </c>
      <c r="J1383" s="11">
        <v>21.0</v>
      </c>
      <c r="K1383" s="39">
        <v>42529.0</v>
      </c>
      <c r="L1383" s="11">
        <f t="shared" si="147"/>
        <v>13</v>
      </c>
      <c r="M1383" s="11">
        <v>630263.0</v>
      </c>
      <c r="N1383" s="11">
        <v>16668.0</v>
      </c>
      <c r="O1383" s="13"/>
      <c r="P1383" s="11">
        <v>0.0</v>
      </c>
      <c r="Q1383" s="14">
        <v>0.0</v>
      </c>
      <c r="R1383" s="41">
        <v>1.0</v>
      </c>
      <c r="S1383">
        <f t="shared" si="1"/>
        <v>2015</v>
      </c>
      <c r="T1383">
        <f t="shared" si="2"/>
        <v>5</v>
      </c>
      <c r="U1383">
        <f t="shared" si="3"/>
        <v>22</v>
      </c>
      <c r="AG1383" s="15"/>
      <c r="AH1383" s="16"/>
      <c r="AM1383" s="15"/>
      <c r="AN1383" s="16"/>
    </row>
    <row r="1384">
      <c r="A1384" s="13" t="s">
        <v>2693</v>
      </c>
      <c r="B1384" s="10">
        <v>42144.0</v>
      </c>
      <c r="C1384" s="11" t="s">
        <v>44</v>
      </c>
      <c r="D1384" s="11" t="s">
        <v>88</v>
      </c>
      <c r="E1384" s="11" t="s">
        <v>39</v>
      </c>
      <c r="F1384" s="11" t="s">
        <v>40</v>
      </c>
      <c r="G1384" s="11" t="s">
        <v>45</v>
      </c>
      <c r="H1384" s="11" t="s">
        <v>2694</v>
      </c>
      <c r="I1384" s="11" t="s">
        <v>2695</v>
      </c>
      <c r="J1384" s="11">
        <v>23.0</v>
      </c>
      <c r="K1384" s="39">
        <v>42854.0</v>
      </c>
      <c r="L1384" s="11">
        <f t="shared" si="147"/>
        <v>23</v>
      </c>
      <c r="M1384" s="11">
        <v>621173.0</v>
      </c>
      <c r="N1384" s="11" t="s">
        <v>2696</v>
      </c>
      <c r="O1384" s="13"/>
      <c r="P1384" s="11">
        <v>0.0</v>
      </c>
      <c r="Q1384" s="14">
        <v>0.0</v>
      </c>
      <c r="R1384" s="11">
        <v>1.0</v>
      </c>
      <c r="S1384">
        <f t="shared" si="1"/>
        <v>2015</v>
      </c>
      <c r="T1384">
        <f t="shared" si="2"/>
        <v>5</v>
      </c>
      <c r="U1384">
        <f t="shared" si="3"/>
        <v>20</v>
      </c>
      <c r="Y1384" s="17">
        <v>42803.0</v>
      </c>
      <c r="Z1384" s="17"/>
      <c r="AG1384" s="15"/>
      <c r="AH1384" s="16"/>
      <c r="AM1384" s="15"/>
      <c r="AN1384" s="16"/>
    </row>
    <row r="1385">
      <c r="A1385" s="13" t="s">
        <v>2697</v>
      </c>
      <c r="B1385" s="10">
        <v>42144.0</v>
      </c>
      <c r="C1385" s="11" t="s">
        <v>44</v>
      </c>
      <c r="D1385" s="11" t="s">
        <v>221</v>
      </c>
      <c r="E1385" s="11" t="s">
        <v>39</v>
      </c>
      <c r="F1385" s="11" t="s">
        <v>64</v>
      </c>
      <c r="G1385" s="11" t="s">
        <v>45</v>
      </c>
      <c r="H1385" s="11" t="s">
        <v>67</v>
      </c>
      <c r="I1385" s="11" t="s">
        <v>2698</v>
      </c>
      <c r="J1385" s="11">
        <v>21.0</v>
      </c>
      <c r="K1385" s="39">
        <v>42542.0</v>
      </c>
      <c r="L1385" s="11">
        <f t="shared" si="147"/>
        <v>13</v>
      </c>
      <c r="M1385" s="11">
        <v>607180.0</v>
      </c>
      <c r="N1385" s="11" t="s">
        <v>2699</v>
      </c>
      <c r="O1385" s="13"/>
      <c r="P1385" s="11">
        <v>0.0</v>
      </c>
      <c r="Q1385" s="14">
        <v>0.0</v>
      </c>
      <c r="R1385" s="41">
        <v>1.0</v>
      </c>
      <c r="S1385">
        <f t="shared" si="1"/>
        <v>2015</v>
      </c>
      <c r="T1385">
        <f t="shared" si="2"/>
        <v>5</v>
      </c>
      <c r="U1385">
        <f t="shared" si="3"/>
        <v>20</v>
      </c>
      <c r="AG1385" s="15"/>
      <c r="AH1385" s="16"/>
      <c r="AM1385" s="15"/>
      <c r="AN1385" s="16"/>
    </row>
    <row r="1386">
      <c r="A1386" s="13" t="s">
        <v>2700</v>
      </c>
      <c r="B1386" s="10">
        <v>42143.0</v>
      </c>
      <c r="C1386" s="11" t="s">
        <v>108</v>
      </c>
      <c r="D1386" s="11" t="s">
        <v>38</v>
      </c>
      <c r="E1386" s="11" t="s">
        <v>39</v>
      </c>
      <c r="F1386" s="11" t="s">
        <v>40</v>
      </c>
      <c r="G1386" s="11" t="s">
        <v>45</v>
      </c>
      <c r="H1386" s="11" t="s">
        <v>243</v>
      </c>
      <c r="I1386" s="11" t="s">
        <v>1998</v>
      </c>
      <c r="J1386" s="11">
        <v>26.0</v>
      </c>
      <c r="K1386" s="39">
        <v>42624.0</v>
      </c>
      <c r="L1386" s="11">
        <f t="shared" si="147"/>
        <v>16</v>
      </c>
      <c r="M1386" s="11">
        <v>595032.0</v>
      </c>
      <c r="N1386" s="11">
        <v>10982.0</v>
      </c>
      <c r="O1386" s="13" t="s">
        <v>494</v>
      </c>
      <c r="P1386" s="11">
        <v>46.0</v>
      </c>
      <c r="Q1386" s="14">
        <v>71.667</v>
      </c>
      <c r="R1386" s="41">
        <v>1.0</v>
      </c>
      <c r="S1386">
        <f t="shared" si="1"/>
        <v>2015</v>
      </c>
      <c r="T1386">
        <f t="shared" si="2"/>
        <v>5</v>
      </c>
      <c r="U1386">
        <f t="shared" si="3"/>
        <v>19</v>
      </c>
      <c r="W1386" s="17">
        <v>42479.0</v>
      </c>
      <c r="X1386" s="17">
        <v>42486.0</v>
      </c>
      <c r="Z1386" s="17">
        <v>42569.0</v>
      </c>
      <c r="AG1386" s="15"/>
      <c r="AH1386" s="16"/>
      <c r="AM1386" s="15"/>
      <c r="AN1386" s="16"/>
    </row>
    <row r="1387">
      <c r="A1387" s="13" t="s">
        <v>2701</v>
      </c>
      <c r="B1387" s="10">
        <v>42139.0</v>
      </c>
      <c r="C1387" s="11" t="s">
        <v>55</v>
      </c>
      <c r="D1387" s="11" t="s">
        <v>97</v>
      </c>
      <c r="E1387" s="11" t="s">
        <v>39</v>
      </c>
      <c r="F1387" s="11" t="s">
        <v>40</v>
      </c>
      <c r="G1387" s="11" t="s">
        <v>53</v>
      </c>
      <c r="H1387" s="11"/>
      <c r="I1387" s="11"/>
      <c r="J1387" s="11">
        <v>21.0</v>
      </c>
      <c r="K1387" s="39">
        <v>42836.0</v>
      </c>
      <c r="L1387" s="11">
        <f t="shared" si="147"/>
        <v>23</v>
      </c>
      <c r="M1387" s="11">
        <v>622273.0</v>
      </c>
      <c r="N1387" s="11" t="s">
        <v>2702</v>
      </c>
      <c r="O1387" s="13"/>
      <c r="P1387" s="11">
        <v>0.0</v>
      </c>
      <c r="Q1387" s="14">
        <v>0.0</v>
      </c>
      <c r="R1387" s="41">
        <v>1.0</v>
      </c>
      <c r="S1387">
        <f t="shared" si="1"/>
        <v>2015</v>
      </c>
      <c r="T1387">
        <f t="shared" si="2"/>
        <v>5</v>
      </c>
      <c r="U1387">
        <f t="shared" si="3"/>
        <v>15</v>
      </c>
      <c r="AG1387" s="15"/>
      <c r="AH1387" s="16"/>
      <c r="AM1387" s="15"/>
      <c r="AN1387" s="16"/>
    </row>
    <row r="1388">
      <c r="A1388" s="13" t="s">
        <v>2703</v>
      </c>
      <c r="B1388" s="10">
        <v>42138.0</v>
      </c>
      <c r="C1388" s="11" t="s">
        <v>156</v>
      </c>
      <c r="D1388" s="11" t="s">
        <v>38</v>
      </c>
      <c r="E1388" s="11" t="s">
        <v>39</v>
      </c>
      <c r="F1388" s="11" t="s">
        <v>40</v>
      </c>
      <c r="G1388" s="11" t="s">
        <v>45</v>
      </c>
      <c r="H1388" s="11" t="s">
        <v>84</v>
      </c>
      <c r="I1388" s="11"/>
      <c r="J1388" s="11">
        <v>27.0</v>
      </c>
      <c r="K1388" s="39">
        <v>42615.0</v>
      </c>
      <c r="L1388" s="11">
        <f t="shared" si="147"/>
        <v>16</v>
      </c>
      <c r="M1388" s="11">
        <v>502171.0</v>
      </c>
      <c r="N1388" s="11">
        <v>6562.0</v>
      </c>
      <c r="O1388" s="13" t="s">
        <v>761</v>
      </c>
      <c r="P1388" s="11">
        <v>34.0</v>
      </c>
      <c r="Q1388" s="14">
        <v>201.333</v>
      </c>
      <c r="R1388" s="41">
        <v>1.0</v>
      </c>
      <c r="S1388">
        <f t="shared" si="1"/>
        <v>2015</v>
      </c>
      <c r="T1388">
        <f t="shared" si="2"/>
        <v>5</v>
      </c>
      <c r="U1388">
        <f t="shared" si="3"/>
        <v>14</v>
      </c>
      <c r="W1388" s="17">
        <v>42472.0</v>
      </c>
      <c r="X1388" s="17">
        <v>42486.0</v>
      </c>
      <c r="Y1388" s="17">
        <v>42539.0</v>
      </c>
      <c r="Z1388" s="17">
        <v>42557.0</v>
      </c>
      <c r="AA1388" s="17">
        <v>42570.0</v>
      </c>
      <c r="AB1388" s="13" t="s">
        <v>2704</v>
      </c>
      <c r="AG1388" s="15"/>
      <c r="AH1388" s="16"/>
      <c r="AM1388" s="15"/>
      <c r="AN1388" s="16"/>
    </row>
    <row r="1389">
      <c r="A1389" s="13" t="s">
        <v>2441</v>
      </c>
      <c r="B1389" s="10">
        <v>42136.0</v>
      </c>
      <c r="C1389" s="11" t="s">
        <v>230</v>
      </c>
      <c r="D1389" s="11" t="s">
        <v>97</v>
      </c>
      <c r="E1389" s="11" t="s">
        <v>39</v>
      </c>
      <c r="F1389" s="11" t="s">
        <v>40</v>
      </c>
      <c r="G1389" s="11" t="s">
        <v>199</v>
      </c>
      <c r="H1389" s="11"/>
      <c r="I1389" s="11"/>
      <c r="J1389" s="11">
        <v>19.0</v>
      </c>
      <c r="K1389" s="30"/>
      <c r="L1389" s="30"/>
      <c r="M1389" s="11">
        <v>627392.0</v>
      </c>
      <c r="N1389" s="11" t="s">
        <v>2442</v>
      </c>
      <c r="O1389" s="13"/>
      <c r="P1389" s="11">
        <v>0.0</v>
      </c>
      <c r="Q1389" s="14">
        <v>0.0</v>
      </c>
      <c r="R1389" s="11">
        <v>0.0</v>
      </c>
      <c r="S1389">
        <f t="shared" si="1"/>
        <v>2015</v>
      </c>
      <c r="T1389">
        <f t="shared" si="2"/>
        <v>5</v>
      </c>
      <c r="U1389">
        <f t="shared" si="3"/>
        <v>12</v>
      </c>
      <c r="AG1389" s="15"/>
      <c r="AH1389" s="16"/>
      <c r="AM1389" s="15"/>
      <c r="AN1389" s="16"/>
    </row>
    <row r="1390">
      <c r="A1390" s="13" t="s">
        <v>2705</v>
      </c>
      <c r="B1390" s="10">
        <v>42136.0</v>
      </c>
      <c r="C1390" s="11" t="s">
        <v>230</v>
      </c>
      <c r="D1390" s="11" t="s">
        <v>97</v>
      </c>
      <c r="E1390" s="11" t="s">
        <v>39</v>
      </c>
      <c r="F1390" s="11" t="s">
        <v>40</v>
      </c>
      <c r="G1390" s="11" t="s">
        <v>41</v>
      </c>
      <c r="H1390" s="11"/>
      <c r="I1390" s="11"/>
      <c r="J1390" s="11">
        <v>22.0</v>
      </c>
      <c r="K1390" s="30"/>
      <c r="L1390" s="30"/>
      <c r="M1390" s="11">
        <v>606532.0</v>
      </c>
      <c r="N1390" s="11" t="s">
        <v>2706</v>
      </c>
      <c r="O1390" s="13"/>
      <c r="P1390" s="11">
        <v>0.0</v>
      </c>
      <c r="Q1390" s="14">
        <v>0.0</v>
      </c>
      <c r="R1390" s="11">
        <v>0.0</v>
      </c>
      <c r="S1390">
        <f t="shared" si="1"/>
        <v>2015</v>
      </c>
      <c r="T1390">
        <f t="shared" si="2"/>
        <v>5</v>
      </c>
      <c r="U1390">
        <f t="shared" si="3"/>
        <v>12</v>
      </c>
      <c r="AG1390" s="15"/>
      <c r="AH1390" s="16"/>
      <c r="AM1390" s="15"/>
      <c r="AN1390" s="16"/>
    </row>
    <row r="1391">
      <c r="A1391" s="13" t="s">
        <v>2707</v>
      </c>
      <c r="B1391" s="10">
        <v>42132.0</v>
      </c>
      <c r="C1391" s="11" t="s">
        <v>162</v>
      </c>
      <c r="D1391" s="11" t="s">
        <v>58</v>
      </c>
      <c r="E1391" s="11" t="s">
        <v>39</v>
      </c>
      <c r="F1391" s="11" t="s">
        <v>40</v>
      </c>
      <c r="G1391" s="11" t="s">
        <v>45</v>
      </c>
      <c r="H1391" s="11" t="s">
        <v>67</v>
      </c>
      <c r="I1391" s="11"/>
      <c r="J1391" s="11">
        <v>25.0</v>
      </c>
      <c r="K1391" s="39">
        <v>42512.0</v>
      </c>
      <c r="L1391" s="11">
        <f t="shared" ref="L1391:L1396" si="148">ROUND(((K1391-B1391)/365)*12,0)</f>
        <v>12</v>
      </c>
      <c r="M1391" s="11">
        <v>543483.0</v>
      </c>
      <c r="N1391" s="11">
        <v>3950.0</v>
      </c>
      <c r="O1391" s="13"/>
      <c r="P1391" s="11">
        <v>5.0</v>
      </c>
      <c r="Q1391" s="14">
        <v>4.333</v>
      </c>
      <c r="R1391" s="41">
        <v>1.0</v>
      </c>
      <c r="S1391">
        <f t="shared" si="1"/>
        <v>2015</v>
      </c>
      <c r="T1391">
        <f t="shared" si="2"/>
        <v>5</v>
      </c>
      <c r="U1391">
        <f t="shared" si="3"/>
        <v>8</v>
      </c>
      <c r="AG1391" s="15"/>
      <c r="AH1391" s="16"/>
      <c r="AM1391" s="15"/>
      <c r="AN1391" s="16"/>
    </row>
    <row r="1392">
      <c r="A1392" s="13" t="s">
        <v>2708</v>
      </c>
      <c r="B1392" s="10">
        <v>42132.0</v>
      </c>
      <c r="C1392" s="11" t="s">
        <v>162</v>
      </c>
      <c r="D1392" s="11" t="s">
        <v>38</v>
      </c>
      <c r="E1392" s="11" t="s">
        <v>39</v>
      </c>
      <c r="F1392" s="11" t="s">
        <v>40</v>
      </c>
      <c r="G1392" s="11" t="s">
        <v>45</v>
      </c>
      <c r="H1392" s="11" t="s">
        <v>56</v>
      </c>
      <c r="I1392" s="11"/>
      <c r="J1392" s="11">
        <v>29.0</v>
      </c>
      <c r="K1392" s="39">
        <v>42582.0</v>
      </c>
      <c r="L1392" s="11">
        <f t="shared" si="148"/>
        <v>15</v>
      </c>
      <c r="M1392" s="11">
        <v>456701.0</v>
      </c>
      <c r="N1392" s="11">
        <v>8362.0</v>
      </c>
      <c r="O1392" s="13" t="s">
        <v>355</v>
      </c>
      <c r="P1392" s="11">
        <v>24.0</v>
      </c>
      <c r="Q1392" s="14">
        <v>114.0</v>
      </c>
      <c r="R1392" s="41">
        <v>1.0</v>
      </c>
      <c r="S1392">
        <f t="shared" si="1"/>
        <v>2015</v>
      </c>
      <c r="T1392">
        <f t="shared" si="2"/>
        <v>5</v>
      </c>
      <c r="U1392">
        <f t="shared" si="3"/>
        <v>8</v>
      </c>
      <c r="X1392" s="17">
        <v>42419.0</v>
      </c>
      <c r="Y1392" s="17">
        <v>42450.0</v>
      </c>
      <c r="Z1392" s="17">
        <v>42481.0</v>
      </c>
      <c r="AA1392" s="17">
        <v>42487.0</v>
      </c>
      <c r="AB1392" s="13" t="s">
        <v>1870</v>
      </c>
      <c r="AG1392" s="15"/>
      <c r="AH1392" s="16"/>
      <c r="AM1392" s="15"/>
      <c r="AN1392" s="16"/>
    </row>
    <row r="1393">
      <c r="A1393" s="13" t="s">
        <v>2709</v>
      </c>
      <c r="B1393" s="10">
        <v>42131.0</v>
      </c>
      <c r="C1393" s="11" t="s">
        <v>192</v>
      </c>
      <c r="D1393" s="11" t="s">
        <v>38</v>
      </c>
      <c r="E1393" s="11" t="s">
        <v>39</v>
      </c>
      <c r="F1393" s="11" t="s">
        <v>40</v>
      </c>
      <c r="G1393" s="11" t="s">
        <v>45</v>
      </c>
      <c r="H1393" s="11" t="s">
        <v>59</v>
      </c>
      <c r="I1393" s="11" t="s">
        <v>569</v>
      </c>
      <c r="J1393" s="11">
        <v>29.0</v>
      </c>
      <c r="K1393" s="39">
        <v>42556.0</v>
      </c>
      <c r="L1393" s="11">
        <f t="shared" si="148"/>
        <v>14</v>
      </c>
      <c r="M1393" s="11">
        <v>493603.0</v>
      </c>
      <c r="N1393" s="11">
        <v>1247.0</v>
      </c>
      <c r="O1393" s="13" t="s">
        <v>761</v>
      </c>
      <c r="P1393" s="11">
        <v>97.0</v>
      </c>
      <c r="Q1393" s="14">
        <v>80.333</v>
      </c>
      <c r="R1393" s="41">
        <v>1.0</v>
      </c>
      <c r="S1393">
        <f t="shared" si="1"/>
        <v>2015</v>
      </c>
      <c r="T1393">
        <f t="shared" si="2"/>
        <v>5</v>
      </c>
      <c r="U1393">
        <f t="shared" si="3"/>
        <v>7</v>
      </c>
      <c r="V1393" s="17">
        <v>42241.0</v>
      </c>
      <c r="Y1393" s="17">
        <v>42518.0</v>
      </c>
      <c r="Z1393" s="17">
        <v>42531.0</v>
      </c>
      <c r="AG1393" s="15"/>
      <c r="AH1393" s="16"/>
      <c r="AM1393" s="15"/>
      <c r="AN1393" s="16"/>
    </row>
    <row r="1394">
      <c r="A1394" s="13" t="s">
        <v>2710</v>
      </c>
      <c r="B1394" s="10">
        <v>42131.0</v>
      </c>
      <c r="C1394" s="11" t="s">
        <v>83</v>
      </c>
      <c r="D1394" s="11" t="s">
        <v>221</v>
      </c>
      <c r="E1394" s="11" t="s">
        <v>39</v>
      </c>
      <c r="F1394" s="11" t="s">
        <v>40</v>
      </c>
      <c r="G1394" s="11" t="s">
        <v>45</v>
      </c>
      <c r="H1394" s="11" t="s">
        <v>669</v>
      </c>
      <c r="I1394" s="11" t="s">
        <v>2711</v>
      </c>
      <c r="J1394" s="11">
        <v>23.0</v>
      </c>
      <c r="K1394" s="39">
        <v>42545.0</v>
      </c>
      <c r="L1394" s="11">
        <f t="shared" si="148"/>
        <v>14</v>
      </c>
      <c r="M1394" s="11">
        <v>657796.0</v>
      </c>
      <c r="N1394" s="11" t="s">
        <v>2712</v>
      </c>
      <c r="O1394" s="13"/>
      <c r="P1394" s="11">
        <v>0.0</v>
      </c>
      <c r="Q1394" s="14">
        <v>0.0</v>
      </c>
      <c r="R1394" s="41">
        <v>1.0</v>
      </c>
      <c r="S1394">
        <f t="shared" si="1"/>
        <v>2015</v>
      </c>
      <c r="T1394">
        <f t="shared" si="2"/>
        <v>5</v>
      </c>
      <c r="U1394">
        <f t="shared" si="3"/>
        <v>7</v>
      </c>
      <c r="AG1394" s="15"/>
      <c r="AH1394" s="16"/>
      <c r="AM1394" s="15"/>
      <c r="AN1394" s="16"/>
    </row>
    <row r="1395">
      <c r="A1395" s="13" t="s">
        <v>2713</v>
      </c>
      <c r="B1395" s="10">
        <v>42130.0</v>
      </c>
      <c r="C1395" s="11" t="s">
        <v>111</v>
      </c>
      <c r="D1395" s="11" t="s">
        <v>221</v>
      </c>
      <c r="E1395" s="11" t="s">
        <v>39</v>
      </c>
      <c r="F1395" s="11" t="s">
        <v>40</v>
      </c>
      <c r="G1395" s="11" t="s">
        <v>53</v>
      </c>
      <c r="H1395" s="11"/>
      <c r="I1395" s="11"/>
      <c r="J1395" s="11">
        <v>20.0</v>
      </c>
      <c r="K1395" s="39">
        <v>42546.0</v>
      </c>
      <c r="L1395" s="11">
        <f t="shared" si="148"/>
        <v>14</v>
      </c>
      <c r="M1395" s="11">
        <v>621593.0</v>
      </c>
      <c r="N1395" s="11">
        <v>19789.0</v>
      </c>
      <c r="O1395" s="13"/>
      <c r="P1395" s="11">
        <v>0.0</v>
      </c>
      <c r="Q1395" s="14">
        <v>0.0</v>
      </c>
      <c r="R1395" s="41">
        <v>1.0</v>
      </c>
      <c r="S1395">
        <f t="shared" si="1"/>
        <v>2015</v>
      </c>
      <c r="T1395">
        <f t="shared" si="2"/>
        <v>5</v>
      </c>
      <c r="U1395">
        <f t="shared" si="3"/>
        <v>6</v>
      </c>
      <c r="AG1395" s="15"/>
      <c r="AH1395" s="16"/>
      <c r="AM1395" s="15"/>
      <c r="AN1395" s="16"/>
    </row>
    <row r="1396">
      <c r="A1396" s="13" t="s">
        <v>2714</v>
      </c>
      <c r="B1396" s="10">
        <v>42129.0</v>
      </c>
      <c r="C1396" s="11" t="s">
        <v>49</v>
      </c>
      <c r="D1396" s="11" t="s">
        <v>77</v>
      </c>
      <c r="E1396" s="11" t="s">
        <v>39</v>
      </c>
      <c r="F1396" s="11" t="s">
        <v>40</v>
      </c>
      <c r="G1396" s="11" t="s">
        <v>41</v>
      </c>
      <c r="H1396" s="11"/>
      <c r="I1396" s="11"/>
      <c r="J1396" s="11">
        <v>23.0</v>
      </c>
      <c r="K1396" s="39">
        <v>42535.0</v>
      </c>
      <c r="L1396" s="11">
        <f t="shared" si="148"/>
        <v>13</v>
      </c>
      <c r="M1396" s="11">
        <v>593619.0</v>
      </c>
      <c r="N1396" s="11">
        <v>12178.0</v>
      </c>
      <c r="O1396" s="13"/>
      <c r="P1396" s="11">
        <v>0.0</v>
      </c>
      <c r="Q1396" s="14">
        <v>0.0</v>
      </c>
      <c r="R1396" s="41">
        <v>1.0</v>
      </c>
      <c r="S1396">
        <f t="shared" si="1"/>
        <v>2015</v>
      </c>
      <c r="T1396">
        <f t="shared" si="2"/>
        <v>5</v>
      </c>
      <c r="U1396">
        <f t="shared" si="3"/>
        <v>5</v>
      </c>
      <c r="AG1396" s="15"/>
      <c r="AH1396" s="16"/>
      <c r="AM1396" s="15"/>
      <c r="AN1396" s="16"/>
    </row>
    <row r="1397">
      <c r="A1397" s="13" t="s">
        <v>2715</v>
      </c>
      <c r="B1397" s="17">
        <v>42125.0</v>
      </c>
      <c r="C1397" s="11" t="s">
        <v>167</v>
      </c>
      <c r="D1397" s="11" t="s">
        <v>93</v>
      </c>
      <c r="E1397" s="11" t="s">
        <v>39</v>
      </c>
      <c r="F1397" s="11" t="s">
        <v>40</v>
      </c>
      <c r="G1397" s="11" t="s">
        <v>45</v>
      </c>
      <c r="H1397" s="11" t="s">
        <v>46</v>
      </c>
      <c r="I1397" s="11" t="s">
        <v>46</v>
      </c>
      <c r="J1397" s="11">
        <v>19.0</v>
      </c>
      <c r="K1397" s="39">
        <v>43292.0</v>
      </c>
      <c r="L1397" s="11"/>
      <c r="M1397" s="11">
        <v>656297.0</v>
      </c>
      <c r="N1397" s="11" t="s">
        <v>2716</v>
      </c>
      <c r="O1397" s="13"/>
      <c r="P1397" s="11">
        <v>0.0</v>
      </c>
      <c r="Q1397" s="14">
        <v>0.0</v>
      </c>
      <c r="R1397" s="11">
        <v>1.0</v>
      </c>
      <c r="S1397">
        <f t="shared" si="1"/>
        <v>2015</v>
      </c>
      <c r="T1397">
        <f t="shared" si="2"/>
        <v>5</v>
      </c>
      <c r="U1397">
        <f t="shared" si="3"/>
        <v>1</v>
      </c>
      <c r="AG1397" s="15"/>
      <c r="AH1397" s="16"/>
      <c r="AM1397" s="15"/>
      <c r="AN1397" s="16"/>
    </row>
    <row r="1398">
      <c r="A1398" s="13" t="s">
        <v>2717</v>
      </c>
      <c r="B1398" s="10">
        <v>42125.0</v>
      </c>
      <c r="C1398" s="11" t="s">
        <v>162</v>
      </c>
      <c r="D1398" s="11" t="s">
        <v>58</v>
      </c>
      <c r="E1398" s="11" t="s">
        <v>118</v>
      </c>
      <c r="F1398" s="11" t="s">
        <v>40</v>
      </c>
      <c r="G1398" s="11" t="s">
        <v>45</v>
      </c>
      <c r="H1398" s="11" t="s">
        <v>59</v>
      </c>
      <c r="I1398" s="11"/>
      <c r="J1398" s="11">
        <v>26.0</v>
      </c>
      <c r="K1398" s="39">
        <v>42535.0</v>
      </c>
      <c r="L1398" s="11">
        <f t="shared" ref="L1398:L1410" si="149">ROUND(((K1398-B1398)/365)*12,0)</f>
        <v>13</v>
      </c>
      <c r="M1398" s="11">
        <v>544371.0</v>
      </c>
      <c r="N1398" s="11">
        <v>10154.0</v>
      </c>
      <c r="O1398" s="13"/>
      <c r="P1398" s="11">
        <v>0.0</v>
      </c>
      <c r="Q1398" s="14">
        <v>0.0</v>
      </c>
      <c r="R1398" s="41">
        <v>1.0</v>
      </c>
      <c r="S1398">
        <f t="shared" si="1"/>
        <v>2015</v>
      </c>
      <c r="T1398">
        <f t="shared" si="2"/>
        <v>5</v>
      </c>
      <c r="U1398">
        <f t="shared" si="3"/>
        <v>1</v>
      </c>
      <c r="AG1398" s="15"/>
      <c r="AH1398" s="16"/>
      <c r="AM1398" s="15"/>
      <c r="AN1398" s="16"/>
    </row>
    <row r="1399">
      <c r="A1399" s="13" t="s">
        <v>2718</v>
      </c>
      <c r="B1399" s="10">
        <v>42125.0</v>
      </c>
      <c r="C1399" s="11" t="s">
        <v>358</v>
      </c>
      <c r="D1399" s="11" t="s">
        <v>77</v>
      </c>
      <c r="E1399" s="11" t="s">
        <v>39</v>
      </c>
      <c r="F1399" s="11" t="s">
        <v>40</v>
      </c>
      <c r="G1399" s="11" t="s">
        <v>45</v>
      </c>
      <c r="H1399" s="11" t="s">
        <v>56</v>
      </c>
      <c r="I1399" s="11" t="s">
        <v>208</v>
      </c>
      <c r="J1399" s="11">
        <v>26.0</v>
      </c>
      <c r="K1399" s="39">
        <v>42558.0</v>
      </c>
      <c r="L1399" s="11">
        <f t="shared" si="149"/>
        <v>14</v>
      </c>
      <c r="M1399" s="11">
        <v>607696.0</v>
      </c>
      <c r="N1399" s="11" t="s">
        <v>2719</v>
      </c>
      <c r="O1399" s="13"/>
      <c r="P1399" s="11">
        <v>0.0</v>
      </c>
      <c r="Q1399" s="14">
        <v>0.0</v>
      </c>
      <c r="R1399" s="41">
        <v>1.0</v>
      </c>
      <c r="S1399">
        <f t="shared" si="1"/>
        <v>2015</v>
      </c>
      <c r="T1399">
        <f t="shared" si="2"/>
        <v>5</v>
      </c>
      <c r="U1399">
        <f t="shared" si="3"/>
        <v>1</v>
      </c>
      <c r="AG1399" s="15"/>
      <c r="AH1399" s="16"/>
      <c r="AM1399" s="15"/>
      <c r="AN1399" s="16"/>
    </row>
    <row r="1400">
      <c r="A1400" s="13" t="s">
        <v>2720</v>
      </c>
      <c r="B1400" s="10">
        <v>42125.0</v>
      </c>
      <c r="C1400" s="11" t="s">
        <v>108</v>
      </c>
      <c r="D1400" s="11" t="s">
        <v>221</v>
      </c>
      <c r="E1400" s="11" t="s">
        <v>39</v>
      </c>
      <c r="F1400" s="11" t="s">
        <v>40</v>
      </c>
      <c r="G1400" s="11" t="s">
        <v>45</v>
      </c>
      <c r="H1400" s="11" t="s">
        <v>276</v>
      </c>
      <c r="I1400" s="11"/>
      <c r="J1400" s="11">
        <v>20.0</v>
      </c>
      <c r="K1400" s="39">
        <v>42547.0</v>
      </c>
      <c r="L1400" s="11">
        <f t="shared" si="149"/>
        <v>14</v>
      </c>
      <c r="M1400" s="11">
        <v>656362.0</v>
      </c>
      <c r="N1400" s="11" t="s">
        <v>2721</v>
      </c>
      <c r="O1400" s="13"/>
      <c r="P1400" s="11">
        <v>0.0</v>
      </c>
      <c r="Q1400" s="14">
        <v>0.0</v>
      </c>
      <c r="R1400" s="41">
        <v>1.0</v>
      </c>
      <c r="S1400">
        <f t="shared" si="1"/>
        <v>2015</v>
      </c>
      <c r="T1400">
        <f t="shared" si="2"/>
        <v>5</v>
      </c>
      <c r="U1400">
        <f t="shared" si="3"/>
        <v>1</v>
      </c>
      <c r="AG1400" s="15"/>
      <c r="AH1400" s="16"/>
      <c r="AM1400" s="15"/>
      <c r="AN1400" s="16"/>
    </row>
    <row r="1401">
      <c r="A1401" s="13" t="s">
        <v>2722</v>
      </c>
      <c r="B1401" s="10">
        <v>42124.0</v>
      </c>
      <c r="C1401" s="11" t="s">
        <v>126</v>
      </c>
      <c r="D1401" s="11" t="s">
        <v>38</v>
      </c>
      <c r="E1401" s="11" t="s">
        <v>39</v>
      </c>
      <c r="F1401" s="11" t="s">
        <v>40</v>
      </c>
      <c r="G1401" s="11" t="s">
        <v>45</v>
      </c>
      <c r="H1401" s="11" t="s">
        <v>652</v>
      </c>
      <c r="I1401" s="11" t="s">
        <v>2723</v>
      </c>
      <c r="J1401" s="11">
        <v>31.0</v>
      </c>
      <c r="K1401" s="39">
        <v>42554.0</v>
      </c>
      <c r="L1401" s="11">
        <f t="shared" si="149"/>
        <v>14</v>
      </c>
      <c r="M1401" s="11">
        <v>435221.0</v>
      </c>
      <c r="N1401" s="11">
        <v>4662.0</v>
      </c>
      <c r="O1401" s="13" t="s">
        <v>69</v>
      </c>
      <c r="P1401" s="11">
        <v>29.0</v>
      </c>
      <c r="Q1401" s="14">
        <v>132.667</v>
      </c>
      <c r="R1401" s="41">
        <v>1.0</v>
      </c>
      <c r="S1401">
        <f t="shared" si="1"/>
        <v>2015</v>
      </c>
      <c r="T1401">
        <f t="shared" si="2"/>
        <v>4</v>
      </c>
      <c r="U1401">
        <f t="shared" si="3"/>
        <v>30</v>
      </c>
      <c r="W1401" s="17">
        <v>42424.0</v>
      </c>
      <c r="Y1401" s="17">
        <v>42520.0</v>
      </c>
      <c r="Z1401" s="17">
        <v>42532.0</v>
      </c>
      <c r="AA1401" s="17">
        <v>42512.0</v>
      </c>
      <c r="AB1401" s="13" t="s">
        <v>2724</v>
      </c>
      <c r="AG1401" s="15"/>
      <c r="AH1401" s="16"/>
      <c r="AM1401" s="15"/>
      <c r="AN1401" s="16"/>
    </row>
    <row r="1402">
      <c r="A1402" s="13" t="s">
        <v>2725</v>
      </c>
      <c r="B1402" s="10">
        <v>42123.0</v>
      </c>
      <c r="C1402" s="11" t="s">
        <v>111</v>
      </c>
      <c r="D1402" s="11" t="s">
        <v>38</v>
      </c>
      <c r="E1402" s="11" t="s">
        <v>39</v>
      </c>
      <c r="F1402" s="11" t="s">
        <v>40</v>
      </c>
      <c r="G1402" s="11" t="s">
        <v>45</v>
      </c>
      <c r="H1402" s="11" t="s">
        <v>59</v>
      </c>
      <c r="I1402" s="11" t="s">
        <v>2305</v>
      </c>
      <c r="J1402" s="11">
        <v>40.0</v>
      </c>
      <c r="K1402" s="39">
        <v>42575.0</v>
      </c>
      <c r="L1402" s="11">
        <f t="shared" si="149"/>
        <v>15</v>
      </c>
      <c r="M1402" s="11">
        <v>150274.0</v>
      </c>
      <c r="N1402" s="11">
        <v>1122.0</v>
      </c>
      <c r="O1402" s="13" t="s">
        <v>42</v>
      </c>
      <c r="P1402" s="11">
        <v>10.0</v>
      </c>
      <c r="Q1402" s="14">
        <v>6.333</v>
      </c>
      <c r="R1402" s="11">
        <v>0.0</v>
      </c>
      <c r="S1402">
        <f t="shared" si="1"/>
        <v>2015</v>
      </c>
      <c r="T1402">
        <f t="shared" si="2"/>
        <v>4</v>
      </c>
      <c r="U1402">
        <f t="shared" si="3"/>
        <v>29</v>
      </c>
      <c r="X1402" s="17">
        <v>42491.0</v>
      </c>
      <c r="Z1402" s="17">
        <v>42544.0</v>
      </c>
      <c r="AG1402" s="15"/>
      <c r="AH1402" s="16"/>
      <c r="AM1402" s="15"/>
      <c r="AN1402" s="16"/>
    </row>
    <row r="1403">
      <c r="A1403" s="13" t="s">
        <v>2726</v>
      </c>
      <c r="B1403" s="10">
        <v>42123.0</v>
      </c>
      <c r="C1403" s="11" t="s">
        <v>362</v>
      </c>
      <c r="D1403" s="11" t="s">
        <v>97</v>
      </c>
      <c r="E1403" s="11" t="s">
        <v>39</v>
      </c>
      <c r="F1403" s="11" t="s">
        <v>40</v>
      </c>
      <c r="G1403" s="11" t="s">
        <v>45</v>
      </c>
      <c r="H1403" s="11" t="s">
        <v>59</v>
      </c>
      <c r="I1403" s="11" t="s">
        <v>2301</v>
      </c>
      <c r="J1403" s="11">
        <v>24.0</v>
      </c>
      <c r="K1403" s="39">
        <v>42570.0</v>
      </c>
      <c r="L1403" s="11">
        <f t="shared" si="149"/>
        <v>15</v>
      </c>
      <c r="M1403" s="11">
        <v>623437.0</v>
      </c>
      <c r="N1403" s="11">
        <v>15145.0</v>
      </c>
      <c r="O1403" s="13"/>
      <c r="P1403" s="11">
        <v>0.0</v>
      </c>
      <c r="Q1403" s="14">
        <v>0.0</v>
      </c>
      <c r="R1403" s="41">
        <v>1.0</v>
      </c>
      <c r="S1403">
        <f t="shared" si="1"/>
        <v>2015</v>
      </c>
      <c r="T1403">
        <f t="shared" si="2"/>
        <v>4</v>
      </c>
      <c r="U1403">
        <f t="shared" si="3"/>
        <v>29</v>
      </c>
      <c r="AG1403" s="15"/>
      <c r="AH1403" s="16"/>
      <c r="AM1403" s="15"/>
      <c r="AN1403" s="16"/>
    </row>
    <row r="1404">
      <c r="A1404" s="13" t="s">
        <v>2727</v>
      </c>
      <c r="B1404" s="10">
        <v>42115.0</v>
      </c>
      <c r="C1404" s="11" t="s">
        <v>116</v>
      </c>
      <c r="D1404" s="11" t="s">
        <v>58</v>
      </c>
      <c r="E1404" s="11" t="s">
        <v>39</v>
      </c>
      <c r="F1404" s="11" t="s">
        <v>64</v>
      </c>
      <c r="G1404" s="11" t="s">
        <v>45</v>
      </c>
      <c r="H1404" s="11" t="s">
        <v>566</v>
      </c>
      <c r="I1404" s="11" t="s">
        <v>812</v>
      </c>
      <c r="J1404" s="11">
        <v>24.0</v>
      </c>
      <c r="K1404" s="39">
        <v>43239.0</v>
      </c>
      <c r="L1404" s="11">
        <f t="shared" si="149"/>
        <v>37</v>
      </c>
      <c r="M1404" s="11">
        <v>621399.0</v>
      </c>
      <c r="N1404" s="11">
        <v>15968.0</v>
      </c>
      <c r="O1404" s="13" t="s">
        <v>761</v>
      </c>
      <c r="P1404" s="11">
        <v>0.0</v>
      </c>
      <c r="Q1404" s="14">
        <v>0.0</v>
      </c>
      <c r="R1404" s="41">
        <v>1.0</v>
      </c>
      <c r="S1404">
        <f t="shared" si="1"/>
        <v>2015</v>
      </c>
      <c r="T1404">
        <f t="shared" si="2"/>
        <v>4</v>
      </c>
      <c r="U1404">
        <f t="shared" si="3"/>
        <v>21</v>
      </c>
      <c r="AG1404" s="15"/>
      <c r="AH1404" s="16"/>
      <c r="AM1404" s="15"/>
      <c r="AN1404" s="16"/>
    </row>
    <row r="1405">
      <c r="A1405" s="13" t="s">
        <v>2728</v>
      </c>
      <c r="B1405" s="10">
        <v>42109.0</v>
      </c>
      <c r="C1405" s="11" t="s">
        <v>150</v>
      </c>
      <c r="D1405" s="11" t="s">
        <v>221</v>
      </c>
      <c r="E1405" s="11" t="s">
        <v>118</v>
      </c>
      <c r="F1405" s="11" t="s">
        <v>40</v>
      </c>
      <c r="G1405" s="11" t="s">
        <v>45</v>
      </c>
      <c r="H1405" s="11" t="s">
        <v>67</v>
      </c>
      <c r="I1405" s="11"/>
      <c r="J1405" s="11">
        <v>20.0</v>
      </c>
      <c r="K1405" s="39">
        <v>42539.0</v>
      </c>
      <c r="L1405" s="11">
        <f t="shared" si="149"/>
        <v>14</v>
      </c>
      <c r="M1405" s="11">
        <v>642125.0</v>
      </c>
      <c r="N1405" s="11" t="s">
        <v>2729</v>
      </c>
      <c r="O1405" s="13" t="s">
        <v>69</v>
      </c>
      <c r="P1405" s="11">
        <v>0.0</v>
      </c>
      <c r="Q1405" s="14">
        <v>0.0</v>
      </c>
      <c r="R1405" s="41">
        <v>1.0</v>
      </c>
      <c r="S1405">
        <f t="shared" si="1"/>
        <v>2015</v>
      </c>
      <c r="T1405">
        <f t="shared" si="2"/>
        <v>4</v>
      </c>
      <c r="U1405">
        <f t="shared" si="3"/>
        <v>15</v>
      </c>
      <c r="AG1405" s="15"/>
      <c r="AH1405" s="16"/>
      <c r="AM1405" s="15"/>
      <c r="AN1405" s="16"/>
    </row>
    <row r="1406">
      <c r="A1406" s="13" t="s">
        <v>2730</v>
      </c>
      <c r="B1406" s="10">
        <v>42109.0</v>
      </c>
      <c r="C1406" s="11" t="s">
        <v>186</v>
      </c>
      <c r="D1406" s="11" t="s">
        <v>38</v>
      </c>
      <c r="E1406" s="11" t="s">
        <v>39</v>
      </c>
      <c r="F1406" s="11" t="s">
        <v>40</v>
      </c>
      <c r="G1406" s="11" t="s">
        <v>41</v>
      </c>
      <c r="H1406" s="11"/>
      <c r="I1406" s="11"/>
      <c r="J1406" s="11">
        <v>25.0</v>
      </c>
      <c r="K1406" s="39">
        <v>42847.0</v>
      </c>
      <c r="L1406" s="11">
        <f t="shared" si="149"/>
        <v>24</v>
      </c>
      <c r="M1406" s="11">
        <v>570810.0</v>
      </c>
      <c r="N1406" s="11">
        <v>11266.0</v>
      </c>
      <c r="O1406" s="13" t="s">
        <v>42</v>
      </c>
      <c r="P1406" s="11">
        <v>10.0</v>
      </c>
      <c r="Q1406" s="14">
        <v>36.667</v>
      </c>
      <c r="R1406" s="41">
        <v>1.0</v>
      </c>
      <c r="S1406">
        <f t="shared" si="1"/>
        <v>2015</v>
      </c>
      <c r="T1406">
        <f t="shared" si="2"/>
        <v>4</v>
      </c>
      <c r="U1406">
        <f t="shared" si="3"/>
        <v>15</v>
      </c>
      <c r="Z1406" s="17">
        <v>42467.0</v>
      </c>
      <c r="AG1406" s="15"/>
      <c r="AH1406" s="16"/>
      <c r="AM1406" s="15"/>
      <c r="AN1406" s="16"/>
    </row>
    <row r="1407">
      <c r="A1407" s="13" t="s">
        <v>2731</v>
      </c>
      <c r="B1407" s="10">
        <v>42108.0</v>
      </c>
      <c r="C1407" s="11" t="s">
        <v>37</v>
      </c>
      <c r="D1407" s="11" t="s">
        <v>93</v>
      </c>
      <c r="E1407" s="11" t="s">
        <v>39</v>
      </c>
      <c r="F1407" s="11" t="s">
        <v>40</v>
      </c>
      <c r="G1407" s="11" t="s">
        <v>45</v>
      </c>
      <c r="H1407" s="11" t="s">
        <v>127</v>
      </c>
      <c r="I1407" s="11" t="s">
        <v>127</v>
      </c>
      <c r="J1407" s="11">
        <v>21.0</v>
      </c>
      <c r="K1407" s="39">
        <v>42538.0</v>
      </c>
      <c r="L1407" s="11">
        <f t="shared" si="149"/>
        <v>14</v>
      </c>
      <c r="M1407" s="11">
        <v>621258.0</v>
      </c>
      <c r="N1407" s="11" t="s">
        <v>2732</v>
      </c>
      <c r="O1407" s="13" t="s">
        <v>761</v>
      </c>
      <c r="P1407" s="11">
        <v>0.0</v>
      </c>
      <c r="Q1407" s="14">
        <v>0.0</v>
      </c>
      <c r="R1407" s="41">
        <v>1.0</v>
      </c>
      <c r="S1407">
        <f t="shared" si="1"/>
        <v>2015</v>
      </c>
      <c r="T1407">
        <f t="shared" si="2"/>
        <v>4</v>
      </c>
      <c r="U1407">
        <f t="shared" si="3"/>
        <v>14</v>
      </c>
      <c r="AG1407" s="15"/>
      <c r="AH1407" s="16"/>
      <c r="AM1407" s="15"/>
      <c r="AN1407" s="16"/>
    </row>
    <row r="1408">
      <c r="A1408" s="13" t="s">
        <v>2733</v>
      </c>
      <c r="B1408" s="10">
        <v>42108.0</v>
      </c>
      <c r="C1408" s="11" t="s">
        <v>186</v>
      </c>
      <c r="D1408" s="11" t="s">
        <v>93</v>
      </c>
      <c r="E1408" s="11" t="s">
        <v>39</v>
      </c>
      <c r="F1408" s="11" t="s">
        <v>40</v>
      </c>
      <c r="G1408" s="11" t="s">
        <v>45</v>
      </c>
      <c r="H1408" s="11" t="s">
        <v>566</v>
      </c>
      <c r="I1408" s="11" t="s">
        <v>999</v>
      </c>
      <c r="J1408" s="11">
        <v>21.0</v>
      </c>
      <c r="K1408" s="39">
        <v>42538.0</v>
      </c>
      <c r="L1408" s="11">
        <f t="shared" si="149"/>
        <v>14</v>
      </c>
      <c r="M1408" s="11">
        <v>664055.0</v>
      </c>
      <c r="N1408" s="11" t="s">
        <v>2734</v>
      </c>
      <c r="O1408" s="13"/>
      <c r="P1408" s="11">
        <v>0.0</v>
      </c>
      <c r="Q1408" s="14">
        <v>0.0</v>
      </c>
      <c r="R1408" s="41">
        <v>1.0</v>
      </c>
      <c r="S1408">
        <f t="shared" si="1"/>
        <v>2015</v>
      </c>
      <c r="T1408">
        <f t="shared" si="2"/>
        <v>4</v>
      </c>
      <c r="U1408">
        <f t="shared" si="3"/>
        <v>14</v>
      </c>
      <c r="AA1408" s="17">
        <v>42543.0</v>
      </c>
      <c r="AB1408" s="13" t="s">
        <v>2735</v>
      </c>
      <c r="AG1408" s="15"/>
      <c r="AH1408" s="16"/>
      <c r="AM1408" s="15"/>
      <c r="AN1408" s="16"/>
    </row>
    <row r="1409">
      <c r="A1409" s="13" t="s">
        <v>2736</v>
      </c>
      <c r="B1409" s="10">
        <v>42104.0</v>
      </c>
      <c r="C1409" s="11" t="s">
        <v>103</v>
      </c>
      <c r="D1409" s="11" t="s">
        <v>97</v>
      </c>
      <c r="E1409" s="11" t="s">
        <v>39</v>
      </c>
      <c r="F1409" s="11" t="s">
        <v>64</v>
      </c>
      <c r="G1409" s="11" t="s">
        <v>460</v>
      </c>
      <c r="H1409" s="11"/>
      <c r="I1409" s="11"/>
      <c r="J1409" s="11">
        <v>19.0</v>
      </c>
      <c r="K1409" s="39">
        <v>42874.0</v>
      </c>
      <c r="L1409" s="11">
        <f t="shared" si="149"/>
        <v>25</v>
      </c>
      <c r="M1409" s="11">
        <v>626929.0</v>
      </c>
      <c r="N1409" s="11">
        <v>15906.0</v>
      </c>
      <c r="O1409" s="13" t="s">
        <v>2737</v>
      </c>
      <c r="P1409" s="11">
        <v>0.0</v>
      </c>
      <c r="Q1409" s="14">
        <v>0.0</v>
      </c>
      <c r="R1409" s="41">
        <v>1.0</v>
      </c>
      <c r="S1409">
        <f t="shared" si="1"/>
        <v>2015</v>
      </c>
      <c r="T1409">
        <f t="shared" si="2"/>
        <v>4</v>
      </c>
      <c r="U1409">
        <f t="shared" si="3"/>
        <v>10</v>
      </c>
      <c r="AG1409" s="15"/>
      <c r="AH1409" s="16"/>
      <c r="AM1409" s="15"/>
      <c r="AN1409" s="16"/>
    </row>
    <row r="1410">
      <c r="A1410" s="13" t="s">
        <v>2738</v>
      </c>
      <c r="B1410" s="10">
        <v>42103.0</v>
      </c>
      <c r="C1410" s="11" t="s">
        <v>108</v>
      </c>
      <c r="D1410" s="11" t="s">
        <v>221</v>
      </c>
      <c r="E1410" s="11" t="s">
        <v>39</v>
      </c>
      <c r="F1410" s="11" t="s">
        <v>40</v>
      </c>
      <c r="G1410" s="11" t="s">
        <v>41</v>
      </c>
      <c r="H1410" s="11"/>
      <c r="I1410" s="11"/>
      <c r="J1410" s="11">
        <v>24.0</v>
      </c>
      <c r="K1410" s="39">
        <v>42577.0</v>
      </c>
      <c r="L1410" s="11">
        <f t="shared" si="149"/>
        <v>16</v>
      </c>
      <c r="M1410" s="11">
        <v>576968.0</v>
      </c>
      <c r="N1410" s="11" t="s">
        <v>2739</v>
      </c>
      <c r="O1410" s="13"/>
      <c r="P1410" s="11">
        <v>0.0</v>
      </c>
      <c r="Q1410" s="14">
        <v>0.0</v>
      </c>
      <c r="R1410" s="41">
        <v>1.0</v>
      </c>
      <c r="S1410">
        <f t="shared" si="1"/>
        <v>2015</v>
      </c>
      <c r="T1410">
        <f t="shared" si="2"/>
        <v>4</v>
      </c>
      <c r="U1410">
        <f t="shared" si="3"/>
        <v>9</v>
      </c>
      <c r="AG1410" s="15"/>
      <c r="AH1410" s="16"/>
      <c r="AM1410" s="15"/>
      <c r="AN1410" s="16"/>
    </row>
    <row r="1411">
      <c r="A1411" s="13" t="s">
        <v>2740</v>
      </c>
      <c r="B1411" s="10">
        <v>42102.0</v>
      </c>
      <c r="C1411" s="11" t="s">
        <v>138</v>
      </c>
      <c r="D1411" s="11" t="s">
        <v>88</v>
      </c>
      <c r="E1411" s="11" t="s">
        <v>39</v>
      </c>
      <c r="F1411" s="11" t="s">
        <v>40</v>
      </c>
      <c r="G1411" s="11" t="s">
        <v>45</v>
      </c>
      <c r="H1411" s="11" t="s">
        <v>46</v>
      </c>
      <c r="I1411" s="11"/>
      <c r="J1411" s="11">
        <v>24.0</v>
      </c>
      <c r="K1411" s="30"/>
      <c r="L1411" s="30"/>
      <c r="M1411" s="11">
        <v>542918.0</v>
      </c>
      <c r="N1411" s="11" t="s">
        <v>2741</v>
      </c>
      <c r="O1411" s="13" t="s">
        <v>2742</v>
      </c>
      <c r="P1411" s="11">
        <v>0.0</v>
      </c>
      <c r="Q1411" s="14">
        <v>0.0</v>
      </c>
      <c r="R1411" s="11">
        <v>0.0</v>
      </c>
      <c r="S1411">
        <f t="shared" si="1"/>
        <v>2015</v>
      </c>
      <c r="T1411">
        <f t="shared" si="2"/>
        <v>4</v>
      </c>
      <c r="U1411">
        <f t="shared" si="3"/>
        <v>8</v>
      </c>
      <c r="AG1411" s="15"/>
      <c r="AH1411" s="16"/>
      <c r="AM1411" s="15"/>
      <c r="AN1411" s="16"/>
    </row>
    <row r="1412">
      <c r="A1412" s="13" t="s">
        <v>2743</v>
      </c>
      <c r="B1412" s="10">
        <v>42102.0</v>
      </c>
      <c r="C1412" s="11" t="s">
        <v>37</v>
      </c>
      <c r="D1412" s="11" t="s">
        <v>38</v>
      </c>
      <c r="E1412" s="11" t="s">
        <v>39</v>
      </c>
      <c r="F1412" s="11" t="s">
        <v>40</v>
      </c>
      <c r="G1412" s="11" t="s">
        <v>45</v>
      </c>
      <c r="H1412" s="11" t="s">
        <v>119</v>
      </c>
      <c r="I1412" s="11" t="s">
        <v>2744</v>
      </c>
      <c r="J1412" s="11">
        <v>28.0</v>
      </c>
      <c r="K1412" s="30"/>
      <c r="L1412" s="30"/>
      <c r="M1412" s="11">
        <v>543070.0</v>
      </c>
      <c r="N1412" s="11">
        <v>10149.0</v>
      </c>
      <c r="O1412" s="13" t="s">
        <v>1407</v>
      </c>
      <c r="P1412" s="11">
        <v>0.0</v>
      </c>
      <c r="Q1412" s="14">
        <v>0.0</v>
      </c>
      <c r="R1412" s="11">
        <v>0.0</v>
      </c>
      <c r="S1412">
        <f t="shared" si="1"/>
        <v>2015</v>
      </c>
      <c r="T1412">
        <f t="shared" si="2"/>
        <v>4</v>
      </c>
      <c r="U1412">
        <f t="shared" si="3"/>
        <v>8</v>
      </c>
      <c r="X1412" s="17">
        <v>42420.0</v>
      </c>
      <c r="Z1412" s="17">
        <v>42465.0</v>
      </c>
      <c r="AA1412" s="17">
        <v>42500.0</v>
      </c>
      <c r="AB1412" s="13" t="s">
        <v>2745</v>
      </c>
      <c r="AG1412" s="15"/>
      <c r="AH1412" s="16"/>
      <c r="AM1412" s="15"/>
      <c r="AN1412" s="16"/>
    </row>
    <row r="1413">
      <c r="A1413" s="13" t="s">
        <v>2746</v>
      </c>
      <c r="B1413" s="10">
        <v>42102.0</v>
      </c>
      <c r="C1413" s="11" t="s">
        <v>103</v>
      </c>
      <c r="D1413" s="11" t="s">
        <v>88</v>
      </c>
      <c r="E1413" s="11" t="s">
        <v>39</v>
      </c>
      <c r="F1413" s="11" t="s">
        <v>40</v>
      </c>
      <c r="G1413" s="11" t="s">
        <v>45</v>
      </c>
      <c r="H1413" s="11" t="s">
        <v>735</v>
      </c>
      <c r="I1413" s="11"/>
      <c r="J1413" s="11">
        <v>25.0</v>
      </c>
      <c r="K1413" s="30"/>
      <c r="L1413" s="30"/>
      <c r="M1413" s="11">
        <v>543297.0</v>
      </c>
      <c r="N1413" s="11" t="s">
        <v>2747</v>
      </c>
      <c r="O1413" s="13" t="s">
        <v>2737</v>
      </c>
      <c r="P1413" s="11">
        <v>0.0</v>
      </c>
      <c r="Q1413" s="14">
        <v>0.0</v>
      </c>
      <c r="R1413" s="11">
        <v>0.0</v>
      </c>
      <c r="S1413">
        <f t="shared" si="1"/>
        <v>2015</v>
      </c>
      <c r="T1413">
        <f t="shared" si="2"/>
        <v>4</v>
      </c>
      <c r="U1413">
        <f t="shared" si="3"/>
        <v>8</v>
      </c>
      <c r="AG1413" s="15"/>
      <c r="AH1413" s="16"/>
      <c r="AM1413" s="15"/>
      <c r="AN1413" s="16"/>
    </row>
    <row r="1414">
      <c r="A1414" s="13" t="s">
        <v>2748</v>
      </c>
      <c r="B1414" s="10">
        <v>42102.0</v>
      </c>
      <c r="C1414" s="11" t="s">
        <v>150</v>
      </c>
      <c r="D1414" s="11" t="s">
        <v>38</v>
      </c>
      <c r="E1414" s="11" t="s">
        <v>39</v>
      </c>
      <c r="F1414" s="11" t="s">
        <v>64</v>
      </c>
      <c r="G1414" s="11" t="s">
        <v>45</v>
      </c>
      <c r="H1414" s="11" t="s">
        <v>67</v>
      </c>
      <c r="I1414" s="11" t="s">
        <v>373</v>
      </c>
      <c r="J1414" s="11">
        <v>26.0</v>
      </c>
      <c r="K1414" s="30"/>
      <c r="L1414" s="30"/>
      <c r="M1414" s="11">
        <v>571786.0</v>
      </c>
      <c r="N1414" s="11">
        <v>10504.0</v>
      </c>
      <c r="O1414" s="13" t="s">
        <v>1591</v>
      </c>
      <c r="P1414" s="11">
        <v>0.0</v>
      </c>
      <c r="Q1414" s="14">
        <v>0.0</v>
      </c>
      <c r="R1414" s="11">
        <v>0.0</v>
      </c>
      <c r="S1414">
        <f t="shared" si="1"/>
        <v>2015</v>
      </c>
      <c r="T1414">
        <f t="shared" si="2"/>
        <v>4</v>
      </c>
      <c r="U1414">
        <f t="shared" si="3"/>
        <v>8</v>
      </c>
      <c r="Y1414" s="17">
        <v>42451.0</v>
      </c>
      <c r="Z1414" s="17">
        <v>42499.0</v>
      </c>
      <c r="AG1414" s="15"/>
      <c r="AH1414" s="16"/>
      <c r="AM1414" s="15"/>
      <c r="AN1414" s="16"/>
    </row>
    <row r="1415">
      <c r="A1415" s="13" t="s">
        <v>2749</v>
      </c>
      <c r="B1415" s="10">
        <v>42101.0</v>
      </c>
      <c r="C1415" s="11" t="s">
        <v>156</v>
      </c>
      <c r="D1415" s="11" t="s">
        <v>58</v>
      </c>
      <c r="E1415" s="11" t="s">
        <v>39</v>
      </c>
      <c r="F1415" s="11" t="s">
        <v>40</v>
      </c>
      <c r="G1415" s="11" t="s">
        <v>45</v>
      </c>
      <c r="H1415" s="11" t="s">
        <v>56</v>
      </c>
      <c r="I1415" s="11" t="s">
        <v>2750</v>
      </c>
      <c r="J1415" s="11">
        <v>25.0</v>
      </c>
      <c r="K1415" s="39">
        <v>42968.0</v>
      </c>
      <c r="L1415" s="11">
        <f t="shared" ref="L1415:L1419" si="150">ROUND(((K1415-B1415)/365)*12,0)</f>
        <v>29</v>
      </c>
      <c r="M1415" s="11">
        <v>572143.0</v>
      </c>
      <c r="N1415" s="11">
        <v>12784.0</v>
      </c>
      <c r="O1415" s="13" t="s">
        <v>761</v>
      </c>
      <c r="P1415" s="11">
        <v>0.0</v>
      </c>
      <c r="Q1415" s="14">
        <v>0.0</v>
      </c>
      <c r="R1415" s="11">
        <v>1.0</v>
      </c>
      <c r="S1415">
        <f t="shared" si="1"/>
        <v>2015</v>
      </c>
      <c r="T1415">
        <f t="shared" si="2"/>
        <v>4</v>
      </c>
      <c r="U1415">
        <f t="shared" si="3"/>
        <v>7</v>
      </c>
      <c r="Z1415" s="17">
        <v>42912.0</v>
      </c>
      <c r="AA1415" s="17">
        <v>42370.0</v>
      </c>
      <c r="AB1415" s="13" t="s">
        <v>2751</v>
      </c>
      <c r="AG1415" s="15"/>
      <c r="AH1415" s="16"/>
      <c r="AM1415" s="15"/>
      <c r="AN1415" s="16"/>
    </row>
    <row r="1416">
      <c r="A1416" s="13" t="s">
        <v>2752</v>
      </c>
      <c r="B1416" s="10">
        <v>42100.0</v>
      </c>
      <c r="C1416" s="11" t="s">
        <v>126</v>
      </c>
      <c r="D1416" s="11" t="s">
        <v>93</v>
      </c>
      <c r="E1416" s="11" t="s">
        <v>39</v>
      </c>
      <c r="F1416" s="11" t="s">
        <v>40</v>
      </c>
      <c r="G1416" s="11" t="s">
        <v>45</v>
      </c>
      <c r="H1416" s="11" t="s">
        <v>67</v>
      </c>
      <c r="I1416" s="11" t="s">
        <v>2753</v>
      </c>
      <c r="J1416" s="11">
        <v>21.0</v>
      </c>
      <c r="K1416" s="12">
        <v>42578.0</v>
      </c>
      <c r="L1416" s="11">
        <f t="shared" si="150"/>
        <v>16</v>
      </c>
      <c r="M1416" s="11">
        <v>641445.0</v>
      </c>
      <c r="N1416" s="11" t="s">
        <v>2754</v>
      </c>
      <c r="O1416" s="13" t="s">
        <v>761</v>
      </c>
      <c r="P1416" s="11">
        <v>0.0</v>
      </c>
      <c r="Q1416" s="14">
        <v>0.0</v>
      </c>
      <c r="R1416" s="11">
        <v>0.0</v>
      </c>
      <c r="S1416">
        <f t="shared" si="1"/>
        <v>2015</v>
      </c>
      <c r="T1416">
        <f t="shared" si="2"/>
        <v>4</v>
      </c>
      <c r="U1416">
        <f t="shared" si="3"/>
        <v>6</v>
      </c>
      <c r="AG1416" s="15"/>
      <c r="AH1416" s="16"/>
      <c r="AM1416" s="15"/>
      <c r="AN1416" s="16"/>
    </row>
    <row r="1417">
      <c r="A1417" s="13" t="s">
        <v>2755</v>
      </c>
      <c r="B1417" s="10">
        <v>42096.0</v>
      </c>
      <c r="C1417" s="11" t="s">
        <v>116</v>
      </c>
      <c r="D1417" s="11" t="s">
        <v>221</v>
      </c>
      <c r="E1417" s="11" t="s">
        <v>39</v>
      </c>
      <c r="F1417" s="11" t="s">
        <v>40</v>
      </c>
      <c r="G1417" s="11" t="s">
        <v>45</v>
      </c>
      <c r="H1417" s="11" t="s">
        <v>67</v>
      </c>
      <c r="I1417" s="11" t="s">
        <v>2756</v>
      </c>
      <c r="J1417" s="11">
        <v>21.0</v>
      </c>
      <c r="K1417" s="39">
        <v>42546.0</v>
      </c>
      <c r="L1417" s="11">
        <f t="shared" si="150"/>
        <v>15</v>
      </c>
      <c r="M1417" s="11">
        <v>657097.0</v>
      </c>
      <c r="N1417" s="11">
        <v>19274.0</v>
      </c>
      <c r="O1417" s="13" t="s">
        <v>2757</v>
      </c>
      <c r="P1417" s="11">
        <v>0.0</v>
      </c>
      <c r="Q1417" s="14">
        <v>0.0</v>
      </c>
      <c r="R1417" s="41">
        <v>1.0</v>
      </c>
      <c r="S1417">
        <f t="shared" si="1"/>
        <v>2015</v>
      </c>
      <c r="T1417">
        <f t="shared" si="2"/>
        <v>4</v>
      </c>
      <c r="U1417">
        <f t="shared" si="3"/>
        <v>2</v>
      </c>
      <c r="AG1417" s="15"/>
      <c r="AH1417" s="16"/>
      <c r="AM1417" s="15"/>
      <c r="AN1417" s="16"/>
    </row>
    <row r="1418">
      <c r="A1418" s="13" t="s">
        <v>2758</v>
      </c>
      <c r="B1418" s="10">
        <v>42096.0</v>
      </c>
      <c r="C1418" s="11" t="s">
        <v>72</v>
      </c>
      <c r="D1418" s="11" t="s">
        <v>38</v>
      </c>
      <c r="E1418" s="11" t="s">
        <v>104</v>
      </c>
      <c r="F1418" s="11" t="s">
        <v>40</v>
      </c>
      <c r="G1418" s="11" t="s">
        <v>225</v>
      </c>
      <c r="H1418" s="11"/>
      <c r="I1418" s="11"/>
      <c r="J1418" s="11">
        <v>24.0</v>
      </c>
      <c r="K1418" s="12">
        <v>42475.0</v>
      </c>
      <c r="L1418" s="11">
        <f t="shared" si="150"/>
        <v>12</v>
      </c>
      <c r="M1418" s="11">
        <v>543877.0</v>
      </c>
      <c r="N1418" s="11">
        <v>9774.0</v>
      </c>
      <c r="O1418" s="13" t="s">
        <v>761</v>
      </c>
      <c r="P1418" s="11">
        <v>156.0</v>
      </c>
      <c r="Q1418" s="14">
        <v>529.0</v>
      </c>
      <c r="R1418" s="41">
        <v>1.0</v>
      </c>
      <c r="S1418">
        <f t="shared" si="1"/>
        <v>2015</v>
      </c>
      <c r="T1418">
        <f t="shared" si="2"/>
        <v>4</v>
      </c>
      <c r="U1418">
        <f t="shared" si="3"/>
        <v>2</v>
      </c>
      <c r="Z1418" s="17">
        <v>42468.0</v>
      </c>
      <c r="AG1418" s="15"/>
      <c r="AH1418" s="16"/>
      <c r="AM1418" s="15"/>
      <c r="AN1418" s="16"/>
    </row>
    <row r="1419">
      <c r="A1419" s="13" t="s">
        <v>2759</v>
      </c>
      <c r="B1419" s="10">
        <v>42096.0</v>
      </c>
      <c r="C1419" s="11" t="s">
        <v>150</v>
      </c>
      <c r="D1419" s="11" t="s">
        <v>221</v>
      </c>
      <c r="E1419" s="11" t="s">
        <v>39</v>
      </c>
      <c r="F1419" s="11" t="s">
        <v>40</v>
      </c>
      <c r="G1419" s="11" t="s">
        <v>45</v>
      </c>
      <c r="H1419" s="11" t="s">
        <v>301</v>
      </c>
      <c r="I1419" s="11"/>
      <c r="J1419" s="11">
        <v>21.0</v>
      </c>
      <c r="K1419" s="39">
        <v>42512.0</v>
      </c>
      <c r="L1419" s="11">
        <f t="shared" si="150"/>
        <v>14</v>
      </c>
      <c r="M1419" s="11">
        <v>623454.0</v>
      </c>
      <c r="N1419" s="11">
        <v>15130.0</v>
      </c>
      <c r="O1419" s="13"/>
      <c r="P1419" s="11">
        <v>2.0</v>
      </c>
      <c r="Q1419" s="14">
        <v>2.333</v>
      </c>
      <c r="R1419" s="41">
        <v>1.0</v>
      </c>
      <c r="S1419">
        <f t="shared" si="1"/>
        <v>2015</v>
      </c>
      <c r="T1419">
        <f t="shared" si="2"/>
        <v>4</v>
      </c>
      <c r="U1419">
        <f t="shared" si="3"/>
        <v>2</v>
      </c>
      <c r="AG1419" s="15"/>
      <c r="AH1419" s="16"/>
      <c r="AM1419" s="15"/>
      <c r="AN1419" s="16"/>
    </row>
    <row r="1420">
      <c r="A1420" s="13" t="s">
        <v>2760</v>
      </c>
      <c r="B1420" s="10">
        <v>42095.0</v>
      </c>
      <c r="C1420" s="11" t="s">
        <v>101</v>
      </c>
      <c r="D1420" s="11" t="s">
        <v>93</v>
      </c>
      <c r="E1420" s="11" t="s">
        <v>39</v>
      </c>
      <c r="F1420" s="11" t="s">
        <v>40</v>
      </c>
      <c r="G1420" s="11" t="s">
        <v>45</v>
      </c>
      <c r="H1420" s="11" t="s">
        <v>73</v>
      </c>
      <c r="I1420" s="11" t="s">
        <v>613</v>
      </c>
      <c r="J1420" s="11">
        <v>20.0</v>
      </c>
      <c r="K1420" s="12">
        <v>42919.0</v>
      </c>
      <c r="L1420" s="11"/>
      <c r="M1420" s="11">
        <v>643232.0</v>
      </c>
      <c r="N1420" s="11" t="s">
        <v>2761</v>
      </c>
      <c r="O1420" s="13"/>
      <c r="P1420" s="11">
        <v>0.0</v>
      </c>
      <c r="Q1420" s="14">
        <v>0.0</v>
      </c>
      <c r="R1420" s="11">
        <v>1.0</v>
      </c>
      <c r="S1420">
        <f t="shared" si="1"/>
        <v>2015</v>
      </c>
      <c r="T1420">
        <f t="shared" si="2"/>
        <v>4</v>
      </c>
      <c r="U1420">
        <f t="shared" si="3"/>
        <v>1</v>
      </c>
      <c r="AG1420" s="15"/>
      <c r="AH1420" s="16"/>
      <c r="AM1420" s="15"/>
      <c r="AN1420" s="16"/>
    </row>
    <row r="1421">
      <c r="A1421" s="13" t="s">
        <v>2762</v>
      </c>
      <c r="B1421" s="10">
        <v>42095.0</v>
      </c>
      <c r="C1421" s="11" t="s">
        <v>167</v>
      </c>
      <c r="D1421" s="11" t="s">
        <v>88</v>
      </c>
      <c r="E1421" s="11" t="s">
        <v>39</v>
      </c>
      <c r="F1421" s="11" t="s">
        <v>40</v>
      </c>
      <c r="G1421" s="11" t="s">
        <v>45</v>
      </c>
      <c r="H1421" s="11" t="s">
        <v>59</v>
      </c>
      <c r="I1421" s="11"/>
      <c r="J1421" s="11">
        <v>24.0</v>
      </c>
      <c r="K1421" s="12">
        <v>42470.0</v>
      </c>
      <c r="L1421" s="11">
        <f>ROUND(((K1421-B1421)/365)*12,0)</f>
        <v>12</v>
      </c>
      <c r="M1421" s="11">
        <v>542231.0</v>
      </c>
      <c r="N1421" s="11" t="s">
        <v>2763</v>
      </c>
      <c r="O1421" s="13"/>
      <c r="P1421" s="11">
        <v>0.0</v>
      </c>
      <c r="Q1421" s="14">
        <v>0.0</v>
      </c>
      <c r="R1421" s="41">
        <v>1.0</v>
      </c>
      <c r="S1421">
        <f t="shared" si="1"/>
        <v>2015</v>
      </c>
      <c r="T1421">
        <f t="shared" si="2"/>
        <v>4</v>
      </c>
      <c r="U1421">
        <f t="shared" si="3"/>
        <v>1</v>
      </c>
      <c r="AG1421" s="15"/>
      <c r="AH1421" s="16"/>
      <c r="AM1421" s="15"/>
      <c r="AN1421" s="16"/>
    </row>
    <row r="1422">
      <c r="A1422" s="13" t="s">
        <v>2764</v>
      </c>
      <c r="B1422" s="10">
        <v>42095.0</v>
      </c>
      <c r="C1422" s="11" t="s">
        <v>230</v>
      </c>
      <c r="D1422" s="11" t="s">
        <v>93</v>
      </c>
      <c r="E1422" s="11" t="s">
        <v>39</v>
      </c>
      <c r="F1422" s="11" t="s">
        <v>64</v>
      </c>
      <c r="G1422" s="11" t="s">
        <v>45</v>
      </c>
      <c r="H1422" s="11" t="s">
        <v>67</v>
      </c>
      <c r="I1422" s="11" t="s">
        <v>2765</v>
      </c>
      <c r="J1422" s="11">
        <v>20.0</v>
      </c>
      <c r="K1422" s="39">
        <v>42912.0</v>
      </c>
      <c r="L1422" s="11"/>
      <c r="M1422" s="11">
        <v>676705.0</v>
      </c>
      <c r="N1422" s="11" t="s">
        <v>2766</v>
      </c>
      <c r="O1422" s="13"/>
      <c r="P1422" s="11">
        <v>0.0</v>
      </c>
      <c r="Q1422" s="14">
        <v>0.0</v>
      </c>
      <c r="R1422" s="11">
        <v>1.0</v>
      </c>
      <c r="S1422">
        <f t="shared" si="1"/>
        <v>2015</v>
      </c>
      <c r="T1422">
        <f t="shared" si="2"/>
        <v>4</v>
      </c>
      <c r="U1422">
        <f t="shared" si="3"/>
        <v>1</v>
      </c>
      <c r="AG1422" s="15"/>
      <c r="AH1422" s="16"/>
      <c r="AM1422" s="15"/>
      <c r="AN1422" s="16"/>
    </row>
    <row r="1423">
      <c r="A1423" s="13" t="s">
        <v>2767</v>
      </c>
      <c r="B1423" s="10">
        <v>42095.0</v>
      </c>
      <c r="C1423" s="11" t="s">
        <v>76</v>
      </c>
      <c r="D1423" s="11" t="s">
        <v>93</v>
      </c>
      <c r="E1423" s="11" t="s">
        <v>39</v>
      </c>
      <c r="F1423" s="11" t="s">
        <v>40</v>
      </c>
      <c r="G1423" s="11" t="s">
        <v>45</v>
      </c>
      <c r="H1423" s="11" t="s">
        <v>262</v>
      </c>
      <c r="I1423" s="11" t="s">
        <v>173</v>
      </c>
      <c r="J1423" s="11">
        <v>20.0</v>
      </c>
      <c r="K1423" s="39">
        <v>42935.0</v>
      </c>
      <c r="L1423" s="11"/>
      <c r="M1423" s="11">
        <v>640444.0</v>
      </c>
      <c r="N1423" s="11">
        <v>19800.0</v>
      </c>
      <c r="O1423" s="13" t="s">
        <v>761</v>
      </c>
      <c r="P1423" s="11">
        <v>0.0</v>
      </c>
      <c r="Q1423" s="14">
        <v>0.0</v>
      </c>
      <c r="R1423" s="11">
        <v>1.0</v>
      </c>
      <c r="S1423">
        <f t="shared" si="1"/>
        <v>2015</v>
      </c>
      <c r="T1423">
        <f t="shared" si="2"/>
        <v>4</v>
      </c>
      <c r="U1423">
        <f t="shared" si="3"/>
        <v>1</v>
      </c>
      <c r="AG1423" s="15"/>
      <c r="AH1423" s="16"/>
      <c r="AM1423" s="15"/>
      <c r="AN1423" s="16"/>
    </row>
    <row r="1424">
      <c r="A1424" s="13" t="s">
        <v>2768</v>
      </c>
      <c r="B1424" s="10">
        <v>42094.0</v>
      </c>
      <c r="C1424" s="11" t="s">
        <v>108</v>
      </c>
      <c r="D1424" s="11" t="s">
        <v>97</v>
      </c>
      <c r="E1424" s="11" t="s">
        <v>39</v>
      </c>
      <c r="F1424" s="11" t="s">
        <v>40</v>
      </c>
      <c r="G1424" s="11" t="s">
        <v>41</v>
      </c>
      <c r="H1424" s="11"/>
      <c r="I1424" s="11"/>
      <c r="J1424" s="11">
        <v>22.0</v>
      </c>
      <c r="K1424" s="39">
        <v>42547.0</v>
      </c>
      <c r="L1424" s="11">
        <f>ROUND(((K1424-B1424)/365)*12,0)</f>
        <v>15</v>
      </c>
      <c r="M1424" s="11">
        <v>593334.0</v>
      </c>
      <c r="N1424" s="11">
        <v>17149.0</v>
      </c>
      <c r="O1424" s="13" t="s">
        <v>494</v>
      </c>
      <c r="P1424" s="11">
        <v>7.0</v>
      </c>
      <c r="Q1424" s="14">
        <v>14.333</v>
      </c>
      <c r="R1424" s="41">
        <v>1.0</v>
      </c>
      <c r="S1424">
        <f t="shared" si="1"/>
        <v>2015</v>
      </c>
      <c r="T1424">
        <f t="shared" si="2"/>
        <v>3</v>
      </c>
      <c r="U1424">
        <f t="shared" si="3"/>
        <v>31</v>
      </c>
      <c r="AG1424" s="15"/>
      <c r="AH1424" s="16"/>
      <c r="AM1424" s="15"/>
      <c r="AN1424" s="16"/>
    </row>
    <row r="1425">
      <c r="A1425" s="13" t="s">
        <v>2529</v>
      </c>
      <c r="B1425" s="10">
        <v>42094.0</v>
      </c>
      <c r="C1425" s="11" t="s">
        <v>108</v>
      </c>
      <c r="D1425" s="11" t="s">
        <v>709</v>
      </c>
      <c r="E1425" s="11" t="s">
        <v>39</v>
      </c>
      <c r="F1425" s="11" t="s">
        <v>40</v>
      </c>
      <c r="G1425" s="11" t="s">
        <v>45</v>
      </c>
      <c r="H1425" s="11" t="s">
        <v>112</v>
      </c>
      <c r="I1425" s="11"/>
      <c r="J1425" s="11">
        <v>21.0</v>
      </c>
      <c r="K1425" s="30"/>
      <c r="L1425" s="30"/>
      <c r="M1425" s="11">
        <v>544621.0</v>
      </c>
      <c r="N1425" s="11" t="s">
        <v>2530</v>
      </c>
      <c r="O1425" s="13" t="s">
        <v>761</v>
      </c>
      <c r="P1425" s="11">
        <v>0.0</v>
      </c>
      <c r="Q1425" s="14">
        <v>0.0</v>
      </c>
      <c r="R1425" s="41">
        <v>0.0</v>
      </c>
      <c r="S1425">
        <f t="shared" si="1"/>
        <v>2015</v>
      </c>
      <c r="T1425">
        <f t="shared" si="2"/>
        <v>3</v>
      </c>
      <c r="U1425">
        <f t="shared" si="3"/>
        <v>31</v>
      </c>
      <c r="AG1425" s="15"/>
      <c r="AH1425" s="16"/>
      <c r="AM1425" s="15"/>
      <c r="AN1425" s="16"/>
    </row>
    <row r="1426">
      <c r="A1426" s="13" t="s">
        <v>2769</v>
      </c>
      <c r="B1426" s="10">
        <v>42094.0</v>
      </c>
      <c r="C1426" s="11" t="s">
        <v>235</v>
      </c>
      <c r="D1426" s="11" t="s">
        <v>221</v>
      </c>
      <c r="E1426" s="11" t="s">
        <v>39</v>
      </c>
      <c r="F1426" s="11" t="s">
        <v>40</v>
      </c>
      <c r="G1426" s="11" t="s">
        <v>194</v>
      </c>
      <c r="H1426" s="11"/>
      <c r="I1426" s="11"/>
      <c r="J1426" s="11">
        <v>22.0</v>
      </c>
      <c r="K1426" s="39">
        <v>42534.0</v>
      </c>
      <c r="L1426" s="11">
        <f t="shared" ref="L1426:L1432" si="151">ROUND(((K1426-B1426)/365)*12,0)</f>
        <v>14</v>
      </c>
      <c r="M1426" s="11">
        <v>605447.0</v>
      </c>
      <c r="N1426" s="11">
        <v>16122.0</v>
      </c>
      <c r="O1426" s="13" t="s">
        <v>761</v>
      </c>
      <c r="P1426" s="11">
        <v>0.0</v>
      </c>
      <c r="Q1426" s="14">
        <v>0.0</v>
      </c>
      <c r="R1426" s="41">
        <v>1.0</v>
      </c>
      <c r="S1426">
        <f t="shared" si="1"/>
        <v>2015</v>
      </c>
      <c r="T1426">
        <f t="shared" si="2"/>
        <v>3</v>
      </c>
      <c r="U1426">
        <f t="shared" si="3"/>
        <v>31</v>
      </c>
      <c r="V1426" s="17">
        <v>42233.0</v>
      </c>
      <c r="W1426" s="17"/>
      <c r="X1426" s="17"/>
      <c r="Y1426" s="17">
        <v>42462.0</v>
      </c>
      <c r="Z1426" s="17">
        <v>42534.0</v>
      </c>
      <c r="AG1426" s="15"/>
      <c r="AH1426" s="16"/>
      <c r="AM1426" s="15"/>
      <c r="AN1426" s="16"/>
    </row>
    <row r="1427">
      <c r="A1427" s="13" t="s">
        <v>2427</v>
      </c>
      <c r="B1427" s="10">
        <v>42088.0</v>
      </c>
      <c r="C1427" s="11" t="s">
        <v>167</v>
      </c>
      <c r="D1427" s="11" t="s">
        <v>97</v>
      </c>
      <c r="E1427" s="11" t="s">
        <v>104</v>
      </c>
      <c r="F1427" s="11" t="s">
        <v>40</v>
      </c>
      <c r="G1427" s="11" t="s">
        <v>45</v>
      </c>
      <c r="H1427" s="11" t="s">
        <v>59</v>
      </c>
      <c r="I1427" s="11" t="s">
        <v>2428</v>
      </c>
      <c r="J1427" s="11">
        <v>22.0</v>
      </c>
      <c r="K1427" s="39">
        <v>43228.0</v>
      </c>
      <c r="L1427" s="11">
        <f t="shared" si="151"/>
        <v>37</v>
      </c>
      <c r="M1427" s="11">
        <v>642005.0</v>
      </c>
      <c r="N1427" s="11" t="s">
        <v>2429</v>
      </c>
      <c r="O1427" s="13"/>
      <c r="P1427" s="11">
        <v>0.0</v>
      </c>
      <c r="Q1427" s="14">
        <v>0.0</v>
      </c>
      <c r="R1427" s="41">
        <v>0.0</v>
      </c>
      <c r="S1427">
        <f t="shared" si="1"/>
        <v>2015</v>
      </c>
      <c r="T1427">
        <f t="shared" si="2"/>
        <v>3</v>
      </c>
      <c r="U1427">
        <f t="shared" si="3"/>
        <v>25</v>
      </c>
      <c r="AG1427" s="15"/>
      <c r="AH1427" s="16"/>
      <c r="AM1427" s="15"/>
      <c r="AN1427" s="16"/>
    </row>
    <row r="1428">
      <c r="A1428" s="13" t="s">
        <v>2770</v>
      </c>
      <c r="B1428" s="10">
        <v>42088.0</v>
      </c>
      <c r="C1428" s="11" t="s">
        <v>44</v>
      </c>
      <c r="D1428" s="11" t="s">
        <v>213</v>
      </c>
      <c r="E1428" s="11" t="s">
        <v>39</v>
      </c>
      <c r="F1428" s="11" t="s">
        <v>64</v>
      </c>
      <c r="G1428" s="11" t="s">
        <v>45</v>
      </c>
      <c r="H1428" s="11" t="s">
        <v>67</v>
      </c>
      <c r="I1428" s="11"/>
      <c r="J1428" s="11">
        <v>18.0</v>
      </c>
      <c r="K1428" s="39">
        <v>42541.0</v>
      </c>
      <c r="L1428" s="11">
        <f t="shared" si="151"/>
        <v>15</v>
      </c>
      <c r="M1428" s="11">
        <v>656184.0</v>
      </c>
      <c r="N1428" s="11" t="s">
        <v>2771</v>
      </c>
      <c r="O1428" s="13" t="s">
        <v>1407</v>
      </c>
      <c r="P1428" s="11">
        <v>0.0</v>
      </c>
      <c r="Q1428" s="14">
        <v>0.0</v>
      </c>
      <c r="R1428" s="41">
        <v>1.0</v>
      </c>
      <c r="S1428">
        <f t="shared" si="1"/>
        <v>2015</v>
      </c>
      <c r="T1428">
        <f t="shared" si="2"/>
        <v>3</v>
      </c>
      <c r="U1428">
        <f t="shared" si="3"/>
        <v>25</v>
      </c>
      <c r="AG1428" s="15"/>
      <c r="AH1428" s="16"/>
      <c r="AM1428" s="15"/>
      <c r="AN1428" s="16"/>
    </row>
    <row r="1429">
      <c r="A1429" s="13" t="s">
        <v>2772</v>
      </c>
      <c r="B1429" s="10">
        <v>42088.0</v>
      </c>
      <c r="C1429" s="11" t="s">
        <v>49</v>
      </c>
      <c r="D1429" s="11" t="s">
        <v>38</v>
      </c>
      <c r="E1429" s="11" t="s">
        <v>39</v>
      </c>
      <c r="F1429" s="11" t="s">
        <v>40</v>
      </c>
      <c r="G1429" s="11" t="s">
        <v>45</v>
      </c>
      <c r="H1429" s="11" t="s">
        <v>163</v>
      </c>
      <c r="I1429" s="11"/>
      <c r="J1429" s="11">
        <v>25.0</v>
      </c>
      <c r="K1429" s="39">
        <v>42832.0</v>
      </c>
      <c r="L1429" s="11">
        <f t="shared" si="151"/>
        <v>24</v>
      </c>
      <c r="M1429" s="11">
        <v>554430.0</v>
      </c>
      <c r="N1429" s="11">
        <v>10310.0</v>
      </c>
      <c r="O1429" s="13" t="s">
        <v>1407</v>
      </c>
      <c r="P1429" s="11">
        <v>17.0</v>
      </c>
      <c r="Q1429" s="14">
        <v>86.333</v>
      </c>
      <c r="R1429" s="41">
        <v>1.0</v>
      </c>
      <c r="S1429">
        <f t="shared" si="1"/>
        <v>2015</v>
      </c>
      <c r="T1429">
        <f t="shared" si="2"/>
        <v>3</v>
      </c>
      <c r="U1429">
        <f t="shared" si="3"/>
        <v>25</v>
      </c>
      <c r="V1429" s="17">
        <v>42212.0</v>
      </c>
      <c r="W1429" s="17">
        <v>42426.0</v>
      </c>
      <c r="X1429" s="17">
        <v>42444.0</v>
      </c>
      <c r="Z1429" s="17">
        <v>42588.0</v>
      </c>
      <c r="AA1429" s="17">
        <v>42472.0</v>
      </c>
      <c r="AB1429" s="13" t="s">
        <v>2773</v>
      </c>
      <c r="AC1429" s="17">
        <v>42542.0</v>
      </c>
      <c r="AD1429" s="13" t="s">
        <v>1870</v>
      </c>
      <c r="AG1429" s="15"/>
      <c r="AH1429" s="16"/>
      <c r="AM1429" s="15"/>
      <c r="AN1429" s="16"/>
    </row>
    <row r="1430">
      <c r="A1430" s="13" t="s">
        <v>2774</v>
      </c>
      <c r="B1430" s="10">
        <v>42088.0</v>
      </c>
      <c r="C1430" s="11" t="s">
        <v>49</v>
      </c>
      <c r="D1430" s="11" t="s">
        <v>221</v>
      </c>
      <c r="E1430" s="11" t="s">
        <v>39</v>
      </c>
      <c r="F1430" s="11" t="s">
        <v>40</v>
      </c>
      <c r="G1430" s="11" t="s">
        <v>45</v>
      </c>
      <c r="H1430" s="11" t="s">
        <v>262</v>
      </c>
      <c r="I1430" s="11" t="s">
        <v>1105</v>
      </c>
      <c r="J1430" s="11">
        <v>22.0</v>
      </c>
      <c r="K1430" s="39">
        <v>42539.0</v>
      </c>
      <c r="L1430" s="11">
        <f t="shared" si="151"/>
        <v>15</v>
      </c>
      <c r="M1430" s="11">
        <v>656223.0</v>
      </c>
      <c r="N1430" s="11" t="s">
        <v>2775</v>
      </c>
      <c r="O1430" s="13"/>
      <c r="P1430" s="11">
        <v>0.0</v>
      </c>
      <c r="Q1430" s="14">
        <v>0.0</v>
      </c>
      <c r="R1430" s="41">
        <v>1.0</v>
      </c>
      <c r="S1430">
        <f t="shared" si="1"/>
        <v>2015</v>
      </c>
      <c r="T1430">
        <f t="shared" si="2"/>
        <v>3</v>
      </c>
      <c r="U1430">
        <f t="shared" si="3"/>
        <v>25</v>
      </c>
      <c r="AG1430" s="15"/>
      <c r="AH1430" s="16"/>
      <c r="AM1430" s="15"/>
      <c r="AN1430" s="16"/>
    </row>
    <row r="1431">
      <c r="A1431" s="13" t="s">
        <v>2776</v>
      </c>
      <c r="B1431" s="10">
        <v>42083.0</v>
      </c>
      <c r="C1431" s="11" t="s">
        <v>116</v>
      </c>
      <c r="D1431" s="11" t="s">
        <v>93</v>
      </c>
      <c r="E1431" s="11" t="s">
        <v>39</v>
      </c>
      <c r="F1431" s="11" t="s">
        <v>64</v>
      </c>
      <c r="G1431" s="11" t="s">
        <v>45</v>
      </c>
      <c r="H1431" s="11" t="s">
        <v>56</v>
      </c>
      <c r="I1431" s="11" t="s">
        <v>344</v>
      </c>
      <c r="J1431" s="11">
        <v>21.0</v>
      </c>
      <c r="K1431" s="39">
        <v>42495.0</v>
      </c>
      <c r="L1431" s="11">
        <f t="shared" si="151"/>
        <v>14</v>
      </c>
      <c r="M1431" s="11">
        <v>621345.0</v>
      </c>
      <c r="N1431" s="11">
        <v>18655.0</v>
      </c>
      <c r="O1431" s="13"/>
      <c r="P1431" s="11">
        <v>16.0</v>
      </c>
      <c r="Q1431" s="14">
        <v>15.0</v>
      </c>
      <c r="R1431" s="41">
        <v>1.0</v>
      </c>
      <c r="S1431">
        <f t="shared" si="1"/>
        <v>2015</v>
      </c>
      <c r="T1431">
        <f t="shared" si="2"/>
        <v>3</v>
      </c>
      <c r="U1431">
        <f t="shared" si="3"/>
        <v>20</v>
      </c>
      <c r="AG1431" s="15"/>
      <c r="AH1431" s="16"/>
      <c r="AM1431" s="15"/>
      <c r="AN1431" s="16"/>
    </row>
    <row r="1432">
      <c r="A1432" s="13" t="s">
        <v>2777</v>
      </c>
      <c r="B1432" s="10">
        <v>42083.0</v>
      </c>
      <c r="C1432" s="11" t="s">
        <v>175</v>
      </c>
      <c r="D1432" s="11" t="s">
        <v>93</v>
      </c>
      <c r="E1432" s="11" t="s">
        <v>39</v>
      </c>
      <c r="F1432" s="11" t="s">
        <v>40</v>
      </c>
      <c r="G1432" s="11" t="s">
        <v>194</v>
      </c>
      <c r="H1432" s="11"/>
      <c r="I1432" s="11"/>
      <c r="J1432" s="11">
        <v>20.0</v>
      </c>
      <c r="K1432" s="39">
        <v>42551.0</v>
      </c>
      <c r="L1432" s="11">
        <f t="shared" si="151"/>
        <v>15</v>
      </c>
      <c r="M1432" s="11">
        <v>615698.0</v>
      </c>
      <c r="N1432" s="11">
        <v>19312.0</v>
      </c>
      <c r="O1432" s="13" t="s">
        <v>69</v>
      </c>
      <c r="P1432" s="11">
        <v>0.0</v>
      </c>
      <c r="Q1432" s="14">
        <v>0.0</v>
      </c>
      <c r="R1432" s="41">
        <v>1.0</v>
      </c>
      <c r="S1432">
        <f t="shared" si="1"/>
        <v>2015</v>
      </c>
      <c r="T1432">
        <f t="shared" si="2"/>
        <v>3</v>
      </c>
      <c r="U1432">
        <f t="shared" si="3"/>
        <v>20</v>
      </c>
      <c r="AG1432" s="15"/>
      <c r="AH1432" s="16"/>
      <c r="AM1432" s="15"/>
      <c r="AN1432" s="16"/>
    </row>
    <row r="1433">
      <c r="A1433" s="13" t="s">
        <v>2778</v>
      </c>
      <c r="B1433" s="10">
        <v>42081.0</v>
      </c>
      <c r="C1433" s="11" t="s">
        <v>111</v>
      </c>
      <c r="D1433" s="11" t="s">
        <v>38</v>
      </c>
      <c r="E1433" s="11" t="s">
        <v>39</v>
      </c>
      <c r="F1433" s="11" t="s">
        <v>40</v>
      </c>
      <c r="G1433" s="11" t="s">
        <v>45</v>
      </c>
      <c r="H1433" s="11" t="s">
        <v>735</v>
      </c>
      <c r="I1433" s="11"/>
      <c r="J1433" s="11">
        <v>33.0</v>
      </c>
      <c r="K1433" s="30"/>
      <c r="L1433" s="30"/>
      <c r="M1433" s="11">
        <v>430629.0</v>
      </c>
      <c r="N1433" s="11">
        <v>2186.0</v>
      </c>
      <c r="O1433" s="13" t="s">
        <v>42</v>
      </c>
      <c r="P1433" s="11">
        <v>0.0</v>
      </c>
      <c r="Q1433" s="45">
        <v>0.0</v>
      </c>
      <c r="R1433" s="11">
        <v>0.0</v>
      </c>
      <c r="S1433">
        <f t="shared" si="1"/>
        <v>2015</v>
      </c>
      <c r="T1433">
        <f t="shared" si="2"/>
        <v>3</v>
      </c>
      <c r="U1433">
        <f t="shared" si="3"/>
        <v>18</v>
      </c>
      <c r="AG1433" s="15"/>
      <c r="AH1433" s="16"/>
      <c r="AM1433" s="15"/>
      <c r="AN1433" s="16"/>
    </row>
    <row r="1434">
      <c r="A1434" s="13" t="s">
        <v>431</v>
      </c>
      <c r="B1434" s="10">
        <v>42081.0</v>
      </c>
      <c r="C1434" s="11" t="s">
        <v>175</v>
      </c>
      <c r="D1434" s="11" t="s">
        <v>213</v>
      </c>
      <c r="E1434" s="11" t="s">
        <v>39</v>
      </c>
      <c r="F1434" s="11" t="s">
        <v>40</v>
      </c>
      <c r="G1434" s="11" t="s">
        <v>45</v>
      </c>
      <c r="H1434" s="11" t="s">
        <v>56</v>
      </c>
      <c r="I1434" s="11"/>
      <c r="J1434" s="11">
        <v>17.0</v>
      </c>
      <c r="K1434" s="39">
        <v>42586.0</v>
      </c>
      <c r="L1434" s="30"/>
      <c r="M1434" s="11">
        <v>666168.0</v>
      </c>
      <c r="N1434" s="11">
        <v>21850.0</v>
      </c>
      <c r="O1434" s="13"/>
      <c r="P1434" s="11">
        <v>0.0</v>
      </c>
      <c r="Q1434" s="14">
        <v>0.0</v>
      </c>
      <c r="R1434" s="41">
        <v>1.0</v>
      </c>
      <c r="S1434">
        <f t="shared" si="1"/>
        <v>2015</v>
      </c>
      <c r="T1434">
        <f t="shared" si="2"/>
        <v>3</v>
      </c>
      <c r="U1434">
        <f t="shared" si="3"/>
        <v>18</v>
      </c>
      <c r="AG1434" s="15"/>
      <c r="AH1434" s="16"/>
      <c r="AM1434" s="15"/>
      <c r="AN1434" s="16"/>
    </row>
    <row r="1435">
      <c r="A1435" s="13" t="s">
        <v>2779</v>
      </c>
      <c r="B1435" s="10">
        <v>42080.0</v>
      </c>
      <c r="C1435" s="11" t="s">
        <v>49</v>
      </c>
      <c r="D1435" s="11" t="s">
        <v>38</v>
      </c>
      <c r="E1435" s="11" t="s">
        <v>39</v>
      </c>
      <c r="F1435" s="11" t="s">
        <v>64</v>
      </c>
      <c r="G1435" s="11" t="s">
        <v>45</v>
      </c>
      <c r="H1435" s="11" t="s">
        <v>109</v>
      </c>
      <c r="I1435" s="11" t="s">
        <v>2780</v>
      </c>
      <c r="J1435" s="11">
        <v>28.0</v>
      </c>
      <c r="K1435" s="39">
        <v>42585.0</v>
      </c>
      <c r="L1435" s="11">
        <f t="shared" ref="L1435:L1439" si="152">ROUND(((K1435-B1435)/365)*12,0)</f>
        <v>17</v>
      </c>
      <c r="M1435" s="11">
        <v>572831.0</v>
      </c>
      <c r="N1435" s="11">
        <v>10796.0</v>
      </c>
      <c r="O1435" s="13" t="s">
        <v>1407</v>
      </c>
      <c r="P1435" s="11">
        <v>62.0</v>
      </c>
      <c r="Q1435" s="14">
        <v>47.333</v>
      </c>
      <c r="R1435" s="41">
        <v>1.0</v>
      </c>
      <c r="S1435">
        <f t="shared" si="1"/>
        <v>2015</v>
      </c>
      <c r="T1435">
        <f t="shared" si="2"/>
        <v>3</v>
      </c>
      <c r="U1435">
        <f t="shared" si="3"/>
        <v>17</v>
      </c>
      <c r="W1435" s="17"/>
      <c r="X1435" s="17">
        <v>42416.0</v>
      </c>
      <c r="Y1435" s="17">
        <v>42439.0</v>
      </c>
      <c r="Z1435" s="17">
        <v>42470.0</v>
      </c>
      <c r="AG1435" s="15"/>
      <c r="AH1435" s="16"/>
      <c r="AM1435" s="15"/>
      <c r="AN1435" s="16"/>
    </row>
    <row r="1436">
      <c r="A1436" s="13" t="s">
        <v>2781</v>
      </c>
      <c r="B1436" s="10">
        <v>42080.0</v>
      </c>
      <c r="C1436" s="11" t="s">
        <v>186</v>
      </c>
      <c r="D1436" s="11" t="s">
        <v>38</v>
      </c>
      <c r="E1436" s="11" t="s">
        <v>39</v>
      </c>
      <c r="F1436" s="11" t="s">
        <v>40</v>
      </c>
      <c r="G1436" s="11" t="s">
        <v>503</v>
      </c>
      <c r="H1436" s="11"/>
      <c r="I1436" s="11"/>
      <c r="J1436" s="11">
        <v>28.0</v>
      </c>
      <c r="K1436" s="12">
        <v>42518.0</v>
      </c>
      <c r="L1436" s="11">
        <f t="shared" si="152"/>
        <v>14</v>
      </c>
      <c r="M1436" s="11">
        <v>506433.0</v>
      </c>
      <c r="N1436" s="11">
        <v>13074.0</v>
      </c>
      <c r="O1436" s="13" t="s">
        <v>761</v>
      </c>
      <c r="P1436" s="11">
        <v>48.0</v>
      </c>
      <c r="Q1436" s="14">
        <v>287.0</v>
      </c>
      <c r="R1436" s="41">
        <v>1.0</v>
      </c>
      <c r="S1436">
        <f t="shared" si="1"/>
        <v>2015</v>
      </c>
      <c r="T1436">
        <f t="shared" si="2"/>
        <v>3</v>
      </c>
      <c r="U1436">
        <f t="shared" si="3"/>
        <v>17</v>
      </c>
      <c r="V1436" s="17">
        <v>42233.0</v>
      </c>
      <c r="W1436" s="17"/>
      <c r="X1436" s="17">
        <v>42424.0</v>
      </c>
      <c r="Y1436" s="17">
        <v>42473.0</v>
      </c>
      <c r="Z1436" s="17">
        <v>42491.0</v>
      </c>
      <c r="AA1436" s="17">
        <v>42535.0</v>
      </c>
      <c r="AB1436" s="13" t="s">
        <v>2782</v>
      </c>
      <c r="AG1436" s="15"/>
      <c r="AH1436" s="16"/>
      <c r="AM1436" s="15"/>
      <c r="AN1436" s="16"/>
    </row>
    <row r="1437">
      <c r="A1437" s="13" t="s">
        <v>2783</v>
      </c>
      <c r="B1437" s="10">
        <v>42077.0</v>
      </c>
      <c r="C1437" s="11" t="s">
        <v>62</v>
      </c>
      <c r="D1437" s="11" t="s">
        <v>221</v>
      </c>
      <c r="E1437" s="11" t="s">
        <v>39</v>
      </c>
      <c r="F1437" s="11" t="s">
        <v>64</v>
      </c>
      <c r="G1437" s="11" t="s">
        <v>45</v>
      </c>
      <c r="H1437" s="11" t="s">
        <v>67</v>
      </c>
      <c r="I1437" s="11" t="s">
        <v>1793</v>
      </c>
      <c r="J1437" s="11">
        <v>22.0</v>
      </c>
      <c r="K1437" s="39">
        <v>42540.0</v>
      </c>
      <c r="L1437" s="11">
        <f t="shared" si="152"/>
        <v>15</v>
      </c>
      <c r="M1437" s="11">
        <v>657747.0</v>
      </c>
      <c r="N1437" s="11" t="s">
        <v>2784</v>
      </c>
      <c r="O1437" s="13"/>
      <c r="P1437" s="11">
        <v>0.0</v>
      </c>
      <c r="Q1437" s="14">
        <v>0.0</v>
      </c>
      <c r="R1437" s="41">
        <v>1.0</v>
      </c>
      <c r="S1437">
        <f t="shared" si="1"/>
        <v>2015</v>
      </c>
      <c r="T1437">
        <f t="shared" si="2"/>
        <v>3</v>
      </c>
      <c r="U1437">
        <f t="shared" si="3"/>
        <v>14</v>
      </c>
      <c r="AG1437" s="15"/>
      <c r="AH1437" s="16"/>
      <c r="AM1437" s="15"/>
      <c r="AN1437" s="16"/>
    </row>
    <row r="1438">
      <c r="A1438" s="13" t="s">
        <v>2409</v>
      </c>
      <c r="B1438" s="10">
        <v>42074.0</v>
      </c>
      <c r="C1438" s="11" t="s">
        <v>358</v>
      </c>
      <c r="D1438" s="11" t="s">
        <v>38</v>
      </c>
      <c r="E1438" s="11" t="s">
        <v>39</v>
      </c>
      <c r="F1438" s="11" t="s">
        <v>64</v>
      </c>
      <c r="G1438" s="11" t="s">
        <v>45</v>
      </c>
      <c r="H1438" s="11" t="s">
        <v>729</v>
      </c>
      <c r="I1438" s="11"/>
      <c r="J1438" s="11">
        <v>25.0</v>
      </c>
      <c r="K1438" s="39">
        <v>43241.0</v>
      </c>
      <c r="L1438" s="11">
        <f t="shared" si="152"/>
        <v>38</v>
      </c>
      <c r="M1438" s="11">
        <v>525768.0</v>
      </c>
      <c r="N1438" s="11">
        <v>3164.0</v>
      </c>
      <c r="O1438" s="13" t="s">
        <v>761</v>
      </c>
      <c r="P1438" s="11">
        <v>0.0</v>
      </c>
      <c r="Q1438" s="45">
        <v>0.0</v>
      </c>
      <c r="R1438" s="41">
        <v>0.0</v>
      </c>
      <c r="S1438">
        <f t="shared" si="1"/>
        <v>2015</v>
      </c>
      <c r="T1438">
        <f t="shared" si="2"/>
        <v>3</v>
      </c>
      <c r="U1438">
        <f t="shared" si="3"/>
        <v>11</v>
      </c>
      <c r="W1438" s="17"/>
      <c r="X1438" s="17">
        <v>42415.0</v>
      </c>
      <c r="AA1438" s="17">
        <v>42475.0</v>
      </c>
      <c r="AB1438" s="13" t="s">
        <v>2310</v>
      </c>
      <c r="AG1438" s="15"/>
      <c r="AH1438" s="16"/>
      <c r="AM1438" s="15"/>
      <c r="AN1438" s="16"/>
    </row>
    <row r="1439">
      <c r="A1439" s="13" t="s">
        <v>2785</v>
      </c>
      <c r="B1439" s="10">
        <v>42073.0</v>
      </c>
      <c r="C1439" s="11" t="s">
        <v>362</v>
      </c>
      <c r="D1439" s="11" t="s">
        <v>38</v>
      </c>
      <c r="E1439" s="11" t="s">
        <v>39</v>
      </c>
      <c r="F1439" s="11" t="s">
        <v>40</v>
      </c>
      <c r="G1439" s="11" t="s">
        <v>45</v>
      </c>
      <c r="H1439" s="11" t="s">
        <v>163</v>
      </c>
      <c r="I1439" s="11" t="s">
        <v>1599</v>
      </c>
      <c r="J1439" s="11">
        <v>26.0</v>
      </c>
      <c r="K1439" s="39">
        <v>43312.0</v>
      </c>
      <c r="L1439" s="11">
        <f t="shared" si="152"/>
        <v>41</v>
      </c>
      <c r="M1439" s="11">
        <v>592238.0</v>
      </c>
      <c r="N1439" s="11">
        <v>11366.0</v>
      </c>
      <c r="O1439" s="13" t="s">
        <v>761</v>
      </c>
      <c r="P1439" s="11">
        <v>0.0</v>
      </c>
      <c r="Q1439" s="45">
        <v>0.0</v>
      </c>
      <c r="R1439" s="11">
        <v>1.0</v>
      </c>
      <c r="S1439">
        <f t="shared" si="1"/>
        <v>2015</v>
      </c>
      <c r="T1439">
        <f t="shared" si="2"/>
        <v>3</v>
      </c>
      <c r="U1439">
        <f t="shared" si="3"/>
        <v>10</v>
      </c>
      <c r="Z1439" s="17">
        <v>42894.0</v>
      </c>
      <c r="AA1439" s="17">
        <v>42264.0</v>
      </c>
      <c r="AB1439" s="13" t="s">
        <v>2786</v>
      </c>
      <c r="AG1439" s="15"/>
      <c r="AH1439" s="16"/>
      <c r="AM1439" s="15"/>
      <c r="AN1439" s="16"/>
    </row>
    <row r="1440">
      <c r="A1440" s="13" t="s">
        <v>2787</v>
      </c>
      <c r="B1440" s="10">
        <v>42066.0</v>
      </c>
      <c r="C1440" s="11" t="s">
        <v>52</v>
      </c>
      <c r="D1440" s="11" t="s">
        <v>93</v>
      </c>
      <c r="E1440" s="11" t="s">
        <v>39</v>
      </c>
      <c r="F1440" s="11" t="s">
        <v>40</v>
      </c>
      <c r="G1440" s="11" t="s">
        <v>45</v>
      </c>
      <c r="H1440" s="11" t="s">
        <v>652</v>
      </c>
      <c r="I1440" s="11" t="s">
        <v>2788</v>
      </c>
      <c r="J1440" s="11">
        <v>20.0</v>
      </c>
      <c r="K1440" s="12"/>
      <c r="L1440" s="11"/>
      <c r="M1440" s="11"/>
      <c r="N1440" s="11"/>
      <c r="O1440" s="13" t="s">
        <v>761</v>
      </c>
      <c r="P1440" s="11">
        <v>0.0</v>
      </c>
      <c r="Q1440" s="14">
        <v>0.0</v>
      </c>
      <c r="R1440" s="11">
        <v>1.0</v>
      </c>
      <c r="S1440">
        <f t="shared" si="1"/>
        <v>2015</v>
      </c>
      <c r="T1440">
        <f t="shared" si="2"/>
        <v>3</v>
      </c>
      <c r="U1440">
        <f t="shared" si="3"/>
        <v>3</v>
      </c>
      <c r="AG1440" s="15"/>
      <c r="AH1440" s="16"/>
      <c r="AM1440" s="15"/>
      <c r="AN1440" s="16"/>
    </row>
    <row r="1441">
      <c r="A1441" s="13" t="s">
        <v>2789</v>
      </c>
      <c r="B1441" s="10">
        <v>42064.0</v>
      </c>
      <c r="C1441" s="11" t="s">
        <v>72</v>
      </c>
      <c r="D1441" s="11" t="s">
        <v>93</v>
      </c>
      <c r="E1441" s="11" t="s">
        <v>39</v>
      </c>
      <c r="F1441" s="11" t="s">
        <v>64</v>
      </c>
      <c r="G1441" s="11" t="s">
        <v>45</v>
      </c>
      <c r="H1441" s="11" t="s">
        <v>236</v>
      </c>
      <c r="I1441" s="11" t="s">
        <v>2229</v>
      </c>
      <c r="J1441" s="11">
        <v>21.0</v>
      </c>
      <c r="K1441" s="12">
        <v>42584.0</v>
      </c>
      <c r="L1441" s="11">
        <f>ROUND(((K1441-B1441)/365)*12,0)</f>
        <v>17</v>
      </c>
      <c r="M1441" s="11">
        <v>670155.0</v>
      </c>
      <c r="N1441" s="11" t="s">
        <v>2790</v>
      </c>
      <c r="O1441" s="13"/>
      <c r="P1441" s="11">
        <v>0.0</v>
      </c>
      <c r="Q1441" s="14">
        <v>0.0</v>
      </c>
      <c r="R1441" s="41">
        <v>1.0</v>
      </c>
      <c r="S1441">
        <f t="shared" si="1"/>
        <v>2015</v>
      </c>
      <c r="T1441">
        <f t="shared" si="2"/>
        <v>3</v>
      </c>
      <c r="U1441">
        <f t="shared" si="3"/>
        <v>1</v>
      </c>
      <c r="AG1441" s="15"/>
      <c r="AH1441" s="16"/>
      <c r="AM1441" s="15"/>
      <c r="AN1441" s="16"/>
    </row>
    <row r="1442">
      <c r="A1442" s="13" t="s">
        <v>2791</v>
      </c>
      <c r="B1442" s="10">
        <v>42064.0</v>
      </c>
      <c r="C1442" s="11" t="s">
        <v>162</v>
      </c>
      <c r="D1442" s="11" t="s">
        <v>93</v>
      </c>
      <c r="E1442" s="11" t="s">
        <v>39</v>
      </c>
      <c r="F1442" s="11" t="s">
        <v>40</v>
      </c>
      <c r="G1442" s="11" t="s">
        <v>45</v>
      </c>
      <c r="H1442" s="11" t="s">
        <v>729</v>
      </c>
      <c r="I1442" s="11" t="s">
        <v>1216</v>
      </c>
      <c r="J1442" s="11">
        <v>22.0</v>
      </c>
      <c r="K1442" s="12">
        <v>42542.0</v>
      </c>
      <c r="L1442" s="11"/>
      <c r="M1442" s="11">
        <v>670579.0</v>
      </c>
      <c r="N1442" s="11" t="s">
        <v>2792</v>
      </c>
      <c r="O1442" s="13"/>
      <c r="P1442" s="11">
        <v>0.0</v>
      </c>
      <c r="Q1442" s="14">
        <v>0.0</v>
      </c>
      <c r="R1442" s="11">
        <v>1.0</v>
      </c>
      <c r="S1442">
        <f t="shared" si="1"/>
        <v>2015</v>
      </c>
      <c r="T1442">
        <f t="shared" si="2"/>
        <v>3</v>
      </c>
      <c r="U1442">
        <f t="shared" si="3"/>
        <v>1</v>
      </c>
      <c r="AG1442" s="15"/>
      <c r="AH1442" s="16"/>
      <c r="AM1442" s="15"/>
      <c r="AN1442" s="16"/>
    </row>
    <row r="1443">
      <c r="A1443" s="13" t="s">
        <v>2793</v>
      </c>
      <c r="B1443" s="10">
        <v>42064.0</v>
      </c>
      <c r="C1443" s="11" t="s">
        <v>52</v>
      </c>
      <c r="D1443" s="11" t="s">
        <v>77</v>
      </c>
      <c r="E1443" s="11" t="s">
        <v>39</v>
      </c>
      <c r="F1443" s="11" t="s">
        <v>40</v>
      </c>
      <c r="G1443" s="11" t="s">
        <v>45</v>
      </c>
      <c r="H1443" s="11" t="s">
        <v>84</v>
      </c>
      <c r="I1443" s="11"/>
      <c r="J1443" s="11">
        <v>22.0</v>
      </c>
      <c r="K1443" s="12">
        <v>42468.0</v>
      </c>
      <c r="L1443" s="11">
        <f>ROUND(((K1443-B1443)/365)*12,0)</f>
        <v>13</v>
      </c>
      <c r="M1443" s="11">
        <v>596106.0</v>
      </c>
      <c r="N1443" s="11" t="s">
        <v>2794</v>
      </c>
      <c r="O1443" s="13" t="s">
        <v>2059</v>
      </c>
      <c r="P1443" s="11">
        <v>0.0</v>
      </c>
      <c r="Q1443" s="14">
        <v>0.0</v>
      </c>
      <c r="R1443" s="41">
        <v>1.0</v>
      </c>
      <c r="S1443">
        <f t="shared" si="1"/>
        <v>2015</v>
      </c>
      <c r="T1443">
        <f t="shared" si="2"/>
        <v>3</v>
      </c>
      <c r="U1443">
        <f t="shared" si="3"/>
        <v>1</v>
      </c>
      <c r="AG1443" s="15"/>
      <c r="AH1443" s="16"/>
      <c r="AM1443" s="15"/>
      <c r="AN1443" s="16"/>
    </row>
    <row r="1444">
      <c r="A1444" s="13" t="s">
        <v>2795</v>
      </c>
      <c r="B1444" s="10">
        <v>42064.0</v>
      </c>
      <c r="C1444" s="11" t="s">
        <v>103</v>
      </c>
      <c r="D1444" s="11" t="s">
        <v>93</v>
      </c>
      <c r="E1444" s="11" t="s">
        <v>39</v>
      </c>
      <c r="F1444" s="11" t="s">
        <v>40</v>
      </c>
      <c r="G1444" s="11" t="s">
        <v>45</v>
      </c>
      <c r="H1444" s="11" t="s">
        <v>127</v>
      </c>
      <c r="I1444" s="11" t="s">
        <v>280</v>
      </c>
      <c r="J1444" s="11">
        <v>19.0</v>
      </c>
      <c r="K1444" s="39">
        <v>42939.0</v>
      </c>
      <c r="L1444" s="11"/>
      <c r="M1444" s="11">
        <v>641927.0</v>
      </c>
      <c r="N1444" s="11">
        <v>21224.0</v>
      </c>
      <c r="O1444" s="13"/>
      <c r="P1444" s="11">
        <v>0.0</v>
      </c>
      <c r="Q1444" s="14">
        <v>0.0</v>
      </c>
      <c r="R1444" s="11">
        <v>1.0</v>
      </c>
      <c r="S1444">
        <f t="shared" si="1"/>
        <v>2015</v>
      </c>
      <c r="T1444">
        <f t="shared" si="2"/>
        <v>3</v>
      </c>
      <c r="U1444">
        <f t="shared" si="3"/>
        <v>1</v>
      </c>
      <c r="Z1444" s="17"/>
      <c r="AA1444" s="17"/>
      <c r="AB1444" s="13"/>
      <c r="AC1444" s="17"/>
      <c r="AD1444" s="13"/>
      <c r="AG1444" s="15"/>
      <c r="AH1444" s="16"/>
      <c r="AM1444" s="15"/>
      <c r="AN1444" s="16"/>
    </row>
    <row r="1445">
      <c r="A1445" s="13" t="s">
        <v>2796</v>
      </c>
      <c r="B1445" s="10">
        <v>42047.0</v>
      </c>
      <c r="C1445" s="11" t="s">
        <v>116</v>
      </c>
      <c r="D1445" s="11" t="s">
        <v>38</v>
      </c>
      <c r="E1445" s="11" t="s">
        <v>39</v>
      </c>
      <c r="F1445" s="11" t="s">
        <v>40</v>
      </c>
      <c r="G1445" s="11" t="s">
        <v>45</v>
      </c>
      <c r="H1445" s="11" t="s">
        <v>74</v>
      </c>
      <c r="I1445" s="11" t="s">
        <v>1091</v>
      </c>
      <c r="J1445" s="11">
        <v>24.0</v>
      </c>
      <c r="K1445" s="39">
        <v>42614.0</v>
      </c>
      <c r="L1445" s="11">
        <f t="shared" ref="L1445:L1446" si="153">ROUND(((K1445-B1445)/365)*12,0)</f>
        <v>19</v>
      </c>
      <c r="M1445" s="11">
        <v>623406.0</v>
      </c>
      <c r="N1445" s="11">
        <v>14200.0</v>
      </c>
      <c r="O1445" s="13" t="s">
        <v>761</v>
      </c>
      <c r="P1445" s="11">
        <v>16.0</v>
      </c>
      <c r="Q1445" s="14">
        <v>14.333</v>
      </c>
      <c r="R1445" s="41">
        <v>1.0</v>
      </c>
      <c r="S1445">
        <f t="shared" si="1"/>
        <v>2015</v>
      </c>
      <c r="T1445">
        <f t="shared" si="2"/>
        <v>2</v>
      </c>
      <c r="U1445">
        <f t="shared" si="3"/>
        <v>12</v>
      </c>
      <c r="Z1445" s="17">
        <v>42506.0</v>
      </c>
      <c r="AA1445" s="17">
        <v>42154.0</v>
      </c>
      <c r="AB1445" s="13" t="s">
        <v>2797</v>
      </c>
      <c r="AC1445" s="17">
        <v>42170.0</v>
      </c>
      <c r="AD1445" s="13" t="s">
        <v>2798</v>
      </c>
      <c r="AG1445" s="15"/>
      <c r="AH1445" s="16"/>
      <c r="AM1445" s="15"/>
      <c r="AN1445" s="16"/>
    </row>
    <row r="1446">
      <c r="A1446" s="13" t="s">
        <v>2799</v>
      </c>
      <c r="B1446" s="10">
        <v>42046.0</v>
      </c>
      <c r="C1446" s="11" t="s">
        <v>103</v>
      </c>
      <c r="D1446" s="11" t="s">
        <v>221</v>
      </c>
      <c r="E1446" s="11" t="s">
        <v>39</v>
      </c>
      <c r="F1446" s="11" t="s">
        <v>64</v>
      </c>
      <c r="G1446" s="11" t="s">
        <v>45</v>
      </c>
      <c r="H1446" s="11" t="s">
        <v>258</v>
      </c>
      <c r="I1446" s="11" t="s">
        <v>2800</v>
      </c>
      <c r="J1446" s="11">
        <v>22.0</v>
      </c>
      <c r="K1446" s="39">
        <v>42546.0</v>
      </c>
      <c r="L1446" s="11">
        <f t="shared" si="153"/>
        <v>16</v>
      </c>
      <c r="M1446" s="11">
        <v>657570.0</v>
      </c>
      <c r="N1446" s="11" t="s">
        <v>2801</v>
      </c>
      <c r="O1446" s="13" t="s">
        <v>2737</v>
      </c>
      <c r="P1446" s="11">
        <v>0.0</v>
      </c>
      <c r="Q1446" s="14">
        <v>0.0</v>
      </c>
      <c r="R1446" s="41">
        <v>1.0</v>
      </c>
      <c r="S1446">
        <f t="shared" si="1"/>
        <v>2015</v>
      </c>
      <c r="T1446">
        <f t="shared" si="2"/>
        <v>2</v>
      </c>
      <c r="U1446">
        <f t="shared" si="3"/>
        <v>11</v>
      </c>
      <c r="AG1446" s="15"/>
      <c r="AH1446" s="16"/>
      <c r="AM1446" s="15"/>
      <c r="AN1446" s="16"/>
    </row>
    <row r="1447">
      <c r="A1447" s="13" t="s">
        <v>2802</v>
      </c>
      <c r="B1447" s="10">
        <v>42036.0</v>
      </c>
      <c r="C1447" s="11" t="s">
        <v>162</v>
      </c>
      <c r="D1447" s="11" t="s">
        <v>93</v>
      </c>
      <c r="E1447" s="11" t="s">
        <v>39</v>
      </c>
      <c r="F1447" s="11" t="s">
        <v>40</v>
      </c>
      <c r="G1447" s="11" t="s">
        <v>45</v>
      </c>
      <c r="H1447" s="11" t="s">
        <v>236</v>
      </c>
      <c r="I1447" s="11" t="s">
        <v>47</v>
      </c>
      <c r="J1447" s="11">
        <v>20.0</v>
      </c>
      <c r="K1447" s="39">
        <v>43271.0</v>
      </c>
      <c r="L1447" s="30"/>
      <c r="M1447" s="11">
        <v>641845.0</v>
      </c>
      <c r="N1447" s="11" t="s">
        <v>2803</v>
      </c>
      <c r="O1447" s="13" t="s">
        <v>355</v>
      </c>
      <c r="P1447" s="11">
        <v>0.0</v>
      </c>
      <c r="Q1447" s="14">
        <v>0.0</v>
      </c>
      <c r="R1447" s="11">
        <v>1.0</v>
      </c>
      <c r="S1447">
        <f t="shared" si="1"/>
        <v>2015</v>
      </c>
      <c r="T1447">
        <f t="shared" si="2"/>
        <v>2</v>
      </c>
      <c r="U1447">
        <f t="shared" si="3"/>
        <v>1</v>
      </c>
      <c r="AG1447" s="15"/>
      <c r="AH1447" s="16"/>
      <c r="AM1447" s="15"/>
      <c r="AN1447" s="16"/>
    </row>
    <row r="1448">
      <c r="A1448" s="13" t="s">
        <v>2804</v>
      </c>
      <c r="B1448" s="10">
        <v>42036.0</v>
      </c>
      <c r="C1448" s="11" t="s">
        <v>103</v>
      </c>
      <c r="D1448" s="11" t="s">
        <v>221</v>
      </c>
      <c r="E1448" s="11" t="s">
        <v>39</v>
      </c>
      <c r="F1448" s="11" t="s">
        <v>40</v>
      </c>
      <c r="G1448" s="11" t="s">
        <v>53</v>
      </c>
      <c r="H1448" s="11"/>
      <c r="I1448" s="11"/>
      <c r="J1448" s="11">
        <v>19.0</v>
      </c>
      <c r="K1448" s="30"/>
      <c r="L1448" s="30"/>
      <c r="M1448" s="11">
        <v>642678.0</v>
      </c>
      <c r="N1448" s="11" t="s">
        <v>2805</v>
      </c>
      <c r="O1448" s="13"/>
      <c r="P1448" s="11">
        <v>0.0</v>
      </c>
      <c r="Q1448" s="14">
        <v>0.0</v>
      </c>
      <c r="R1448" s="11">
        <v>0.0</v>
      </c>
      <c r="S1448">
        <f t="shared" si="1"/>
        <v>2015</v>
      </c>
      <c r="T1448">
        <f t="shared" si="2"/>
        <v>2</v>
      </c>
      <c r="U1448">
        <f t="shared" si="3"/>
        <v>1</v>
      </c>
      <c r="AG1448" s="15"/>
      <c r="AH1448" s="16"/>
      <c r="AM1448" s="15"/>
      <c r="AN1448" s="16"/>
    </row>
    <row r="1449">
      <c r="A1449" s="13" t="s">
        <v>2806</v>
      </c>
      <c r="B1449" s="10">
        <v>42018.0</v>
      </c>
      <c r="C1449" s="11" t="s">
        <v>52</v>
      </c>
      <c r="D1449" s="11" t="s">
        <v>709</v>
      </c>
      <c r="E1449" s="11" t="s">
        <v>39</v>
      </c>
      <c r="F1449" s="11" t="s">
        <v>40</v>
      </c>
      <c r="G1449" s="11" t="s">
        <v>45</v>
      </c>
      <c r="H1449" s="11" t="s">
        <v>67</v>
      </c>
      <c r="I1449" s="11" t="s">
        <v>2807</v>
      </c>
      <c r="J1449" s="11">
        <v>21.0</v>
      </c>
      <c r="K1449" s="39">
        <v>42831.0</v>
      </c>
      <c r="L1449" s="11">
        <f>ROUND(((K1449-B1449)/365)*12,0)</f>
        <v>27</v>
      </c>
      <c r="M1449" s="11">
        <v>621164.0</v>
      </c>
      <c r="N1449" s="11" t="s">
        <v>2808</v>
      </c>
      <c r="O1449" s="13"/>
      <c r="P1449" s="11">
        <v>0.0</v>
      </c>
      <c r="Q1449" s="14">
        <v>0.0</v>
      </c>
      <c r="R1449" s="41">
        <v>1.0</v>
      </c>
      <c r="S1449">
        <f t="shared" si="1"/>
        <v>2015</v>
      </c>
      <c r="T1449">
        <f t="shared" si="2"/>
        <v>1</v>
      </c>
      <c r="U1449">
        <f t="shared" si="3"/>
        <v>14</v>
      </c>
      <c r="AG1449" s="15"/>
      <c r="AH1449" s="16"/>
      <c r="AM1449" s="15"/>
      <c r="AN1449" s="16"/>
    </row>
    <row r="1450">
      <c r="A1450" s="19" t="s">
        <v>2809</v>
      </c>
      <c r="B1450" s="31">
        <v>42013.0</v>
      </c>
      <c r="C1450" s="21" t="s">
        <v>55</v>
      </c>
      <c r="D1450" s="21" t="s">
        <v>93</v>
      </c>
      <c r="E1450" s="21" t="s">
        <v>39</v>
      </c>
      <c r="F1450" s="21" t="s">
        <v>40</v>
      </c>
      <c r="G1450" s="21" t="s">
        <v>45</v>
      </c>
      <c r="H1450" s="21" t="s">
        <v>73</v>
      </c>
      <c r="I1450" s="21" t="s">
        <v>2810</v>
      </c>
      <c r="J1450" s="21">
        <v>20.0</v>
      </c>
      <c r="K1450" s="44">
        <v>42911.0</v>
      </c>
      <c r="L1450" s="19"/>
      <c r="M1450" s="21">
        <v>677015.0</v>
      </c>
      <c r="N1450" s="21" t="s">
        <v>2811</v>
      </c>
      <c r="O1450" s="38" t="s">
        <v>2812</v>
      </c>
      <c r="P1450" s="21">
        <v>0.0</v>
      </c>
      <c r="Q1450" s="23">
        <v>0.0</v>
      </c>
      <c r="R1450" s="21">
        <v>1.0</v>
      </c>
      <c r="S1450" s="33">
        <f t="shared" si="1"/>
        <v>2015</v>
      </c>
      <c r="T1450" s="33">
        <f t="shared" si="2"/>
        <v>1</v>
      </c>
      <c r="U1450" s="33">
        <f t="shared" si="3"/>
        <v>9</v>
      </c>
      <c r="V1450" s="24"/>
      <c r="W1450" s="24"/>
      <c r="X1450" s="24"/>
      <c r="Y1450" s="24"/>
      <c r="Z1450" s="24"/>
      <c r="AA1450" s="24"/>
      <c r="AB1450" s="24"/>
      <c r="AC1450" s="24"/>
      <c r="AD1450" s="24"/>
      <c r="AE1450" s="24"/>
      <c r="AF1450" s="24"/>
      <c r="AG1450" s="26"/>
      <c r="AH1450" s="27"/>
      <c r="AI1450" s="24"/>
      <c r="AJ1450" s="24"/>
      <c r="AK1450" s="24"/>
      <c r="AL1450" s="24"/>
      <c r="AM1450" s="26"/>
      <c r="AN1450" s="27"/>
      <c r="AO1450" s="24"/>
      <c r="AP1450" s="24"/>
    </row>
    <row r="1451">
      <c r="A1451" s="13" t="s">
        <v>2813</v>
      </c>
      <c r="B1451" s="10">
        <v>42005.0</v>
      </c>
      <c r="C1451" s="11" t="s">
        <v>101</v>
      </c>
      <c r="D1451" s="11" t="s">
        <v>93</v>
      </c>
      <c r="E1451" s="11" t="s">
        <v>39</v>
      </c>
      <c r="F1451" s="11" t="s">
        <v>64</v>
      </c>
      <c r="G1451" s="11" t="s">
        <v>45</v>
      </c>
      <c r="H1451" s="11" t="s">
        <v>109</v>
      </c>
      <c r="I1451" s="11" t="s">
        <v>2814</v>
      </c>
      <c r="J1451" s="11">
        <v>22.0</v>
      </c>
      <c r="K1451" s="12">
        <v>42912.0</v>
      </c>
      <c r="L1451" s="11"/>
      <c r="M1451" s="11">
        <v>677214.0</v>
      </c>
      <c r="N1451" s="11" t="s">
        <v>2815</v>
      </c>
      <c r="O1451" s="13"/>
      <c r="P1451" s="11">
        <v>0.0</v>
      </c>
      <c r="Q1451" s="14">
        <v>0.0</v>
      </c>
      <c r="R1451" s="11">
        <v>1.0</v>
      </c>
      <c r="S1451">
        <f t="shared" si="1"/>
        <v>2015</v>
      </c>
      <c r="T1451">
        <f t="shared" si="2"/>
        <v>1</v>
      </c>
      <c r="U1451">
        <f t="shared" si="3"/>
        <v>1</v>
      </c>
      <c r="AG1451" s="15"/>
      <c r="AH1451" s="16"/>
      <c r="AM1451" s="15"/>
      <c r="AN1451" s="16"/>
    </row>
    <row r="1452">
      <c r="A1452" s="13" t="s">
        <v>2816</v>
      </c>
      <c r="B1452" s="17">
        <v>42005.0</v>
      </c>
      <c r="C1452" s="11" t="s">
        <v>101</v>
      </c>
      <c r="D1452" s="11" t="s">
        <v>213</v>
      </c>
      <c r="E1452" s="11" t="s">
        <v>39</v>
      </c>
      <c r="F1452" s="11" t="s">
        <v>40</v>
      </c>
      <c r="G1452" s="11" t="s">
        <v>45</v>
      </c>
      <c r="H1452" s="11" t="s">
        <v>139</v>
      </c>
      <c r="I1452" s="11" t="s">
        <v>2817</v>
      </c>
      <c r="J1452" s="11">
        <v>18.0</v>
      </c>
      <c r="K1452" s="12">
        <v>43634.0</v>
      </c>
      <c r="L1452" s="11"/>
      <c r="M1452" s="11">
        <v>687406.0</v>
      </c>
      <c r="N1452" s="11" t="s">
        <v>2818</v>
      </c>
      <c r="O1452" s="13"/>
      <c r="P1452" s="11">
        <v>0.0</v>
      </c>
      <c r="Q1452" s="14">
        <v>0.0</v>
      </c>
      <c r="R1452" s="11">
        <v>1.0</v>
      </c>
      <c r="S1452">
        <f t="shared" si="1"/>
        <v>2015</v>
      </c>
      <c r="T1452">
        <f t="shared" si="2"/>
        <v>1</v>
      </c>
      <c r="U1452">
        <f t="shared" si="3"/>
        <v>1</v>
      </c>
      <c r="AG1452" s="15"/>
      <c r="AH1452" s="16"/>
      <c r="AM1452" s="15"/>
      <c r="AN1452" s="16"/>
    </row>
    <row r="1453">
      <c r="A1453" s="13" t="s">
        <v>2819</v>
      </c>
      <c r="B1453" s="10">
        <v>42005.0</v>
      </c>
      <c r="C1453" s="11" t="s">
        <v>72</v>
      </c>
      <c r="D1453" s="11" t="s">
        <v>88</v>
      </c>
      <c r="E1453" s="11" t="s">
        <v>39</v>
      </c>
      <c r="F1453" s="11" t="s">
        <v>40</v>
      </c>
      <c r="G1453" s="11" t="s">
        <v>45</v>
      </c>
      <c r="H1453" s="11" t="s">
        <v>56</v>
      </c>
      <c r="I1453" s="11"/>
      <c r="J1453" s="11">
        <v>23.0</v>
      </c>
      <c r="K1453" s="12">
        <v>42567.0</v>
      </c>
      <c r="L1453" s="11"/>
      <c r="M1453" s="11">
        <v>592242.0</v>
      </c>
      <c r="N1453" s="11" t="s">
        <v>2820</v>
      </c>
      <c r="O1453" s="13"/>
      <c r="P1453" s="11">
        <v>0.0</v>
      </c>
      <c r="Q1453" s="14">
        <v>0.0</v>
      </c>
      <c r="R1453" s="41">
        <v>1.0</v>
      </c>
      <c r="S1453">
        <f t="shared" si="1"/>
        <v>2015</v>
      </c>
      <c r="T1453">
        <f t="shared" si="2"/>
        <v>1</v>
      </c>
      <c r="U1453">
        <f t="shared" si="3"/>
        <v>1</v>
      </c>
      <c r="AG1453" s="15"/>
      <c r="AH1453" s="16"/>
      <c r="AM1453" s="15"/>
      <c r="AN1453" s="16"/>
    </row>
    <row r="1454">
      <c r="A1454" s="13" t="s">
        <v>2821</v>
      </c>
      <c r="B1454" s="17">
        <v>42005.0</v>
      </c>
      <c r="C1454" s="11" t="s">
        <v>72</v>
      </c>
      <c r="D1454" s="11" t="s">
        <v>213</v>
      </c>
      <c r="E1454" s="11" t="s">
        <v>39</v>
      </c>
      <c r="F1454" s="11" t="s">
        <v>40</v>
      </c>
      <c r="G1454" s="11" t="s">
        <v>45</v>
      </c>
      <c r="H1454" s="11" t="s">
        <v>84</v>
      </c>
      <c r="I1454" s="11" t="s">
        <v>2822</v>
      </c>
      <c r="J1454" s="11">
        <v>18.0</v>
      </c>
      <c r="K1454" s="12">
        <v>44322.0</v>
      </c>
      <c r="L1454" s="11"/>
      <c r="M1454" s="11">
        <v>687003.0</v>
      </c>
      <c r="N1454" s="11">
        <v>27695.0</v>
      </c>
      <c r="O1454" s="13"/>
      <c r="P1454" s="11">
        <v>0.0</v>
      </c>
      <c r="Q1454" s="14">
        <v>0.0</v>
      </c>
      <c r="R1454" s="11">
        <v>1.0</v>
      </c>
      <c r="S1454">
        <f t="shared" si="1"/>
        <v>2015</v>
      </c>
      <c r="T1454">
        <f t="shared" si="2"/>
        <v>1</v>
      </c>
      <c r="U1454">
        <f t="shared" si="3"/>
        <v>1</v>
      </c>
      <c r="AG1454" s="15"/>
      <c r="AH1454" s="16"/>
      <c r="AM1454" s="15"/>
      <c r="AN1454" s="16"/>
    </row>
    <row r="1455">
      <c r="A1455" s="13" t="s">
        <v>2823</v>
      </c>
      <c r="B1455" s="17">
        <v>42005.0</v>
      </c>
      <c r="C1455" s="11" t="s">
        <v>167</v>
      </c>
      <c r="D1455" s="11" t="s">
        <v>93</v>
      </c>
      <c r="E1455" s="11" t="s">
        <v>39</v>
      </c>
      <c r="F1455" s="11" t="s">
        <v>40</v>
      </c>
      <c r="G1455" s="11" t="s">
        <v>45</v>
      </c>
      <c r="H1455" s="11" t="s">
        <v>317</v>
      </c>
      <c r="I1455" s="11" t="s">
        <v>2023</v>
      </c>
      <c r="J1455" s="11">
        <v>21.0</v>
      </c>
      <c r="K1455" s="12">
        <v>42924.0</v>
      </c>
      <c r="L1455" s="11"/>
      <c r="M1455" s="11">
        <v>676928.0</v>
      </c>
      <c r="N1455" s="11" t="s">
        <v>2824</v>
      </c>
      <c r="O1455" s="13"/>
      <c r="P1455" s="11">
        <v>0.0</v>
      </c>
      <c r="Q1455" s="14">
        <v>0.0</v>
      </c>
      <c r="R1455" s="11">
        <v>1.0</v>
      </c>
      <c r="S1455">
        <f t="shared" si="1"/>
        <v>2015</v>
      </c>
      <c r="T1455">
        <f t="shared" si="2"/>
        <v>1</v>
      </c>
      <c r="U1455">
        <f t="shared" si="3"/>
        <v>1</v>
      </c>
      <c r="AG1455" s="15"/>
      <c r="AH1455" s="16"/>
      <c r="AM1455" s="15"/>
      <c r="AN1455" s="16"/>
    </row>
    <row r="1456">
      <c r="A1456" s="13" t="s">
        <v>2825</v>
      </c>
      <c r="B1456" s="10">
        <v>42005.0</v>
      </c>
      <c r="C1456" s="11" t="s">
        <v>44</v>
      </c>
      <c r="D1456" s="11" t="s">
        <v>77</v>
      </c>
      <c r="E1456" s="11" t="s">
        <v>39</v>
      </c>
      <c r="F1456" s="11" t="s">
        <v>40</v>
      </c>
      <c r="G1456" s="11" t="s">
        <v>45</v>
      </c>
      <c r="H1456" s="11" t="s">
        <v>67</v>
      </c>
      <c r="I1456" s="11" t="s">
        <v>1573</v>
      </c>
      <c r="J1456" s="11">
        <v>25.0</v>
      </c>
      <c r="K1456" s="12">
        <v>42512.0</v>
      </c>
      <c r="L1456" s="11"/>
      <c r="M1456" s="11">
        <v>642121.0</v>
      </c>
      <c r="N1456" s="11">
        <v>15256.0</v>
      </c>
      <c r="O1456" s="13" t="s">
        <v>69</v>
      </c>
      <c r="P1456" s="11">
        <v>0.0</v>
      </c>
      <c r="Q1456" s="14">
        <v>0.0</v>
      </c>
      <c r="R1456" s="41">
        <v>1.0</v>
      </c>
      <c r="S1456">
        <f t="shared" si="1"/>
        <v>2015</v>
      </c>
      <c r="T1456">
        <f t="shared" si="2"/>
        <v>1</v>
      </c>
      <c r="U1456">
        <f t="shared" si="3"/>
        <v>1</v>
      </c>
      <c r="AG1456" s="15"/>
      <c r="AH1456" s="16"/>
      <c r="AM1456" s="15"/>
      <c r="AN1456" s="16"/>
    </row>
    <row r="1457">
      <c r="A1457" s="13" t="s">
        <v>2826</v>
      </c>
      <c r="B1457" s="17">
        <v>42005.0</v>
      </c>
      <c r="C1457" s="11" t="s">
        <v>192</v>
      </c>
      <c r="D1457" s="11" t="s">
        <v>213</v>
      </c>
      <c r="E1457" s="11" t="s">
        <v>39</v>
      </c>
      <c r="F1457" s="11" t="s">
        <v>64</v>
      </c>
      <c r="G1457" s="11" t="s">
        <v>45</v>
      </c>
      <c r="H1457" s="11" t="s">
        <v>163</v>
      </c>
      <c r="I1457" s="11" t="s">
        <v>619</v>
      </c>
      <c r="J1457" s="11">
        <v>18.0</v>
      </c>
      <c r="K1457" s="39">
        <v>43277.0</v>
      </c>
      <c r="L1457" s="30"/>
      <c r="M1457" s="11">
        <v>663876.0</v>
      </c>
      <c r="N1457" s="11" t="s">
        <v>2827</v>
      </c>
      <c r="O1457" s="13"/>
      <c r="P1457" s="11">
        <v>0.0</v>
      </c>
      <c r="Q1457" s="14">
        <v>0.0</v>
      </c>
      <c r="R1457" s="11">
        <v>1.0</v>
      </c>
      <c r="S1457">
        <f t="shared" si="1"/>
        <v>2015</v>
      </c>
      <c r="T1457">
        <f t="shared" si="2"/>
        <v>1</v>
      </c>
      <c r="U1457">
        <f t="shared" si="3"/>
        <v>1</v>
      </c>
      <c r="AG1457" s="15"/>
      <c r="AH1457" s="16"/>
      <c r="AM1457" s="15"/>
      <c r="AN1457" s="16"/>
    </row>
    <row r="1458">
      <c r="A1458" s="13" t="s">
        <v>2828</v>
      </c>
      <c r="B1458" s="10">
        <v>42005.0</v>
      </c>
      <c r="C1458" s="11" t="s">
        <v>111</v>
      </c>
      <c r="D1458" s="11" t="s">
        <v>88</v>
      </c>
      <c r="E1458" s="11" t="s">
        <v>39</v>
      </c>
      <c r="F1458" s="11" t="s">
        <v>40</v>
      </c>
      <c r="G1458" s="11" t="s">
        <v>53</v>
      </c>
      <c r="H1458" s="11"/>
      <c r="I1458" s="11"/>
      <c r="J1458" s="11">
        <v>26.0</v>
      </c>
      <c r="K1458" s="30"/>
      <c r="L1458" s="30"/>
      <c r="M1458" s="11">
        <v>500674.0</v>
      </c>
      <c r="N1458" s="11">
        <v>2966.0</v>
      </c>
      <c r="O1458" s="13"/>
      <c r="P1458" s="11">
        <v>0.0</v>
      </c>
      <c r="Q1458" s="14">
        <v>0.0</v>
      </c>
      <c r="R1458" s="11">
        <v>0.0</v>
      </c>
      <c r="S1458">
        <f t="shared" si="1"/>
        <v>2015</v>
      </c>
      <c r="T1458">
        <f t="shared" si="2"/>
        <v>1</v>
      </c>
      <c r="U1458">
        <f t="shared" si="3"/>
        <v>1</v>
      </c>
      <c r="AG1458" s="15"/>
      <c r="AH1458" s="16"/>
      <c r="AM1458" s="15"/>
      <c r="AN1458" s="16"/>
    </row>
    <row r="1459">
      <c r="A1459" s="13" t="s">
        <v>2829</v>
      </c>
      <c r="B1459" s="10">
        <v>42005.0</v>
      </c>
      <c r="C1459" s="11" t="s">
        <v>111</v>
      </c>
      <c r="D1459" s="11" t="s">
        <v>88</v>
      </c>
      <c r="E1459" s="11" t="s">
        <v>39</v>
      </c>
      <c r="F1459" s="11" t="s">
        <v>40</v>
      </c>
      <c r="G1459" s="11" t="s">
        <v>45</v>
      </c>
      <c r="H1459" s="11" t="s">
        <v>56</v>
      </c>
      <c r="I1459" s="11" t="s">
        <v>2830</v>
      </c>
      <c r="J1459" s="11">
        <v>22.0</v>
      </c>
      <c r="K1459" s="39">
        <v>42587.0</v>
      </c>
      <c r="L1459" s="30"/>
      <c r="M1459" s="11">
        <v>643617.0</v>
      </c>
      <c r="N1459" s="11">
        <v>15285.0</v>
      </c>
      <c r="O1459" s="13"/>
      <c r="P1459" s="11">
        <v>10.0</v>
      </c>
      <c r="Q1459" s="14">
        <v>9.667</v>
      </c>
      <c r="R1459" s="41">
        <v>1.0</v>
      </c>
      <c r="S1459">
        <f t="shared" si="1"/>
        <v>2015</v>
      </c>
      <c r="T1459">
        <f t="shared" si="2"/>
        <v>1</v>
      </c>
      <c r="U1459">
        <f t="shared" si="3"/>
        <v>1</v>
      </c>
      <c r="AG1459" s="15"/>
      <c r="AH1459" s="16"/>
      <c r="AM1459" s="15"/>
      <c r="AN1459" s="16"/>
    </row>
    <row r="1460">
      <c r="A1460" s="13" t="s">
        <v>2831</v>
      </c>
      <c r="B1460" s="10">
        <v>42005.0</v>
      </c>
      <c r="C1460" s="11" t="s">
        <v>52</v>
      </c>
      <c r="D1460" s="11" t="s">
        <v>93</v>
      </c>
      <c r="E1460" s="11" t="s">
        <v>39</v>
      </c>
      <c r="F1460" s="11" t="s">
        <v>40</v>
      </c>
      <c r="G1460" s="11" t="s">
        <v>45</v>
      </c>
      <c r="H1460" s="11" t="s">
        <v>240</v>
      </c>
      <c r="I1460" s="11" t="s">
        <v>1023</v>
      </c>
      <c r="J1460" s="11">
        <v>20.0</v>
      </c>
      <c r="K1460" s="39">
        <v>43296.0</v>
      </c>
      <c r="L1460" s="30"/>
      <c r="M1460" s="11">
        <v>641585.0</v>
      </c>
      <c r="N1460" s="11">
        <v>21212.0</v>
      </c>
      <c r="O1460" s="13"/>
      <c r="P1460" s="11">
        <v>0.0</v>
      </c>
      <c r="Q1460" s="14">
        <v>0.0</v>
      </c>
      <c r="R1460" s="11">
        <v>1.0</v>
      </c>
      <c r="S1460">
        <f t="shared" si="1"/>
        <v>2015</v>
      </c>
      <c r="T1460">
        <f t="shared" si="2"/>
        <v>1</v>
      </c>
      <c r="U1460">
        <f t="shared" si="3"/>
        <v>1</v>
      </c>
      <c r="AG1460" s="15"/>
      <c r="AH1460" s="16"/>
      <c r="AM1460" s="15"/>
      <c r="AN1460" s="16"/>
    </row>
    <row r="1461">
      <c r="A1461" s="13" t="s">
        <v>2832</v>
      </c>
      <c r="B1461" s="10">
        <v>42005.0</v>
      </c>
      <c r="C1461" s="11" t="s">
        <v>358</v>
      </c>
      <c r="D1461" s="11" t="s">
        <v>93</v>
      </c>
      <c r="E1461" s="11" t="s">
        <v>39</v>
      </c>
      <c r="F1461" s="11" t="s">
        <v>40</v>
      </c>
      <c r="G1461" s="11" t="s">
        <v>45</v>
      </c>
      <c r="H1461" s="11" t="s">
        <v>84</v>
      </c>
      <c r="I1461" s="11" t="s">
        <v>2833</v>
      </c>
      <c r="J1461" s="11">
        <v>21.0</v>
      </c>
      <c r="K1461" s="39">
        <v>42544.0</v>
      </c>
      <c r="L1461" s="30"/>
      <c r="M1461" s="11">
        <v>670588.0</v>
      </c>
      <c r="N1461" s="11" t="s">
        <v>2834</v>
      </c>
      <c r="O1461" s="13"/>
      <c r="P1461" s="11">
        <v>0.0</v>
      </c>
      <c r="Q1461" s="14">
        <v>0.0</v>
      </c>
      <c r="R1461" s="11">
        <v>1.0</v>
      </c>
      <c r="S1461">
        <f t="shared" si="1"/>
        <v>2015</v>
      </c>
      <c r="T1461">
        <f t="shared" si="2"/>
        <v>1</v>
      </c>
      <c r="U1461">
        <f t="shared" si="3"/>
        <v>1</v>
      </c>
      <c r="AG1461" s="15"/>
      <c r="AH1461" s="16"/>
      <c r="AM1461" s="15"/>
      <c r="AN1461" s="16"/>
    </row>
    <row r="1462">
      <c r="A1462" s="13" t="s">
        <v>2835</v>
      </c>
      <c r="B1462" s="10">
        <v>42005.0</v>
      </c>
      <c r="C1462" s="11" t="s">
        <v>358</v>
      </c>
      <c r="D1462" s="11" t="s">
        <v>221</v>
      </c>
      <c r="E1462" s="11" t="s">
        <v>39</v>
      </c>
      <c r="F1462" s="11" t="s">
        <v>40</v>
      </c>
      <c r="G1462" s="11" t="s">
        <v>53</v>
      </c>
      <c r="H1462" s="11"/>
      <c r="I1462" s="11"/>
      <c r="J1462" s="11">
        <v>22.0</v>
      </c>
      <c r="K1462" s="39">
        <v>42980.0</v>
      </c>
      <c r="L1462" s="30"/>
      <c r="M1462" s="11">
        <v>600921.0</v>
      </c>
      <c r="N1462" s="11">
        <v>14681.0</v>
      </c>
      <c r="O1462" s="13"/>
      <c r="P1462" s="11">
        <v>2.0</v>
      </c>
      <c r="Q1462" s="14">
        <v>3.667</v>
      </c>
      <c r="R1462" s="11">
        <v>1.0</v>
      </c>
      <c r="S1462">
        <f t="shared" si="1"/>
        <v>2015</v>
      </c>
      <c r="T1462">
        <f t="shared" si="2"/>
        <v>1</v>
      </c>
      <c r="U1462">
        <f t="shared" si="3"/>
        <v>1</v>
      </c>
      <c r="AG1462" s="15"/>
      <c r="AH1462" s="16"/>
      <c r="AM1462" s="15"/>
      <c r="AN1462" s="16"/>
    </row>
    <row r="1463">
      <c r="A1463" s="13" t="s">
        <v>2836</v>
      </c>
      <c r="B1463" s="10">
        <v>42005.0</v>
      </c>
      <c r="C1463" s="11" t="s">
        <v>358</v>
      </c>
      <c r="D1463" s="11" t="s">
        <v>221</v>
      </c>
      <c r="E1463" s="11" t="s">
        <v>39</v>
      </c>
      <c r="F1463" s="11" t="s">
        <v>40</v>
      </c>
      <c r="G1463" s="11" t="s">
        <v>45</v>
      </c>
      <c r="H1463" s="11" t="s">
        <v>59</v>
      </c>
      <c r="I1463" s="11" t="s">
        <v>2837</v>
      </c>
      <c r="J1463" s="11">
        <v>23.0</v>
      </c>
      <c r="K1463" s="39">
        <v>42539.0</v>
      </c>
      <c r="L1463" s="30"/>
      <c r="M1463" s="11">
        <v>625974.0</v>
      </c>
      <c r="N1463" s="11" t="s">
        <v>2838</v>
      </c>
      <c r="O1463" s="13"/>
      <c r="P1463" s="11">
        <v>0.0</v>
      </c>
      <c r="Q1463" s="14">
        <v>0.0</v>
      </c>
      <c r="R1463" s="41">
        <v>1.0</v>
      </c>
      <c r="S1463">
        <f t="shared" si="1"/>
        <v>2015</v>
      </c>
      <c r="T1463">
        <f t="shared" si="2"/>
        <v>1</v>
      </c>
      <c r="U1463">
        <f t="shared" si="3"/>
        <v>1</v>
      </c>
      <c r="AG1463" s="15"/>
      <c r="AH1463" s="16"/>
      <c r="AM1463" s="15"/>
      <c r="AN1463" s="16"/>
    </row>
    <row r="1464">
      <c r="A1464" s="13" t="s">
        <v>2839</v>
      </c>
      <c r="B1464" s="10">
        <v>42005.0</v>
      </c>
      <c r="C1464" s="11" t="s">
        <v>346</v>
      </c>
      <c r="D1464" s="11" t="s">
        <v>88</v>
      </c>
      <c r="E1464" s="11" t="s">
        <v>39</v>
      </c>
      <c r="F1464" s="11" t="s">
        <v>40</v>
      </c>
      <c r="G1464" s="11" t="s">
        <v>45</v>
      </c>
      <c r="H1464" s="11" t="s">
        <v>109</v>
      </c>
      <c r="I1464" s="11" t="s">
        <v>2003</v>
      </c>
      <c r="J1464" s="11">
        <v>23.0</v>
      </c>
      <c r="K1464" s="39"/>
      <c r="L1464" s="30"/>
      <c r="M1464" s="11">
        <v>621163.0</v>
      </c>
      <c r="N1464" s="11" t="s">
        <v>2840</v>
      </c>
      <c r="O1464" s="13"/>
      <c r="P1464" s="11">
        <v>0.0</v>
      </c>
      <c r="Q1464" s="14">
        <v>0.0</v>
      </c>
      <c r="R1464" s="11">
        <v>0.0</v>
      </c>
      <c r="S1464">
        <f t="shared" si="1"/>
        <v>2015</v>
      </c>
      <c r="T1464">
        <f t="shared" si="2"/>
        <v>1</v>
      </c>
      <c r="U1464">
        <f t="shared" si="3"/>
        <v>1</v>
      </c>
      <c r="AG1464" s="15"/>
      <c r="AH1464" s="16"/>
      <c r="AM1464" s="15"/>
      <c r="AN1464" s="16"/>
    </row>
    <row r="1465">
      <c r="A1465" s="13" t="s">
        <v>2841</v>
      </c>
      <c r="B1465" s="10">
        <v>42005.0</v>
      </c>
      <c r="C1465" s="11" t="s">
        <v>346</v>
      </c>
      <c r="D1465" s="11" t="s">
        <v>221</v>
      </c>
      <c r="E1465" s="11" t="s">
        <v>39</v>
      </c>
      <c r="F1465" s="11" t="s">
        <v>40</v>
      </c>
      <c r="G1465" s="11" t="s">
        <v>53</v>
      </c>
      <c r="H1465" s="11"/>
      <c r="I1465" s="11"/>
      <c r="J1465" s="11">
        <v>18.0</v>
      </c>
      <c r="K1465" s="39"/>
      <c r="L1465" s="30"/>
      <c r="M1465" s="11">
        <v>650650.0</v>
      </c>
      <c r="N1465" s="11" t="s">
        <v>2842</v>
      </c>
      <c r="O1465" s="13"/>
      <c r="P1465" s="11">
        <v>0.0</v>
      </c>
      <c r="Q1465" s="14">
        <v>0.0</v>
      </c>
      <c r="R1465" s="11">
        <v>0.0</v>
      </c>
      <c r="S1465">
        <f t="shared" si="1"/>
        <v>2015</v>
      </c>
      <c r="T1465">
        <f t="shared" si="2"/>
        <v>1</v>
      </c>
      <c r="U1465">
        <f t="shared" si="3"/>
        <v>1</v>
      </c>
      <c r="AG1465" s="15"/>
      <c r="AH1465" s="16"/>
      <c r="AM1465" s="15"/>
      <c r="AN1465" s="16"/>
    </row>
    <row r="1466">
      <c r="A1466" s="13" t="s">
        <v>2843</v>
      </c>
      <c r="B1466" s="10">
        <v>42005.0</v>
      </c>
      <c r="C1466" s="11" t="s">
        <v>126</v>
      </c>
      <c r="D1466" s="11" t="s">
        <v>93</v>
      </c>
      <c r="E1466" s="11" t="s">
        <v>39</v>
      </c>
      <c r="F1466" s="11" t="s">
        <v>40</v>
      </c>
      <c r="G1466" s="11" t="s">
        <v>45</v>
      </c>
      <c r="H1466" s="11" t="s">
        <v>451</v>
      </c>
      <c r="I1466" s="11" t="s">
        <v>2844</v>
      </c>
      <c r="J1466" s="11">
        <v>19.0</v>
      </c>
      <c r="K1466" s="39">
        <v>43282.0</v>
      </c>
      <c r="L1466" s="30"/>
      <c r="M1466" s="11">
        <v>641300.0</v>
      </c>
      <c r="N1466" s="11" t="s">
        <v>2845</v>
      </c>
      <c r="O1466" s="13"/>
      <c r="P1466" s="11">
        <v>0.0</v>
      </c>
      <c r="Q1466" s="14">
        <v>0.0</v>
      </c>
      <c r="R1466" s="11">
        <v>1.0</v>
      </c>
      <c r="S1466">
        <f t="shared" si="1"/>
        <v>2015</v>
      </c>
      <c r="T1466">
        <f t="shared" si="2"/>
        <v>1</v>
      </c>
      <c r="U1466">
        <f t="shared" si="3"/>
        <v>1</v>
      </c>
      <c r="AG1466" s="15"/>
      <c r="AH1466" s="16"/>
      <c r="AM1466" s="15"/>
      <c r="AN1466" s="16"/>
    </row>
    <row r="1467">
      <c r="A1467" s="13" t="s">
        <v>2846</v>
      </c>
      <c r="B1467" s="17">
        <v>42005.0</v>
      </c>
      <c r="C1467" s="11" t="s">
        <v>362</v>
      </c>
      <c r="D1467" s="11" t="s">
        <v>93</v>
      </c>
      <c r="E1467" s="11" t="s">
        <v>39</v>
      </c>
      <c r="F1467" s="11" t="s">
        <v>40</v>
      </c>
      <c r="G1467" s="11" t="s">
        <v>45</v>
      </c>
      <c r="H1467" s="11" t="s">
        <v>67</v>
      </c>
      <c r="I1467" s="11" t="s">
        <v>1573</v>
      </c>
      <c r="J1467" s="11">
        <v>21.0</v>
      </c>
      <c r="K1467" s="39">
        <v>42911.0</v>
      </c>
      <c r="L1467" s="30"/>
      <c r="M1467" s="11">
        <v>676641.0</v>
      </c>
      <c r="N1467" s="11">
        <v>23420.0</v>
      </c>
      <c r="O1467" s="13"/>
      <c r="P1467" s="11">
        <v>0.0</v>
      </c>
      <c r="Q1467" s="14">
        <v>0.0</v>
      </c>
      <c r="R1467" s="11">
        <v>1.0</v>
      </c>
      <c r="S1467">
        <f t="shared" si="1"/>
        <v>2015</v>
      </c>
      <c r="T1467">
        <f t="shared" si="2"/>
        <v>1</v>
      </c>
      <c r="U1467">
        <f t="shared" si="3"/>
        <v>1</v>
      </c>
      <c r="AG1467" s="15"/>
      <c r="AH1467" s="16"/>
      <c r="AM1467" s="15"/>
      <c r="AN1467" s="16"/>
    </row>
    <row r="1468">
      <c r="A1468" s="13" t="s">
        <v>2847</v>
      </c>
      <c r="B1468" s="10">
        <v>42005.0</v>
      </c>
      <c r="C1468" s="11" t="s">
        <v>362</v>
      </c>
      <c r="D1468" s="11" t="s">
        <v>221</v>
      </c>
      <c r="E1468" s="11" t="s">
        <v>39</v>
      </c>
      <c r="F1468" s="11" t="s">
        <v>40</v>
      </c>
      <c r="G1468" s="11" t="s">
        <v>41</v>
      </c>
      <c r="H1468" s="11"/>
      <c r="I1468" s="11"/>
      <c r="J1468" s="11">
        <v>21.0</v>
      </c>
      <c r="K1468" s="39">
        <v>42893.0</v>
      </c>
      <c r="L1468" s="30"/>
      <c r="M1468" s="11">
        <v>650833.0</v>
      </c>
      <c r="N1468" s="11" t="s">
        <v>2848</v>
      </c>
      <c r="O1468" s="13"/>
      <c r="P1468" s="11">
        <v>0.0</v>
      </c>
      <c r="Q1468" s="14">
        <v>0.0</v>
      </c>
      <c r="R1468" s="11">
        <v>1.0</v>
      </c>
      <c r="S1468">
        <f t="shared" si="1"/>
        <v>2015</v>
      </c>
      <c r="T1468">
        <f t="shared" si="2"/>
        <v>1</v>
      </c>
      <c r="U1468">
        <f t="shared" si="3"/>
        <v>1</v>
      </c>
      <c r="AG1468" s="15"/>
      <c r="AH1468" s="16"/>
      <c r="AM1468" s="15"/>
      <c r="AN1468" s="16"/>
    </row>
    <row r="1469">
      <c r="A1469" s="13" t="s">
        <v>2849</v>
      </c>
      <c r="B1469" s="17">
        <v>42005.0</v>
      </c>
      <c r="C1469" s="11" t="s">
        <v>362</v>
      </c>
      <c r="D1469" s="11" t="s">
        <v>221</v>
      </c>
      <c r="E1469" s="11" t="s">
        <v>39</v>
      </c>
      <c r="F1469" s="11" t="s">
        <v>40</v>
      </c>
      <c r="G1469" s="11" t="s">
        <v>41</v>
      </c>
      <c r="H1469" s="11"/>
      <c r="I1469" s="11"/>
      <c r="J1469" s="11">
        <v>17.0</v>
      </c>
      <c r="K1469" s="39">
        <v>42903.0</v>
      </c>
      <c r="L1469" s="30"/>
      <c r="M1469" s="11">
        <v>660787.0</v>
      </c>
      <c r="N1469" s="11">
        <v>21420.0</v>
      </c>
      <c r="O1469" s="13"/>
      <c r="P1469" s="11">
        <v>0.0</v>
      </c>
      <c r="Q1469" s="14">
        <v>0.0</v>
      </c>
      <c r="R1469" s="11">
        <v>1.0</v>
      </c>
      <c r="S1469">
        <f t="shared" si="1"/>
        <v>2015</v>
      </c>
      <c r="T1469">
        <f t="shared" si="2"/>
        <v>1</v>
      </c>
      <c r="U1469">
        <f t="shared" si="3"/>
        <v>1</v>
      </c>
      <c r="AG1469" s="15"/>
      <c r="AH1469" s="16"/>
      <c r="AM1469" s="15"/>
      <c r="AN1469" s="16"/>
    </row>
    <row r="1470">
      <c r="A1470" s="13" t="s">
        <v>2850</v>
      </c>
      <c r="B1470" s="17">
        <v>42005.0</v>
      </c>
      <c r="C1470" s="11" t="s">
        <v>230</v>
      </c>
      <c r="D1470" s="11" t="s">
        <v>213</v>
      </c>
      <c r="E1470" s="11" t="s">
        <v>39</v>
      </c>
      <c r="F1470" s="11" t="s">
        <v>40</v>
      </c>
      <c r="G1470" s="11" t="s">
        <v>45</v>
      </c>
      <c r="H1470" s="11" t="s">
        <v>56</v>
      </c>
      <c r="I1470" s="11" t="s">
        <v>2851</v>
      </c>
      <c r="J1470" s="11">
        <v>18.0</v>
      </c>
      <c r="K1470" s="39">
        <v>43630.0</v>
      </c>
      <c r="L1470" s="30"/>
      <c r="M1470" s="11">
        <v>681539.0</v>
      </c>
      <c r="N1470" s="11" t="s">
        <v>2852</v>
      </c>
      <c r="O1470" s="13"/>
      <c r="P1470" s="11">
        <v>0.0</v>
      </c>
      <c r="Q1470" s="14">
        <v>0.0</v>
      </c>
      <c r="R1470" s="11">
        <v>1.0</v>
      </c>
      <c r="S1470">
        <f t="shared" si="1"/>
        <v>2015</v>
      </c>
      <c r="T1470">
        <f t="shared" si="2"/>
        <v>1</v>
      </c>
      <c r="U1470">
        <f t="shared" si="3"/>
        <v>1</v>
      </c>
      <c r="AG1470" s="15"/>
      <c r="AH1470" s="16"/>
      <c r="AM1470" s="15"/>
      <c r="AN1470" s="16"/>
    </row>
    <row r="1471">
      <c r="A1471" s="13" t="s">
        <v>2853</v>
      </c>
      <c r="B1471" s="17">
        <v>42005.0</v>
      </c>
      <c r="C1471" s="11" t="s">
        <v>62</v>
      </c>
      <c r="D1471" s="11" t="s">
        <v>221</v>
      </c>
      <c r="E1471" s="11" t="s">
        <v>39</v>
      </c>
      <c r="F1471" s="11" t="s">
        <v>40</v>
      </c>
      <c r="G1471" s="11" t="s">
        <v>45</v>
      </c>
      <c r="H1471" s="11" t="s">
        <v>112</v>
      </c>
      <c r="I1471" s="11" t="s">
        <v>2854</v>
      </c>
      <c r="J1471" s="11">
        <v>23.0</v>
      </c>
      <c r="K1471" s="39">
        <v>42538.0</v>
      </c>
      <c r="L1471" s="30"/>
      <c r="M1471" s="11">
        <v>643539.0</v>
      </c>
      <c r="N1471" s="11" t="s">
        <v>2855</v>
      </c>
      <c r="O1471" s="13"/>
      <c r="P1471" s="11">
        <v>0.0</v>
      </c>
      <c r="Q1471" s="14">
        <v>0.0</v>
      </c>
      <c r="R1471" s="11">
        <v>1.0</v>
      </c>
      <c r="S1471">
        <f t="shared" si="1"/>
        <v>2015</v>
      </c>
      <c r="T1471">
        <f t="shared" si="2"/>
        <v>1</v>
      </c>
      <c r="U1471">
        <f t="shared" si="3"/>
        <v>1</v>
      </c>
      <c r="Z1471" s="17">
        <v>42538.0</v>
      </c>
      <c r="AG1471" s="15"/>
      <c r="AH1471" s="16"/>
      <c r="AM1471" s="15"/>
      <c r="AN1471" s="16"/>
    </row>
    <row r="1472">
      <c r="A1472" s="13" t="s">
        <v>2856</v>
      </c>
      <c r="B1472" s="17">
        <v>42005.0</v>
      </c>
      <c r="C1472" s="11" t="s">
        <v>83</v>
      </c>
      <c r="D1472" s="11" t="s">
        <v>93</v>
      </c>
      <c r="E1472" s="11" t="s">
        <v>39</v>
      </c>
      <c r="F1472" s="11" t="s">
        <v>40</v>
      </c>
      <c r="G1472" s="11" t="s">
        <v>45</v>
      </c>
      <c r="H1472" s="11" t="s">
        <v>67</v>
      </c>
      <c r="I1472" s="11" t="s">
        <v>2023</v>
      </c>
      <c r="J1472" s="11">
        <v>19.0</v>
      </c>
      <c r="K1472" s="39">
        <v>43644.0</v>
      </c>
      <c r="L1472" s="30"/>
      <c r="M1472" s="11">
        <v>687950.0</v>
      </c>
      <c r="N1472" s="11" t="s">
        <v>2857</v>
      </c>
      <c r="O1472" s="13"/>
      <c r="P1472" s="11">
        <v>0.0</v>
      </c>
      <c r="Q1472" s="14">
        <v>0.0</v>
      </c>
      <c r="R1472" s="11">
        <v>1.0</v>
      </c>
      <c r="S1472">
        <f t="shared" si="1"/>
        <v>2015</v>
      </c>
      <c r="T1472">
        <f t="shared" si="2"/>
        <v>1</v>
      </c>
      <c r="U1472">
        <f t="shared" si="3"/>
        <v>1</v>
      </c>
      <c r="AG1472" s="15"/>
      <c r="AH1472" s="16"/>
      <c r="AM1472" s="15"/>
      <c r="AN1472" s="16"/>
    </row>
    <row r="1473">
      <c r="A1473" s="13" t="s">
        <v>2858</v>
      </c>
      <c r="B1473" s="10">
        <v>42005.0</v>
      </c>
      <c r="C1473" s="11" t="s">
        <v>156</v>
      </c>
      <c r="D1473" s="11" t="s">
        <v>88</v>
      </c>
      <c r="E1473" s="11" t="s">
        <v>39</v>
      </c>
      <c r="F1473" s="11" t="s">
        <v>40</v>
      </c>
      <c r="G1473" s="11" t="s">
        <v>45</v>
      </c>
      <c r="H1473" s="11" t="s">
        <v>56</v>
      </c>
      <c r="I1473" s="11" t="s">
        <v>1491</v>
      </c>
      <c r="J1473" s="11">
        <v>23.0</v>
      </c>
      <c r="K1473" s="39">
        <v>42511.0</v>
      </c>
      <c r="L1473" s="30"/>
      <c r="M1473" s="11">
        <v>595397.0</v>
      </c>
      <c r="N1473" s="11" t="s">
        <v>2859</v>
      </c>
      <c r="O1473" s="13"/>
      <c r="P1473" s="11">
        <v>0.0</v>
      </c>
      <c r="Q1473" s="14">
        <v>0.0</v>
      </c>
      <c r="R1473" s="11">
        <v>1.0</v>
      </c>
      <c r="S1473">
        <f t="shared" si="1"/>
        <v>2015</v>
      </c>
      <c r="T1473">
        <f t="shared" si="2"/>
        <v>1</v>
      </c>
      <c r="U1473">
        <f t="shared" si="3"/>
        <v>1</v>
      </c>
      <c r="AG1473" s="15"/>
      <c r="AH1473" s="16"/>
      <c r="AM1473" s="15"/>
      <c r="AN1473" s="16"/>
    </row>
    <row r="1474">
      <c r="A1474" s="13" t="s">
        <v>2860</v>
      </c>
      <c r="B1474" s="10">
        <v>42005.0</v>
      </c>
      <c r="C1474" s="11" t="s">
        <v>156</v>
      </c>
      <c r="D1474" s="11" t="s">
        <v>93</v>
      </c>
      <c r="E1474" s="11" t="s">
        <v>39</v>
      </c>
      <c r="F1474" s="11" t="s">
        <v>40</v>
      </c>
      <c r="G1474" s="11" t="s">
        <v>45</v>
      </c>
      <c r="H1474" s="11" t="s">
        <v>59</v>
      </c>
      <c r="I1474" s="11" t="s">
        <v>1883</v>
      </c>
      <c r="J1474" s="11">
        <v>18.0</v>
      </c>
      <c r="K1474" s="39">
        <v>42574.0</v>
      </c>
      <c r="L1474" s="30"/>
      <c r="M1474" s="11">
        <v>656820.0</v>
      </c>
      <c r="N1474" s="11">
        <v>21327.0</v>
      </c>
      <c r="O1474" s="13"/>
      <c r="P1474" s="11">
        <v>0.0</v>
      </c>
      <c r="Q1474" s="14">
        <v>0.0</v>
      </c>
      <c r="R1474" s="41">
        <v>1.0</v>
      </c>
      <c r="S1474">
        <f t="shared" si="1"/>
        <v>2015</v>
      </c>
      <c r="T1474">
        <f t="shared" si="2"/>
        <v>1</v>
      </c>
      <c r="U1474">
        <f t="shared" si="3"/>
        <v>1</v>
      </c>
      <c r="AG1474" s="15"/>
      <c r="AH1474" s="16"/>
      <c r="AM1474" s="15"/>
      <c r="AN1474" s="16"/>
    </row>
    <row r="1475">
      <c r="A1475" s="19" t="s">
        <v>2861</v>
      </c>
      <c r="B1475" s="20">
        <v>42005.0</v>
      </c>
      <c r="C1475" s="21" t="s">
        <v>186</v>
      </c>
      <c r="D1475" s="18" t="s">
        <v>221</v>
      </c>
      <c r="E1475" s="21" t="s">
        <v>39</v>
      </c>
      <c r="F1475" s="21" t="s">
        <v>64</v>
      </c>
      <c r="G1475" s="21" t="s">
        <v>45</v>
      </c>
      <c r="H1475" s="21" t="s">
        <v>236</v>
      </c>
      <c r="I1475" s="21" t="s">
        <v>1806</v>
      </c>
      <c r="J1475" s="18">
        <v>25.0</v>
      </c>
      <c r="K1475" s="39">
        <v>42495.0</v>
      </c>
      <c r="L1475" s="11">
        <f>ROUND(((K1475-B1475)/365)*12,0)</f>
        <v>16</v>
      </c>
      <c r="M1475" s="21">
        <v>543927.0</v>
      </c>
      <c r="N1475" s="21" t="s">
        <v>2862</v>
      </c>
      <c r="O1475" s="38" t="s">
        <v>355</v>
      </c>
      <c r="P1475" s="11">
        <v>0.0</v>
      </c>
      <c r="Q1475" s="14">
        <v>0.0</v>
      </c>
      <c r="R1475" s="11">
        <v>1.0</v>
      </c>
      <c r="S1475">
        <f t="shared" si="1"/>
        <v>2015</v>
      </c>
      <c r="T1475">
        <f t="shared" si="2"/>
        <v>1</v>
      </c>
      <c r="U1475">
        <f t="shared" si="3"/>
        <v>1</v>
      </c>
      <c r="AG1475" s="15"/>
      <c r="AH1475" s="16"/>
      <c r="AM1475" s="15"/>
      <c r="AN1475" s="16"/>
    </row>
    <row r="1476">
      <c r="A1476" s="13" t="s">
        <v>2863</v>
      </c>
      <c r="B1476" s="17">
        <v>42005.0</v>
      </c>
      <c r="C1476" s="11" t="s">
        <v>76</v>
      </c>
      <c r="D1476" s="11" t="s">
        <v>213</v>
      </c>
      <c r="E1476" s="11" t="s">
        <v>39</v>
      </c>
      <c r="F1476" s="11" t="s">
        <v>64</v>
      </c>
      <c r="G1476" s="11" t="s">
        <v>45</v>
      </c>
      <c r="H1476" s="11" t="s">
        <v>2864</v>
      </c>
      <c r="I1476" s="11" t="s">
        <v>2865</v>
      </c>
      <c r="J1476" s="11">
        <v>16.0</v>
      </c>
      <c r="K1476" s="39">
        <v>43669.0</v>
      </c>
      <c r="L1476" s="30"/>
      <c r="M1476" s="11">
        <v>686731.0</v>
      </c>
      <c r="N1476" s="11" t="s">
        <v>2866</v>
      </c>
      <c r="O1476" s="13"/>
      <c r="P1476" s="11">
        <v>0.0</v>
      </c>
      <c r="Q1476" s="14">
        <v>0.0</v>
      </c>
      <c r="R1476" s="11">
        <v>1.0</v>
      </c>
      <c r="S1476">
        <f t="shared" si="1"/>
        <v>2015</v>
      </c>
      <c r="T1476">
        <f t="shared" si="2"/>
        <v>1</v>
      </c>
      <c r="U1476">
        <f t="shared" si="3"/>
        <v>1</v>
      </c>
      <c r="AG1476" s="15"/>
      <c r="AH1476" s="16"/>
      <c r="AM1476" s="15"/>
      <c r="AN1476" s="16"/>
    </row>
    <row r="1477">
      <c r="A1477" s="13" t="s">
        <v>2867</v>
      </c>
      <c r="B1477" s="17">
        <v>41978.0</v>
      </c>
      <c r="C1477" s="11" t="s">
        <v>162</v>
      </c>
      <c r="D1477" s="11" t="s">
        <v>213</v>
      </c>
      <c r="E1477" s="11" t="s">
        <v>660</v>
      </c>
      <c r="F1477" s="11" t="s">
        <v>40</v>
      </c>
      <c r="G1477" s="11" t="s">
        <v>194</v>
      </c>
      <c r="H1477" s="11"/>
      <c r="I1477" s="11"/>
      <c r="J1477" s="11">
        <v>18.0</v>
      </c>
      <c r="K1477" s="39">
        <v>43643.0</v>
      </c>
      <c r="L1477" s="30"/>
      <c r="M1477" s="11">
        <v>651016.0</v>
      </c>
      <c r="N1477" s="11" t="s">
        <v>2868</v>
      </c>
      <c r="O1477" s="13"/>
      <c r="P1477" s="11">
        <v>0.0</v>
      </c>
      <c r="Q1477" s="14">
        <v>0.0</v>
      </c>
      <c r="R1477" s="11">
        <v>1.0</v>
      </c>
      <c r="S1477">
        <f t="shared" si="1"/>
        <v>2014</v>
      </c>
      <c r="T1477">
        <f t="shared" si="2"/>
        <v>12</v>
      </c>
      <c r="U1477">
        <f t="shared" si="3"/>
        <v>5</v>
      </c>
      <c r="AG1477" s="15"/>
      <c r="AH1477" s="16"/>
      <c r="AM1477" s="15"/>
      <c r="AN1477" s="16"/>
    </row>
    <row r="1478">
      <c r="A1478" s="13" t="s">
        <v>2869</v>
      </c>
      <c r="B1478" s="10">
        <v>41944.0</v>
      </c>
      <c r="C1478" s="11" t="s">
        <v>143</v>
      </c>
      <c r="D1478" s="11" t="s">
        <v>213</v>
      </c>
      <c r="E1478" s="11" t="s">
        <v>39</v>
      </c>
      <c r="F1478" s="11" t="s">
        <v>40</v>
      </c>
      <c r="G1478" s="11" t="s">
        <v>45</v>
      </c>
      <c r="H1478" s="11" t="s">
        <v>65</v>
      </c>
      <c r="I1478" s="11" t="s">
        <v>2428</v>
      </c>
      <c r="J1478" s="11">
        <v>16.0</v>
      </c>
      <c r="K1478" s="39">
        <v>43271.0</v>
      </c>
      <c r="L1478" s="30"/>
      <c r="M1478" s="11">
        <v>663467.0</v>
      </c>
      <c r="N1478" s="11" t="s">
        <v>2870</v>
      </c>
      <c r="O1478" s="13"/>
      <c r="P1478" s="11">
        <v>0.0</v>
      </c>
      <c r="Q1478" s="14">
        <v>0.0</v>
      </c>
      <c r="R1478" s="11">
        <v>1.0</v>
      </c>
      <c r="S1478">
        <f t="shared" si="1"/>
        <v>2014</v>
      </c>
      <c r="T1478">
        <f t="shared" si="2"/>
        <v>11</v>
      </c>
      <c r="U1478">
        <f t="shared" si="3"/>
        <v>1</v>
      </c>
      <c r="AG1478" s="15"/>
      <c r="AH1478" s="16"/>
      <c r="AM1478" s="15"/>
      <c r="AN1478" s="16"/>
    </row>
    <row r="1479">
      <c r="A1479" s="13" t="s">
        <v>2871</v>
      </c>
      <c r="B1479" s="10">
        <v>41944.0</v>
      </c>
      <c r="C1479" s="11" t="s">
        <v>126</v>
      </c>
      <c r="D1479" s="11" t="s">
        <v>77</v>
      </c>
      <c r="E1479" s="11" t="s">
        <v>39</v>
      </c>
      <c r="F1479" s="11" t="s">
        <v>40</v>
      </c>
      <c r="G1479" s="11" t="s">
        <v>45</v>
      </c>
      <c r="H1479" s="11" t="s">
        <v>119</v>
      </c>
      <c r="I1479" s="11"/>
      <c r="J1479" s="11">
        <v>22.0</v>
      </c>
      <c r="K1479" s="30"/>
      <c r="L1479" s="30"/>
      <c r="M1479" s="11">
        <v>545340.0</v>
      </c>
      <c r="N1479" s="11" t="s">
        <v>2872</v>
      </c>
      <c r="O1479" s="13"/>
      <c r="P1479" s="11">
        <v>0.0</v>
      </c>
      <c r="Q1479" s="14">
        <v>0.0</v>
      </c>
      <c r="R1479" s="11">
        <v>0.0</v>
      </c>
      <c r="S1479">
        <f t="shared" si="1"/>
        <v>2014</v>
      </c>
      <c r="T1479">
        <f t="shared" si="2"/>
        <v>11</v>
      </c>
      <c r="U1479">
        <f t="shared" si="3"/>
        <v>1</v>
      </c>
      <c r="AG1479" s="15"/>
      <c r="AH1479" s="16"/>
      <c r="AM1479" s="15"/>
      <c r="AN1479" s="16"/>
    </row>
    <row r="1480">
      <c r="A1480" s="13" t="s">
        <v>2873</v>
      </c>
      <c r="B1480" s="10">
        <v>41944.0</v>
      </c>
      <c r="C1480" s="11" t="s">
        <v>126</v>
      </c>
      <c r="D1480" s="11" t="s">
        <v>93</v>
      </c>
      <c r="E1480" s="11" t="s">
        <v>39</v>
      </c>
      <c r="F1480" s="11" t="s">
        <v>40</v>
      </c>
      <c r="G1480" s="11" t="s">
        <v>45</v>
      </c>
      <c r="H1480" s="11" t="s">
        <v>56</v>
      </c>
      <c r="I1480" s="11" t="s">
        <v>56</v>
      </c>
      <c r="J1480" s="11">
        <v>19.0</v>
      </c>
      <c r="K1480" s="12">
        <v>44320.0</v>
      </c>
      <c r="L1480" s="11"/>
      <c r="M1480" s="11">
        <v>668729.0</v>
      </c>
      <c r="N1480" s="11" t="s">
        <v>2874</v>
      </c>
      <c r="O1480" s="13"/>
      <c r="P1480" s="11">
        <v>0.0</v>
      </c>
      <c r="Q1480" s="14">
        <v>0.0</v>
      </c>
      <c r="R1480" s="11">
        <v>1.0</v>
      </c>
      <c r="S1480">
        <f t="shared" si="1"/>
        <v>2014</v>
      </c>
      <c r="T1480">
        <f t="shared" si="2"/>
        <v>11</v>
      </c>
      <c r="U1480">
        <f t="shared" si="3"/>
        <v>1</v>
      </c>
      <c r="AG1480" s="15"/>
      <c r="AH1480" s="16"/>
      <c r="AM1480" s="15"/>
      <c r="AN1480" s="16"/>
    </row>
    <row r="1481">
      <c r="A1481" s="13" t="s">
        <v>2875</v>
      </c>
      <c r="B1481" s="10">
        <v>41926.0</v>
      </c>
      <c r="C1481" s="11" t="s">
        <v>103</v>
      </c>
      <c r="D1481" s="11" t="s">
        <v>77</v>
      </c>
      <c r="E1481" s="11" t="s">
        <v>39</v>
      </c>
      <c r="F1481" s="11" t="s">
        <v>64</v>
      </c>
      <c r="G1481" s="11" t="s">
        <v>45</v>
      </c>
      <c r="H1481" s="11" t="s">
        <v>56</v>
      </c>
      <c r="I1481" s="11" t="s">
        <v>2876</v>
      </c>
      <c r="J1481" s="11">
        <v>23.0</v>
      </c>
      <c r="K1481" s="12">
        <v>42468.0</v>
      </c>
      <c r="L1481" s="11">
        <f>ROUND(((K1481-B1481)/365)*12,0)</f>
        <v>18</v>
      </c>
      <c r="M1481" s="11">
        <v>608691.0</v>
      </c>
      <c r="N1481" s="11" t="s">
        <v>2877</v>
      </c>
      <c r="O1481" s="13" t="s">
        <v>1407</v>
      </c>
      <c r="P1481" s="11">
        <v>0.0</v>
      </c>
      <c r="Q1481" s="14">
        <v>0.0</v>
      </c>
      <c r="R1481" s="41">
        <v>1.0</v>
      </c>
      <c r="S1481">
        <f t="shared" si="1"/>
        <v>2014</v>
      </c>
      <c r="T1481">
        <f t="shared" si="2"/>
        <v>10</v>
      </c>
      <c r="U1481">
        <f t="shared" si="3"/>
        <v>14</v>
      </c>
      <c r="AG1481" s="15"/>
      <c r="AH1481" s="16"/>
      <c r="AM1481" s="15"/>
      <c r="AN1481" s="16"/>
    </row>
    <row r="1482">
      <c r="A1482" s="13" t="s">
        <v>2878</v>
      </c>
      <c r="B1482" s="10">
        <v>41921.0</v>
      </c>
      <c r="C1482" s="11" t="s">
        <v>49</v>
      </c>
      <c r="D1482" s="11" t="s">
        <v>38</v>
      </c>
      <c r="E1482" s="30" t="s">
        <v>39</v>
      </c>
      <c r="F1482" s="11" t="s">
        <v>40</v>
      </c>
      <c r="G1482" s="30" t="s">
        <v>45</v>
      </c>
      <c r="H1482" s="11" t="s">
        <v>112</v>
      </c>
      <c r="I1482" s="11" t="s">
        <v>2879</v>
      </c>
      <c r="J1482" s="11">
        <v>28.0</v>
      </c>
      <c r="K1482" s="30"/>
      <c r="L1482" s="30"/>
      <c r="M1482" s="11">
        <v>458550.0</v>
      </c>
      <c r="N1482" s="11">
        <v>1989.0</v>
      </c>
      <c r="O1482" s="13" t="s">
        <v>761</v>
      </c>
      <c r="P1482" s="11">
        <v>0.0</v>
      </c>
      <c r="Q1482" s="14">
        <v>0.0</v>
      </c>
      <c r="R1482" s="11">
        <v>0.0</v>
      </c>
      <c r="S1482">
        <f t="shared" si="1"/>
        <v>2014</v>
      </c>
      <c r="T1482">
        <f t="shared" si="2"/>
        <v>10</v>
      </c>
      <c r="U1482">
        <f t="shared" si="3"/>
        <v>9</v>
      </c>
      <c r="Z1482" s="17">
        <v>42333.0</v>
      </c>
      <c r="AA1482" s="17">
        <v>42522.0</v>
      </c>
      <c r="AB1482" s="13" t="s">
        <v>1807</v>
      </c>
      <c r="AG1482" s="15"/>
      <c r="AH1482" s="16"/>
      <c r="AM1482" s="15"/>
      <c r="AN1482" s="16"/>
    </row>
    <row r="1483">
      <c r="A1483" s="13" t="s">
        <v>2880</v>
      </c>
      <c r="B1483" s="10">
        <v>41913.0</v>
      </c>
      <c r="C1483" s="11" t="s">
        <v>55</v>
      </c>
      <c r="D1483" s="11" t="s">
        <v>221</v>
      </c>
      <c r="E1483" s="11" t="s">
        <v>39</v>
      </c>
      <c r="F1483" s="11" t="s">
        <v>64</v>
      </c>
      <c r="G1483" s="11" t="s">
        <v>41</v>
      </c>
      <c r="H1483" s="11"/>
      <c r="I1483" s="11"/>
      <c r="J1483" s="11">
        <v>19.0</v>
      </c>
      <c r="K1483" s="39">
        <v>42542.0</v>
      </c>
      <c r="L1483" s="11">
        <f t="shared" ref="L1483:L1484" si="154">ROUND(((K1483-B1483)/365)*12,0)</f>
        <v>21</v>
      </c>
      <c r="M1483" s="11">
        <v>622340.0</v>
      </c>
      <c r="N1483" s="11" t="s">
        <v>2881</v>
      </c>
      <c r="O1483" s="13"/>
      <c r="P1483" s="11">
        <v>0.0</v>
      </c>
      <c r="Q1483" s="14">
        <v>0.0</v>
      </c>
      <c r="R1483" s="41">
        <v>1.0</v>
      </c>
      <c r="S1483">
        <f t="shared" si="1"/>
        <v>2014</v>
      </c>
      <c r="T1483">
        <f t="shared" si="2"/>
        <v>10</v>
      </c>
      <c r="U1483">
        <f t="shared" si="3"/>
        <v>1</v>
      </c>
      <c r="AG1483" s="15"/>
      <c r="AH1483" s="16"/>
      <c r="AM1483" s="15"/>
      <c r="AN1483" s="16"/>
    </row>
    <row r="1484">
      <c r="A1484" s="13" t="s">
        <v>2882</v>
      </c>
      <c r="B1484" s="10">
        <v>41906.0</v>
      </c>
      <c r="C1484" s="11" t="s">
        <v>175</v>
      </c>
      <c r="D1484" s="11" t="s">
        <v>77</v>
      </c>
      <c r="E1484" s="11" t="s">
        <v>39</v>
      </c>
      <c r="F1484" s="11" t="s">
        <v>64</v>
      </c>
      <c r="G1484" s="11" t="s">
        <v>45</v>
      </c>
      <c r="H1484" s="11" t="s">
        <v>67</v>
      </c>
      <c r="I1484" s="11" t="s">
        <v>2162</v>
      </c>
      <c r="J1484" s="11">
        <v>26.0</v>
      </c>
      <c r="K1484" s="12">
        <v>42463.0</v>
      </c>
      <c r="L1484" s="11">
        <f t="shared" si="154"/>
        <v>18</v>
      </c>
      <c r="M1484" s="11">
        <v>572943.0</v>
      </c>
      <c r="N1484" s="11" t="s">
        <v>2883</v>
      </c>
      <c r="O1484" s="13" t="s">
        <v>2884</v>
      </c>
      <c r="P1484" s="11">
        <v>0.0</v>
      </c>
      <c r="Q1484" s="14">
        <v>0.0</v>
      </c>
      <c r="R1484" s="41">
        <v>1.0</v>
      </c>
      <c r="S1484">
        <f t="shared" si="1"/>
        <v>2014</v>
      </c>
      <c r="T1484">
        <f t="shared" si="2"/>
        <v>9</v>
      </c>
      <c r="U1484">
        <f t="shared" si="3"/>
        <v>24</v>
      </c>
      <c r="AG1484" s="15"/>
      <c r="AH1484" s="16"/>
      <c r="AM1484" s="15"/>
      <c r="AN1484" s="16"/>
    </row>
    <row r="1485">
      <c r="A1485" s="13" t="s">
        <v>2885</v>
      </c>
      <c r="B1485" s="10">
        <v>41906.0</v>
      </c>
      <c r="C1485" s="11" t="s">
        <v>156</v>
      </c>
      <c r="D1485" s="11" t="s">
        <v>221</v>
      </c>
      <c r="E1485" s="11" t="s">
        <v>104</v>
      </c>
      <c r="F1485" s="11" t="s">
        <v>40</v>
      </c>
      <c r="G1485" s="11" t="s">
        <v>45</v>
      </c>
      <c r="H1485" s="11" t="s">
        <v>669</v>
      </c>
      <c r="I1485" s="11"/>
      <c r="J1485" s="11">
        <v>18.0</v>
      </c>
      <c r="K1485" s="30"/>
      <c r="L1485" s="30"/>
      <c r="M1485" s="11">
        <v>659149.0</v>
      </c>
      <c r="N1485" s="11" t="s">
        <v>2886</v>
      </c>
      <c r="O1485" s="13" t="s">
        <v>662</v>
      </c>
      <c r="P1485" s="11">
        <v>0.0</v>
      </c>
      <c r="Q1485" s="14">
        <v>0.0</v>
      </c>
      <c r="R1485" s="11">
        <v>0.0</v>
      </c>
      <c r="S1485">
        <f t="shared" si="1"/>
        <v>2014</v>
      </c>
      <c r="T1485">
        <f t="shared" si="2"/>
        <v>9</v>
      </c>
      <c r="U1485">
        <f t="shared" si="3"/>
        <v>24</v>
      </c>
      <c r="AG1485" s="15"/>
      <c r="AH1485" s="16"/>
      <c r="AM1485" s="15"/>
      <c r="AN1485" s="16"/>
    </row>
    <row r="1486">
      <c r="A1486" s="13" t="s">
        <v>2887</v>
      </c>
      <c r="B1486" s="10">
        <v>41899.0</v>
      </c>
      <c r="C1486" s="11" t="s">
        <v>116</v>
      </c>
      <c r="D1486" s="11" t="s">
        <v>38</v>
      </c>
      <c r="E1486" s="11" t="s">
        <v>39</v>
      </c>
      <c r="F1486" s="11" t="s">
        <v>64</v>
      </c>
      <c r="G1486" s="11" t="s">
        <v>45</v>
      </c>
      <c r="H1486" s="11" t="s">
        <v>84</v>
      </c>
      <c r="I1486" s="11" t="s">
        <v>2888</v>
      </c>
      <c r="J1486" s="11">
        <v>29.0</v>
      </c>
      <c r="K1486" s="39">
        <v>43215.0</v>
      </c>
      <c r="L1486" s="11">
        <f t="shared" ref="L1486:L1488" si="155">ROUND(((K1486-B1486)/365)*12,0)</f>
        <v>43</v>
      </c>
      <c r="M1486" s="11">
        <v>458924.0</v>
      </c>
      <c r="N1486" s="11">
        <v>7175.0</v>
      </c>
      <c r="O1486" s="13" t="s">
        <v>69</v>
      </c>
      <c r="P1486" s="11">
        <v>0.0</v>
      </c>
      <c r="Q1486" s="14">
        <v>0.0</v>
      </c>
      <c r="R1486" s="41">
        <v>1.0</v>
      </c>
      <c r="S1486">
        <f t="shared" si="1"/>
        <v>2014</v>
      </c>
      <c r="T1486">
        <f t="shared" si="2"/>
        <v>9</v>
      </c>
      <c r="U1486">
        <f t="shared" si="3"/>
        <v>17</v>
      </c>
      <c r="Z1486" s="17">
        <v>42525.0</v>
      </c>
      <c r="AA1486" s="17">
        <v>42540.0</v>
      </c>
      <c r="AB1486" s="13" t="s">
        <v>2889</v>
      </c>
      <c r="AG1486" s="15"/>
      <c r="AH1486" s="16"/>
      <c r="AM1486" s="15"/>
      <c r="AN1486" s="16"/>
    </row>
    <row r="1487">
      <c r="A1487" s="13" t="s">
        <v>2890</v>
      </c>
      <c r="B1487" s="10">
        <v>41883.0</v>
      </c>
      <c r="C1487" s="11" t="s">
        <v>44</v>
      </c>
      <c r="D1487" s="11" t="s">
        <v>97</v>
      </c>
      <c r="E1487" s="11" t="s">
        <v>39</v>
      </c>
      <c r="F1487" s="11" t="s">
        <v>64</v>
      </c>
      <c r="G1487" s="11" t="s">
        <v>45</v>
      </c>
      <c r="H1487" s="11" t="s">
        <v>67</v>
      </c>
      <c r="I1487" s="11" t="s">
        <v>2891</v>
      </c>
      <c r="J1487" s="11">
        <v>23.0</v>
      </c>
      <c r="K1487" s="12">
        <v>42467.0</v>
      </c>
      <c r="L1487" s="11">
        <f t="shared" si="155"/>
        <v>19</v>
      </c>
      <c r="M1487" s="11">
        <v>643605.0</v>
      </c>
      <c r="N1487" s="11" t="s">
        <v>2892</v>
      </c>
      <c r="P1487" s="11">
        <v>0.0</v>
      </c>
      <c r="Q1487" s="14">
        <v>0.0</v>
      </c>
      <c r="R1487" s="41">
        <v>1.0</v>
      </c>
      <c r="S1487">
        <f t="shared" si="1"/>
        <v>2014</v>
      </c>
      <c r="T1487">
        <f t="shared" si="2"/>
        <v>9</v>
      </c>
      <c r="U1487">
        <f t="shared" si="3"/>
        <v>1</v>
      </c>
      <c r="AG1487" s="15"/>
      <c r="AH1487" s="16"/>
      <c r="AM1487" s="15"/>
      <c r="AN1487" s="16"/>
    </row>
    <row r="1488">
      <c r="A1488" s="13" t="s">
        <v>2893</v>
      </c>
      <c r="B1488" s="10">
        <v>41879.0</v>
      </c>
      <c r="C1488" s="11" t="s">
        <v>76</v>
      </c>
      <c r="D1488" s="11" t="s">
        <v>709</v>
      </c>
      <c r="E1488" s="11" t="s">
        <v>39</v>
      </c>
      <c r="F1488" s="11" t="s">
        <v>40</v>
      </c>
      <c r="G1488" s="11" t="s">
        <v>45</v>
      </c>
      <c r="H1488" s="11" t="s">
        <v>67</v>
      </c>
      <c r="I1488" s="11" t="s">
        <v>2894</v>
      </c>
      <c r="J1488" s="11">
        <v>19.0</v>
      </c>
      <c r="K1488" s="12">
        <v>42249.0</v>
      </c>
      <c r="L1488" s="11">
        <f t="shared" si="155"/>
        <v>12</v>
      </c>
      <c r="M1488" s="11">
        <v>643282.0</v>
      </c>
      <c r="N1488" s="11" t="s">
        <v>2895</v>
      </c>
      <c r="O1488" s="13" t="s">
        <v>2896</v>
      </c>
      <c r="P1488" s="11">
        <v>0.0</v>
      </c>
      <c r="Q1488" s="14">
        <v>0.0</v>
      </c>
      <c r="R1488" s="41">
        <v>1.0</v>
      </c>
      <c r="S1488">
        <f t="shared" si="1"/>
        <v>2014</v>
      </c>
      <c r="T1488">
        <f t="shared" si="2"/>
        <v>8</v>
      </c>
      <c r="U1488">
        <f t="shared" si="3"/>
        <v>28</v>
      </c>
      <c r="AG1488" s="15"/>
      <c r="AH1488" s="16"/>
      <c r="AM1488" s="15"/>
      <c r="AN1488" s="16"/>
    </row>
    <row r="1489">
      <c r="A1489" s="13" t="s">
        <v>2897</v>
      </c>
      <c r="B1489" s="17">
        <v>41877.0</v>
      </c>
      <c r="C1489" s="11" t="s">
        <v>167</v>
      </c>
      <c r="D1489" s="11" t="s">
        <v>213</v>
      </c>
      <c r="E1489" s="11" t="s">
        <v>39</v>
      </c>
      <c r="F1489" s="11" t="s">
        <v>40</v>
      </c>
      <c r="G1489" s="11" t="s">
        <v>45</v>
      </c>
      <c r="H1489" s="11" t="s">
        <v>67</v>
      </c>
      <c r="I1489" s="11" t="s">
        <v>287</v>
      </c>
      <c r="J1489" s="11">
        <v>15.0</v>
      </c>
      <c r="K1489" s="12">
        <v>43653.0</v>
      </c>
      <c r="L1489" s="11"/>
      <c r="M1489" s="11">
        <v>669247.0</v>
      </c>
      <c r="N1489" s="11" t="s">
        <v>2898</v>
      </c>
      <c r="P1489" s="11">
        <v>0.0</v>
      </c>
      <c r="Q1489" s="14">
        <v>0.0</v>
      </c>
      <c r="R1489" s="11">
        <v>1.0</v>
      </c>
      <c r="S1489">
        <f t="shared" si="1"/>
        <v>2014</v>
      </c>
      <c r="T1489">
        <f t="shared" si="2"/>
        <v>8</v>
      </c>
      <c r="U1489">
        <f t="shared" si="3"/>
        <v>26</v>
      </c>
      <c r="AG1489" s="15"/>
      <c r="AH1489" s="16"/>
      <c r="AM1489" s="15"/>
      <c r="AN1489" s="16"/>
    </row>
    <row r="1490">
      <c r="A1490" s="13" t="s">
        <v>2899</v>
      </c>
      <c r="B1490" s="10">
        <v>41872.0</v>
      </c>
      <c r="C1490" s="11" t="s">
        <v>49</v>
      </c>
      <c r="D1490" s="11" t="s">
        <v>709</v>
      </c>
      <c r="E1490" s="11" t="s">
        <v>39</v>
      </c>
      <c r="F1490" s="11" t="s">
        <v>40</v>
      </c>
      <c r="G1490" s="11" t="s">
        <v>45</v>
      </c>
      <c r="H1490" s="11" t="s">
        <v>729</v>
      </c>
      <c r="I1490" s="11" t="s">
        <v>84</v>
      </c>
      <c r="J1490" s="11">
        <v>22.0</v>
      </c>
      <c r="K1490" s="12">
        <v>42203.0</v>
      </c>
      <c r="L1490" s="11">
        <f t="shared" ref="L1490:L1495" si="156">ROUND(((K1490-B1490)/365)*12,0)</f>
        <v>11</v>
      </c>
      <c r="M1490" s="11">
        <v>596026.0</v>
      </c>
      <c r="N1490" s="11" t="s">
        <v>2900</v>
      </c>
      <c r="O1490" s="13"/>
      <c r="P1490" s="11">
        <v>0.0</v>
      </c>
      <c r="Q1490" s="14">
        <v>0.0</v>
      </c>
      <c r="R1490" s="41">
        <v>1.0</v>
      </c>
      <c r="S1490">
        <f t="shared" si="1"/>
        <v>2014</v>
      </c>
      <c r="T1490">
        <f t="shared" si="2"/>
        <v>8</v>
      </c>
      <c r="U1490">
        <f t="shared" si="3"/>
        <v>21</v>
      </c>
      <c r="AG1490" s="15"/>
      <c r="AH1490" s="16"/>
      <c r="AM1490" s="15"/>
      <c r="AN1490" s="16"/>
    </row>
    <row r="1491">
      <c r="A1491" s="13" t="s">
        <v>2901</v>
      </c>
      <c r="B1491" s="10">
        <v>41871.0</v>
      </c>
      <c r="C1491" s="11" t="s">
        <v>175</v>
      </c>
      <c r="D1491" s="11" t="s">
        <v>97</v>
      </c>
      <c r="E1491" s="30" t="s">
        <v>39</v>
      </c>
      <c r="F1491" s="11" t="s">
        <v>64</v>
      </c>
      <c r="G1491" s="30" t="s">
        <v>45</v>
      </c>
      <c r="H1491" s="11" t="s">
        <v>67</v>
      </c>
      <c r="I1491" s="11"/>
      <c r="J1491" s="11">
        <v>20.0</v>
      </c>
      <c r="K1491" s="12">
        <v>42469.0</v>
      </c>
      <c r="L1491" s="11">
        <f t="shared" si="156"/>
        <v>20</v>
      </c>
      <c r="M1491" s="11">
        <v>608331.0</v>
      </c>
      <c r="N1491" s="11">
        <v>13743.0</v>
      </c>
      <c r="O1491" s="13" t="s">
        <v>69</v>
      </c>
      <c r="P1491" s="11">
        <v>9.0</v>
      </c>
      <c r="Q1491" s="14">
        <v>26.0</v>
      </c>
      <c r="R1491" s="41">
        <v>1.0</v>
      </c>
      <c r="S1491">
        <f t="shared" si="1"/>
        <v>2014</v>
      </c>
      <c r="T1491">
        <f t="shared" si="2"/>
        <v>8</v>
      </c>
      <c r="U1491">
        <f t="shared" si="3"/>
        <v>20</v>
      </c>
      <c r="AG1491" s="15"/>
      <c r="AH1491" s="16"/>
      <c r="AM1491" s="15"/>
      <c r="AN1491" s="16"/>
    </row>
    <row r="1492">
      <c r="A1492" s="13" t="s">
        <v>2902</v>
      </c>
      <c r="B1492" s="10">
        <v>41870.0</v>
      </c>
      <c r="C1492" s="11" t="s">
        <v>235</v>
      </c>
      <c r="D1492" s="11" t="s">
        <v>221</v>
      </c>
      <c r="E1492" s="30" t="s">
        <v>39</v>
      </c>
      <c r="F1492" s="11" t="s">
        <v>40</v>
      </c>
      <c r="G1492" s="30" t="s">
        <v>45</v>
      </c>
      <c r="H1492" s="11" t="s">
        <v>258</v>
      </c>
      <c r="I1492" s="11" t="s">
        <v>252</v>
      </c>
      <c r="J1492" s="11">
        <v>30.0</v>
      </c>
      <c r="K1492" s="12">
        <v>42493.0</v>
      </c>
      <c r="L1492" s="11">
        <f t="shared" si="156"/>
        <v>20</v>
      </c>
      <c r="M1492" s="11">
        <v>474599.0</v>
      </c>
      <c r="N1492" s="11">
        <v>8162.0</v>
      </c>
      <c r="O1492" s="13" t="s">
        <v>761</v>
      </c>
      <c r="P1492" s="11">
        <v>0.0</v>
      </c>
      <c r="Q1492" s="14">
        <v>0.0</v>
      </c>
      <c r="R1492" s="41">
        <v>1.0</v>
      </c>
      <c r="S1492">
        <f t="shared" si="1"/>
        <v>2014</v>
      </c>
      <c r="T1492">
        <f t="shared" si="2"/>
        <v>8</v>
      </c>
      <c r="U1492">
        <f t="shared" si="3"/>
        <v>19</v>
      </c>
      <c r="AG1492" s="15"/>
      <c r="AH1492" s="16"/>
      <c r="AM1492" s="15"/>
      <c r="AN1492" s="16"/>
    </row>
    <row r="1493">
      <c r="A1493" s="13" t="s">
        <v>2903</v>
      </c>
      <c r="B1493" s="10">
        <v>41865.0</v>
      </c>
      <c r="C1493" s="11" t="s">
        <v>143</v>
      </c>
      <c r="D1493" s="11" t="s">
        <v>58</v>
      </c>
      <c r="E1493" s="41" t="s">
        <v>982</v>
      </c>
      <c r="F1493" s="11" t="s">
        <v>40</v>
      </c>
      <c r="G1493" s="30" t="s">
        <v>45</v>
      </c>
      <c r="H1493" s="11" t="s">
        <v>67</v>
      </c>
      <c r="I1493" s="11" t="s">
        <v>2904</v>
      </c>
      <c r="J1493" s="11">
        <v>24.0</v>
      </c>
      <c r="K1493" s="12">
        <v>42103.0</v>
      </c>
      <c r="L1493" s="11">
        <f t="shared" si="156"/>
        <v>8</v>
      </c>
      <c r="M1493" s="11">
        <v>573135.0</v>
      </c>
      <c r="N1493" s="11">
        <v>10807.0</v>
      </c>
      <c r="O1493" s="13" t="s">
        <v>761</v>
      </c>
      <c r="P1493" s="11">
        <v>240.0</v>
      </c>
      <c r="Q1493" s="14">
        <v>854.0</v>
      </c>
      <c r="R1493" s="41">
        <v>1.0</v>
      </c>
      <c r="S1493">
        <f t="shared" si="1"/>
        <v>2014</v>
      </c>
      <c r="T1493">
        <f t="shared" si="2"/>
        <v>8</v>
      </c>
      <c r="U1493">
        <f t="shared" si="3"/>
        <v>14</v>
      </c>
      <c r="AG1493" s="15"/>
      <c r="AH1493" s="16"/>
      <c r="AM1493" s="15"/>
      <c r="AN1493" s="16"/>
    </row>
    <row r="1494">
      <c r="A1494" s="13" t="s">
        <v>2905</v>
      </c>
      <c r="B1494" s="10">
        <v>41864.0</v>
      </c>
      <c r="C1494" s="11" t="s">
        <v>346</v>
      </c>
      <c r="D1494" s="11" t="s">
        <v>38</v>
      </c>
      <c r="E1494" s="30" t="s">
        <v>39</v>
      </c>
      <c r="F1494" s="11" t="s">
        <v>64</v>
      </c>
      <c r="G1494" s="30" t="s">
        <v>45</v>
      </c>
      <c r="H1494" s="11" t="s">
        <v>67</v>
      </c>
      <c r="I1494" s="11"/>
      <c r="J1494" s="11">
        <v>22.0</v>
      </c>
      <c r="K1494" s="39">
        <v>42577.0</v>
      </c>
      <c r="L1494" s="11">
        <f t="shared" si="156"/>
        <v>23</v>
      </c>
      <c r="M1494" s="11">
        <v>572140.0</v>
      </c>
      <c r="N1494" s="11">
        <v>10190.0</v>
      </c>
      <c r="O1494" s="13" t="s">
        <v>69</v>
      </c>
      <c r="P1494" s="11">
        <v>26.0</v>
      </c>
      <c r="Q1494" s="14">
        <v>134.667</v>
      </c>
      <c r="R1494" s="41">
        <v>1.0</v>
      </c>
      <c r="S1494">
        <f t="shared" si="1"/>
        <v>2014</v>
      </c>
      <c r="T1494">
        <f t="shared" si="2"/>
        <v>8</v>
      </c>
      <c r="U1494">
        <f t="shared" si="3"/>
        <v>13</v>
      </c>
      <c r="Y1494" s="17">
        <v>42443.0</v>
      </c>
      <c r="Z1494" s="17">
        <v>42470.0</v>
      </c>
      <c r="AA1494" s="17">
        <v>42480.0</v>
      </c>
      <c r="AB1494" s="13" t="s">
        <v>2906</v>
      </c>
      <c r="AG1494" s="15"/>
      <c r="AH1494" s="16"/>
      <c r="AM1494" s="15"/>
      <c r="AN1494" s="16"/>
    </row>
    <row r="1495">
      <c r="A1495" s="13" t="s">
        <v>2907</v>
      </c>
      <c r="B1495" s="10">
        <v>41852.0</v>
      </c>
      <c r="C1495" s="11" t="s">
        <v>362</v>
      </c>
      <c r="D1495" s="11" t="s">
        <v>221</v>
      </c>
      <c r="E1495" s="11" t="s">
        <v>39</v>
      </c>
      <c r="F1495" s="11" t="s">
        <v>40</v>
      </c>
      <c r="G1495" s="11" t="s">
        <v>41</v>
      </c>
      <c r="H1495" s="30"/>
      <c r="I1495" s="30"/>
      <c r="J1495" s="11">
        <v>21.0</v>
      </c>
      <c r="K1495" s="39">
        <v>42539.0</v>
      </c>
      <c r="L1495" s="11">
        <f t="shared" si="156"/>
        <v>23</v>
      </c>
      <c r="M1495" s="11">
        <v>609111.0</v>
      </c>
      <c r="N1495" s="11" t="s">
        <v>2908</v>
      </c>
      <c r="P1495" s="11">
        <v>0.0</v>
      </c>
      <c r="Q1495" s="14">
        <v>0.0</v>
      </c>
      <c r="R1495" s="41">
        <v>1.0</v>
      </c>
      <c r="S1495">
        <f t="shared" si="1"/>
        <v>2014</v>
      </c>
      <c r="T1495">
        <f t="shared" si="2"/>
        <v>8</v>
      </c>
      <c r="U1495">
        <f t="shared" si="3"/>
        <v>1</v>
      </c>
      <c r="AG1495" s="15"/>
      <c r="AH1495" s="16"/>
      <c r="AM1495" s="15"/>
      <c r="AN1495" s="16"/>
    </row>
    <row r="1496">
      <c r="A1496" s="13" t="s">
        <v>2909</v>
      </c>
      <c r="B1496" s="10">
        <v>41852.0</v>
      </c>
      <c r="C1496" s="11" t="s">
        <v>230</v>
      </c>
      <c r="D1496" s="11" t="s">
        <v>77</v>
      </c>
      <c r="E1496" s="41" t="s">
        <v>279</v>
      </c>
      <c r="F1496" s="11" t="s">
        <v>40</v>
      </c>
      <c r="G1496" s="11" t="s">
        <v>41</v>
      </c>
      <c r="H1496" s="30"/>
      <c r="I1496" s="30"/>
      <c r="J1496" s="11">
        <v>24.0</v>
      </c>
      <c r="K1496" s="30"/>
      <c r="L1496" s="30"/>
      <c r="M1496" s="11">
        <v>517539.0</v>
      </c>
      <c r="N1496" s="11" t="s">
        <v>2910</v>
      </c>
      <c r="P1496" s="11">
        <v>0.0</v>
      </c>
      <c r="Q1496" s="14">
        <v>0.0</v>
      </c>
      <c r="R1496" s="11">
        <v>0.0</v>
      </c>
      <c r="S1496">
        <f t="shared" si="1"/>
        <v>2014</v>
      </c>
      <c r="T1496">
        <f t="shared" si="2"/>
        <v>8</v>
      </c>
      <c r="U1496">
        <f t="shared" si="3"/>
        <v>1</v>
      </c>
      <c r="AG1496" s="15"/>
      <c r="AH1496" s="16"/>
      <c r="AM1496" s="15"/>
      <c r="AN1496" s="16"/>
    </row>
    <row r="1497">
      <c r="A1497" s="13" t="s">
        <v>2911</v>
      </c>
      <c r="B1497" s="10">
        <v>41852.0</v>
      </c>
      <c r="C1497" s="11" t="s">
        <v>156</v>
      </c>
      <c r="D1497" s="11" t="s">
        <v>213</v>
      </c>
      <c r="E1497" s="11" t="s">
        <v>39</v>
      </c>
      <c r="F1497" s="11" t="s">
        <v>40</v>
      </c>
      <c r="G1497" s="11" t="s">
        <v>45</v>
      </c>
      <c r="H1497" s="11" t="s">
        <v>301</v>
      </c>
      <c r="I1497" s="11" t="s">
        <v>739</v>
      </c>
      <c r="J1497" s="11">
        <v>20.0</v>
      </c>
      <c r="K1497" s="12">
        <v>42547.0</v>
      </c>
      <c r="L1497" s="11"/>
      <c r="M1497" s="11">
        <v>668944.0</v>
      </c>
      <c r="N1497" s="11" t="s">
        <v>2912</v>
      </c>
      <c r="O1497" s="13"/>
      <c r="P1497" s="11">
        <v>0.0</v>
      </c>
      <c r="Q1497" s="14">
        <v>0.0</v>
      </c>
      <c r="R1497" s="41">
        <v>1.0</v>
      </c>
      <c r="S1497">
        <f t="shared" si="1"/>
        <v>2014</v>
      </c>
      <c r="T1497">
        <f t="shared" si="2"/>
        <v>8</v>
      </c>
      <c r="U1497">
        <f t="shared" si="3"/>
        <v>1</v>
      </c>
      <c r="AG1497" s="15"/>
      <c r="AH1497" s="16"/>
      <c r="AM1497" s="15"/>
      <c r="AN1497" s="16"/>
    </row>
    <row r="1498">
      <c r="A1498" s="13" t="s">
        <v>2913</v>
      </c>
      <c r="B1498" s="10">
        <v>41851.0</v>
      </c>
      <c r="C1498" s="11" t="s">
        <v>37</v>
      </c>
      <c r="D1498" s="11" t="s">
        <v>93</v>
      </c>
      <c r="E1498" s="30" t="s">
        <v>39</v>
      </c>
      <c r="F1498" s="11" t="s">
        <v>64</v>
      </c>
      <c r="G1498" s="30" t="s">
        <v>45</v>
      </c>
      <c r="H1498" s="11" t="s">
        <v>412</v>
      </c>
      <c r="I1498" s="11" t="s">
        <v>56</v>
      </c>
      <c r="J1498" s="11">
        <v>21.0</v>
      </c>
      <c r="K1498" s="12">
        <v>42194.0</v>
      </c>
      <c r="L1498" s="11">
        <f t="shared" ref="L1498:L1499" si="157">ROUND(((K1498-B1498)/365)*12,0)</f>
        <v>11</v>
      </c>
      <c r="M1498" s="11">
        <v>596071.0</v>
      </c>
      <c r="N1498" s="11">
        <v>18790.0</v>
      </c>
      <c r="O1498" s="13" t="s">
        <v>761</v>
      </c>
      <c r="P1498" s="11">
        <v>6.0</v>
      </c>
      <c r="Q1498" s="14">
        <v>31.333</v>
      </c>
      <c r="R1498" s="41">
        <v>1.0</v>
      </c>
      <c r="S1498">
        <f t="shared" si="1"/>
        <v>2014</v>
      </c>
      <c r="T1498">
        <f t="shared" si="2"/>
        <v>7</v>
      </c>
      <c r="U1498">
        <f t="shared" si="3"/>
        <v>31</v>
      </c>
      <c r="AG1498" s="15"/>
      <c r="AH1498" s="16"/>
      <c r="AM1498" s="15"/>
      <c r="AN1498" s="16"/>
    </row>
    <row r="1499">
      <c r="A1499" s="13" t="s">
        <v>2914</v>
      </c>
      <c r="B1499" s="10">
        <v>41850.0</v>
      </c>
      <c r="C1499" s="11" t="s">
        <v>126</v>
      </c>
      <c r="D1499" s="11" t="s">
        <v>58</v>
      </c>
      <c r="E1499" s="30" t="s">
        <v>39</v>
      </c>
      <c r="F1499" s="11" t="s">
        <v>40</v>
      </c>
      <c r="G1499" s="30" t="s">
        <v>45</v>
      </c>
      <c r="H1499" s="11" t="s">
        <v>546</v>
      </c>
      <c r="I1499" s="11" t="s">
        <v>205</v>
      </c>
      <c r="J1499" s="11">
        <v>27.0</v>
      </c>
      <c r="K1499" s="12">
        <v>42468.0</v>
      </c>
      <c r="L1499" s="11">
        <f t="shared" si="157"/>
        <v>20</v>
      </c>
      <c r="M1499" s="11">
        <v>543155.0</v>
      </c>
      <c r="N1499" s="11">
        <v>8077.0</v>
      </c>
      <c r="O1499" s="13" t="s">
        <v>69</v>
      </c>
      <c r="P1499" s="11">
        <v>0.0</v>
      </c>
      <c r="Q1499" s="14">
        <v>0.0</v>
      </c>
      <c r="R1499" s="41">
        <v>1.0</v>
      </c>
      <c r="S1499">
        <f t="shared" si="1"/>
        <v>2014</v>
      </c>
      <c r="T1499">
        <f t="shared" si="2"/>
        <v>7</v>
      </c>
      <c r="U1499">
        <f t="shared" si="3"/>
        <v>30</v>
      </c>
      <c r="AG1499" s="15"/>
      <c r="AH1499" s="16"/>
      <c r="AM1499" s="15"/>
      <c r="AN1499" s="16"/>
    </row>
    <row r="1500">
      <c r="A1500" s="13" t="s">
        <v>2915</v>
      </c>
      <c r="B1500" s="10">
        <v>41850.0</v>
      </c>
      <c r="C1500" s="11" t="s">
        <v>150</v>
      </c>
      <c r="D1500" s="11" t="s">
        <v>88</v>
      </c>
      <c r="E1500" s="11" t="s">
        <v>39</v>
      </c>
      <c r="F1500" s="11" t="s">
        <v>40</v>
      </c>
      <c r="G1500" s="11" t="s">
        <v>194</v>
      </c>
      <c r="H1500" s="11"/>
      <c r="I1500" s="11"/>
      <c r="J1500" s="11">
        <v>23.0</v>
      </c>
      <c r="K1500" s="30"/>
      <c r="L1500" s="30"/>
      <c r="M1500" s="11">
        <v>571803.0</v>
      </c>
      <c r="N1500" s="11" t="s">
        <v>2916</v>
      </c>
      <c r="O1500" s="13"/>
      <c r="P1500" s="11">
        <v>0.0</v>
      </c>
      <c r="Q1500" s="14">
        <v>0.0</v>
      </c>
      <c r="R1500" s="11">
        <v>0.0</v>
      </c>
      <c r="S1500">
        <f t="shared" si="1"/>
        <v>2014</v>
      </c>
      <c r="T1500">
        <f t="shared" si="2"/>
        <v>7</v>
      </c>
      <c r="U1500">
        <f t="shared" si="3"/>
        <v>30</v>
      </c>
      <c r="AG1500" s="15"/>
      <c r="AH1500" s="16"/>
      <c r="AM1500" s="15"/>
      <c r="AN1500" s="16"/>
    </row>
    <row r="1501">
      <c r="A1501" s="13" t="s">
        <v>2917</v>
      </c>
      <c r="B1501" s="10">
        <v>41850.0</v>
      </c>
      <c r="C1501" s="11" t="s">
        <v>230</v>
      </c>
      <c r="D1501" s="11" t="s">
        <v>221</v>
      </c>
      <c r="E1501" s="30" t="s">
        <v>39</v>
      </c>
      <c r="F1501" s="11" t="s">
        <v>40</v>
      </c>
      <c r="G1501" s="30" t="s">
        <v>45</v>
      </c>
      <c r="H1501" s="11" t="s">
        <v>276</v>
      </c>
      <c r="I1501" s="11"/>
      <c r="J1501" s="11">
        <v>18.0</v>
      </c>
      <c r="K1501" s="12">
        <v>42198.0</v>
      </c>
      <c r="L1501" s="11">
        <f t="shared" ref="L1501:L1506" si="158">ROUND(((K1501-B1501)/365)*12,0)</f>
        <v>11</v>
      </c>
      <c r="M1501" s="11">
        <v>656479.0</v>
      </c>
      <c r="N1501" s="11" t="s">
        <v>2918</v>
      </c>
      <c r="P1501" s="11">
        <v>0.0</v>
      </c>
      <c r="Q1501" s="14">
        <v>0.0</v>
      </c>
      <c r="R1501" s="41">
        <v>1.0</v>
      </c>
      <c r="S1501">
        <f t="shared" si="1"/>
        <v>2014</v>
      </c>
      <c r="T1501">
        <f t="shared" si="2"/>
        <v>7</v>
      </c>
      <c r="U1501">
        <f t="shared" si="3"/>
        <v>30</v>
      </c>
      <c r="AG1501" s="15"/>
      <c r="AH1501" s="16"/>
      <c r="AM1501" s="15"/>
      <c r="AN1501" s="16"/>
    </row>
    <row r="1502">
      <c r="A1502" s="13" t="s">
        <v>2919</v>
      </c>
      <c r="B1502" s="10">
        <v>41849.0</v>
      </c>
      <c r="C1502" s="11" t="s">
        <v>143</v>
      </c>
      <c r="D1502" s="11" t="s">
        <v>38</v>
      </c>
      <c r="E1502" s="30" t="s">
        <v>39</v>
      </c>
      <c r="F1502" s="11" t="s">
        <v>40</v>
      </c>
      <c r="G1502" s="30" t="s">
        <v>45</v>
      </c>
      <c r="H1502" s="11" t="s">
        <v>231</v>
      </c>
      <c r="I1502" s="11" t="s">
        <v>2920</v>
      </c>
      <c r="J1502" s="11">
        <v>28.0</v>
      </c>
      <c r="K1502" s="12">
        <v>42223.0</v>
      </c>
      <c r="L1502" s="11">
        <f t="shared" si="158"/>
        <v>12</v>
      </c>
      <c r="M1502" s="11">
        <v>518858.0</v>
      </c>
      <c r="N1502" s="11">
        <v>4696.0</v>
      </c>
      <c r="O1502" s="13" t="s">
        <v>761</v>
      </c>
      <c r="P1502" s="11">
        <v>101.0</v>
      </c>
      <c r="Q1502" s="14">
        <v>101.333</v>
      </c>
      <c r="R1502" s="41">
        <v>1.0</v>
      </c>
      <c r="S1502">
        <f t="shared" si="1"/>
        <v>2014</v>
      </c>
      <c r="T1502">
        <f t="shared" si="2"/>
        <v>7</v>
      </c>
      <c r="U1502">
        <f t="shared" si="3"/>
        <v>29</v>
      </c>
      <c r="Z1502" s="17">
        <v>42195.0</v>
      </c>
      <c r="AG1502" s="15"/>
      <c r="AH1502" s="16"/>
      <c r="AM1502" s="15"/>
      <c r="AN1502" s="16"/>
    </row>
    <row r="1503">
      <c r="A1503" s="13" t="s">
        <v>2921</v>
      </c>
      <c r="B1503" s="10">
        <v>41845.0</v>
      </c>
      <c r="C1503" s="11" t="s">
        <v>101</v>
      </c>
      <c r="D1503" s="11" t="s">
        <v>97</v>
      </c>
      <c r="E1503" s="30" t="s">
        <v>39</v>
      </c>
      <c r="F1503" s="11" t="s">
        <v>64</v>
      </c>
      <c r="G1503" s="41" t="s">
        <v>225</v>
      </c>
      <c r="H1503" s="30"/>
      <c r="I1503" s="30"/>
      <c r="J1503" s="11">
        <v>23.0</v>
      </c>
      <c r="K1503" s="12">
        <v>42222.0</v>
      </c>
      <c r="L1503" s="11">
        <f t="shared" si="158"/>
        <v>12</v>
      </c>
      <c r="M1503" s="11">
        <v>571772.0</v>
      </c>
      <c r="N1503" s="11" t="s">
        <v>2922</v>
      </c>
      <c r="P1503" s="11">
        <v>0.0</v>
      </c>
      <c r="Q1503" s="14">
        <v>0.0</v>
      </c>
      <c r="R1503" s="41">
        <v>1.0</v>
      </c>
      <c r="S1503">
        <f t="shared" si="1"/>
        <v>2014</v>
      </c>
      <c r="T1503">
        <f t="shared" si="2"/>
        <v>7</v>
      </c>
      <c r="U1503">
        <f t="shared" si="3"/>
        <v>25</v>
      </c>
      <c r="AG1503" s="15"/>
      <c r="AH1503" s="16"/>
      <c r="AM1503" s="15"/>
      <c r="AN1503" s="16"/>
    </row>
    <row r="1504">
      <c r="A1504" s="13" t="s">
        <v>2923</v>
      </c>
      <c r="B1504" s="10">
        <v>41843.0</v>
      </c>
      <c r="C1504" s="11" t="s">
        <v>192</v>
      </c>
      <c r="D1504" s="11" t="s">
        <v>38</v>
      </c>
      <c r="E1504" s="30" t="s">
        <v>39</v>
      </c>
      <c r="F1504" s="11" t="s">
        <v>40</v>
      </c>
      <c r="G1504" s="30" t="s">
        <v>45</v>
      </c>
      <c r="H1504" s="11" t="s">
        <v>67</v>
      </c>
      <c r="I1504" s="11"/>
      <c r="J1504" s="11">
        <v>24.0</v>
      </c>
      <c r="K1504" s="12">
        <v>42466.0</v>
      </c>
      <c r="L1504" s="11">
        <f t="shared" si="158"/>
        <v>20</v>
      </c>
      <c r="M1504" s="11">
        <v>543022.0</v>
      </c>
      <c r="N1504" s="11">
        <v>4338.0</v>
      </c>
      <c r="O1504" s="13" t="s">
        <v>761</v>
      </c>
      <c r="P1504" s="11">
        <v>60.0</v>
      </c>
      <c r="Q1504" s="14">
        <v>305.667</v>
      </c>
      <c r="R1504" s="41">
        <v>1.0</v>
      </c>
      <c r="S1504">
        <f t="shared" si="1"/>
        <v>2014</v>
      </c>
      <c r="T1504">
        <f t="shared" si="2"/>
        <v>7</v>
      </c>
      <c r="U1504">
        <f t="shared" si="3"/>
        <v>23</v>
      </c>
      <c r="Z1504" s="17">
        <v>42249.0</v>
      </c>
      <c r="AG1504" s="15"/>
      <c r="AH1504" s="16"/>
      <c r="AM1504" s="15"/>
      <c r="AN1504" s="16"/>
    </row>
    <row r="1505">
      <c r="A1505" s="13" t="s">
        <v>2924</v>
      </c>
      <c r="B1505" s="10">
        <v>41842.0</v>
      </c>
      <c r="C1505" s="11" t="s">
        <v>167</v>
      </c>
      <c r="D1505" s="11" t="s">
        <v>213</v>
      </c>
      <c r="E1505" s="30" t="s">
        <v>39</v>
      </c>
      <c r="F1505" s="11" t="s">
        <v>40</v>
      </c>
      <c r="G1505" s="30" t="s">
        <v>45</v>
      </c>
      <c r="H1505" s="11" t="s">
        <v>163</v>
      </c>
      <c r="I1505" s="11"/>
      <c r="J1505" s="11">
        <v>18.0</v>
      </c>
      <c r="K1505" s="12">
        <v>42177.0</v>
      </c>
      <c r="L1505" s="11">
        <f t="shared" si="158"/>
        <v>11</v>
      </c>
      <c r="M1505" s="11">
        <v>656302.0</v>
      </c>
      <c r="N1505" s="11">
        <v>18525.0</v>
      </c>
      <c r="O1505" s="49"/>
      <c r="P1505" s="11">
        <v>0.0</v>
      </c>
      <c r="Q1505" s="14">
        <v>0.0</v>
      </c>
      <c r="R1505" s="41">
        <v>1.0</v>
      </c>
      <c r="S1505">
        <f t="shared" si="1"/>
        <v>2014</v>
      </c>
      <c r="T1505">
        <f t="shared" si="2"/>
        <v>7</v>
      </c>
      <c r="U1505">
        <f t="shared" si="3"/>
        <v>22</v>
      </c>
      <c r="AG1505" s="15"/>
      <c r="AH1505" s="16"/>
      <c r="AM1505" s="15"/>
      <c r="AN1505" s="16"/>
    </row>
    <row r="1506">
      <c r="A1506" s="13" t="s">
        <v>2925</v>
      </c>
      <c r="B1506" s="10">
        <v>41842.0</v>
      </c>
      <c r="C1506" s="11" t="s">
        <v>55</v>
      </c>
      <c r="D1506" s="11" t="s">
        <v>221</v>
      </c>
      <c r="E1506" s="41" t="s">
        <v>104</v>
      </c>
      <c r="F1506" s="11" t="s">
        <v>40</v>
      </c>
      <c r="G1506" s="11" t="s">
        <v>194</v>
      </c>
      <c r="H1506" s="11"/>
      <c r="I1506" s="11"/>
      <c r="J1506" s="11">
        <v>20.0</v>
      </c>
      <c r="K1506" s="12">
        <v>42184.0</v>
      </c>
      <c r="L1506" s="11">
        <f t="shared" si="158"/>
        <v>11</v>
      </c>
      <c r="M1506" s="11">
        <v>601707.0</v>
      </c>
      <c r="N1506" s="11" t="s">
        <v>2926</v>
      </c>
      <c r="P1506" s="11">
        <v>0.0</v>
      </c>
      <c r="Q1506" s="14">
        <v>0.0</v>
      </c>
      <c r="R1506" s="41">
        <v>1.0</v>
      </c>
      <c r="S1506">
        <f t="shared" si="1"/>
        <v>2014</v>
      </c>
      <c r="T1506">
        <f t="shared" si="2"/>
        <v>7</v>
      </c>
      <c r="U1506">
        <f t="shared" si="3"/>
        <v>22</v>
      </c>
      <c r="AG1506" s="15"/>
      <c r="AH1506" s="16"/>
      <c r="AM1506" s="15"/>
      <c r="AN1506" s="16"/>
    </row>
    <row r="1507">
      <c r="A1507" s="13" t="s">
        <v>2927</v>
      </c>
      <c r="B1507" s="10">
        <v>41836.0</v>
      </c>
      <c r="C1507" s="11" t="s">
        <v>162</v>
      </c>
      <c r="D1507" s="11" t="s">
        <v>38</v>
      </c>
      <c r="E1507" s="11" t="s">
        <v>39</v>
      </c>
      <c r="F1507" s="11" t="s">
        <v>40</v>
      </c>
      <c r="G1507" s="11" t="s">
        <v>45</v>
      </c>
      <c r="H1507" s="11" t="s">
        <v>67</v>
      </c>
      <c r="I1507" s="11"/>
      <c r="J1507" s="11">
        <v>27.0</v>
      </c>
      <c r="K1507" s="30"/>
      <c r="L1507" s="30"/>
      <c r="M1507" s="11">
        <v>457707.0</v>
      </c>
      <c r="N1507" s="11">
        <v>7074.0</v>
      </c>
      <c r="O1507" s="13" t="s">
        <v>69</v>
      </c>
      <c r="P1507" s="11">
        <v>0.0</v>
      </c>
      <c r="Q1507" s="14">
        <v>0.0</v>
      </c>
      <c r="R1507" s="11">
        <v>0.0</v>
      </c>
      <c r="S1507">
        <f t="shared" si="1"/>
        <v>2014</v>
      </c>
      <c r="T1507">
        <f t="shared" si="2"/>
        <v>7</v>
      </c>
      <c r="U1507">
        <f t="shared" si="3"/>
        <v>16</v>
      </c>
      <c r="AG1507" s="15"/>
      <c r="AH1507" s="16"/>
      <c r="AM1507" s="15"/>
      <c r="AN1507" s="16"/>
    </row>
    <row r="1508">
      <c r="A1508" s="13" t="s">
        <v>2928</v>
      </c>
      <c r="B1508" s="10">
        <v>41835.0</v>
      </c>
      <c r="C1508" s="11" t="s">
        <v>101</v>
      </c>
      <c r="D1508" s="11" t="s">
        <v>38</v>
      </c>
      <c r="E1508" s="30" t="s">
        <v>39</v>
      </c>
      <c r="F1508" s="11" t="s">
        <v>40</v>
      </c>
      <c r="G1508" s="30" t="s">
        <v>45</v>
      </c>
      <c r="H1508" s="11" t="s">
        <v>84</v>
      </c>
      <c r="I1508" s="11"/>
      <c r="J1508" s="11">
        <v>37.0</v>
      </c>
      <c r="K1508" s="39">
        <v>42833.0</v>
      </c>
      <c r="L1508" s="11">
        <f t="shared" ref="L1508:L1509" si="159">ROUND(((K1508-B1508)/365)*12,0)</f>
        <v>33</v>
      </c>
      <c r="M1508" s="11">
        <v>276520.0</v>
      </c>
      <c r="N1508" s="11">
        <v>978.0</v>
      </c>
      <c r="O1508" s="13" t="s">
        <v>2929</v>
      </c>
      <c r="P1508" s="11">
        <v>14.0</v>
      </c>
      <c r="Q1508" s="14">
        <v>71.0</v>
      </c>
      <c r="R1508" s="11">
        <v>0.0</v>
      </c>
      <c r="S1508">
        <f t="shared" si="1"/>
        <v>2014</v>
      </c>
      <c r="T1508">
        <f t="shared" si="2"/>
        <v>7</v>
      </c>
      <c r="U1508">
        <f t="shared" si="3"/>
        <v>15</v>
      </c>
      <c r="Z1508" s="17">
        <v>42547.0</v>
      </c>
      <c r="AA1508" s="17">
        <v>42430.0</v>
      </c>
      <c r="AB1508" s="13" t="s">
        <v>1807</v>
      </c>
      <c r="AC1508" s="17">
        <v>42614.0</v>
      </c>
      <c r="AD1508" s="13" t="s">
        <v>2930</v>
      </c>
      <c r="AG1508" s="15"/>
      <c r="AH1508" s="16"/>
      <c r="AM1508" s="15"/>
      <c r="AN1508" s="16"/>
    </row>
    <row r="1509">
      <c r="A1509" s="13" t="s">
        <v>2931</v>
      </c>
      <c r="B1509" s="10">
        <v>41835.0</v>
      </c>
      <c r="C1509" s="11" t="s">
        <v>235</v>
      </c>
      <c r="D1509" s="11" t="s">
        <v>97</v>
      </c>
      <c r="E1509" s="30" t="s">
        <v>39</v>
      </c>
      <c r="F1509" s="11" t="s">
        <v>40</v>
      </c>
      <c r="G1509" s="41" t="s">
        <v>194</v>
      </c>
      <c r="H1509" s="11"/>
      <c r="I1509" s="11"/>
      <c r="J1509" s="11">
        <v>21.0</v>
      </c>
      <c r="K1509" s="12">
        <v>42217.0</v>
      </c>
      <c r="L1509" s="11">
        <f t="shared" si="159"/>
        <v>13</v>
      </c>
      <c r="M1509" s="11">
        <v>601715.0</v>
      </c>
      <c r="N1509" s="11" t="s">
        <v>2932</v>
      </c>
      <c r="O1509" s="13" t="s">
        <v>761</v>
      </c>
      <c r="P1509" s="11">
        <v>0.0</v>
      </c>
      <c r="Q1509" s="14">
        <v>0.0</v>
      </c>
      <c r="R1509" s="11">
        <v>0.0</v>
      </c>
      <c r="S1509">
        <f t="shared" si="1"/>
        <v>2014</v>
      </c>
      <c r="T1509">
        <f t="shared" si="2"/>
        <v>7</v>
      </c>
      <c r="U1509">
        <f t="shared" si="3"/>
        <v>15</v>
      </c>
      <c r="AG1509" s="15"/>
      <c r="AH1509" s="16"/>
      <c r="AM1509" s="15"/>
      <c r="AN1509" s="16"/>
    </row>
    <row r="1510">
      <c r="A1510" s="13" t="s">
        <v>2933</v>
      </c>
      <c r="B1510" s="10">
        <v>41829.0</v>
      </c>
      <c r="C1510" s="11" t="s">
        <v>186</v>
      </c>
      <c r="D1510" s="11" t="s">
        <v>213</v>
      </c>
      <c r="E1510" s="11" t="s">
        <v>39</v>
      </c>
      <c r="F1510" s="11" t="s">
        <v>40</v>
      </c>
      <c r="G1510" s="11" t="s">
        <v>45</v>
      </c>
      <c r="H1510" s="11" t="s">
        <v>2934</v>
      </c>
      <c r="I1510" s="11" t="s">
        <v>1825</v>
      </c>
      <c r="J1510" s="11">
        <v>19.0</v>
      </c>
      <c r="K1510" s="39">
        <v>42922.0</v>
      </c>
      <c r="L1510" s="30"/>
      <c r="M1510" s="11">
        <v>676796.0</v>
      </c>
      <c r="N1510" s="11" t="s">
        <v>2935</v>
      </c>
      <c r="O1510" s="13"/>
      <c r="P1510" s="11">
        <v>0.0</v>
      </c>
      <c r="Q1510" s="14">
        <v>0.0</v>
      </c>
      <c r="R1510" s="11">
        <v>1.0</v>
      </c>
      <c r="S1510">
        <f t="shared" si="1"/>
        <v>2014</v>
      </c>
      <c r="T1510">
        <f t="shared" si="2"/>
        <v>7</v>
      </c>
      <c r="U1510">
        <f t="shared" si="3"/>
        <v>9</v>
      </c>
      <c r="AG1510" s="15"/>
      <c r="AH1510" s="16"/>
      <c r="AM1510" s="15"/>
      <c r="AN1510" s="16"/>
    </row>
    <row r="1511">
      <c r="A1511" s="13" t="s">
        <v>2936</v>
      </c>
      <c r="B1511" s="10">
        <v>41823.0</v>
      </c>
      <c r="C1511" s="11" t="s">
        <v>126</v>
      </c>
      <c r="D1511" s="11" t="s">
        <v>58</v>
      </c>
      <c r="E1511" s="11" t="s">
        <v>39</v>
      </c>
      <c r="F1511" s="11" t="s">
        <v>40</v>
      </c>
      <c r="G1511" s="11" t="s">
        <v>45</v>
      </c>
      <c r="H1511" s="11" t="s">
        <v>56</v>
      </c>
      <c r="I1511" s="11" t="s">
        <v>259</v>
      </c>
      <c r="J1511" s="11">
        <v>28.0</v>
      </c>
      <c r="K1511" s="30"/>
      <c r="L1511" s="30"/>
      <c r="M1511" s="11">
        <v>451585.0</v>
      </c>
      <c r="N1511" s="11">
        <v>868.0</v>
      </c>
      <c r="O1511" s="13" t="s">
        <v>761</v>
      </c>
      <c r="P1511" s="11">
        <v>0.0</v>
      </c>
      <c r="Q1511" s="14">
        <v>0.0</v>
      </c>
      <c r="R1511" s="11">
        <v>0.0</v>
      </c>
      <c r="S1511">
        <f t="shared" si="1"/>
        <v>2014</v>
      </c>
      <c r="T1511">
        <f t="shared" si="2"/>
        <v>7</v>
      </c>
      <c r="U1511">
        <f t="shared" si="3"/>
        <v>3</v>
      </c>
      <c r="AG1511" s="15"/>
      <c r="AH1511" s="16"/>
      <c r="AM1511" s="15"/>
      <c r="AN1511" s="16"/>
    </row>
    <row r="1512">
      <c r="A1512" s="48" t="s">
        <v>628</v>
      </c>
      <c r="B1512" s="10">
        <v>41821.0</v>
      </c>
      <c r="C1512" s="11" t="s">
        <v>167</v>
      </c>
      <c r="D1512" s="11" t="s">
        <v>213</v>
      </c>
      <c r="E1512" s="11" t="s">
        <v>39</v>
      </c>
      <c r="F1512" s="11" t="s">
        <v>40</v>
      </c>
      <c r="G1512" s="11" t="s">
        <v>45</v>
      </c>
      <c r="H1512" s="11" t="s">
        <v>56</v>
      </c>
      <c r="I1512" s="11" t="s">
        <v>379</v>
      </c>
      <c r="J1512" s="11">
        <v>17.0</v>
      </c>
      <c r="K1512" s="12">
        <v>44322.0</v>
      </c>
      <c r="L1512" s="11"/>
      <c r="M1512" s="11">
        <v>663510.0</v>
      </c>
      <c r="N1512" s="11" t="s">
        <v>629</v>
      </c>
      <c r="O1512" s="13"/>
      <c r="P1512" s="11">
        <v>0.0</v>
      </c>
      <c r="Q1512" s="14">
        <v>0.0</v>
      </c>
      <c r="R1512" s="11">
        <v>1.0</v>
      </c>
      <c r="S1512">
        <f t="shared" si="1"/>
        <v>2014</v>
      </c>
      <c r="T1512">
        <f t="shared" si="2"/>
        <v>7</v>
      </c>
      <c r="U1512">
        <f t="shared" si="3"/>
        <v>1</v>
      </c>
      <c r="AA1512" s="17"/>
      <c r="AB1512" s="13"/>
      <c r="AG1512" s="15"/>
      <c r="AH1512" s="16"/>
      <c r="AM1512" s="15"/>
      <c r="AN1512" s="16"/>
    </row>
    <row r="1513">
      <c r="A1513" s="13" t="s">
        <v>2937</v>
      </c>
      <c r="B1513" s="10">
        <v>41821.0</v>
      </c>
      <c r="C1513" s="11" t="s">
        <v>192</v>
      </c>
      <c r="D1513" s="11" t="s">
        <v>77</v>
      </c>
      <c r="E1513" s="30" t="s">
        <v>39</v>
      </c>
      <c r="F1513" s="11" t="s">
        <v>40</v>
      </c>
      <c r="G1513" s="30" t="s">
        <v>45</v>
      </c>
      <c r="H1513" s="11" t="s">
        <v>73</v>
      </c>
      <c r="I1513" s="11" t="s">
        <v>2938</v>
      </c>
      <c r="J1513" s="11">
        <v>24.0</v>
      </c>
      <c r="K1513" s="12">
        <v>42268.0</v>
      </c>
      <c r="L1513" s="11">
        <f>ROUND(((K1513-B1513)/365)*12,0)</f>
        <v>15</v>
      </c>
      <c r="M1513" s="11">
        <v>595465.0</v>
      </c>
      <c r="N1513" s="11">
        <v>12237.0</v>
      </c>
      <c r="O1513" s="13" t="s">
        <v>761</v>
      </c>
      <c r="P1513" s="11">
        <v>21.0</v>
      </c>
      <c r="Q1513" s="14">
        <v>18.333</v>
      </c>
      <c r="R1513" s="41">
        <v>1.0</v>
      </c>
      <c r="S1513">
        <f t="shared" si="1"/>
        <v>2014</v>
      </c>
      <c r="T1513">
        <f t="shared" si="2"/>
        <v>7</v>
      </c>
      <c r="U1513">
        <f t="shared" si="3"/>
        <v>1</v>
      </c>
      <c r="AA1513" s="17">
        <v>42470.0</v>
      </c>
      <c r="AB1513" s="13" t="s">
        <v>2582</v>
      </c>
      <c r="AG1513" s="15"/>
      <c r="AH1513" s="16"/>
      <c r="AM1513" s="15"/>
      <c r="AN1513" s="16"/>
    </row>
    <row r="1514">
      <c r="A1514" s="13" t="s">
        <v>2939</v>
      </c>
      <c r="B1514" s="10">
        <v>41821.0</v>
      </c>
      <c r="C1514" s="11" t="s">
        <v>192</v>
      </c>
      <c r="D1514" s="11" t="s">
        <v>93</v>
      </c>
      <c r="E1514" s="11" t="s">
        <v>660</v>
      </c>
      <c r="F1514" s="11" t="s">
        <v>40</v>
      </c>
      <c r="G1514" s="11" t="s">
        <v>45</v>
      </c>
      <c r="H1514" s="11" t="s">
        <v>236</v>
      </c>
      <c r="I1514" s="11" t="s">
        <v>237</v>
      </c>
      <c r="J1514" s="11">
        <v>20.0</v>
      </c>
      <c r="K1514" s="12">
        <v>42538.0</v>
      </c>
      <c r="L1514" s="11"/>
      <c r="M1514" s="11">
        <v>670109.0</v>
      </c>
      <c r="N1514" s="11" t="s">
        <v>2940</v>
      </c>
      <c r="P1514" s="11">
        <v>0.0</v>
      </c>
      <c r="Q1514" s="14">
        <v>0.0</v>
      </c>
      <c r="R1514" s="41">
        <v>1.0</v>
      </c>
      <c r="S1514">
        <f t="shared" si="1"/>
        <v>2014</v>
      </c>
      <c r="T1514">
        <f t="shared" si="2"/>
        <v>7</v>
      </c>
      <c r="U1514">
        <f t="shared" si="3"/>
        <v>1</v>
      </c>
      <c r="AG1514" s="15"/>
      <c r="AH1514" s="16"/>
      <c r="AM1514" s="15"/>
      <c r="AN1514" s="16"/>
    </row>
    <row r="1515">
      <c r="A1515" s="13" t="s">
        <v>2941</v>
      </c>
      <c r="B1515" s="10">
        <v>41821.0</v>
      </c>
      <c r="C1515" s="11" t="s">
        <v>111</v>
      </c>
      <c r="D1515" s="11" t="s">
        <v>88</v>
      </c>
      <c r="E1515" s="30" t="s">
        <v>39</v>
      </c>
      <c r="F1515" s="11" t="s">
        <v>40</v>
      </c>
      <c r="G1515" s="41" t="s">
        <v>53</v>
      </c>
      <c r="H1515" s="30"/>
      <c r="I1515" s="30"/>
      <c r="J1515" s="11">
        <v>22.0</v>
      </c>
      <c r="K1515" s="12">
        <v>42209.0</v>
      </c>
      <c r="L1515" s="11">
        <f t="shared" ref="L1515:L1530" si="160">ROUND(((K1515-B1515)/365)*12,0)</f>
        <v>13</v>
      </c>
      <c r="M1515" s="11">
        <v>553968.0</v>
      </c>
      <c r="N1515" s="11" t="s">
        <v>2942</v>
      </c>
      <c r="P1515" s="11">
        <v>0.0</v>
      </c>
      <c r="Q1515" s="14">
        <v>0.0</v>
      </c>
      <c r="R1515" s="41">
        <v>1.0</v>
      </c>
      <c r="S1515">
        <f t="shared" si="1"/>
        <v>2014</v>
      </c>
      <c r="T1515">
        <f t="shared" si="2"/>
        <v>7</v>
      </c>
      <c r="U1515">
        <f t="shared" si="3"/>
        <v>1</v>
      </c>
      <c r="AG1515" s="15"/>
      <c r="AH1515" s="16"/>
      <c r="AM1515" s="15"/>
      <c r="AN1515" s="16"/>
    </row>
    <row r="1516">
      <c r="A1516" s="13" t="s">
        <v>2943</v>
      </c>
      <c r="B1516" s="10">
        <v>41821.0</v>
      </c>
      <c r="C1516" s="11" t="s">
        <v>103</v>
      </c>
      <c r="D1516" s="11" t="s">
        <v>97</v>
      </c>
      <c r="E1516" s="30" t="s">
        <v>39</v>
      </c>
      <c r="F1516" s="11" t="s">
        <v>40</v>
      </c>
      <c r="G1516" s="41" t="s">
        <v>41</v>
      </c>
      <c r="H1516" s="30"/>
      <c r="I1516" s="30"/>
      <c r="J1516" s="11">
        <v>19.0</v>
      </c>
      <c r="K1516" s="39">
        <v>42510.0</v>
      </c>
      <c r="L1516" s="11">
        <f t="shared" si="160"/>
        <v>23</v>
      </c>
      <c r="M1516" s="11">
        <v>622864.0</v>
      </c>
      <c r="N1516" s="11">
        <v>15885.0</v>
      </c>
      <c r="P1516" s="11">
        <v>0.0</v>
      </c>
      <c r="Q1516" s="14">
        <v>0.0</v>
      </c>
      <c r="R1516" s="41">
        <v>1.0</v>
      </c>
      <c r="S1516">
        <f t="shared" si="1"/>
        <v>2014</v>
      </c>
      <c r="T1516">
        <f t="shared" si="2"/>
        <v>7</v>
      </c>
      <c r="U1516">
        <f t="shared" si="3"/>
        <v>1</v>
      </c>
      <c r="AG1516" s="15"/>
      <c r="AH1516" s="16"/>
      <c r="AM1516" s="15"/>
      <c r="AN1516" s="16"/>
    </row>
    <row r="1517">
      <c r="A1517" s="13" t="s">
        <v>2944</v>
      </c>
      <c r="B1517" s="10">
        <v>41821.0</v>
      </c>
      <c r="C1517" s="11" t="s">
        <v>49</v>
      </c>
      <c r="D1517" s="11" t="s">
        <v>97</v>
      </c>
      <c r="E1517" s="30" t="s">
        <v>39</v>
      </c>
      <c r="F1517" s="11" t="s">
        <v>40</v>
      </c>
      <c r="G1517" s="30" t="s">
        <v>45</v>
      </c>
      <c r="H1517" s="11" t="s">
        <v>67</v>
      </c>
      <c r="I1517" s="11"/>
      <c r="J1517" s="11">
        <v>19.0</v>
      </c>
      <c r="K1517" s="12">
        <v>42224.0</v>
      </c>
      <c r="L1517" s="11">
        <f t="shared" si="160"/>
        <v>13</v>
      </c>
      <c r="M1517" s="11">
        <v>623167.0</v>
      </c>
      <c r="N1517" s="11">
        <v>13896.0</v>
      </c>
      <c r="P1517" s="11">
        <v>14.0</v>
      </c>
      <c r="Q1517" s="14">
        <v>48.0</v>
      </c>
      <c r="R1517" s="41">
        <v>1.0</v>
      </c>
      <c r="S1517">
        <f t="shared" si="1"/>
        <v>2014</v>
      </c>
      <c r="T1517">
        <f t="shared" si="2"/>
        <v>7</v>
      </c>
      <c r="U1517">
        <f t="shared" si="3"/>
        <v>1</v>
      </c>
      <c r="AG1517" s="15"/>
      <c r="AH1517" s="16"/>
      <c r="AM1517" s="15"/>
      <c r="AN1517" s="16"/>
    </row>
    <row r="1518">
      <c r="A1518" s="13" t="s">
        <v>1838</v>
      </c>
      <c r="B1518" s="10">
        <v>41814.0</v>
      </c>
      <c r="C1518" s="11" t="s">
        <v>72</v>
      </c>
      <c r="D1518" s="11" t="s">
        <v>213</v>
      </c>
      <c r="E1518" s="30" t="s">
        <v>39</v>
      </c>
      <c r="F1518" s="11" t="s">
        <v>40</v>
      </c>
      <c r="G1518" s="30" t="s">
        <v>45</v>
      </c>
      <c r="H1518" s="11" t="s">
        <v>139</v>
      </c>
      <c r="I1518" s="11"/>
      <c r="J1518" s="11">
        <v>18.0</v>
      </c>
      <c r="K1518" s="12">
        <v>42180.0</v>
      </c>
      <c r="L1518" s="11">
        <f t="shared" si="160"/>
        <v>12</v>
      </c>
      <c r="M1518" s="11">
        <v>656837.0</v>
      </c>
      <c r="N1518" s="11" t="s">
        <v>1839</v>
      </c>
      <c r="O1518" s="13" t="s">
        <v>761</v>
      </c>
      <c r="P1518" s="11">
        <v>0.0</v>
      </c>
      <c r="Q1518" s="14">
        <v>0.0</v>
      </c>
      <c r="R1518" s="11">
        <v>0.0</v>
      </c>
      <c r="S1518">
        <f t="shared" si="1"/>
        <v>2014</v>
      </c>
      <c r="T1518">
        <f t="shared" si="2"/>
        <v>6</v>
      </c>
      <c r="U1518">
        <f t="shared" si="3"/>
        <v>24</v>
      </c>
      <c r="AG1518" s="15"/>
      <c r="AH1518" s="16"/>
      <c r="AM1518" s="15"/>
      <c r="AN1518" s="16"/>
    </row>
    <row r="1519">
      <c r="A1519" s="13" t="s">
        <v>2945</v>
      </c>
      <c r="B1519" s="10">
        <v>41814.0</v>
      </c>
      <c r="C1519" s="11" t="s">
        <v>62</v>
      </c>
      <c r="D1519" s="11" t="s">
        <v>77</v>
      </c>
      <c r="E1519" s="30" t="s">
        <v>39</v>
      </c>
      <c r="F1519" s="11" t="s">
        <v>40</v>
      </c>
      <c r="G1519" s="30" t="s">
        <v>45</v>
      </c>
      <c r="H1519" s="11" t="s">
        <v>109</v>
      </c>
      <c r="I1519" s="11" t="s">
        <v>2946</v>
      </c>
      <c r="J1519" s="11">
        <v>23.0</v>
      </c>
      <c r="K1519" s="12">
        <v>42176.0</v>
      </c>
      <c r="L1519" s="11">
        <f t="shared" si="160"/>
        <v>12</v>
      </c>
      <c r="M1519" s="11">
        <v>571882.0</v>
      </c>
      <c r="N1519" s="11">
        <v>13133.0</v>
      </c>
      <c r="O1519" s="13" t="s">
        <v>761</v>
      </c>
      <c r="P1519" s="11">
        <v>102.0</v>
      </c>
      <c r="Q1519" s="14">
        <v>92.333</v>
      </c>
      <c r="R1519" s="41">
        <v>1.0</v>
      </c>
      <c r="S1519">
        <f t="shared" si="1"/>
        <v>2014</v>
      </c>
      <c r="T1519">
        <f t="shared" si="2"/>
        <v>6</v>
      </c>
      <c r="U1519">
        <f t="shared" si="3"/>
        <v>24</v>
      </c>
      <c r="AG1519" s="15"/>
      <c r="AH1519" s="16"/>
      <c r="AM1519" s="15"/>
      <c r="AN1519" s="16"/>
    </row>
    <row r="1520">
      <c r="A1520" s="13" t="s">
        <v>2947</v>
      </c>
      <c r="B1520" s="10">
        <v>41809.0</v>
      </c>
      <c r="C1520" s="11" t="s">
        <v>37</v>
      </c>
      <c r="D1520" s="11" t="s">
        <v>77</v>
      </c>
      <c r="E1520" s="11" t="s">
        <v>39</v>
      </c>
      <c r="F1520" s="11" t="s">
        <v>40</v>
      </c>
      <c r="G1520" s="11" t="s">
        <v>45</v>
      </c>
      <c r="H1520" s="11" t="s">
        <v>129</v>
      </c>
      <c r="I1520" s="11" t="s">
        <v>2948</v>
      </c>
      <c r="J1520" s="11">
        <v>23.0</v>
      </c>
      <c r="K1520" s="12">
        <v>42201.0</v>
      </c>
      <c r="L1520" s="11">
        <f t="shared" si="160"/>
        <v>13</v>
      </c>
      <c r="M1520" s="11">
        <v>572371.0</v>
      </c>
      <c r="N1520" s="11" t="s">
        <v>2949</v>
      </c>
      <c r="O1520" s="13"/>
      <c r="P1520" s="11">
        <v>0.0</v>
      </c>
      <c r="Q1520" s="14">
        <v>0.0</v>
      </c>
      <c r="R1520" s="41">
        <v>1.0</v>
      </c>
      <c r="S1520">
        <f t="shared" si="1"/>
        <v>2014</v>
      </c>
      <c r="T1520">
        <f t="shared" si="2"/>
        <v>6</v>
      </c>
      <c r="U1520">
        <f t="shared" si="3"/>
        <v>19</v>
      </c>
      <c r="AG1520" s="15"/>
      <c r="AH1520" s="16"/>
      <c r="AM1520" s="15"/>
      <c r="AN1520" s="16"/>
    </row>
    <row r="1521">
      <c r="A1521" s="13" t="s">
        <v>2950</v>
      </c>
      <c r="B1521" s="10">
        <v>41807.0</v>
      </c>
      <c r="C1521" s="11" t="s">
        <v>138</v>
      </c>
      <c r="D1521" s="11" t="s">
        <v>38</v>
      </c>
      <c r="E1521" s="41" t="s">
        <v>104</v>
      </c>
      <c r="F1521" s="11" t="s">
        <v>40</v>
      </c>
      <c r="G1521" s="30" t="s">
        <v>45</v>
      </c>
      <c r="H1521" s="11" t="s">
        <v>173</v>
      </c>
      <c r="I1521" s="11" t="s">
        <v>1599</v>
      </c>
      <c r="J1521" s="11">
        <v>28.0</v>
      </c>
      <c r="K1521" s="12">
        <v>42160.0</v>
      </c>
      <c r="L1521" s="11">
        <f t="shared" si="160"/>
        <v>12</v>
      </c>
      <c r="M1521" s="11">
        <v>446308.0</v>
      </c>
      <c r="N1521" s="11">
        <v>4298.0</v>
      </c>
      <c r="O1521" s="13" t="s">
        <v>761</v>
      </c>
      <c r="P1521" s="11">
        <v>322.0</v>
      </c>
      <c r="Q1521" s="14">
        <v>1211.0</v>
      </c>
      <c r="R1521" s="41">
        <v>1.0</v>
      </c>
      <c r="S1521">
        <f t="shared" si="1"/>
        <v>2014</v>
      </c>
      <c r="T1521">
        <f t="shared" si="2"/>
        <v>6</v>
      </c>
      <c r="U1521">
        <f t="shared" si="3"/>
        <v>17</v>
      </c>
      <c r="Z1521" s="17">
        <v>42150.0</v>
      </c>
      <c r="AG1521" s="15"/>
      <c r="AH1521" s="16"/>
      <c r="AM1521" s="15"/>
      <c r="AN1521" s="16"/>
    </row>
    <row r="1522">
      <c r="A1522" s="13" t="s">
        <v>2951</v>
      </c>
      <c r="B1522" s="10">
        <v>41807.0</v>
      </c>
      <c r="C1522" s="11" t="s">
        <v>126</v>
      </c>
      <c r="D1522" s="11" t="s">
        <v>58</v>
      </c>
      <c r="E1522" s="30" t="s">
        <v>39</v>
      </c>
      <c r="F1522" s="11" t="s">
        <v>64</v>
      </c>
      <c r="G1522" s="30" t="s">
        <v>45</v>
      </c>
      <c r="H1522" s="11" t="s">
        <v>67</v>
      </c>
      <c r="I1522" s="11" t="s">
        <v>864</v>
      </c>
      <c r="J1522" s="11">
        <v>28.0</v>
      </c>
      <c r="K1522" s="12">
        <v>42467.0</v>
      </c>
      <c r="L1522" s="11">
        <f t="shared" si="160"/>
        <v>22</v>
      </c>
      <c r="M1522" s="11">
        <v>446290.0</v>
      </c>
      <c r="N1522" s="11">
        <v>2858.0</v>
      </c>
      <c r="P1522" s="11">
        <v>0.0</v>
      </c>
      <c r="Q1522" s="14">
        <v>0.0</v>
      </c>
      <c r="R1522" s="41">
        <v>1.0</v>
      </c>
      <c r="S1522">
        <f t="shared" si="1"/>
        <v>2014</v>
      </c>
      <c r="T1522">
        <f t="shared" si="2"/>
        <v>6</v>
      </c>
      <c r="U1522">
        <f t="shared" si="3"/>
        <v>17</v>
      </c>
      <c r="AG1522" s="15"/>
      <c r="AH1522" s="16"/>
      <c r="AM1522" s="15"/>
      <c r="AN1522" s="16"/>
    </row>
    <row r="1523">
      <c r="A1523" s="13" t="s">
        <v>2952</v>
      </c>
      <c r="B1523" s="10">
        <v>41807.0</v>
      </c>
      <c r="C1523" s="11" t="s">
        <v>49</v>
      </c>
      <c r="D1523" s="11" t="s">
        <v>58</v>
      </c>
      <c r="E1523" s="30" t="s">
        <v>39</v>
      </c>
      <c r="F1523" s="11" t="s">
        <v>40</v>
      </c>
      <c r="G1523" s="30" t="s">
        <v>45</v>
      </c>
      <c r="H1523" s="11" t="s">
        <v>84</v>
      </c>
      <c r="I1523" s="11" t="s">
        <v>2953</v>
      </c>
      <c r="J1523" s="11">
        <v>26.0</v>
      </c>
      <c r="K1523" s="12">
        <v>42467.0</v>
      </c>
      <c r="L1523" s="11">
        <f t="shared" si="160"/>
        <v>22</v>
      </c>
      <c r="M1523" s="11">
        <v>502368.0</v>
      </c>
      <c r="N1523" s="11" t="s">
        <v>2954</v>
      </c>
      <c r="P1523" s="11">
        <v>0.0</v>
      </c>
      <c r="Q1523" s="14">
        <v>0.0</v>
      </c>
      <c r="R1523" s="41">
        <v>1.0</v>
      </c>
      <c r="S1523">
        <f t="shared" si="1"/>
        <v>2014</v>
      </c>
      <c r="T1523">
        <f t="shared" si="2"/>
        <v>6</v>
      </c>
      <c r="U1523">
        <f t="shared" si="3"/>
        <v>17</v>
      </c>
      <c r="AG1523" s="15"/>
      <c r="AH1523" s="16"/>
      <c r="AM1523" s="15"/>
      <c r="AN1523" s="16"/>
    </row>
    <row r="1524">
      <c r="A1524" s="13" t="s">
        <v>2955</v>
      </c>
      <c r="B1524" s="10">
        <v>41800.0</v>
      </c>
      <c r="C1524" s="11" t="s">
        <v>346</v>
      </c>
      <c r="D1524" s="11" t="s">
        <v>38</v>
      </c>
      <c r="E1524" s="11" t="s">
        <v>39</v>
      </c>
      <c r="F1524" s="11" t="s">
        <v>40</v>
      </c>
      <c r="G1524" s="11" t="s">
        <v>45</v>
      </c>
      <c r="H1524" s="11" t="s">
        <v>56</v>
      </c>
      <c r="I1524" s="11" t="s">
        <v>2956</v>
      </c>
      <c r="J1524" s="11">
        <v>26.0</v>
      </c>
      <c r="K1524" s="39">
        <v>43289.0</v>
      </c>
      <c r="L1524" s="11">
        <f t="shared" si="160"/>
        <v>49</v>
      </c>
      <c r="M1524" s="11">
        <v>518489.0</v>
      </c>
      <c r="N1524" s="11">
        <v>5615.0</v>
      </c>
      <c r="P1524" s="11">
        <v>0.0</v>
      </c>
      <c r="Q1524" s="14">
        <v>0.0</v>
      </c>
      <c r="R1524" s="41">
        <v>1.0</v>
      </c>
      <c r="S1524">
        <f t="shared" si="1"/>
        <v>2014</v>
      </c>
      <c r="T1524">
        <f t="shared" si="2"/>
        <v>6</v>
      </c>
      <c r="U1524">
        <f t="shared" si="3"/>
        <v>10</v>
      </c>
      <c r="Z1524" s="17">
        <v>42230.0</v>
      </c>
      <c r="AG1524" s="15"/>
      <c r="AH1524" s="16"/>
      <c r="AM1524" s="15"/>
      <c r="AN1524" s="16"/>
    </row>
    <row r="1525">
      <c r="A1525" s="13" t="s">
        <v>2957</v>
      </c>
      <c r="B1525" s="10">
        <v>41799.0</v>
      </c>
      <c r="C1525" s="11" t="s">
        <v>111</v>
      </c>
      <c r="D1525" s="11" t="s">
        <v>221</v>
      </c>
      <c r="E1525" s="11" t="s">
        <v>39</v>
      </c>
      <c r="F1525" s="11" t="s">
        <v>40</v>
      </c>
      <c r="G1525" s="11" t="s">
        <v>53</v>
      </c>
      <c r="H1525" s="11"/>
      <c r="I1525" s="11"/>
      <c r="J1525" s="11">
        <v>19.0</v>
      </c>
      <c r="K1525" s="12">
        <v>42237.0</v>
      </c>
      <c r="L1525" s="11">
        <f t="shared" si="160"/>
        <v>14</v>
      </c>
      <c r="M1525" s="11">
        <v>621592.0</v>
      </c>
      <c r="N1525" s="11">
        <v>19642.0</v>
      </c>
      <c r="O1525" s="13"/>
      <c r="P1525" s="11">
        <v>0.0</v>
      </c>
      <c r="Q1525" s="14">
        <v>0.0</v>
      </c>
      <c r="R1525" s="41">
        <v>1.0</v>
      </c>
      <c r="S1525">
        <f t="shared" si="1"/>
        <v>2014</v>
      </c>
      <c r="T1525">
        <f t="shared" si="2"/>
        <v>6</v>
      </c>
      <c r="U1525">
        <f t="shared" si="3"/>
        <v>9</v>
      </c>
      <c r="AG1525" s="15"/>
      <c r="AH1525" s="16"/>
      <c r="AM1525" s="15"/>
      <c r="AN1525" s="16"/>
    </row>
    <row r="1526">
      <c r="A1526" s="13" t="s">
        <v>2958</v>
      </c>
      <c r="B1526" s="10">
        <v>41795.0</v>
      </c>
      <c r="C1526" s="11" t="s">
        <v>346</v>
      </c>
      <c r="D1526" s="11" t="s">
        <v>93</v>
      </c>
      <c r="E1526" s="11" t="s">
        <v>39</v>
      </c>
      <c r="F1526" s="11" t="s">
        <v>40</v>
      </c>
      <c r="G1526" s="11" t="s">
        <v>45</v>
      </c>
      <c r="H1526" s="11" t="s">
        <v>412</v>
      </c>
      <c r="I1526" s="11" t="s">
        <v>746</v>
      </c>
      <c r="J1526" s="11">
        <v>21.0</v>
      </c>
      <c r="K1526" s="12">
        <v>42175.0</v>
      </c>
      <c r="L1526" s="11">
        <f t="shared" si="160"/>
        <v>12</v>
      </c>
      <c r="M1526" s="11">
        <v>596095.0</v>
      </c>
      <c r="N1526" s="11" t="s">
        <v>2959</v>
      </c>
      <c r="O1526" s="13"/>
      <c r="P1526" s="11">
        <v>0.0</v>
      </c>
      <c r="Q1526" s="14">
        <v>0.0</v>
      </c>
      <c r="R1526" s="41">
        <v>1.0</v>
      </c>
      <c r="S1526">
        <f t="shared" si="1"/>
        <v>2014</v>
      </c>
      <c r="T1526">
        <f t="shared" si="2"/>
        <v>6</v>
      </c>
      <c r="U1526">
        <f t="shared" si="3"/>
        <v>5</v>
      </c>
      <c r="AG1526" s="15"/>
      <c r="AH1526" s="16"/>
      <c r="AM1526" s="15"/>
      <c r="AN1526" s="16"/>
    </row>
    <row r="1527">
      <c r="A1527" s="13" t="s">
        <v>2960</v>
      </c>
      <c r="B1527" s="10">
        <v>41795.0</v>
      </c>
      <c r="C1527" s="11" t="s">
        <v>346</v>
      </c>
      <c r="D1527" s="11" t="s">
        <v>38</v>
      </c>
      <c r="E1527" s="30" t="s">
        <v>39</v>
      </c>
      <c r="F1527" s="11" t="s">
        <v>64</v>
      </c>
      <c r="G1527" s="30" t="s">
        <v>45</v>
      </c>
      <c r="H1527" s="11" t="s">
        <v>84</v>
      </c>
      <c r="I1527" s="11"/>
      <c r="J1527" s="11">
        <v>31.0</v>
      </c>
      <c r="K1527" s="39">
        <v>42616.0</v>
      </c>
      <c r="L1527" s="11">
        <f t="shared" si="160"/>
        <v>27</v>
      </c>
      <c r="M1527" s="11">
        <v>430634.0</v>
      </c>
      <c r="N1527" s="11">
        <v>1886.0</v>
      </c>
      <c r="O1527" s="13" t="s">
        <v>761</v>
      </c>
      <c r="P1527" s="11">
        <v>10.0</v>
      </c>
      <c r="Q1527" s="14">
        <v>5.667</v>
      </c>
      <c r="R1527" s="41">
        <v>1.0</v>
      </c>
      <c r="S1527">
        <f t="shared" si="1"/>
        <v>2014</v>
      </c>
      <c r="T1527">
        <f t="shared" si="2"/>
        <v>6</v>
      </c>
      <c r="U1527">
        <f t="shared" si="3"/>
        <v>5</v>
      </c>
      <c r="Z1527" s="17">
        <v>42471.0</v>
      </c>
      <c r="AG1527" s="15"/>
      <c r="AH1527" s="16"/>
      <c r="AM1527" s="15"/>
      <c r="AN1527" s="16"/>
    </row>
    <row r="1528">
      <c r="A1528" s="13" t="s">
        <v>2961</v>
      </c>
      <c r="B1528" s="10">
        <v>41795.0</v>
      </c>
      <c r="C1528" s="11" t="s">
        <v>362</v>
      </c>
      <c r="D1528" s="11" t="s">
        <v>58</v>
      </c>
      <c r="E1528" s="30" t="s">
        <v>39</v>
      </c>
      <c r="F1528" s="11" t="s">
        <v>40</v>
      </c>
      <c r="G1528" s="30" t="s">
        <v>45</v>
      </c>
      <c r="H1528" s="11" t="s">
        <v>182</v>
      </c>
      <c r="I1528" s="11" t="s">
        <v>2962</v>
      </c>
      <c r="J1528" s="11">
        <v>28.0</v>
      </c>
      <c r="K1528" s="12">
        <v>42475.0</v>
      </c>
      <c r="L1528" s="11">
        <f t="shared" si="160"/>
        <v>22</v>
      </c>
      <c r="M1528" s="11">
        <v>444992.0</v>
      </c>
      <c r="N1528" s="11">
        <v>792.0</v>
      </c>
      <c r="O1528" s="13" t="s">
        <v>761</v>
      </c>
      <c r="P1528" s="11">
        <v>0.0</v>
      </c>
      <c r="Q1528" s="14">
        <v>0.0</v>
      </c>
      <c r="R1528" s="41">
        <v>1.0</v>
      </c>
      <c r="S1528">
        <f t="shared" si="1"/>
        <v>2014</v>
      </c>
      <c r="T1528">
        <f t="shared" si="2"/>
        <v>6</v>
      </c>
      <c r="U1528">
        <f t="shared" si="3"/>
        <v>5</v>
      </c>
      <c r="AG1528" s="15"/>
      <c r="AH1528" s="16"/>
      <c r="AM1528" s="15"/>
      <c r="AN1528" s="16"/>
    </row>
    <row r="1529">
      <c r="A1529" s="13" t="s">
        <v>2963</v>
      </c>
      <c r="B1529" s="10">
        <v>41793.0</v>
      </c>
      <c r="C1529" s="11" t="s">
        <v>126</v>
      </c>
      <c r="D1529" s="11" t="s">
        <v>38</v>
      </c>
      <c r="E1529" s="30" t="s">
        <v>39</v>
      </c>
      <c r="F1529" s="11" t="s">
        <v>40</v>
      </c>
      <c r="G1529" s="30" t="s">
        <v>45</v>
      </c>
      <c r="H1529" s="11" t="s">
        <v>56</v>
      </c>
      <c r="I1529" s="11"/>
      <c r="J1529" s="11">
        <v>25.0</v>
      </c>
      <c r="K1529" s="12">
        <v>42470.0</v>
      </c>
      <c r="L1529" s="11">
        <f t="shared" si="160"/>
        <v>22</v>
      </c>
      <c r="M1529" s="11">
        <v>519437.0</v>
      </c>
      <c r="N1529" s="11">
        <v>7161.0</v>
      </c>
      <c r="O1529" s="13" t="s">
        <v>761</v>
      </c>
      <c r="P1529" s="11">
        <v>46.0</v>
      </c>
      <c r="Q1529" s="14">
        <v>37.667</v>
      </c>
      <c r="R1529" s="41">
        <v>1.0</v>
      </c>
      <c r="S1529">
        <f t="shared" si="1"/>
        <v>2014</v>
      </c>
      <c r="T1529">
        <f t="shared" si="2"/>
        <v>6</v>
      </c>
      <c r="U1529">
        <f t="shared" si="3"/>
        <v>3</v>
      </c>
      <c r="Z1529" s="17">
        <v>42467.0</v>
      </c>
      <c r="AG1529" s="15"/>
      <c r="AH1529" s="16"/>
      <c r="AM1529" s="15"/>
      <c r="AN1529" s="16"/>
    </row>
    <row r="1530">
      <c r="A1530" s="13" t="s">
        <v>2964</v>
      </c>
      <c r="B1530" s="10">
        <v>41793.0</v>
      </c>
      <c r="C1530" s="11" t="s">
        <v>76</v>
      </c>
      <c r="D1530" s="11" t="s">
        <v>93</v>
      </c>
      <c r="E1530" s="30" t="s">
        <v>39</v>
      </c>
      <c r="F1530" s="11" t="s">
        <v>40</v>
      </c>
      <c r="G1530" s="30" t="s">
        <v>45</v>
      </c>
      <c r="H1530" s="11" t="s">
        <v>301</v>
      </c>
      <c r="I1530" s="11" t="s">
        <v>2965</v>
      </c>
      <c r="J1530" s="11">
        <v>21.0</v>
      </c>
      <c r="K1530" s="12">
        <v>42176.0</v>
      </c>
      <c r="L1530" s="11">
        <f t="shared" si="160"/>
        <v>13</v>
      </c>
      <c r="M1530" s="11">
        <v>607200.0</v>
      </c>
      <c r="N1530" s="11">
        <v>17425.0</v>
      </c>
      <c r="O1530" s="13" t="s">
        <v>69</v>
      </c>
      <c r="P1530" s="11">
        <v>3.0</v>
      </c>
      <c r="Q1530" s="14">
        <v>15.333</v>
      </c>
      <c r="R1530" s="41">
        <v>1.0</v>
      </c>
      <c r="S1530">
        <f t="shared" si="1"/>
        <v>2014</v>
      </c>
      <c r="T1530">
        <f t="shared" si="2"/>
        <v>6</v>
      </c>
      <c r="U1530">
        <f t="shared" si="3"/>
        <v>3</v>
      </c>
      <c r="AG1530" s="15"/>
      <c r="AH1530" s="16"/>
      <c r="AM1530" s="15"/>
      <c r="AN1530" s="16"/>
    </row>
    <row r="1531">
      <c r="A1531" s="13" t="s">
        <v>1383</v>
      </c>
      <c r="B1531" s="10">
        <v>41791.0</v>
      </c>
      <c r="C1531" s="11" t="s">
        <v>101</v>
      </c>
      <c r="D1531" s="11" t="s">
        <v>93</v>
      </c>
      <c r="E1531" s="11" t="s">
        <v>39</v>
      </c>
      <c r="F1531" s="11" t="s">
        <v>64</v>
      </c>
      <c r="G1531" s="11" t="s">
        <v>45</v>
      </c>
      <c r="H1531" s="11" t="s">
        <v>56</v>
      </c>
      <c r="I1531" s="11" t="s">
        <v>1384</v>
      </c>
      <c r="J1531" s="11">
        <v>20.0</v>
      </c>
      <c r="K1531" s="12">
        <v>42538.0</v>
      </c>
      <c r="L1531" s="11"/>
      <c r="M1531" s="11">
        <v>621363.0</v>
      </c>
      <c r="N1531" s="11">
        <v>19403.0</v>
      </c>
      <c r="P1531" s="11">
        <v>0.0</v>
      </c>
      <c r="Q1531" s="14">
        <v>0.0</v>
      </c>
      <c r="R1531" s="11">
        <v>1.0</v>
      </c>
      <c r="S1531">
        <f t="shared" si="1"/>
        <v>2014</v>
      </c>
      <c r="T1531">
        <f t="shared" si="2"/>
        <v>6</v>
      </c>
      <c r="U1531">
        <f t="shared" si="3"/>
        <v>1</v>
      </c>
      <c r="AG1531" s="15"/>
      <c r="AH1531" s="16"/>
      <c r="AM1531" s="15"/>
      <c r="AN1531" s="16"/>
    </row>
    <row r="1532">
      <c r="A1532" s="13" t="s">
        <v>2966</v>
      </c>
      <c r="B1532" s="10">
        <v>41791.0</v>
      </c>
      <c r="C1532" s="11" t="s">
        <v>192</v>
      </c>
      <c r="D1532" s="11" t="s">
        <v>93</v>
      </c>
      <c r="E1532" s="11" t="s">
        <v>39</v>
      </c>
      <c r="F1532" s="11" t="s">
        <v>40</v>
      </c>
      <c r="G1532" s="11" t="s">
        <v>45</v>
      </c>
      <c r="H1532" s="11" t="s">
        <v>163</v>
      </c>
      <c r="I1532" s="11" t="s">
        <v>163</v>
      </c>
      <c r="J1532" s="11">
        <v>21.0</v>
      </c>
      <c r="K1532" s="12">
        <v>42547.0</v>
      </c>
      <c r="L1532" s="11"/>
      <c r="M1532" s="11">
        <v>595988.0</v>
      </c>
      <c r="N1532" s="11" t="s">
        <v>2967</v>
      </c>
      <c r="P1532" s="11">
        <v>0.0</v>
      </c>
      <c r="Q1532" s="14">
        <v>0.0</v>
      </c>
      <c r="R1532" s="41">
        <v>1.0</v>
      </c>
      <c r="S1532">
        <f t="shared" si="1"/>
        <v>2014</v>
      </c>
      <c r="T1532">
        <f t="shared" si="2"/>
        <v>6</v>
      </c>
      <c r="U1532">
        <f t="shared" si="3"/>
        <v>1</v>
      </c>
      <c r="AG1532" s="15"/>
      <c r="AH1532" s="16"/>
      <c r="AM1532" s="15"/>
      <c r="AN1532" s="16"/>
    </row>
    <row r="1533">
      <c r="A1533" s="13" t="s">
        <v>2968</v>
      </c>
      <c r="B1533" s="10">
        <v>41791.0</v>
      </c>
      <c r="C1533" s="11" t="s">
        <v>108</v>
      </c>
      <c r="D1533" s="11" t="s">
        <v>88</v>
      </c>
      <c r="E1533" s="11" t="s">
        <v>39</v>
      </c>
      <c r="F1533" s="11" t="s">
        <v>64</v>
      </c>
      <c r="G1533" s="11" t="s">
        <v>45</v>
      </c>
      <c r="H1533" s="11" t="s">
        <v>73</v>
      </c>
      <c r="I1533" s="11" t="s">
        <v>2621</v>
      </c>
      <c r="J1533" s="11">
        <v>23.0</v>
      </c>
      <c r="K1533" s="12">
        <v>42178.0</v>
      </c>
      <c r="L1533" s="11">
        <f t="shared" ref="L1533:L1535" si="161">ROUND(((K1533-B1533)/365)*12,0)</f>
        <v>13</v>
      </c>
      <c r="M1533" s="11">
        <v>608650.0</v>
      </c>
      <c r="N1533" s="11">
        <v>13932.0</v>
      </c>
      <c r="P1533" s="11">
        <v>2.0</v>
      </c>
      <c r="Q1533" s="14">
        <v>4.0</v>
      </c>
      <c r="R1533" s="41">
        <v>1.0</v>
      </c>
      <c r="S1533">
        <f t="shared" si="1"/>
        <v>2014</v>
      </c>
      <c r="T1533">
        <f t="shared" si="2"/>
        <v>6</v>
      </c>
      <c r="U1533">
        <f t="shared" si="3"/>
        <v>1</v>
      </c>
      <c r="AG1533" s="15"/>
      <c r="AH1533" s="16"/>
      <c r="AM1533" s="15"/>
      <c r="AN1533" s="16"/>
    </row>
    <row r="1534">
      <c r="A1534" s="13" t="s">
        <v>1350</v>
      </c>
      <c r="B1534" s="10">
        <v>41789.0</v>
      </c>
      <c r="C1534" s="11" t="s">
        <v>126</v>
      </c>
      <c r="D1534" s="11" t="s">
        <v>213</v>
      </c>
      <c r="E1534" s="30" t="s">
        <v>39</v>
      </c>
      <c r="F1534" s="11" t="s">
        <v>64</v>
      </c>
      <c r="G1534" s="30" t="s">
        <v>45</v>
      </c>
      <c r="H1534" s="11" t="s">
        <v>236</v>
      </c>
      <c r="I1534" s="11"/>
      <c r="J1534" s="11">
        <v>17.0</v>
      </c>
      <c r="K1534" s="12">
        <v>42175.0</v>
      </c>
      <c r="L1534" s="11">
        <f t="shared" si="161"/>
        <v>13</v>
      </c>
      <c r="M1534" s="11">
        <v>657571.0</v>
      </c>
      <c r="N1534" s="11">
        <v>19349.0</v>
      </c>
      <c r="P1534" s="11">
        <v>0.0</v>
      </c>
      <c r="Q1534" s="14">
        <v>0.0</v>
      </c>
      <c r="R1534" s="41">
        <v>1.0</v>
      </c>
      <c r="S1534">
        <f t="shared" si="1"/>
        <v>2014</v>
      </c>
      <c r="T1534">
        <f t="shared" si="2"/>
        <v>5</v>
      </c>
      <c r="U1534">
        <f t="shared" si="3"/>
        <v>30</v>
      </c>
      <c r="AG1534" s="15"/>
      <c r="AH1534" s="16"/>
      <c r="AM1534" s="15"/>
      <c r="AN1534" s="16"/>
    </row>
    <row r="1535">
      <c r="A1535" s="13" t="s">
        <v>2969</v>
      </c>
      <c r="B1535" s="10">
        <v>41788.0</v>
      </c>
      <c r="C1535" s="11" t="s">
        <v>76</v>
      </c>
      <c r="D1535" s="11" t="s">
        <v>77</v>
      </c>
      <c r="E1535" s="30" t="s">
        <v>39</v>
      </c>
      <c r="F1535" s="11" t="s">
        <v>64</v>
      </c>
      <c r="G1535" s="30" t="s">
        <v>45</v>
      </c>
      <c r="H1535" s="11" t="s">
        <v>56</v>
      </c>
      <c r="I1535" s="11" t="s">
        <v>259</v>
      </c>
      <c r="J1535" s="11">
        <v>23.0</v>
      </c>
      <c r="K1535" s="12">
        <v>42211.0</v>
      </c>
      <c r="L1535" s="11">
        <f t="shared" si="161"/>
        <v>14</v>
      </c>
      <c r="M1535" s="11">
        <v>545357.0</v>
      </c>
      <c r="N1535" s="11">
        <v>12831.0</v>
      </c>
      <c r="O1535" s="13" t="s">
        <v>761</v>
      </c>
      <c r="P1535" s="11">
        <v>12.0</v>
      </c>
      <c r="Q1535" s="14">
        <v>18.0</v>
      </c>
      <c r="R1535" s="41">
        <v>1.0</v>
      </c>
      <c r="S1535">
        <f t="shared" si="1"/>
        <v>2014</v>
      </c>
      <c r="T1535">
        <f t="shared" si="2"/>
        <v>5</v>
      </c>
      <c r="U1535">
        <f t="shared" si="3"/>
        <v>29</v>
      </c>
      <c r="AG1535" s="15"/>
      <c r="AH1535" s="16"/>
      <c r="AM1535" s="15"/>
      <c r="AN1535" s="16"/>
    </row>
    <row r="1536">
      <c r="A1536" s="13" t="s">
        <v>2970</v>
      </c>
      <c r="B1536" s="10">
        <v>41787.0</v>
      </c>
      <c r="C1536" s="11" t="s">
        <v>167</v>
      </c>
      <c r="D1536" s="11" t="s">
        <v>221</v>
      </c>
      <c r="E1536" s="30" t="s">
        <v>39</v>
      </c>
      <c r="F1536" s="11" t="s">
        <v>40</v>
      </c>
      <c r="G1536" s="30" t="s">
        <v>45</v>
      </c>
      <c r="H1536" s="11" t="s">
        <v>84</v>
      </c>
      <c r="I1536" s="11" t="s">
        <v>2971</v>
      </c>
      <c r="J1536" s="11">
        <v>23.0</v>
      </c>
      <c r="K1536" s="30"/>
      <c r="L1536" s="30"/>
      <c r="M1536" s="11">
        <v>642006.0</v>
      </c>
      <c r="N1536" s="11" t="s">
        <v>2972</v>
      </c>
      <c r="P1536" s="11">
        <v>0.0</v>
      </c>
      <c r="Q1536" s="14">
        <v>0.0</v>
      </c>
      <c r="R1536" s="11">
        <v>0.0</v>
      </c>
      <c r="S1536">
        <f t="shared" si="1"/>
        <v>2014</v>
      </c>
      <c r="T1536">
        <f t="shared" si="2"/>
        <v>5</v>
      </c>
      <c r="U1536">
        <f t="shared" si="3"/>
        <v>28</v>
      </c>
      <c r="AG1536" s="15"/>
      <c r="AH1536" s="16"/>
      <c r="AM1536" s="15"/>
      <c r="AN1536" s="16"/>
    </row>
    <row r="1537">
      <c r="A1537" s="13" t="s">
        <v>2973</v>
      </c>
      <c r="B1537" s="10">
        <v>41787.0</v>
      </c>
      <c r="C1537" s="11" t="s">
        <v>52</v>
      </c>
      <c r="D1537" s="11" t="s">
        <v>38</v>
      </c>
      <c r="E1537" s="30" t="s">
        <v>39</v>
      </c>
      <c r="F1537" s="11" t="s">
        <v>40</v>
      </c>
      <c r="G1537" s="41" t="s">
        <v>41</v>
      </c>
      <c r="H1537" s="30"/>
      <c r="I1537" s="30"/>
      <c r="J1537" s="11">
        <v>25.0</v>
      </c>
      <c r="K1537" s="39">
        <v>43640.0</v>
      </c>
      <c r="L1537" s="11">
        <f t="shared" ref="L1537:L1541" si="162">ROUND(((K1537-B1537)/365)*12,0)</f>
        <v>61</v>
      </c>
      <c r="M1537" s="11">
        <v>542585.0</v>
      </c>
      <c r="N1537" s="11">
        <v>6399.0</v>
      </c>
      <c r="O1537" s="13" t="s">
        <v>2059</v>
      </c>
      <c r="P1537" s="11">
        <v>0.0</v>
      </c>
      <c r="Q1537" s="14">
        <v>0.0</v>
      </c>
      <c r="R1537" s="11">
        <v>1.0</v>
      </c>
      <c r="S1537">
        <f t="shared" si="1"/>
        <v>2014</v>
      </c>
      <c r="T1537">
        <f t="shared" si="2"/>
        <v>5</v>
      </c>
      <c r="U1537">
        <f t="shared" si="3"/>
        <v>28</v>
      </c>
      <c r="Z1537" s="17">
        <v>42157.0</v>
      </c>
      <c r="AG1537" s="15"/>
      <c r="AH1537" s="16"/>
      <c r="AM1537" s="15"/>
      <c r="AN1537" s="16"/>
    </row>
    <row r="1538">
      <c r="A1538" s="13" t="s">
        <v>2974</v>
      </c>
      <c r="B1538" s="10">
        <v>41787.0</v>
      </c>
      <c r="C1538" s="11" t="s">
        <v>103</v>
      </c>
      <c r="D1538" s="11" t="s">
        <v>97</v>
      </c>
      <c r="E1538" s="30" t="s">
        <v>39</v>
      </c>
      <c r="F1538" s="11" t="s">
        <v>64</v>
      </c>
      <c r="G1538" s="41" t="s">
        <v>41</v>
      </c>
      <c r="H1538" s="30"/>
      <c r="I1538" s="30"/>
      <c r="J1538" s="11">
        <v>20.0</v>
      </c>
      <c r="K1538" s="12">
        <v>42190.0</v>
      </c>
      <c r="L1538" s="11">
        <f t="shared" si="162"/>
        <v>13</v>
      </c>
      <c r="M1538" s="11">
        <v>600968.0</v>
      </c>
      <c r="N1538" s="11">
        <v>14508.0</v>
      </c>
      <c r="P1538" s="11">
        <v>2.0</v>
      </c>
      <c r="Q1538" s="14">
        <v>2.333</v>
      </c>
      <c r="R1538" s="41">
        <v>1.0</v>
      </c>
      <c r="S1538">
        <f t="shared" si="1"/>
        <v>2014</v>
      </c>
      <c r="T1538">
        <f t="shared" si="2"/>
        <v>5</v>
      </c>
      <c r="U1538">
        <f t="shared" si="3"/>
        <v>28</v>
      </c>
      <c r="AG1538" s="15"/>
      <c r="AH1538" s="16"/>
      <c r="AM1538" s="15"/>
      <c r="AN1538" s="16"/>
    </row>
    <row r="1539">
      <c r="A1539" s="13" t="s">
        <v>2975</v>
      </c>
      <c r="B1539" s="10">
        <v>41787.0</v>
      </c>
      <c r="C1539" s="11" t="s">
        <v>83</v>
      </c>
      <c r="D1539" s="11" t="s">
        <v>58</v>
      </c>
      <c r="E1539" s="30" t="s">
        <v>39</v>
      </c>
      <c r="F1539" s="11" t="s">
        <v>40</v>
      </c>
      <c r="G1539" s="30" t="s">
        <v>45</v>
      </c>
      <c r="H1539" s="11" t="s">
        <v>231</v>
      </c>
      <c r="I1539" s="11" t="s">
        <v>2976</v>
      </c>
      <c r="J1539" s="11">
        <v>25.0</v>
      </c>
      <c r="K1539" s="12">
        <v>42118.0</v>
      </c>
      <c r="L1539" s="11">
        <f t="shared" si="162"/>
        <v>11</v>
      </c>
      <c r="M1539" s="11">
        <v>572751.0</v>
      </c>
      <c r="N1539" s="11">
        <v>10080.0</v>
      </c>
      <c r="O1539" s="13" t="s">
        <v>1332</v>
      </c>
      <c r="P1539" s="11">
        <v>0.0</v>
      </c>
      <c r="Q1539" s="14">
        <v>0.0</v>
      </c>
      <c r="R1539" s="11">
        <v>0.0</v>
      </c>
      <c r="S1539">
        <f t="shared" si="1"/>
        <v>2014</v>
      </c>
      <c r="T1539">
        <f t="shared" si="2"/>
        <v>5</v>
      </c>
      <c r="U1539">
        <f t="shared" si="3"/>
        <v>28</v>
      </c>
      <c r="AG1539" s="15"/>
      <c r="AH1539" s="16"/>
      <c r="AM1539" s="15"/>
      <c r="AN1539" s="16"/>
    </row>
    <row r="1540">
      <c r="A1540" s="13" t="s">
        <v>2977</v>
      </c>
      <c r="B1540" s="10">
        <v>41786.0</v>
      </c>
      <c r="C1540" s="11" t="s">
        <v>37</v>
      </c>
      <c r="D1540" s="11" t="s">
        <v>77</v>
      </c>
      <c r="E1540" s="30" t="s">
        <v>39</v>
      </c>
      <c r="F1540" s="11" t="s">
        <v>40</v>
      </c>
      <c r="G1540" s="30" t="s">
        <v>45</v>
      </c>
      <c r="H1540" s="11" t="s">
        <v>109</v>
      </c>
      <c r="I1540" s="11" t="s">
        <v>451</v>
      </c>
      <c r="J1540" s="11">
        <v>24.0</v>
      </c>
      <c r="K1540" s="12">
        <v>42170.0</v>
      </c>
      <c r="L1540" s="11">
        <f t="shared" si="162"/>
        <v>13</v>
      </c>
      <c r="M1540" s="11">
        <v>543518.0</v>
      </c>
      <c r="N1540" s="11">
        <v>12056.0</v>
      </c>
      <c r="P1540" s="11">
        <v>6.0</v>
      </c>
      <c r="Q1540" s="14">
        <v>6.667</v>
      </c>
      <c r="R1540" s="41">
        <v>1.0</v>
      </c>
      <c r="S1540">
        <f t="shared" si="1"/>
        <v>2014</v>
      </c>
      <c r="T1540">
        <f t="shared" si="2"/>
        <v>5</v>
      </c>
      <c r="U1540">
        <f t="shared" si="3"/>
        <v>27</v>
      </c>
      <c r="AG1540" s="15"/>
      <c r="AH1540" s="16"/>
      <c r="AM1540" s="15"/>
      <c r="AN1540" s="16"/>
    </row>
    <row r="1541">
      <c r="A1541" s="13" t="s">
        <v>2978</v>
      </c>
      <c r="B1541" s="10">
        <v>41786.0</v>
      </c>
      <c r="C1541" s="11" t="s">
        <v>235</v>
      </c>
      <c r="D1541" s="11" t="s">
        <v>221</v>
      </c>
      <c r="E1541" s="30" t="s">
        <v>39</v>
      </c>
      <c r="F1541" s="11" t="s">
        <v>40</v>
      </c>
      <c r="G1541" s="30" t="s">
        <v>45</v>
      </c>
      <c r="H1541" s="11" t="s">
        <v>231</v>
      </c>
      <c r="I1541" s="11"/>
      <c r="J1541" s="11">
        <v>19.0</v>
      </c>
      <c r="K1541" s="12">
        <v>42173.0</v>
      </c>
      <c r="L1541" s="11">
        <f t="shared" si="162"/>
        <v>13</v>
      </c>
      <c r="M1541" s="11">
        <v>640452.0</v>
      </c>
      <c r="N1541" s="11" t="s">
        <v>2979</v>
      </c>
      <c r="P1541" s="11">
        <v>0.0</v>
      </c>
      <c r="Q1541" s="14">
        <v>0.0</v>
      </c>
      <c r="R1541" s="41">
        <v>1.0</v>
      </c>
      <c r="S1541">
        <f t="shared" si="1"/>
        <v>2014</v>
      </c>
      <c r="T1541">
        <f t="shared" si="2"/>
        <v>5</v>
      </c>
      <c r="U1541">
        <f t="shared" si="3"/>
        <v>27</v>
      </c>
      <c r="AG1541" s="15"/>
      <c r="AH1541" s="16"/>
      <c r="AM1541" s="15"/>
      <c r="AN1541" s="16"/>
    </row>
    <row r="1542">
      <c r="A1542" s="13" t="s">
        <v>2980</v>
      </c>
      <c r="B1542" s="10">
        <v>41781.0</v>
      </c>
      <c r="C1542" s="11" t="s">
        <v>230</v>
      </c>
      <c r="D1542" s="11" t="s">
        <v>58</v>
      </c>
      <c r="E1542" s="30" t="s">
        <v>39</v>
      </c>
      <c r="F1542" s="11" t="s">
        <v>64</v>
      </c>
      <c r="G1542" s="41" t="s">
        <v>41</v>
      </c>
      <c r="H1542" s="30"/>
      <c r="I1542" s="30"/>
      <c r="J1542" s="11">
        <v>24.0</v>
      </c>
      <c r="K1542" s="12"/>
      <c r="L1542" s="11"/>
      <c r="M1542" s="11">
        <v>517529.0</v>
      </c>
      <c r="N1542" s="11" t="s">
        <v>2981</v>
      </c>
      <c r="O1542" s="13" t="s">
        <v>761</v>
      </c>
      <c r="P1542" s="11">
        <v>0.0</v>
      </c>
      <c r="Q1542" s="14">
        <v>0.0</v>
      </c>
      <c r="R1542" s="11">
        <v>0.0</v>
      </c>
      <c r="S1542">
        <f t="shared" si="1"/>
        <v>2014</v>
      </c>
      <c r="T1542">
        <f t="shared" si="2"/>
        <v>5</v>
      </c>
      <c r="U1542">
        <f t="shared" si="3"/>
        <v>22</v>
      </c>
      <c r="AG1542" s="15"/>
      <c r="AH1542" s="16"/>
      <c r="AM1542" s="15"/>
      <c r="AN1542" s="16"/>
    </row>
    <row r="1543">
      <c r="A1543" s="13" t="s">
        <v>2982</v>
      </c>
      <c r="B1543" s="10">
        <v>41779.0</v>
      </c>
      <c r="C1543" s="11" t="s">
        <v>162</v>
      </c>
      <c r="D1543" s="11" t="s">
        <v>221</v>
      </c>
      <c r="E1543" s="30" t="s">
        <v>39</v>
      </c>
      <c r="F1543" s="11" t="s">
        <v>64</v>
      </c>
      <c r="G1543" s="30" t="s">
        <v>45</v>
      </c>
      <c r="H1543" s="11" t="s">
        <v>240</v>
      </c>
      <c r="I1543" s="11" t="s">
        <v>619</v>
      </c>
      <c r="J1543" s="11">
        <v>25.0</v>
      </c>
      <c r="K1543" s="30"/>
      <c r="L1543" s="30"/>
      <c r="M1543" s="11">
        <v>643383.0</v>
      </c>
      <c r="N1543" s="11" t="s">
        <v>2983</v>
      </c>
      <c r="P1543" s="11">
        <v>0.0</v>
      </c>
      <c r="Q1543" s="14">
        <v>0.0</v>
      </c>
      <c r="R1543" s="11">
        <v>0.0</v>
      </c>
      <c r="S1543">
        <f t="shared" si="1"/>
        <v>2014</v>
      </c>
      <c r="T1543">
        <f t="shared" si="2"/>
        <v>5</v>
      </c>
      <c r="U1543">
        <f t="shared" si="3"/>
        <v>20</v>
      </c>
      <c r="AG1543" s="15"/>
      <c r="AH1543" s="16"/>
      <c r="AM1543" s="15"/>
      <c r="AN1543" s="16"/>
    </row>
    <row r="1544">
      <c r="A1544" s="13" t="s">
        <v>2984</v>
      </c>
      <c r="B1544" s="10">
        <v>41778.0</v>
      </c>
      <c r="C1544" s="11" t="s">
        <v>186</v>
      </c>
      <c r="D1544" s="11" t="s">
        <v>38</v>
      </c>
      <c r="E1544" s="30" t="s">
        <v>39</v>
      </c>
      <c r="F1544" s="11" t="s">
        <v>64</v>
      </c>
      <c r="G1544" s="41" t="s">
        <v>53</v>
      </c>
      <c r="H1544" s="30"/>
      <c r="I1544" s="30"/>
      <c r="J1544" s="11">
        <v>23.0</v>
      </c>
      <c r="K1544" s="12">
        <v>42202.0</v>
      </c>
      <c r="L1544" s="11">
        <f t="shared" ref="L1544:L1548" si="163">ROUND(((K1544-B1544)/365)*12,0)</f>
        <v>14</v>
      </c>
      <c r="M1544" s="11">
        <v>527048.0</v>
      </c>
      <c r="N1544" s="11">
        <v>6902.0</v>
      </c>
      <c r="O1544" s="13" t="s">
        <v>42</v>
      </c>
      <c r="P1544" s="11">
        <v>79.0</v>
      </c>
      <c r="Q1544" s="14">
        <v>462.333</v>
      </c>
      <c r="R1544" s="41">
        <v>1.0</v>
      </c>
      <c r="S1544">
        <f t="shared" si="1"/>
        <v>2014</v>
      </c>
      <c r="T1544">
        <f t="shared" si="2"/>
        <v>5</v>
      </c>
      <c r="U1544">
        <f t="shared" si="3"/>
        <v>19</v>
      </c>
      <c r="Z1544" s="17">
        <v>42165.0</v>
      </c>
      <c r="AG1544" s="15"/>
      <c r="AH1544" s="16"/>
      <c r="AM1544" s="15"/>
      <c r="AN1544" s="16"/>
    </row>
    <row r="1545">
      <c r="A1545" s="13" t="s">
        <v>2985</v>
      </c>
      <c r="B1545" s="10">
        <v>41775.0</v>
      </c>
      <c r="C1545" s="11" t="s">
        <v>37</v>
      </c>
      <c r="D1545" s="11" t="s">
        <v>38</v>
      </c>
      <c r="E1545" s="30" t="s">
        <v>39</v>
      </c>
      <c r="F1545" s="11" t="s">
        <v>40</v>
      </c>
      <c r="G1545" s="30" t="s">
        <v>45</v>
      </c>
      <c r="H1545" s="11" t="s">
        <v>84</v>
      </c>
      <c r="I1545" s="11"/>
      <c r="J1545" s="11">
        <v>21.0</v>
      </c>
      <c r="K1545" s="12">
        <v>42187.0</v>
      </c>
      <c r="L1545" s="11">
        <f t="shared" si="163"/>
        <v>14</v>
      </c>
      <c r="M1545" s="11">
        <v>605228.0</v>
      </c>
      <c r="N1545" s="11">
        <v>11530.0</v>
      </c>
      <c r="O1545" s="13" t="s">
        <v>69</v>
      </c>
      <c r="P1545" s="11">
        <v>40.0</v>
      </c>
      <c r="Q1545" s="14">
        <v>247.0</v>
      </c>
      <c r="R1545" s="11">
        <v>0.0</v>
      </c>
      <c r="S1545">
        <f t="shared" si="1"/>
        <v>2014</v>
      </c>
      <c r="T1545">
        <f t="shared" si="2"/>
        <v>5</v>
      </c>
      <c r="U1545">
        <f t="shared" si="3"/>
        <v>16</v>
      </c>
      <c r="Z1545" s="17">
        <v>42161.0</v>
      </c>
      <c r="AG1545" s="15"/>
      <c r="AH1545" s="16"/>
      <c r="AM1545" s="15"/>
      <c r="AN1545" s="16"/>
    </row>
    <row r="1546">
      <c r="A1546" s="13" t="s">
        <v>2986</v>
      </c>
      <c r="B1546" s="10">
        <v>41773.0</v>
      </c>
      <c r="C1546" s="11" t="s">
        <v>274</v>
      </c>
      <c r="D1546" s="11" t="s">
        <v>77</v>
      </c>
      <c r="E1546" s="30" t="s">
        <v>39</v>
      </c>
      <c r="F1546" s="11" t="s">
        <v>40</v>
      </c>
      <c r="G1546" s="41" t="s">
        <v>41</v>
      </c>
      <c r="H1546" s="30"/>
      <c r="I1546" s="30"/>
      <c r="J1546" s="11">
        <v>21.0</v>
      </c>
      <c r="K1546" s="12">
        <v>42468.0</v>
      </c>
      <c r="L1546" s="11">
        <f t="shared" si="163"/>
        <v>23</v>
      </c>
      <c r="M1546" s="11">
        <v>593417.0</v>
      </c>
      <c r="N1546" s="11">
        <v>12790.0</v>
      </c>
      <c r="P1546" s="11">
        <v>13.0</v>
      </c>
      <c r="Q1546" s="14">
        <v>46.333</v>
      </c>
      <c r="R1546" s="41">
        <v>1.0</v>
      </c>
      <c r="S1546">
        <f t="shared" si="1"/>
        <v>2014</v>
      </c>
      <c r="T1546">
        <f t="shared" si="2"/>
        <v>5</v>
      </c>
      <c r="U1546">
        <f t="shared" si="3"/>
        <v>14</v>
      </c>
      <c r="AG1546" s="15"/>
      <c r="AH1546" s="16"/>
      <c r="AM1546" s="15"/>
      <c r="AN1546" s="16"/>
    </row>
    <row r="1547">
      <c r="A1547" s="13" t="s">
        <v>2987</v>
      </c>
      <c r="B1547" s="10">
        <v>41773.0</v>
      </c>
      <c r="C1547" s="11" t="s">
        <v>235</v>
      </c>
      <c r="D1547" s="11" t="s">
        <v>93</v>
      </c>
      <c r="E1547" s="30" t="s">
        <v>39</v>
      </c>
      <c r="F1547" s="11" t="s">
        <v>40</v>
      </c>
      <c r="G1547" s="30" t="s">
        <v>45</v>
      </c>
      <c r="H1547" s="11" t="s">
        <v>59</v>
      </c>
      <c r="I1547" s="11" t="s">
        <v>1159</v>
      </c>
      <c r="J1547" s="11">
        <v>21.0</v>
      </c>
      <c r="K1547" s="12">
        <v>42144.0</v>
      </c>
      <c r="L1547" s="11">
        <f t="shared" si="163"/>
        <v>12</v>
      </c>
      <c r="M1547" s="11">
        <v>656546.0</v>
      </c>
      <c r="N1547" s="11">
        <v>17432.0</v>
      </c>
      <c r="P1547" s="11">
        <v>31.0</v>
      </c>
      <c r="Q1547" s="14">
        <v>130.667</v>
      </c>
      <c r="R1547" s="41">
        <v>1.0</v>
      </c>
      <c r="S1547">
        <f t="shared" si="1"/>
        <v>2014</v>
      </c>
      <c r="T1547">
        <f t="shared" si="2"/>
        <v>5</v>
      </c>
      <c r="U1547">
        <f t="shared" si="3"/>
        <v>14</v>
      </c>
      <c r="AG1547" s="15"/>
      <c r="AH1547" s="16"/>
      <c r="AM1547" s="15"/>
      <c r="AN1547" s="16"/>
    </row>
    <row r="1548">
      <c r="A1548" s="13" t="s">
        <v>2988</v>
      </c>
      <c r="B1548" s="10">
        <v>41772.0</v>
      </c>
      <c r="C1548" s="11" t="s">
        <v>49</v>
      </c>
      <c r="D1548" s="11" t="s">
        <v>221</v>
      </c>
      <c r="E1548" s="30" t="s">
        <v>39</v>
      </c>
      <c r="F1548" s="11" t="s">
        <v>40</v>
      </c>
      <c r="G1548" s="30" t="s">
        <v>45</v>
      </c>
      <c r="H1548" s="11" t="s">
        <v>163</v>
      </c>
      <c r="I1548" s="11" t="s">
        <v>2989</v>
      </c>
      <c r="J1548" s="11">
        <v>21.0</v>
      </c>
      <c r="K1548" s="12">
        <v>42468.0</v>
      </c>
      <c r="L1548" s="11">
        <f t="shared" si="163"/>
        <v>23</v>
      </c>
      <c r="M1548" s="11">
        <v>641341.0</v>
      </c>
      <c r="N1548" s="11">
        <v>15203.0</v>
      </c>
      <c r="P1548" s="11">
        <v>0.0</v>
      </c>
      <c r="Q1548" s="14">
        <v>0.0</v>
      </c>
      <c r="R1548" s="41">
        <v>1.0</v>
      </c>
      <c r="S1548">
        <f t="shared" si="1"/>
        <v>2014</v>
      </c>
      <c r="T1548">
        <f t="shared" si="2"/>
        <v>5</v>
      </c>
      <c r="U1548">
        <f t="shared" si="3"/>
        <v>13</v>
      </c>
      <c r="AG1548" s="15"/>
      <c r="AH1548" s="16"/>
      <c r="AM1548" s="15"/>
      <c r="AN1548" s="16"/>
    </row>
    <row r="1549">
      <c r="A1549" s="13" t="s">
        <v>2990</v>
      </c>
      <c r="B1549" s="10">
        <v>41767.0</v>
      </c>
      <c r="C1549" s="11" t="s">
        <v>76</v>
      </c>
      <c r="D1549" s="11" t="s">
        <v>58</v>
      </c>
      <c r="E1549" s="30" t="s">
        <v>39</v>
      </c>
      <c r="F1549" s="11" t="s">
        <v>64</v>
      </c>
      <c r="G1549" s="30" t="s">
        <v>45</v>
      </c>
      <c r="H1549" s="11" t="s">
        <v>236</v>
      </c>
      <c r="I1549" s="11" t="s">
        <v>963</v>
      </c>
      <c r="J1549" s="11">
        <v>26.0</v>
      </c>
      <c r="K1549" s="12"/>
      <c r="L1549" s="11"/>
      <c r="M1549" s="11">
        <v>572095.0</v>
      </c>
      <c r="N1549" s="11" t="s">
        <v>2991</v>
      </c>
      <c r="P1549" s="11">
        <v>0.0</v>
      </c>
      <c r="Q1549" s="14">
        <v>0.0</v>
      </c>
      <c r="R1549" s="11">
        <v>0.0</v>
      </c>
      <c r="S1549">
        <f t="shared" si="1"/>
        <v>2014</v>
      </c>
      <c r="T1549">
        <f t="shared" si="2"/>
        <v>5</v>
      </c>
      <c r="U1549">
        <f t="shared" si="3"/>
        <v>8</v>
      </c>
      <c r="AG1549" s="15"/>
      <c r="AH1549" s="16"/>
      <c r="AM1549" s="15"/>
      <c r="AN1549" s="16"/>
    </row>
    <row r="1550">
      <c r="A1550" s="13" t="s">
        <v>2992</v>
      </c>
      <c r="B1550" s="10">
        <v>41766.0</v>
      </c>
      <c r="C1550" s="11" t="s">
        <v>362</v>
      </c>
      <c r="D1550" s="11" t="s">
        <v>93</v>
      </c>
      <c r="E1550" s="11" t="s">
        <v>39</v>
      </c>
      <c r="F1550" s="11" t="s">
        <v>40</v>
      </c>
      <c r="G1550" s="11" t="s">
        <v>45</v>
      </c>
      <c r="H1550" s="11" t="s">
        <v>67</v>
      </c>
      <c r="I1550" s="11" t="s">
        <v>999</v>
      </c>
      <c r="J1550" s="11">
        <v>20.0</v>
      </c>
      <c r="K1550" s="12">
        <v>42539.0</v>
      </c>
      <c r="L1550" s="11"/>
      <c r="M1550" s="11">
        <v>621086.0</v>
      </c>
      <c r="N1550" s="11">
        <v>19675.0</v>
      </c>
      <c r="P1550" s="11">
        <v>0.0</v>
      </c>
      <c r="Q1550" s="14">
        <v>0.0</v>
      </c>
      <c r="R1550" s="41">
        <v>1.0</v>
      </c>
      <c r="S1550">
        <f t="shared" si="1"/>
        <v>2014</v>
      </c>
      <c r="T1550">
        <f t="shared" si="2"/>
        <v>5</v>
      </c>
      <c r="U1550">
        <f t="shared" si="3"/>
        <v>7</v>
      </c>
      <c r="AG1550" s="15"/>
      <c r="AH1550" s="16"/>
      <c r="AM1550" s="15"/>
      <c r="AN1550" s="16"/>
    </row>
    <row r="1551">
      <c r="A1551" s="13" t="s">
        <v>2993</v>
      </c>
      <c r="B1551" s="10">
        <v>41766.0</v>
      </c>
      <c r="C1551" s="11" t="s">
        <v>76</v>
      </c>
      <c r="D1551" s="11" t="s">
        <v>709</v>
      </c>
      <c r="E1551" s="41" t="s">
        <v>104</v>
      </c>
      <c r="F1551" s="11" t="s">
        <v>40</v>
      </c>
      <c r="G1551" s="30" t="s">
        <v>45</v>
      </c>
      <c r="H1551" s="11" t="s">
        <v>59</v>
      </c>
      <c r="I1551" s="11" t="s">
        <v>2994</v>
      </c>
      <c r="J1551" s="11">
        <v>22.0</v>
      </c>
      <c r="K1551" s="12">
        <v>42105.0</v>
      </c>
      <c r="L1551" s="11">
        <f>ROUND(((K1551-B1551)/365)*12,0)</f>
        <v>11</v>
      </c>
      <c r="M1551" s="11">
        <v>645798.0</v>
      </c>
      <c r="N1551" s="11" t="s">
        <v>2995</v>
      </c>
      <c r="P1551" s="11">
        <v>0.0</v>
      </c>
      <c r="Q1551" s="14">
        <v>0.0</v>
      </c>
      <c r="R1551" s="41">
        <v>1.0</v>
      </c>
      <c r="S1551">
        <f t="shared" si="1"/>
        <v>2014</v>
      </c>
      <c r="T1551">
        <f t="shared" si="2"/>
        <v>5</v>
      </c>
      <c r="U1551">
        <f t="shared" si="3"/>
        <v>7</v>
      </c>
      <c r="AG1551" s="15"/>
      <c r="AH1551" s="16"/>
      <c r="AM1551" s="15"/>
      <c r="AN1551" s="16"/>
    </row>
    <row r="1552">
      <c r="A1552" s="19" t="s">
        <v>2996</v>
      </c>
      <c r="B1552" s="20">
        <v>41765.0</v>
      </c>
      <c r="C1552" s="21" t="s">
        <v>55</v>
      </c>
      <c r="D1552" s="21" t="s">
        <v>93</v>
      </c>
      <c r="E1552" s="21" t="s">
        <v>39</v>
      </c>
      <c r="F1552" s="21" t="s">
        <v>64</v>
      </c>
      <c r="G1552" s="21" t="s">
        <v>45</v>
      </c>
      <c r="H1552" s="21" t="s">
        <v>56</v>
      </c>
      <c r="I1552" s="21" t="s">
        <v>1533</v>
      </c>
      <c r="J1552" s="18">
        <v>21.0</v>
      </c>
      <c r="K1552" s="22">
        <v>42177.0</v>
      </c>
      <c r="L1552" s="21"/>
      <c r="M1552" s="21">
        <v>665290.0</v>
      </c>
      <c r="N1552" s="21" t="s">
        <v>2997</v>
      </c>
      <c r="O1552" s="13" t="s">
        <v>761</v>
      </c>
      <c r="P1552" s="21">
        <v>0.0</v>
      </c>
      <c r="Q1552" s="23">
        <v>0.0</v>
      </c>
      <c r="R1552" s="21">
        <v>1.0</v>
      </c>
      <c r="S1552" s="33">
        <f t="shared" si="1"/>
        <v>2014</v>
      </c>
      <c r="T1552" s="33">
        <f t="shared" si="2"/>
        <v>5</v>
      </c>
      <c r="U1552" s="33">
        <f t="shared" si="3"/>
        <v>6</v>
      </c>
      <c r="V1552" s="24"/>
      <c r="W1552" s="24"/>
      <c r="X1552" s="24"/>
      <c r="Y1552" s="24"/>
      <c r="Z1552" s="24"/>
      <c r="AA1552" s="24"/>
      <c r="AB1552" s="24"/>
      <c r="AC1552" s="24"/>
      <c r="AD1552" s="24"/>
      <c r="AE1552" s="24"/>
      <c r="AF1552" s="24"/>
      <c r="AG1552" s="26"/>
      <c r="AH1552" s="27"/>
      <c r="AI1552" s="24"/>
      <c r="AJ1552" s="24"/>
      <c r="AK1552" s="24"/>
      <c r="AL1552" s="24"/>
      <c r="AM1552" s="26"/>
      <c r="AN1552" s="27"/>
      <c r="AO1552" s="24"/>
      <c r="AP1552" s="24"/>
    </row>
    <row r="1553">
      <c r="A1553" s="13" t="s">
        <v>2998</v>
      </c>
      <c r="B1553" s="10">
        <v>41760.0</v>
      </c>
      <c r="C1553" s="11" t="s">
        <v>175</v>
      </c>
      <c r="D1553" s="11" t="s">
        <v>97</v>
      </c>
      <c r="E1553" s="11" t="s">
        <v>39</v>
      </c>
      <c r="F1553" s="11" t="s">
        <v>40</v>
      </c>
      <c r="G1553" s="11" t="s">
        <v>45</v>
      </c>
      <c r="H1553" s="11" t="s">
        <v>139</v>
      </c>
      <c r="I1553" s="11" t="s">
        <v>405</v>
      </c>
      <c r="J1553" s="11">
        <v>23.0</v>
      </c>
      <c r="K1553" s="12">
        <v>42228.0</v>
      </c>
      <c r="L1553" s="11">
        <f t="shared" ref="L1553:L1554" si="164">ROUND(((K1553-B1553)/365)*12,0)</f>
        <v>15</v>
      </c>
      <c r="M1553" s="11">
        <v>641744.0</v>
      </c>
      <c r="N1553" s="11" t="s">
        <v>2999</v>
      </c>
      <c r="O1553" s="13"/>
      <c r="P1553" s="11">
        <v>0.0</v>
      </c>
      <c r="Q1553" s="14">
        <v>0.0</v>
      </c>
      <c r="R1553" s="41">
        <v>1.0</v>
      </c>
      <c r="S1553">
        <f t="shared" si="1"/>
        <v>2014</v>
      </c>
      <c r="T1553">
        <f t="shared" si="2"/>
        <v>5</v>
      </c>
      <c r="U1553">
        <f t="shared" si="3"/>
        <v>1</v>
      </c>
      <c r="AG1553" s="15"/>
      <c r="AH1553" s="16"/>
      <c r="AM1553" s="15"/>
      <c r="AN1553" s="16"/>
    </row>
    <row r="1554">
      <c r="A1554" s="13" t="s">
        <v>3000</v>
      </c>
      <c r="B1554" s="10">
        <v>41759.0</v>
      </c>
      <c r="C1554" s="11" t="s">
        <v>274</v>
      </c>
      <c r="D1554" s="11" t="s">
        <v>38</v>
      </c>
      <c r="E1554" s="30" t="s">
        <v>39</v>
      </c>
      <c r="F1554" s="11" t="s">
        <v>40</v>
      </c>
      <c r="G1554" s="30" t="s">
        <v>45</v>
      </c>
      <c r="H1554" s="11" t="s">
        <v>67</v>
      </c>
      <c r="I1554" s="11" t="s">
        <v>375</v>
      </c>
      <c r="J1554" s="11">
        <v>26.0</v>
      </c>
      <c r="K1554" s="12">
        <v>42468.0</v>
      </c>
      <c r="L1554" s="11">
        <f t="shared" si="164"/>
        <v>23</v>
      </c>
      <c r="M1554" s="11">
        <v>456167.0</v>
      </c>
      <c r="N1554" s="11">
        <v>11132.0</v>
      </c>
      <c r="O1554" s="13" t="s">
        <v>2059</v>
      </c>
      <c r="P1554" s="11">
        <v>41.0</v>
      </c>
      <c r="Q1554" s="14">
        <v>196.333</v>
      </c>
      <c r="R1554" s="41">
        <v>1.0</v>
      </c>
      <c r="S1554">
        <f t="shared" si="1"/>
        <v>2014</v>
      </c>
      <c r="T1554">
        <f t="shared" si="2"/>
        <v>4</v>
      </c>
      <c r="U1554">
        <f t="shared" si="3"/>
        <v>30</v>
      </c>
      <c r="Z1554" s="17">
        <v>42157.0</v>
      </c>
      <c r="AG1554" s="15"/>
      <c r="AH1554" s="16"/>
      <c r="AM1554" s="15"/>
      <c r="AN1554" s="16"/>
    </row>
    <row r="1555">
      <c r="A1555" s="13" t="s">
        <v>3001</v>
      </c>
      <c r="B1555" s="10">
        <v>41759.0</v>
      </c>
      <c r="C1555" s="11" t="s">
        <v>186</v>
      </c>
      <c r="D1555" s="11" t="s">
        <v>38</v>
      </c>
      <c r="E1555" s="30" t="s">
        <v>39</v>
      </c>
      <c r="F1555" s="11" t="s">
        <v>64</v>
      </c>
      <c r="G1555" s="41" t="s">
        <v>41</v>
      </c>
      <c r="H1555" s="30"/>
      <c r="I1555" s="30"/>
      <c r="J1555" s="11">
        <v>28.0</v>
      </c>
      <c r="K1555" s="30"/>
      <c r="L1555" s="30"/>
      <c r="M1555" s="11">
        <v>471896.0</v>
      </c>
      <c r="N1555" s="11">
        <v>6616.0</v>
      </c>
      <c r="O1555" s="13" t="s">
        <v>42</v>
      </c>
      <c r="P1555" s="11">
        <v>0.0</v>
      </c>
      <c r="Q1555" s="14">
        <v>0.0</v>
      </c>
      <c r="R1555" s="11">
        <v>0.0</v>
      </c>
      <c r="S1555">
        <f t="shared" si="1"/>
        <v>2014</v>
      </c>
      <c r="T1555">
        <f t="shared" si="2"/>
        <v>4</v>
      </c>
      <c r="U1555">
        <f t="shared" si="3"/>
        <v>30</v>
      </c>
      <c r="AG1555" s="15"/>
      <c r="AH1555" s="16"/>
      <c r="AM1555" s="15"/>
      <c r="AN1555" s="16"/>
    </row>
    <row r="1556">
      <c r="A1556" s="13" t="s">
        <v>3002</v>
      </c>
      <c r="B1556" s="10">
        <v>41758.0</v>
      </c>
      <c r="C1556" s="11" t="s">
        <v>55</v>
      </c>
      <c r="D1556" s="11" t="s">
        <v>58</v>
      </c>
      <c r="E1556" s="30" t="s">
        <v>39</v>
      </c>
      <c r="F1556" s="11" t="s">
        <v>40</v>
      </c>
      <c r="G1556" s="30" t="s">
        <v>45</v>
      </c>
      <c r="H1556" s="11" t="s">
        <v>74</v>
      </c>
      <c r="I1556" s="11" t="s">
        <v>2971</v>
      </c>
      <c r="J1556" s="11">
        <v>25.0</v>
      </c>
      <c r="K1556" s="12">
        <v>42535.0</v>
      </c>
      <c r="L1556" s="11">
        <f t="shared" ref="L1556:L1559" si="165">ROUND(((K1556-B1556)/365)*12,0)</f>
        <v>26</v>
      </c>
      <c r="M1556" s="11">
        <v>518782.0</v>
      </c>
      <c r="N1556" s="11">
        <v>10065.0</v>
      </c>
      <c r="O1556" s="13" t="s">
        <v>761</v>
      </c>
      <c r="P1556" s="11">
        <v>0.0</v>
      </c>
      <c r="Q1556" s="14">
        <v>0.0</v>
      </c>
      <c r="R1556" s="41">
        <v>1.0</v>
      </c>
      <c r="S1556">
        <f t="shared" si="1"/>
        <v>2014</v>
      </c>
      <c r="T1556">
        <f t="shared" si="2"/>
        <v>4</v>
      </c>
      <c r="U1556">
        <f t="shared" si="3"/>
        <v>29</v>
      </c>
      <c r="AG1556" s="15"/>
      <c r="AH1556" s="16"/>
      <c r="AM1556" s="15"/>
      <c r="AN1556" s="16"/>
    </row>
    <row r="1557">
      <c r="A1557" s="13" t="s">
        <v>3003</v>
      </c>
      <c r="B1557" s="10">
        <v>41758.0</v>
      </c>
      <c r="C1557" s="11" t="s">
        <v>108</v>
      </c>
      <c r="D1557" s="11" t="s">
        <v>38</v>
      </c>
      <c r="E1557" s="30" t="s">
        <v>39</v>
      </c>
      <c r="F1557" s="11" t="s">
        <v>40</v>
      </c>
      <c r="G1557" s="41" t="s">
        <v>41</v>
      </c>
      <c r="H1557" s="30"/>
      <c r="I1557" s="30"/>
      <c r="J1557" s="11">
        <v>27.0</v>
      </c>
      <c r="K1557" s="12">
        <v>42179.0</v>
      </c>
      <c r="L1557" s="11">
        <f t="shared" si="165"/>
        <v>14</v>
      </c>
      <c r="M1557" s="11">
        <v>467100.0</v>
      </c>
      <c r="N1557" s="11">
        <v>1994.0</v>
      </c>
      <c r="O1557" s="13" t="s">
        <v>761</v>
      </c>
      <c r="P1557" s="11">
        <v>74.0</v>
      </c>
      <c r="Q1557" s="14">
        <v>443.0</v>
      </c>
      <c r="R1557" s="41">
        <v>1.0</v>
      </c>
      <c r="S1557">
        <f t="shared" si="1"/>
        <v>2014</v>
      </c>
      <c r="T1557">
        <f t="shared" si="2"/>
        <v>4</v>
      </c>
      <c r="U1557">
        <f t="shared" si="3"/>
        <v>29</v>
      </c>
      <c r="Z1557" s="17">
        <v>42163.0</v>
      </c>
      <c r="AG1557" s="15"/>
      <c r="AH1557" s="16"/>
      <c r="AM1557" s="15"/>
      <c r="AN1557" s="16"/>
    </row>
    <row r="1558">
      <c r="A1558" s="13" t="s">
        <v>3004</v>
      </c>
      <c r="B1558" s="10">
        <v>41758.0</v>
      </c>
      <c r="C1558" s="11" t="s">
        <v>62</v>
      </c>
      <c r="D1558" s="11" t="s">
        <v>88</v>
      </c>
      <c r="E1558" s="41" t="s">
        <v>118</v>
      </c>
      <c r="F1558" s="11" t="s">
        <v>40</v>
      </c>
      <c r="G1558" s="30" t="s">
        <v>45</v>
      </c>
      <c r="H1558" s="11" t="s">
        <v>127</v>
      </c>
      <c r="I1558" s="11" t="s">
        <v>1216</v>
      </c>
      <c r="J1558" s="11">
        <v>23.0</v>
      </c>
      <c r="K1558" s="12">
        <v>42103.0</v>
      </c>
      <c r="L1558" s="11">
        <f t="shared" si="165"/>
        <v>11</v>
      </c>
      <c r="M1558" s="11">
        <v>607776.0</v>
      </c>
      <c r="N1558" s="11">
        <v>14158.0</v>
      </c>
      <c r="O1558" s="13" t="s">
        <v>761</v>
      </c>
      <c r="P1558" s="11">
        <v>38.0</v>
      </c>
      <c r="Q1558" s="14">
        <v>107.0</v>
      </c>
      <c r="R1558" s="41">
        <v>1.0</v>
      </c>
      <c r="S1558">
        <f t="shared" si="1"/>
        <v>2014</v>
      </c>
      <c r="T1558">
        <f t="shared" si="2"/>
        <v>4</v>
      </c>
      <c r="U1558">
        <f t="shared" si="3"/>
        <v>29</v>
      </c>
      <c r="AG1558" s="15"/>
      <c r="AH1558" s="16"/>
      <c r="AM1558" s="15"/>
      <c r="AN1558" s="16"/>
    </row>
    <row r="1559">
      <c r="A1559" s="13" t="s">
        <v>3005</v>
      </c>
      <c r="B1559" s="10">
        <v>41754.0</v>
      </c>
      <c r="C1559" s="11" t="s">
        <v>108</v>
      </c>
      <c r="D1559" s="11" t="s">
        <v>97</v>
      </c>
      <c r="E1559" s="30" t="s">
        <v>39</v>
      </c>
      <c r="F1559" s="11" t="s">
        <v>40</v>
      </c>
      <c r="G1559" s="41" t="s">
        <v>53</v>
      </c>
      <c r="H1559" s="30"/>
      <c r="I1559" s="30"/>
      <c r="J1559" s="11">
        <v>21.0</v>
      </c>
      <c r="K1559" s="12">
        <v>42188.0</v>
      </c>
      <c r="L1559" s="11">
        <f t="shared" si="165"/>
        <v>14</v>
      </c>
      <c r="M1559" s="11">
        <v>553883.0</v>
      </c>
      <c r="N1559" s="11">
        <v>11681.0</v>
      </c>
      <c r="P1559" s="11">
        <v>1.0</v>
      </c>
      <c r="Q1559" s="14">
        <v>5.667</v>
      </c>
      <c r="R1559" s="41">
        <v>1.0</v>
      </c>
      <c r="S1559">
        <f t="shared" si="1"/>
        <v>2014</v>
      </c>
      <c r="T1559">
        <f t="shared" si="2"/>
        <v>4</v>
      </c>
      <c r="U1559">
        <f t="shared" si="3"/>
        <v>25</v>
      </c>
      <c r="AG1559" s="15"/>
      <c r="AH1559" s="16"/>
      <c r="AM1559" s="15"/>
      <c r="AN1559" s="16"/>
    </row>
    <row r="1560">
      <c r="A1560" s="13" t="s">
        <v>3006</v>
      </c>
      <c r="B1560" s="10">
        <v>41753.0</v>
      </c>
      <c r="C1560" s="11" t="s">
        <v>52</v>
      </c>
      <c r="D1560" s="11" t="s">
        <v>93</v>
      </c>
      <c r="E1560" s="30" t="s">
        <v>39</v>
      </c>
      <c r="F1560" s="11" t="s">
        <v>64</v>
      </c>
      <c r="G1560" s="30" t="s">
        <v>45</v>
      </c>
      <c r="H1560" s="11" t="s">
        <v>163</v>
      </c>
      <c r="I1560" s="11" t="s">
        <v>2428</v>
      </c>
      <c r="J1560" s="11">
        <v>21.0</v>
      </c>
      <c r="K1560" s="39">
        <v>42539.0</v>
      </c>
      <c r="L1560" s="30"/>
      <c r="M1560" s="11">
        <v>656971.0</v>
      </c>
      <c r="N1560" s="11" t="s">
        <v>3007</v>
      </c>
      <c r="P1560" s="11">
        <v>0.0</v>
      </c>
      <c r="Q1560" s="14">
        <v>0.0</v>
      </c>
      <c r="R1560" s="41">
        <v>1.0</v>
      </c>
      <c r="S1560">
        <f t="shared" si="1"/>
        <v>2014</v>
      </c>
      <c r="T1560">
        <f t="shared" si="2"/>
        <v>4</v>
      </c>
      <c r="U1560">
        <f t="shared" si="3"/>
        <v>24</v>
      </c>
      <c r="AG1560" s="15"/>
      <c r="AH1560" s="16"/>
      <c r="AM1560" s="15"/>
      <c r="AN1560" s="16"/>
    </row>
    <row r="1561">
      <c r="A1561" s="13" t="s">
        <v>3008</v>
      </c>
      <c r="B1561" s="10">
        <v>41753.0</v>
      </c>
      <c r="C1561" s="11" t="s">
        <v>175</v>
      </c>
      <c r="D1561" s="11" t="s">
        <v>38</v>
      </c>
      <c r="E1561" s="30" t="s">
        <v>39</v>
      </c>
      <c r="F1561" s="11" t="s">
        <v>40</v>
      </c>
      <c r="G1561" s="30" t="s">
        <v>45</v>
      </c>
      <c r="H1561" s="11" t="s">
        <v>112</v>
      </c>
      <c r="I1561" s="11"/>
      <c r="J1561" s="11">
        <v>30.0</v>
      </c>
      <c r="K1561" s="30"/>
      <c r="L1561" s="30"/>
      <c r="M1561" s="11">
        <v>435178.0</v>
      </c>
      <c r="N1561" s="11">
        <v>4567.0</v>
      </c>
      <c r="O1561" s="13" t="s">
        <v>761</v>
      </c>
      <c r="P1561" s="11">
        <v>0.0</v>
      </c>
      <c r="Q1561" s="14">
        <v>0.0</v>
      </c>
      <c r="R1561" s="41">
        <v>0.0</v>
      </c>
      <c r="S1561">
        <f t="shared" si="1"/>
        <v>2014</v>
      </c>
      <c r="T1561">
        <f t="shared" si="2"/>
        <v>4</v>
      </c>
      <c r="U1561">
        <f t="shared" si="3"/>
        <v>24</v>
      </c>
      <c r="Z1561" s="17">
        <v>42251.0</v>
      </c>
      <c r="AG1561" s="15"/>
      <c r="AH1561" s="16"/>
      <c r="AM1561" s="15"/>
      <c r="AN1561" s="16"/>
    </row>
    <row r="1562">
      <c r="A1562" s="13" t="s">
        <v>3009</v>
      </c>
      <c r="B1562" s="10">
        <v>41751.0</v>
      </c>
      <c r="C1562" s="11" t="s">
        <v>162</v>
      </c>
      <c r="D1562" s="11" t="s">
        <v>97</v>
      </c>
      <c r="E1562" s="30" t="s">
        <v>39</v>
      </c>
      <c r="F1562" s="11" t="s">
        <v>64</v>
      </c>
      <c r="G1562" s="41" t="s">
        <v>53</v>
      </c>
      <c r="H1562" s="30"/>
      <c r="I1562" s="30"/>
      <c r="J1562" s="11">
        <v>22.0</v>
      </c>
      <c r="K1562" s="12">
        <v>42160.0</v>
      </c>
      <c r="L1562" s="11">
        <f>ROUND(((K1562-B1562)/365)*12,0)</f>
        <v>13</v>
      </c>
      <c r="M1562" s="11">
        <v>570624.0</v>
      </c>
      <c r="N1562" s="11" t="s">
        <v>3010</v>
      </c>
      <c r="P1562" s="11">
        <v>0.0</v>
      </c>
      <c r="Q1562" s="14">
        <v>0.0</v>
      </c>
      <c r="R1562" s="41">
        <v>1.0</v>
      </c>
      <c r="S1562">
        <f t="shared" si="1"/>
        <v>2014</v>
      </c>
      <c r="T1562">
        <f t="shared" si="2"/>
        <v>4</v>
      </c>
      <c r="U1562">
        <f t="shared" si="3"/>
        <v>22</v>
      </c>
      <c r="AG1562" s="15"/>
      <c r="AH1562" s="16"/>
      <c r="AM1562" s="15"/>
      <c r="AN1562" s="16"/>
    </row>
    <row r="1563">
      <c r="A1563" s="13" t="s">
        <v>3011</v>
      </c>
      <c r="B1563" s="10">
        <v>41751.0</v>
      </c>
      <c r="C1563" s="11" t="s">
        <v>62</v>
      </c>
      <c r="D1563" s="11" t="s">
        <v>93</v>
      </c>
      <c r="E1563" s="11" t="s">
        <v>39</v>
      </c>
      <c r="F1563" s="11" t="s">
        <v>64</v>
      </c>
      <c r="G1563" s="11" t="s">
        <v>45</v>
      </c>
      <c r="H1563" s="11" t="s">
        <v>67</v>
      </c>
      <c r="I1563" s="11" t="s">
        <v>451</v>
      </c>
      <c r="J1563" s="11">
        <v>19.0</v>
      </c>
      <c r="K1563" s="12">
        <v>42544.0</v>
      </c>
      <c r="L1563" s="11"/>
      <c r="M1563" s="11">
        <v>640454.0</v>
      </c>
      <c r="N1563" s="11">
        <v>19315.0</v>
      </c>
      <c r="O1563" s="13" t="s">
        <v>761</v>
      </c>
      <c r="P1563" s="11">
        <v>0.0</v>
      </c>
      <c r="Q1563" s="14">
        <v>0.0</v>
      </c>
      <c r="R1563" s="41">
        <v>1.0</v>
      </c>
      <c r="S1563">
        <f t="shared" si="1"/>
        <v>2014</v>
      </c>
      <c r="T1563">
        <f t="shared" si="2"/>
        <v>4</v>
      </c>
      <c r="U1563">
        <f t="shared" si="3"/>
        <v>22</v>
      </c>
      <c r="AG1563" s="15"/>
      <c r="AH1563" s="16"/>
      <c r="AM1563" s="15"/>
      <c r="AN1563" s="16"/>
    </row>
    <row r="1564">
      <c r="A1564" s="13" t="s">
        <v>3012</v>
      </c>
      <c r="B1564" s="10">
        <v>41751.0</v>
      </c>
      <c r="C1564" s="11" t="s">
        <v>156</v>
      </c>
      <c r="D1564" s="11" t="s">
        <v>38</v>
      </c>
      <c r="E1564" s="30" t="s">
        <v>39</v>
      </c>
      <c r="F1564" s="11" t="s">
        <v>64</v>
      </c>
      <c r="G1564" s="30" t="s">
        <v>45</v>
      </c>
      <c r="H1564" s="11" t="s">
        <v>265</v>
      </c>
      <c r="I1564" s="11"/>
      <c r="J1564" s="11">
        <v>25.0</v>
      </c>
      <c r="K1564" s="12">
        <v>42187.0</v>
      </c>
      <c r="L1564" s="11">
        <f t="shared" ref="L1564:L1566" si="166">ROUND(((K1564-B1564)/365)*12,0)</f>
        <v>14</v>
      </c>
      <c r="M1564" s="11">
        <v>519043.0</v>
      </c>
      <c r="N1564" s="11">
        <v>1890.0</v>
      </c>
      <c r="O1564" s="13" t="s">
        <v>761</v>
      </c>
      <c r="P1564" s="11">
        <v>77.0</v>
      </c>
      <c r="Q1564" s="14">
        <v>435.667</v>
      </c>
      <c r="R1564" s="41">
        <v>1.0</v>
      </c>
      <c r="S1564">
        <f t="shared" si="1"/>
        <v>2014</v>
      </c>
      <c r="T1564">
        <f t="shared" si="2"/>
        <v>4</v>
      </c>
      <c r="U1564">
        <f t="shared" si="3"/>
        <v>22</v>
      </c>
      <c r="Z1564" s="17">
        <v>42158.0</v>
      </c>
      <c r="AG1564" s="15"/>
      <c r="AH1564" s="16"/>
      <c r="AM1564" s="15"/>
      <c r="AN1564" s="16"/>
    </row>
    <row r="1565">
      <c r="A1565" s="13" t="s">
        <v>3013</v>
      </c>
      <c r="B1565" s="10">
        <v>41745.0</v>
      </c>
      <c r="C1565" s="11" t="s">
        <v>116</v>
      </c>
      <c r="D1565" s="11" t="s">
        <v>38</v>
      </c>
      <c r="E1565" s="30" t="s">
        <v>39</v>
      </c>
      <c r="F1565" s="11" t="s">
        <v>40</v>
      </c>
      <c r="G1565" s="30" t="s">
        <v>45</v>
      </c>
      <c r="H1565" s="11" t="s">
        <v>262</v>
      </c>
      <c r="I1565" s="11" t="s">
        <v>370</v>
      </c>
      <c r="J1565" s="11">
        <v>28.0</v>
      </c>
      <c r="K1565" s="12">
        <v>42258.0</v>
      </c>
      <c r="L1565" s="11">
        <f t="shared" si="166"/>
        <v>17</v>
      </c>
      <c r="M1565" s="11">
        <v>518715.0</v>
      </c>
      <c r="N1565" s="11">
        <v>7947.0</v>
      </c>
      <c r="O1565" s="13" t="s">
        <v>1407</v>
      </c>
      <c r="P1565" s="11">
        <v>131.0</v>
      </c>
      <c r="Q1565" s="14">
        <v>120.0</v>
      </c>
      <c r="R1565" s="41">
        <v>1.0</v>
      </c>
      <c r="S1565">
        <f t="shared" si="1"/>
        <v>2014</v>
      </c>
      <c r="T1565">
        <f t="shared" si="2"/>
        <v>4</v>
      </c>
      <c r="U1565">
        <f t="shared" si="3"/>
        <v>16</v>
      </c>
      <c r="Z1565" s="17">
        <v>42131.0</v>
      </c>
      <c r="AG1565" s="15"/>
      <c r="AH1565" s="16"/>
      <c r="AM1565" s="15"/>
      <c r="AN1565" s="16"/>
    </row>
    <row r="1566">
      <c r="A1566" s="13" t="s">
        <v>3014</v>
      </c>
      <c r="B1566" s="10">
        <v>41744.0</v>
      </c>
      <c r="C1566" s="11" t="s">
        <v>346</v>
      </c>
      <c r="D1566" s="11" t="s">
        <v>58</v>
      </c>
      <c r="E1566" s="30" t="s">
        <v>39</v>
      </c>
      <c r="F1566" s="11" t="s">
        <v>64</v>
      </c>
      <c r="G1566" s="30" t="s">
        <v>45</v>
      </c>
      <c r="H1566" s="11" t="s">
        <v>59</v>
      </c>
      <c r="I1566" s="11" t="s">
        <v>127</v>
      </c>
      <c r="J1566" s="11">
        <v>25.0</v>
      </c>
      <c r="K1566" s="12">
        <v>42594.0</v>
      </c>
      <c r="L1566" s="11">
        <f t="shared" si="166"/>
        <v>28</v>
      </c>
      <c r="M1566" s="11">
        <v>572383.0</v>
      </c>
      <c r="N1566" s="11">
        <v>9646.0</v>
      </c>
      <c r="P1566" s="11">
        <v>0.0</v>
      </c>
      <c r="Q1566" s="14">
        <v>0.0</v>
      </c>
      <c r="R1566" s="41">
        <v>1.0</v>
      </c>
      <c r="S1566">
        <f t="shared" si="1"/>
        <v>2014</v>
      </c>
      <c r="T1566">
        <f t="shared" si="2"/>
        <v>4</v>
      </c>
      <c r="U1566">
        <f t="shared" si="3"/>
        <v>15</v>
      </c>
      <c r="AG1566" s="15"/>
      <c r="AH1566" s="16"/>
      <c r="AM1566" s="15"/>
      <c r="AN1566" s="16"/>
    </row>
    <row r="1567">
      <c r="A1567" s="13" t="s">
        <v>3015</v>
      </c>
      <c r="B1567" s="10">
        <v>41740.0</v>
      </c>
      <c r="C1567" s="11" t="s">
        <v>55</v>
      </c>
      <c r="D1567" s="11" t="s">
        <v>213</v>
      </c>
      <c r="E1567" s="11" t="s">
        <v>39</v>
      </c>
      <c r="F1567" s="11" t="s">
        <v>40</v>
      </c>
      <c r="G1567" s="11" t="s">
        <v>45</v>
      </c>
      <c r="H1567" s="11" t="s">
        <v>112</v>
      </c>
      <c r="I1567" s="11" t="s">
        <v>173</v>
      </c>
      <c r="J1567" s="11">
        <v>19.0</v>
      </c>
      <c r="K1567" s="12">
        <v>42834.0</v>
      </c>
      <c r="L1567" s="11"/>
      <c r="M1567" s="11">
        <v>657096.0</v>
      </c>
      <c r="N1567" s="11" t="s">
        <v>3016</v>
      </c>
      <c r="P1567" s="11">
        <v>0.0</v>
      </c>
      <c r="Q1567" s="14">
        <v>0.0</v>
      </c>
      <c r="R1567" s="41">
        <v>1.0</v>
      </c>
      <c r="S1567">
        <f t="shared" si="1"/>
        <v>2014</v>
      </c>
      <c r="T1567">
        <f t="shared" si="2"/>
        <v>4</v>
      </c>
      <c r="U1567">
        <f t="shared" si="3"/>
        <v>11</v>
      </c>
      <c r="AG1567" s="15"/>
      <c r="AH1567" s="16"/>
      <c r="AM1567" s="15"/>
      <c r="AN1567" s="16"/>
    </row>
    <row r="1568">
      <c r="A1568" s="13" t="s">
        <v>3017</v>
      </c>
      <c r="B1568" s="10">
        <v>41739.0</v>
      </c>
      <c r="C1568" s="11" t="s">
        <v>186</v>
      </c>
      <c r="D1568" s="11" t="s">
        <v>93</v>
      </c>
      <c r="E1568" s="30" t="s">
        <v>39</v>
      </c>
      <c r="F1568" s="11" t="s">
        <v>64</v>
      </c>
      <c r="G1568" s="30" t="s">
        <v>45</v>
      </c>
      <c r="H1568" s="11" t="s">
        <v>73</v>
      </c>
      <c r="I1568" s="11" t="s">
        <v>119</v>
      </c>
      <c r="J1568" s="11">
        <v>20.0</v>
      </c>
      <c r="K1568" s="12">
        <v>42177.0</v>
      </c>
      <c r="L1568" s="11">
        <f t="shared" ref="L1568:L1571" si="167">ROUND(((K1568-B1568)/365)*12,0)</f>
        <v>14</v>
      </c>
      <c r="M1568" s="11">
        <v>605138.0</v>
      </c>
      <c r="N1568" s="11">
        <v>19243.0</v>
      </c>
      <c r="O1568" s="13" t="s">
        <v>761</v>
      </c>
      <c r="P1568" s="11">
        <v>0.0</v>
      </c>
      <c r="Q1568" s="14">
        <v>0.0</v>
      </c>
      <c r="R1568" s="41">
        <v>1.0</v>
      </c>
      <c r="S1568">
        <f t="shared" si="1"/>
        <v>2014</v>
      </c>
      <c r="T1568">
        <f t="shared" si="2"/>
        <v>4</v>
      </c>
      <c r="U1568">
        <f t="shared" si="3"/>
        <v>10</v>
      </c>
      <c r="AG1568" s="15"/>
      <c r="AH1568" s="16"/>
      <c r="AM1568" s="15"/>
      <c r="AN1568" s="16"/>
    </row>
    <row r="1569">
      <c r="A1569" s="13" t="s">
        <v>1516</v>
      </c>
      <c r="B1569" s="10">
        <v>41738.0</v>
      </c>
      <c r="C1569" s="11" t="s">
        <v>362</v>
      </c>
      <c r="D1569" s="11" t="s">
        <v>58</v>
      </c>
      <c r="E1569" s="30" t="s">
        <v>39</v>
      </c>
      <c r="F1569" s="11" t="s">
        <v>40</v>
      </c>
      <c r="G1569" s="30" t="s">
        <v>45</v>
      </c>
      <c r="H1569" s="11" t="s">
        <v>56</v>
      </c>
      <c r="I1569" s="11"/>
      <c r="J1569" s="11">
        <v>22.0</v>
      </c>
      <c r="K1569" s="12">
        <v>42473.0</v>
      </c>
      <c r="L1569" s="11">
        <f t="shared" si="167"/>
        <v>24</v>
      </c>
      <c r="M1569" s="11">
        <v>592791.0</v>
      </c>
      <c r="N1569" s="11">
        <v>11674.0</v>
      </c>
      <c r="O1569" s="13" t="s">
        <v>1407</v>
      </c>
      <c r="P1569" s="11">
        <v>43.0</v>
      </c>
      <c r="Q1569" s="14">
        <v>237.667</v>
      </c>
      <c r="R1569" s="41">
        <v>1.0</v>
      </c>
      <c r="S1569">
        <f t="shared" si="1"/>
        <v>2014</v>
      </c>
      <c r="T1569">
        <f t="shared" si="2"/>
        <v>4</v>
      </c>
      <c r="U1569">
        <f t="shared" si="3"/>
        <v>9</v>
      </c>
      <c r="AG1569" s="15"/>
      <c r="AH1569" s="16"/>
      <c r="AM1569" s="15"/>
      <c r="AN1569" s="16"/>
    </row>
    <row r="1570">
      <c r="A1570" s="13" t="s">
        <v>3018</v>
      </c>
      <c r="B1570" s="10">
        <v>41737.0</v>
      </c>
      <c r="C1570" s="11" t="s">
        <v>49</v>
      </c>
      <c r="D1570" s="11" t="s">
        <v>38</v>
      </c>
      <c r="E1570" s="30" t="s">
        <v>39</v>
      </c>
      <c r="F1570" s="11" t="s">
        <v>40</v>
      </c>
      <c r="G1570" s="30" t="s">
        <v>45</v>
      </c>
      <c r="H1570" s="11" t="s">
        <v>127</v>
      </c>
      <c r="I1570" s="11" t="s">
        <v>1353</v>
      </c>
      <c r="J1570" s="11">
        <v>29.0</v>
      </c>
      <c r="K1570" s="12">
        <v>42168.0</v>
      </c>
      <c r="L1570" s="11">
        <f t="shared" si="167"/>
        <v>14</v>
      </c>
      <c r="M1570" s="11">
        <v>458730.0</v>
      </c>
      <c r="N1570" s="11">
        <v>9926.0</v>
      </c>
      <c r="O1570" s="13" t="s">
        <v>1407</v>
      </c>
      <c r="P1570" s="11">
        <v>36.0</v>
      </c>
      <c r="Q1570" s="14">
        <v>29.333</v>
      </c>
      <c r="R1570" s="41">
        <v>1.0</v>
      </c>
      <c r="S1570">
        <f t="shared" si="1"/>
        <v>2014</v>
      </c>
      <c r="T1570">
        <f t="shared" si="2"/>
        <v>4</v>
      </c>
      <c r="U1570">
        <f t="shared" si="3"/>
        <v>8</v>
      </c>
      <c r="Z1570" s="17">
        <v>42108.0</v>
      </c>
      <c r="AG1570" s="15"/>
      <c r="AH1570" s="16"/>
      <c r="AM1570" s="15"/>
      <c r="AN1570" s="16"/>
    </row>
    <row r="1571">
      <c r="A1571" s="13" t="s">
        <v>3019</v>
      </c>
      <c r="B1571" s="10">
        <v>41731.0</v>
      </c>
      <c r="C1571" s="11" t="s">
        <v>126</v>
      </c>
      <c r="D1571" s="11" t="s">
        <v>77</v>
      </c>
      <c r="E1571" s="30" t="s">
        <v>39</v>
      </c>
      <c r="F1571" s="11" t="s">
        <v>40</v>
      </c>
      <c r="G1571" s="30" t="s">
        <v>45</v>
      </c>
      <c r="H1571" s="11" t="s">
        <v>56</v>
      </c>
      <c r="I1571" s="11" t="s">
        <v>344</v>
      </c>
      <c r="J1571" s="11">
        <v>24.0</v>
      </c>
      <c r="K1571" s="12">
        <v>42174.0</v>
      </c>
      <c r="L1571" s="11">
        <f t="shared" si="167"/>
        <v>15</v>
      </c>
      <c r="M1571" s="11">
        <v>548389.0</v>
      </c>
      <c r="N1571" s="11">
        <v>13273.0</v>
      </c>
      <c r="O1571" s="13" t="s">
        <v>69</v>
      </c>
      <c r="P1571" s="11">
        <v>71.0</v>
      </c>
      <c r="Q1571" s="14">
        <v>174.333</v>
      </c>
      <c r="R1571" s="41">
        <v>1.0</v>
      </c>
      <c r="S1571">
        <f t="shared" si="1"/>
        <v>2014</v>
      </c>
      <c r="T1571">
        <f t="shared" si="2"/>
        <v>4</v>
      </c>
      <c r="U1571">
        <f t="shared" si="3"/>
        <v>2</v>
      </c>
      <c r="AG1571" s="15"/>
      <c r="AH1571" s="16"/>
      <c r="AM1571" s="15"/>
      <c r="AN1571" s="16"/>
    </row>
    <row r="1572">
      <c r="A1572" s="13" t="s">
        <v>3020</v>
      </c>
      <c r="B1572" s="10">
        <v>41731.0</v>
      </c>
      <c r="C1572" s="11" t="s">
        <v>76</v>
      </c>
      <c r="D1572" s="11" t="s">
        <v>38</v>
      </c>
      <c r="E1572" s="30" t="s">
        <v>39</v>
      </c>
      <c r="F1572" s="11" t="s">
        <v>40</v>
      </c>
      <c r="G1572" s="30" t="s">
        <v>45</v>
      </c>
      <c r="H1572" s="11" t="s">
        <v>67</v>
      </c>
      <c r="I1572" s="11" t="s">
        <v>616</v>
      </c>
      <c r="J1572" s="11">
        <v>27.0</v>
      </c>
      <c r="K1572" s="30"/>
      <c r="L1572" s="30"/>
      <c r="M1572" s="11">
        <v>458530.0</v>
      </c>
      <c r="N1572" s="11">
        <v>8422.0</v>
      </c>
      <c r="O1572" s="13" t="s">
        <v>69</v>
      </c>
      <c r="P1572" s="11">
        <v>0.0</v>
      </c>
      <c r="Q1572" s="14">
        <v>0.0</v>
      </c>
      <c r="R1572" s="11">
        <v>0.0</v>
      </c>
      <c r="S1572">
        <f t="shared" si="1"/>
        <v>2014</v>
      </c>
      <c r="T1572">
        <f t="shared" si="2"/>
        <v>4</v>
      </c>
      <c r="U1572">
        <f t="shared" si="3"/>
        <v>2</v>
      </c>
      <c r="Z1572" s="17">
        <v>42132.0</v>
      </c>
      <c r="AG1572" s="15"/>
      <c r="AH1572" s="16"/>
      <c r="AM1572" s="15"/>
      <c r="AN1572" s="16"/>
    </row>
    <row r="1573">
      <c r="A1573" s="13" t="s">
        <v>3021</v>
      </c>
      <c r="B1573" s="10">
        <v>41730.0</v>
      </c>
      <c r="C1573" s="11" t="s">
        <v>72</v>
      </c>
      <c r="D1573" s="11" t="s">
        <v>93</v>
      </c>
      <c r="E1573" s="11" t="s">
        <v>39</v>
      </c>
      <c r="F1573" s="11" t="s">
        <v>64</v>
      </c>
      <c r="G1573" s="11" t="s">
        <v>45</v>
      </c>
      <c r="H1573" s="11" t="s">
        <v>236</v>
      </c>
      <c r="I1573" s="11" t="s">
        <v>412</v>
      </c>
      <c r="J1573" s="11">
        <v>21.0</v>
      </c>
      <c r="K1573" s="39">
        <v>42595.0</v>
      </c>
      <c r="L1573" s="11"/>
      <c r="M1573" s="11">
        <v>606996.0</v>
      </c>
      <c r="N1573" s="11">
        <v>19646.0</v>
      </c>
      <c r="O1573" s="13"/>
      <c r="P1573" s="11">
        <v>0.0</v>
      </c>
      <c r="Q1573" s="14">
        <v>0.0</v>
      </c>
      <c r="R1573" s="41">
        <v>1.0</v>
      </c>
      <c r="S1573">
        <f t="shared" si="1"/>
        <v>2014</v>
      </c>
      <c r="T1573">
        <f t="shared" si="2"/>
        <v>4</v>
      </c>
      <c r="U1573">
        <f t="shared" si="3"/>
        <v>1</v>
      </c>
      <c r="AG1573" s="15"/>
      <c r="AH1573" s="16"/>
      <c r="AM1573" s="15"/>
      <c r="AN1573" s="16"/>
    </row>
    <row r="1574">
      <c r="A1574" s="13" t="s">
        <v>3022</v>
      </c>
      <c r="B1574" s="10">
        <v>41730.0</v>
      </c>
      <c r="C1574" s="11" t="s">
        <v>126</v>
      </c>
      <c r="D1574" s="11" t="s">
        <v>38</v>
      </c>
      <c r="E1574" s="30" t="s">
        <v>39</v>
      </c>
      <c r="F1574" s="11" t="s">
        <v>40</v>
      </c>
      <c r="G1574" s="41" t="s">
        <v>460</v>
      </c>
      <c r="H1574" s="30"/>
      <c r="I1574" s="30"/>
      <c r="J1574" s="11">
        <v>35.0</v>
      </c>
      <c r="K1574" s="12">
        <v>42232.0</v>
      </c>
      <c r="L1574" s="11">
        <f>ROUND(((K1574-B1574)/365)*12,0)</f>
        <v>17</v>
      </c>
      <c r="M1574" s="11">
        <v>493247.0</v>
      </c>
      <c r="N1574" s="11">
        <v>4891.0</v>
      </c>
      <c r="O1574" s="13" t="s">
        <v>761</v>
      </c>
      <c r="P1574" s="11">
        <v>151.0</v>
      </c>
      <c r="Q1574" s="14">
        <v>114.333</v>
      </c>
      <c r="R1574" s="41">
        <v>1.0</v>
      </c>
      <c r="S1574">
        <f t="shared" si="1"/>
        <v>2014</v>
      </c>
      <c r="T1574">
        <f t="shared" si="2"/>
        <v>4</v>
      </c>
      <c r="U1574">
        <f t="shared" si="3"/>
        <v>1</v>
      </c>
      <c r="Z1574" s="17">
        <v>42155.0</v>
      </c>
      <c r="AG1574" s="15"/>
      <c r="AH1574" s="16"/>
      <c r="AM1574" s="15"/>
      <c r="AN1574" s="16"/>
    </row>
    <row r="1575">
      <c r="A1575" s="13" t="s">
        <v>2559</v>
      </c>
      <c r="B1575" s="10">
        <v>41730.0</v>
      </c>
      <c r="C1575" s="11" t="s">
        <v>37</v>
      </c>
      <c r="D1575" s="11" t="s">
        <v>97</v>
      </c>
      <c r="E1575" s="11" t="s">
        <v>39</v>
      </c>
      <c r="F1575" s="11" t="s">
        <v>40</v>
      </c>
      <c r="G1575" s="11" t="s">
        <v>45</v>
      </c>
      <c r="H1575" s="11" t="s">
        <v>112</v>
      </c>
      <c r="I1575" s="11"/>
      <c r="J1575" s="11">
        <v>22.0</v>
      </c>
      <c r="K1575" s="30"/>
      <c r="L1575" s="30"/>
      <c r="M1575" s="11">
        <v>605285.0</v>
      </c>
      <c r="N1575" s="11" t="s">
        <v>2560</v>
      </c>
      <c r="O1575" s="13"/>
      <c r="P1575" s="11">
        <v>0.0</v>
      </c>
      <c r="Q1575" s="14">
        <v>0.0</v>
      </c>
      <c r="R1575" s="41">
        <v>0.0</v>
      </c>
      <c r="S1575">
        <f t="shared" si="1"/>
        <v>2014</v>
      </c>
      <c r="T1575">
        <f t="shared" si="2"/>
        <v>4</v>
      </c>
      <c r="U1575">
        <f t="shared" si="3"/>
        <v>1</v>
      </c>
      <c r="AG1575" s="15"/>
      <c r="AH1575" s="16"/>
      <c r="AM1575" s="15"/>
      <c r="AN1575" s="16"/>
    </row>
    <row r="1576">
      <c r="A1576" s="13" t="s">
        <v>3023</v>
      </c>
      <c r="B1576" s="10">
        <v>41730.0</v>
      </c>
      <c r="C1576" s="11" t="s">
        <v>103</v>
      </c>
      <c r="D1576" s="11" t="s">
        <v>77</v>
      </c>
      <c r="E1576" s="30" t="s">
        <v>39</v>
      </c>
      <c r="F1576" s="11" t="s">
        <v>64</v>
      </c>
      <c r="G1576" s="30" t="s">
        <v>45</v>
      </c>
      <c r="H1576" s="11" t="s">
        <v>243</v>
      </c>
      <c r="I1576" s="11" t="s">
        <v>140</v>
      </c>
      <c r="J1576" s="11">
        <v>23.0</v>
      </c>
      <c r="K1576" s="12">
        <v>42231.0</v>
      </c>
      <c r="L1576" s="11">
        <f>ROUND(((K1576-B1576)/365)*12,0)</f>
        <v>16</v>
      </c>
      <c r="M1576" s="11">
        <v>605534.0</v>
      </c>
      <c r="N1576" s="11" t="s">
        <v>3024</v>
      </c>
      <c r="P1576" s="11">
        <v>0.0</v>
      </c>
      <c r="Q1576" s="14">
        <v>0.0</v>
      </c>
      <c r="R1576" s="41">
        <v>1.0</v>
      </c>
      <c r="S1576">
        <f t="shared" si="1"/>
        <v>2014</v>
      </c>
      <c r="T1576">
        <f t="shared" si="2"/>
        <v>4</v>
      </c>
      <c r="U1576">
        <f t="shared" si="3"/>
        <v>1</v>
      </c>
      <c r="AG1576" s="15"/>
      <c r="AH1576" s="16"/>
      <c r="AM1576" s="15"/>
      <c r="AN1576" s="16"/>
    </row>
    <row r="1577">
      <c r="A1577" s="13" t="s">
        <v>3025</v>
      </c>
      <c r="B1577" s="10">
        <v>41730.0</v>
      </c>
      <c r="C1577" s="11" t="s">
        <v>62</v>
      </c>
      <c r="D1577" s="11" t="s">
        <v>93</v>
      </c>
      <c r="E1577" s="11" t="s">
        <v>39</v>
      </c>
      <c r="F1577" s="11" t="s">
        <v>40</v>
      </c>
      <c r="G1577" s="11" t="s">
        <v>45</v>
      </c>
      <c r="H1577" s="11" t="s">
        <v>262</v>
      </c>
      <c r="I1577" s="11" t="s">
        <v>349</v>
      </c>
      <c r="J1577" s="11">
        <v>21.0</v>
      </c>
      <c r="K1577" s="39">
        <v>42540.0</v>
      </c>
      <c r="L1577" s="30"/>
      <c r="M1577" s="11">
        <v>629976.0</v>
      </c>
      <c r="N1577" s="11" t="s">
        <v>3026</v>
      </c>
      <c r="P1577" s="11">
        <v>0.0</v>
      </c>
      <c r="Q1577" s="14">
        <v>0.0</v>
      </c>
      <c r="R1577" s="41">
        <v>1.0</v>
      </c>
      <c r="S1577">
        <f t="shared" si="1"/>
        <v>2014</v>
      </c>
      <c r="T1577">
        <f t="shared" si="2"/>
        <v>4</v>
      </c>
      <c r="U1577">
        <f t="shared" si="3"/>
        <v>1</v>
      </c>
      <c r="AG1577" s="15"/>
      <c r="AH1577" s="16"/>
      <c r="AM1577" s="15"/>
      <c r="AN1577" s="16"/>
    </row>
    <row r="1578">
      <c r="A1578" s="13" t="s">
        <v>3027</v>
      </c>
      <c r="B1578" s="10">
        <v>41730.0</v>
      </c>
      <c r="C1578" s="11" t="s">
        <v>186</v>
      </c>
      <c r="D1578" s="11" t="s">
        <v>88</v>
      </c>
      <c r="E1578" s="30" t="s">
        <v>39</v>
      </c>
      <c r="F1578" s="11" t="s">
        <v>40</v>
      </c>
      <c r="G1578" s="30" t="s">
        <v>45</v>
      </c>
      <c r="H1578" s="11" t="s">
        <v>127</v>
      </c>
      <c r="I1578" s="11"/>
      <c r="J1578" s="11">
        <v>23.0</v>
      </c>
      <c r="K1578" s="30"/>
      <c r="L1578" s="30"/>
      <c r="M1578" s="11">
        <v>571931.0</v>
      </c>
      <c r="N1578" s="11" t="s">
        <v>3028</v>
      </c>
      <c r="P1578" s="11">
        <v>0.0</v>
      </c>
      <c r="Q1578" s="14">
        <v>0.0</v>
      </c>
      <c r="R1578" s="11">
        <v>0.0</v>
      </c>
      <c r="S1578">
        <f t="shared" si="1"/>
        <v>2014</v>
      </c>
      <c r="T1578">
        <f t="shared" si="2"/>
        <v>4</v>
      </c>
      <c r="U1578">
        <f t="shared" si="3"/>
        <v>1</v>
      </c>
      <c r="AG1578" s="15"/>
      <c r="AH1578" s="16"/>
      <c r="AM1578" s="15"/>
      <c r="AN1578" s="16"/>
    </row>
    <row r="1579">
      <c r="A1579" s="13" t="s">
        <v>3029</v>
      </c>
      <c r="B1579" s="10">
        <v>41729.0</v>
      </c>
      <c r="C1579" s="11" t="s">
        <v>83</v>
      </c>
      <c r="D1579" s="11" t="s">
        <v>93</v>
      </c>
      <c r="E1579" s="11" t="s">
        <v>39</v>
      </c>
      <c r="F1579" s="11" t="s">
        <v>40</v>
      </c>
      <c r="G1579" s="11" t="s">
        <v>45</v>
      </c>
      <c r="H1579" s="11" t="s">
        <v>119</v>
      </c>
      <c r="I1579" s="11" t="s">
        <v>3030</v>
      </c>
      <c r="J1579" s="11">
        <v>21.0</v>
      </c>
      <c r="K1579" s="39">
        <v>42548.0</v>
      </c>
      <c r="L1579" s="11"/>
      <c r="M1579" s="11">
        <v>670322.0</v>
      </c>
      <c r="N1579" s="11" t="s">
        <v>3031</v>
      </c>
      <c r="O1579" s="13"/>
      <c r="P1579" s="11">
        <v>0.0</v>
      </c>
      <c r="Q1579" s="14">
        <v>0.0</v>
      </c>
      <c r="R1579" s="41">
        <v>1.0</v>
      </c>
      <c r="S1579">
        <f t="shared" si="1"/>
        <v>2014</v>
      </c>
      <c r="T1579">
        <f t="shared" si="2"/>
        <v>3</v>
      </c>
      <c r="U1579">
        <f t="shared" si="3"/>
        <v>31</v>
      </c>
      <c r="AG1579" s="15"/>
      <c r="AH1579" s="16"/>
      <c r="AM1579" s="15"/>
      <c r="AN1579" s="16"/>
    </row>
    <row r="1580">
      <c r="A1580" s="13" t="s">
        <v>3032</v>
      </c>
      <c r="B1580" s="10">
        <v>41727.0</v>
      </c>
      <c r="C1580" s="11" t="s">
        <v>111</v>
      </c>
      <c r="D1580" s="11" t="s">
        <v>38</v>
      </c>
      <c r="E1580" s="30" t="s">
        <v>39</v>
      </c>
      <c r="F1580" s="11" t="s">
        <v>40</v>
      </c>
      <c r="G1580" s="41" t="s">
        <v>53</v>
      </c>
      <c r="H1580" s="30"/>
      <c r="I1580" s="30"/>
      <c r="J1580" s="11">
        <v>23.0</v>
      </c>
      <c r="K1580" s="12">
        <v>42180.0</v>
      </c>
      <c r="L1580" s="11">
        <f t="shared" ref="L1580:L1583" si="168">ROUND(((K1580-B1580)/365)*12,0)</f>
        <v>15</v>
      </c>
      <c r="M1580" s="11">
        <v>541652.0</v>
      </c>
      <c r="N1580" s="11">
        <v>5766.0</v>
      </c>
      <c r="O1580" s="13" t="s">
        <v>761</v>
      </c>
      <c r="P1580" s="11">
        <v>93.0</v>
      </c>
      <c r="Q1580" s="14">
        <v>83.0</v>
      </c>
      <c r="R1580" s="41">
        <v>1.0</v>
      </c>
      <c r="S1580">
        <f t="shared" si="1"/>
        <v>2014</v>
      </c>
      <c r="T1580">
        <f t="shared" si="2"/>
        <v>3</v>
      </c>
      <c r="U1580">
        <f t="shared" si="3"/>
        <v>29</v>
      </c>
      <c r="Z1580" s="17">
        <v>42145.0</v>
      </c>
      <c r="AG1580" s="15"/>
      <c r="AH1580" s="16"/>
      <c r="AM1580" s="15"/>
      <c r="AN1580" s="16"/>
    </row>
    <row r="1581">
      <c r="A1581" s="13" t="s">
        <v>1490</v>
      </c>
      <c r="B1581" s="10">
        <v>41724.0</v>
      </c>
      <c r="C1581" s="11" t="s">
        <v>186</v>
      </c>
      <c r="D1581" s="11" t="s">
        <v>97</v>
      </c>
      <c r="E1581" s="30" t="s">
        <v>39</v>
      </c>
      <c r="F1581" s="11" t="s">
        <v>40</v>
      </c>
      <c r="G1581" s="30" t="s">
        <v>45</v>
      </c>
      <c r="H1581" s="11" t="s">
        <v>73</v>
      </c>
      <c r="I1581" s="11" t="s">
        <v>1491</v>
      </c>
      <c r="J1581" s="11">
        <v>22.0</v>
      </c>
      <c r="K1581" s="12">
        <v>42143.0</v>
      </c>
      <c r="L1581" s="11">
        <f t="shared" si="168"/>
        <v>14</v>
      </c>
      <c r="M1581" s="11">
        <v>592712.0</v>
      </c>
      <c r="N1581" s="11">
        <v>13483.0</v>
      </c>
      <c r="O1581" s="13" t="s">
        <v>42</v>
      </c>
      <c r="P1581" s="11">
        <v>0.0</v>
      </c>
      <c r="Q1581" s="14">
        <v>0.0</v>
      </c>
      <c r="R1581" s="41">
        <v>1.0</v>
      </c>
      <c r="S1581">
        <f t="shared" si="1"/>
        <v>2014</v>
      </c>
      <c r="T1581">
        <f t="shared" si="2"/>
        <v>3</v>
      </c>
      <c r="U1581">
        <f t="shared" si="3"/>
        <v>26</v>
      </c>
      <c r="AG1581" s="15"/>
      <c r="AH1581" s="16"/>
      <c r="AM1581" s="15"/>
      <c r="AN1581" s="16"/>
    </row>
    <row r="1582">
      <c r="A1582" s="13" t="s">
        <v>3033</v>
      </c>
      <c r="B1582" s="10">
        <v>41723.0</v>
      </c>
      <c r="C1582" s="11" t="s">
        <v>101</v>
      </c>
      <c r="D1582" s="11" t="s">
        <v>38</v>
      </c>
      <c r="E1582" s="30" t="s">
        <v>39</v>
      </c>
      <c r="F1582" s="11" t="s">
        <v>64</v>
      </c>
      <c r="G1582" s="30" t="s">
        <v>45</v>
      </c>
      <c r="H1582" s="11" t="s">
        <v>59</v>
      </c>
      <c r="I1582" s="11" t="s">
        <v>3034</v>
      </c>
      <c r="J1582" s="11">
        <v>24.0</v>
      </c>
      <c r="K1582" s="12">
        <v>42189.0</v>
      </c>
      <c r="L1582" s="11">
        <f t="shared" si="168"/>
        <v>15</v>
      </c>
      <c r="M1582" s="11">
        <v>571578.0</v>
      </c>
      <c r="N1582" s="11">
        <v>9323.0</v>
      </c>
      <c r="O1582" s="13" t="s">
        <v>761</v>
      </c>
      <c r="P1582" s="11">
        <v>85.0</v>
      </c>
      <c r="Q1582" s="14">
        <v>430.333</v>
      </c>
      <c r="R1582" s="41">
        <v>1.0</v>
      </c>
      <c r="S1582">
        <f t="shared" si="1"/>
        <v>2014</v>
      </c>
      <c r="T1582">
        <f t="shared" si="2"/>
        <v>3</v>
      </c>
      <c r="U1582">
        <f t="shared" si="3"/>
        <v>25</v>
      </c>
      <c r="Z1582" s="17">
        <v>42163.0</v>
      </c>
      <c r="AG1582" s="15"/>
      <c r="AH1582" s="16"/>
      <c r="AM1582" s="15"/>
      <c r="AN1582" s="16"/>
    </row>
    <row r="1583">
      <c r="A1583" s="13" t="s">
        <v>3035</v>
      </c>
      <c r="B1583" s="10">
        <v>41722.0</v>
      </c>
      <c r="C1583" s="11" t="s">
        <v>101</v>
      </c>
      <c r="D1583" s="11" t="s">
        <v>38</v>
      </c>
      <c r="E1583" s="30" t="s">
        <v>39</v>
      </c>
      <c r="F1583" s="11" t="s">
        <v>40</v>
      </c>
      <c r="G1583" s="30" t="s">
        <v>45</v>
      </c>
      <c r="H1583" s="11" t="s">
        <v>67</v>
      </c>
      <c r="I1583" s="11" t="s">
        <v>3036</v>
      </c>
      <c r="J1583" s="11">
        <v>29.0</v>
      </c>
      <c r="K1583" s="12">
        <v>42162.0</v>
      </c>
      <c r="L1583" s="11">
        <f t="shared" si="168"/>
        <v>14</v>
      </c>
      <c r="M1583" s="11">
        <v>456696.0</v>
      </c>
      <c r="N1583" s="11">
        <v>4259.0</v>
      </c>
      <c r="O1583" s="13" t="s">
        <v>761</v>
      </c>
      <c r="P1583" s="11">
        <v>174.0</v>
      </c>
      <c r="Q1583" s="14">
        <v>161.333</v>
      </c>
      <c r="R1583" s="41">
        <v>1.0</v>
      </c>
      <c r="S1583">
        <f t="shared" si="1"/>
        <v>2014</v>
      </c>
      <c r="T1583">
        <f t="shared" si="2"/>
        <v>3</v>
      </c>
      <c r="U1583">
        <f t="shared" si="3"/>
        <v>24</v>
      </c>
      <c r="Z1583" s="17">
        <v>42140.0</v>
      </c>
      <c r="AG1583" s="15"/>
      <c r="AH1583" s="16"/>
      <c r="AM1583" s="15"/>
      <c r="AN1583" s="16"/>
    </row>
    <row r="1584">
      <c r="A1584" s="13" t="s">
        <v>3037</v>
      </c>
      <c r="B1584" s="10">
        <v>41722.0</v>
      </c>
      <c r="C1584" s="11" t="s">
        <v>274</v>
      </c>
      <c r="D1584" s="11" t="s">
        <v>38</v>
      </c>
      <c r="E1584" s="30" t="s">
        <v>39</v>
      </c>
      <c r="F1584" s="11" t="s">
        <v>40</v>
      </c>
      <c r="G1584" s="30" t="s">
        <v>45</v>
      </c>
      <c r="H1584" s="11" t="s">
        <v>412</v>
      </c>
      <c r="I1584" s="11"/>
      <c r="J1584" s="11">
        <v>25.0</v>
      </c>
      <c r="K1584" s="30"/>
      <c r="L1584" s="30"/>
      <c r="M1584" s="11">
        <v>519105.0</v>
      </c>
      <c r="N1584" s="11">
        <v>4913.0</v>
      </c>
      <c r="O1584" s="13" t="s">
        <v>761</v>
      </c>
      <c r="P1584" s="11">
        <v>0.0</v>
      </c>
      <c r="Q1584" s="14">
        <v>0.0</v>
      </c>
      <c r="R1584" s="11">
        <v>0.0</v>
      </c>
      <c r="S1584">
        <f t="shared" si="1"/>
        <v>2014</v>
      </c>
      <c r="T1584">
        <f t="shared" si="2"/>
        <v>3</v>
      </c>
      <c r="U1584">
        <f t="shared" si="3"/>
        <v>24</v>
      </c>
      <c r="Z1584" s="17">
        <v>42117.0</v>
      </c>
      <c r="AG1584" s="15"/>
      <c r="AH1584" s="16"/>
      <c r="AM1584" s="15"/>
      <c r="AN1584" s="16"/>
    </row>
    <row r="1585">
      <c r="A1585" s="13" t="s">
        <v>3038</v>
      </c>
      <c r="B1585" s="10">
        <v>41719.0</v>
      </c>
      <c r="C1585" s="11" t="s">
        <v>116</v>
      </c>
      <c r="D1585" s="11" t="s">
        <v>38</v>
      </c>
      <c r="E1585" s="30" t="s">
        <v>39</v>
      </c>
      <c r="F1585" s="11" t="s">
        <v>40</v>
      </c>
      <c r="G1585" s="30" t="s">
        <v>45</v>
      </c>
      <c r="H1585" s="11" t="s">
        <v>412</v>
      </c>
      <c r="I1585" s="11" t="s">
        <v>2837</v>
      </c>
      <c r="J1585" s="11">
        <v>27.0</v>
      </c>
      <c r="K1585" s="12">
        <v>42196.0</v>
      </c>
      <c r="L1585" s="11">
        <f t="shared" ref="L1585:L1586" si="169">ROUND(((K1585-B1585)/365)*12,0)</f>
        <v>16</v>
      </c>
      <c r="M1585" s="11">
        <v>545404.0</v>
      </c>
      <c r="N1585" s="11">
        <v>8851.0</v>
      </c>
      <c r="O1585" s="13" t="s">
        <v>69</v>
      </c>
      <c r="P1585" s="11">
        <v>2.0</v>
      </c>
      <c r="Q1585" s="14">
        <v>8.0</v>
      </c>
      <c r="R1585" s="41">
        <v>1.0</v>
      </c>
      <c r="S1585">
        <f t="shared" si="1"/>
        <v>2014</v>
      </c>
      <c r="T1585">
        <f t="shared" si="2"/>
        <v>3</v>
      </c>
      <c r="U1585">
        <f t="shared" si="3"/>
        <v>21</v>
      </c>
      <c r="Z1585" s="17">
        <v>42171.0</v>
      </c>
      <c r="AG1585" s="15"/>
      <c r="AH1585" s="16"/>
      <c r="AM1585" s="15"/>
      <c r="AN1585" s="16"/>
    </row>
    <row r="1586">
      <c r="A1586" s="13" t="s">
        <v>3039</v>
      </c>
      <c r="B1586" s="10">
        <v>41717.0</v>
      </c>
      <c r="C1586" s="11" t="s">
        <v>362</v>
      </c>
      <c r="D1586" s="11" t="s">
        <v>97</v>
      </c>
      <c r="E1586" s="30" t="s">
        <v>39</v>
      </c>
      <c r="F1586" s="11" t="s">
        <v>40</v>
      </c>
      <c r="G1586" s="30" t="s">
        <v>45</v>
      </c>
      <c r="H1586" s="11" t="s">
        <v>243</v>
      </c>
      <c r="I1586" s="11"/>
      <c r="J1586" s="11">
        <v>21.0</v>
      </c>
      <c r="K1586" s="12">
        <v>42195.0</v>
      </c>
      <c r="L1586" s="11">
        <f t="shared" si="169"/>
        <v>16</v>
      </c>
      <c r="M1586" s="11">
        <v>605280.0</v>
      </c>
      <c r="N1586" s="11">
        <v>13649.0</v>
      </c>
      <c r="P1586" s="11">
        <v>0.0</v>
      </c>
      <c r="Q1586" s="14">
        <v>0.0</v>
      </c>
      <c r="R1586" s="41">
        <v>1.0</v>
      </c>
      <c r="S1586">
        <f t="shared" si="1"/>
        <v>2014</v>
      </c>
      <c r="T1586">
        <f t="shared" si="2"/>
        <v>3</v>
      </c>
      <c r="U1586">
        <f t="shared" si="3"/>
        <v>19</v>
      </c>
      <c r="AG1586" s="15"/>
      <c r="AH1586" s="16"/>
      <c r="AM1586" s="15"/>
      <c r="AN1586" s="16"/>
    </row>
    <row r="1587">
      <c r="A1587" s="13" t="s">
        <v>3040</v>
      </c>
      <c r="B1587" s="10">
        <v>41717.0</v>
      </c>
      <c r="C1587" s="11" t="s">
        <v>175</v>
      </c>
      <c r="D1587" s="11" t="s">
        <v>93</v>
      </c>
      <c r="E1587" s="30" t="s">
        <v>39</v>
      </c>
      <c r="F1587" s="11" t="s">
        <v>40</v>
      </c>
      <c r="G1587" s="30" t="s">
        <v>45</v>
      </c>
      <c r="H1587" s="11" t="s">
        <v>56</v>
      </c>
      <c r="I1587" s="11" t="s">
        <v>3041</v>
      </c>
      <c r="J1587" s="11">
        <v>23.0</v>
      </c>
      <c r="K1587" s="30"/>
      <c r="L1587" s="30"/>
      <c r="M1587" s="11">
        <v>641451.0</v>
      </c>
      <c r="N1587" s="11"/>
      <c r="P1587" s="11">
        <v>0.0</v>
      </c>
      <c r="Q1587" s="14">
        <v>0.0</v>
      </c>
      <c r="R1587" s="11">
        <v>0.0</v>
      </c>
      <c r="S1587">
        <f t="shared" si="1"/>
        <v>2014</v>
      </c>
      <c r="T1587">
        <f t="shared" si="2"/>
        <v>3</v>
      </c>
      <c r="U1587">
        <f t="shared" si="3"/>
        <v>19</v>
      </c>
      <c r="AG1587" s="15"/>
      <c r="AH1587" s="16"/>
      <c r="AM1587" s="15"/>
      <c r="AN1587" s="16"/>
    </row>
    <row r="1588">
      <c r="A1588" s="13" t="s">
        <v>3042</v>
      </c>
      <c r="B1588" s="10">
        <v>41716.0</v>
      </c>
      <c r="C1588" s="11" t="s">
        <v>116</v>
      </c>
      <c r="D1588" s="11" t="s">
        <v>38</v>
      </c>
      <c r="E1588" s="30" t="s">
        <v>39</v>
      </c>
      <c r="F1588" s="11" t="s">
        <v>40</v>
      </c>
      <c r="G1588" s="30" t="s">
        <v>45</v>
      </c>
      <c r="H1588" s="11" t="s">
        <v>67</v>
      </c>
      <c r="I1588" s="11" t="s">
        <v>3043</v>
      </c>
      <c r="J1588" s="11">
        <v>28.0</v>
      </c>
      <c r="K1588" s="12">
        <v>42205.0</v>
      </c>
      <c r="L1588" s="11">
        <f t="shared" ref="L1588:L1593" si="170">ROUND(((K1588-B1588)/365)*12,0)</f>
        <v>16</v>
      </c>
      <c r="M1588" s="11">
        <v>450665.0</v>
      </c>
      <c r="N1588" s="11">
        <v>9417.0</v>
      </c>
      <c r="O1588" s="13" t="s">
        <v>761</v>
      </c>
      <c r="P1588" s="11">
        <v>22.0</v>
      </c>
      <c r="Q1588" s="14">
        <v>86.667</v>
      </c>
      <c r="R1588" s="11">
        <v>0.0</v>
      </c>
      <c r="S1588">
        <f t="shared" si="1"/>
        <v>2014</v>
      </c>
      <c r="T1588">
        <f t="shared" si="2"/>
        <v>3</v>
      </c>
      <c r="U1588">
        <f t="shared" si="3"/>
        <v>18</v>
      </c>
      <c r="Z1588" s="17">
        <v>42174.0</v>
      </c>
      <c r="AG1588" s="15"/>
      <c r="AH1588" s="16"/>
      <c r="AM1588" s="15"/>
      <c r="AN1588" s="16"/>
    </row>
    <row r="1589">
      <c r="A1589" s="13" t="s">
        <v>3044</v>
      </c>
      <c r="B1589" s="10">
        <v>41716.0</v>
      </c>
      <c r="C1589" s="11" t="s">
        <v>358</v>
      </c>
      <c r="D1589" s="11" t="s">
        <v>38</v>
      </c>
      <c r="E1589" s="30" t="s">
        <v>39</v>
      </c>
      <c r="F1589" s="11" t="s">
        <v>40</v>
      </c>
      <c r="G1589" s="30" t="s">
        <v>45</v>
      </c>
      <c r="H1589" s="11" t="s">
        <v>652</v>
      </c>
      <c r="I1589" s="11" t="s">
        <v>262</v>
      </c>
      <c r="J1589" s="11">
        <v>30.0</v>
      </c>
      <c r="K1589" s="12">
        <v>42131.0</v>
      </c>
      <c r="L1589" s="11">
        <f t="shared" si="170"/>
        <v>14</v>
      </c>
      <c r="M1589" s="11">
        <v>460024.0</v>
      </c>
      <c r="N1589" s="11">
        <v>6943.0</v>
      </c>
      <c r="O1589" s="13" t="s">
        <v>69</v>
      </c>
      <c r="P1589" s="11">
        <v>89.0</v>
      </c>
      <c r="Q1589" s="14">
        <v>88.0</v>
      </c>
      <c r="R1589" s="41">
        <v>1.0</v>
      </c>
      <c r="S1589">
        <f t="shared" si="1"/>
        <v>2014</v>
      </c>
      <c r="T1589">
        <f t="shared" si="2"/>
        <v>3</v>
      </c>
      <c r="U1589">
        <f t="shared" si="3"/>
        <v>18</v>
      </c>
      <c r="Z1589" s="17">
        <v>42103.0</v>
      </c>
      <c r="AG1589" s="15"/>
      <c r="AH1589" s="16"/>
      <c r="AM1589" s="15"/>
      <c r="AN1589" s="16"/>
    </row>
    <row r="1590">
      <c r="A1590" s="13" t="s">
        <v>3045</v>
      </c>
      <c r="B1590" s="10">
        <v>41710.0</v>
      </c>
      <c r="C1590" s="11" t="s">
        <v>103</v>
      </c>
      <c r="D1590" s="11" t="s">
        <v>77</v>
      </c>
      <c r="E1590" s="41" t="s">
        <v>279</v>
      </c>
      <c r="F1590" s="11" t="s">
        <v>40</v>
      </c>
      <c r="G1590" s="11" t="s">
        <v>41</v>
      </c>
      <c r="H1590" s="30"/>
      <c r="I1590" s="30"/>
      <c r="J1590" s="11">
        <v>21.0</v>
      </c>
      <c r="K1590" s="12">
        <v>42103.0</v>
      </c>
      <c r="L1590" s="11">
        <f t="shared" si="170"/>
        <v>13</v>
      </c>
      <c r="M1590" s="11">
        <v>593934.0</v>
      </c>
      <c r="N1590" s="11">
        <v>12164.0</v>
      </c>
      <c r="O1590" s="13" t="s">
        <v>1407</v>
      </c>
      <c r="P1590" s="11">
        <v>310.0</v>
      </c>
      <c r="Q1590" s="14">
        <v>1313.0</v>
      </c>
      <c r="R1590" s="41">
        <v>1.0</v>
      </c>
      <c r="S1590">
        <f t="shared" si="1"/>
        <v>2014</v>
      </c>
      <c r="T1590">
        <f t="shared" si="2"/>
        <v>3</v>
      </c>
      <c r="U1590">
        <f t="shared" si="3"/>
        <v>12</v>
      </c>
      <c r="AG1590" s="15"/>
      <c r="AH1590" s="16"/>
      <c r="AM1590" s="15"/>
      <c r="AN1590" s="16"/>
    </row>
    <row r="1591">
      <c r="A1591" s="13" t="s">
        <v>3046</v>
      </c>
      <c r="B1591" s="10">
        <v>41704.0</v>
      </c>
      <c r="C1591" s="11" t="s">
        <v>143</v>
      </c>
      <c r="D1591" s="11" t="s">
        <v>93</v>
      </c>
      <c r="E1591" s="11" t="s">
        <v>39</v>
      </c>
      <c r="F1591" s="11" t="s">
        <v>40</v>
      </c>
      <c r="G1591" s="11" t="s">
        <v>45</v>
      </c>
      <c r="H1591" s="11" t="s">
        <v>56</v>
      </c>
      <c r="I1591" s="11" t="s">
        <v>775</v>
      </c>
      <c r="J1591" s="11">
        <v>21.0</v>
      </c>
      <c r="K1591" s="12">
        <v>42201.0</v>
      </c>
      <c r="L1591" s="11">
        <f t="shared" si="170"/>
        <v>16</v>
      </c>
      <c r="M1591" s="11">
        <v>596111.0</v>
      </c>
      <c r="N1591" s="11" t="s">
        <v>3047</v>
      </c>
      <c r="P1591" s="11">
        <v>0.0</v>
      </c>
      <c r="Q1591" s="14">
        <v>0.0</v>
      </c>
      <c r="R1591" s="41">
        <v>1.0</v>
      </c>
      <c r="S1591">
        <f t="shared" si="1"/>
        <v>2014</v>
      </c>
      <c r="T1591">
        <f t="shared" si="2"/>
        <v>3</v>
      </c>
      <c r="U1591">
        <f t="shared" si="3"/>
        <v>6</v>
      </c>
      <c r="AG1591" s="15"/>
      <c r="AH1591" s="16"/>
      <c r="AM1591" s="15"/>
      <c r="AN1591" s="16"/>
    </row>
    <row r="1592">
      <c r="A1592" s="13" t="s">
        <v>3048</v>
      </c>
      <c r="B1592" s="10">
        <v>41699.0</v>
      </c>
      <c r="C1592" s="11" t="s">
        <v>138</v>
      </c>
      <c r="D1592" s="11" t="s">
        <v>221</v>
      </c>
      <c r="E1592" s="30" t="s">
        <v>39</v>
      </c>
      <c r="F1592" s="11" t="s">
        <v>40</v>
      </c>
      <c r="G1592" s="30" t="s">
        <v>45</v>
      </c>
      <c r="H1592" s="11" t="s">
        <v>301</v>
      </c>
      <c r="I1592" s="11" t="s">
        <v>2156</v>
      </c>
      <c r="J1592" s="11">
        <v>21.0</v>
      </c>
      <c r="K1592" s="12">
        <v>42177.0</v>
      </c>
      <c r="L1592" s="11">
        <f t="shared" si="170"/>
        <v>16</v>
      </c>
      <c r="M1592" s="11">
        <v>641392.0</v>
      </c>
      <c r="N1592" s="11" t="s">
        <v>3049</v>
      </c>
      <c r="P1592" s="11">
        <v>0.0</v>
      </c>
      <c r="Q1592" s="14">
        <v>0.0</v>
      </c>
      <c r="R1592" s="41">
        <v>1.0</v>
      </c>
      <c r="S1592">
        <f t="shared" si="1"/>
        <v>2014</v>
      </c>
      <c r="T1592">
        <f t="shared" si="2"/>
        <v>3</v>
      </c>
      <c r="U1592">
        <f t="shared" si="3"/>
        <v>1</v>
      </c>
      <c r="AG1592" s="15"/>
      <c r="AH1592" s="16"/>
      <c r="AM1592" s="15"/>
      <c r="AN1592" s="16"/>
    </row>
    <row r="1593">
      <c r="A1593" s="13" t="s">
        <v>3050</v>
      </c>
      <c r="B1593" s="10">
        <v>41699.0</v>
      </c>
      <c r="C1593" s="11" t="s">
        <v>167</v>
      </c>
      <c r="D1593" s="11" t="s">
        <v>58</v>
      </c>
      <c r="E1593" s="30" t="s">
        <v>39</v>
      </c>
      <c r="F1593" s="11" t="s">
        <v>40</v>
      </c>
      <c r="G1593" s="30" t="s">
        <v>45</v>
      </c>
      <c r="H1593" s="11" t="s">
        <v>56</v>
      </c>
      <c r="I1593" s="11" t="s">
        <v>344</v>
      </c>
      <c r="J1593" s="11">
        <v>25.0</v>
      </c>
      <c r="K1593" s="12">
        <v>42106.0</v>
      </c>
      <c r="L1593" s="11">
        <f t="shared" si="170"/>
        <v>13</v>
      </c>
      <c r="M1593" s="11">
        <v>518954.0</v>
      </c>
      <c r="N1593" s="11" t="s">
        <v>3051</v>
      </c>
      <c r="P1593" s="11">
        <v>0.0</v>
      </c>
      <c r="Q1593" s="14">
        <v>0.0</v>
      </c>
      <c r="R1593" s="41">
        <v>1.0</v>
      </c>
      <c r="S1593">
        <f t="shared" si="1"/>
        <v>2014</v>
      </c>
      <c r="T1593">
        <f t="shared" si="2"/>
        <v>3</v>
      </c>
      <c r="U1593">
        <f t="shared" si="3"/>
        <v>1</v>
      </c>
      <c r="AG1593" s="15"/>
      <c r="AH1593" s="16"/>
      <c r="AM1593" s="15"/>
      <c r="AN1593" s="16"/>
    </row>
    <row r="1594">
      <c r="A1594" s="13" t="s">
        <v>3052</v>
      </c>
      <c r="B1594" s="10">
        <v>41699.0</v>
      </c>
      <c r="C1594" s="11" t="s">
        <v>162</v>
      </c>
      <c r="D1594" s="11" t="s">
        <v>93</v>
      </c>
      <c r="E1594" s="11" t="s">
        <v>39</v>
      </c>
      <c r="F1594" s="11" t="s">
        <v>64</v>
      </c>
      <c r="G1594" s="11" t="s">
        <v>45</v>
      </c>
      <c r="H1594" s="11" t="s">
        <v>84</v>
      </c>
      <c r="I1594" s="11" t="s">
        <v>84</v>
      </c>
      <c r="J1594" s="11">
        <v>19.0</v>
      </c>
      <c r="K1594" s="12">
        <v>42562.0</v>
      </c>
      <c r="L1594" s="11"/>
      <c r="M1594" s="11">
        <v>641900.0</v>
      </c>
      <c r="N1594" s="11" t="s">
        <v>3053</v>
      </c>
      <c r="O1594" s="13"/>
      <c r="P1594" s="11">
        <v>0.0</v>
      </c>
      <c r="Q1594" s="14">
        <v>0.0</v>
      </c>
      <c r="R1594" s="41">
        <v>1.0</v>
      </c>
      <c r="S1594">
        <f t="shared" si="1"/>
        <v>2014</v>
      </c>
      <c r="T1594">
        <f t="shared" si="2"/>
        <v>3</v>
      </c>
      <c r="U1594">
        <f t="shared" si="3"/>
        <v>1</v>
      </c>
      <c r="AG1594" s="15"/>
      <c r="AH1594" s="16"/>
      <c r="AM1594" s="15"/>
      <c r="AN1594" s="16"/>
    </row>
    <row r="1595">
      <c r="A1595" s="13" t="s">
        <v>3054</v>
      </c>
      <c r="B1595" s="10">
        <v>41699.0</v>
      </c>
      <c r="C1595" s="11" t="s">
        <v>274</v>
      </c>
      <c r="D1595" s="11" t="s">
        <v>97</v>
      </c>
      <c r="E1595" s="11" t="s">
        <v>39</v>
      </c>
      <c r="F1595" s="11" t="s">
        <v>40</v>
      </c>
      <c r="G1595" s="11" t="s">
        <v>45</v>
      </c>
      <c r="H1595" s="11" t="s">
        <v>73</v>
      </c>
      <c r="I1595" s="11" t="s">
        <v>3055</v>
      </c>
      <c r="J1595" s="11">
        <v>22.0</v>
      </c>
      <c r="K1595" s="12"/>
      <c r="L1595" s="11"/>
      <c r="M1595" s="11">
        <v>623478.0</v>
      </c>
      <c r="N1595" s="11" t="s">
        <v>3056</v>
      </c>
      <c r="P1595" s="11">
        <v>0.0</v>
      </c>
      <c r="Q1595" s="14">
        <v>0.0</v>
      </c>
      <c r="R1595" s="11">
        <v>0.0</v>
      </c>
      <c r="S1595">
        <f t="shared" si="1"/>
        <v>2014</v>
      </c>
      <c r="T1595">
        <f t="shared" si="2"/>
        <v>3</v>
      </c>
      <c r="U1595">
        <f t="shared" si="3"/>
        <v>1</v>
      </c>
      <c r="AG1595" s="15"/>
      <c r="AH1595" s="16"/>
      <c r="AM1595" s="15"/>
      <c r="AN1595" s="16"/>
    </row>
    <row r="1596">
      <c r="A1596" s="13" t="s">
        <v>3057</v>
      </c>
      <c r="B1596" s="10">
        <v>41699.0</v>
      </c>
      <c r="C1596" s="11" t="s">
        <v>83</v>
      </c>
      <c r="D1596" s="11" t="s">
        <v>93</v>
      </c>
      <c r="E1596" s="11" t="s">
        <v>39</v>
      </c>
      <c r="F1596" s="11" t="s">
        <v>40</v>
      </c>
      <c r="G1596" s="11" t="s">
        <v>45</v>
      </c>
      <c r="H1596" s="11" t="s">
        <v>67</v>
      </c>
      <c r="I1596" s="11" t="s">
        <v>67</v>
      </c>
      <c r="J1596" s="11">
        <v>22.0</v>
      </c>
      <c r="K1596" s="12">
        <v>42545.0</v>
      </c>
      <c r="L1596" s="11"/>
      <c r="M1596" s="11">
        <v>670525.0</v>
      </c>
      <c r="N1596" s="11" t="s">
        <v>3058</v>
      </c>
      <c r="O1596" s="13"/>
      <c r="P1596" s="11">
        <v>0.0</v>
      </c>
      <c r="Q1596" s="14">
        <v>0.0</v>
      </c>
      <c r="R1596" s="11">
        <v>1.0</v>
      </c>
      <c r="S1596">
        <f t="shared" si="1"/>
        <v>2014</v>
      </c>
      <c r="T1596">
        <f t="shared" si="2"/>
        <v>3</v>
      </c>
      <c r="U1596">
        <f t="shared" si="3"/>
        <v>1</v>
      </c>
      <c r="AG1596" s="15"/>
      <c r="AH1596" s="16"/>
      <c r="AM1596" s="15"/>
      <c r="AN1596" s="16"/>
    </row>
    <row r="1597">
      <c r="A1597" s="13" t="s">
        <v>3059</v>
      </c>
      <c r="B1597" s="10">
        <v>41688.0</v>
      </c>
      <c r="C1597" s="11" t="s">
        <v>175</v>
      </c>
      <c r="D1597" s="11" t="s">
        <v>38</v>
      </c>
      <c r="E1597" s="30" t="s">
        <v>39</v>
      </c>
      <c r="F1597" s="11" t="s">
        <v>64</v>
      </c>
      <c r="G1597" s="30" t="s">
        <v>45</v>
      </c>
      <c r="H1597" s="11" t="s">
        <v>236</v>
      </c>
      <c r="I1597" s="11" t="s">
        <v>237</v>
      </c>
      <c r="J1597" s="11">
        <v>29.0</v>
      </c>
      <c r="K1597" s="12">
        <v>42467.0</v>
      </c>
      <c r="L1597" s="11">
        <f t="shared" ref="L1597:L1598" si="171">ROUND(((K1597-B1597)/365)*12,0)</f>
        <v>26</v>
      </c>
      <c r="M1597" s="11">
        <v>458537.0</v>
      </c>
      <c r="N1597" s="11">
        <v>1984.0</v>
      </c>
      <c r="O1597" s="13" t="s">
        <v>761</v>
      </c>
      <c r="P1597" s="11">
        <v>9.0</v>
      </c>
      <c r="Q1597" s="14">
        <v>8.667</v>
      </c>
      <c r="R1597" s="11">
        <v>0.0</v>
      </c>
      <c r="S1597">
        <f t="shared" si="1"/>
        <v>2014</v>
      </c>
      <c r="T1597">
        <f t="shared" si="2"/>
        <v>2</v>
      </c>
      <c r="U1597">
        <f t="shared" si="3"/>
        <v>18</v>
      </c>
      <c r="Z1597" s="17">
        <v>42168.0</v>
      </c>
      <c r="AG1597" s="15"/>
      <c r="AH1597" s="16"/>
      <c r="AM1597" s="15"/>
      <c r="AN1597" s="16"/>
    </row>
    <row r="1598">
      <c r="A1598" s="13" t="s">
        <v>3060</v>
      </c>
      <c r="B1598" s="10">
        <v>41674.0</v>
      </c>
      <c r="C1598" s="11" t="s">
        <v>235</v>
      </c>
      <c r="D1598" s="11" t="s">
        <v>709</v>
      </c>
      <c r="E1598" s="11" t="s">
        <v>39</v>
      </c>
      <c r="F1598" s="11" t="s">
        <v>64</v>
      </c>
      <c r="G1598" s="11" t="s">
        <v>45</v>
      </c>
      <c r="H1598" s="11" t="s">
        <v>56</v>
      </c>
      <c r="I1598" s="11" t="s">
        <v>1378</v>
      </c>
      <c r="J1598" s="11">
        <v>23.0</v>
      </c>
      <c r="K1598" s="12">
        <v>42106.0</v>
      </c>
      <c r="L1598" s="11">
        <f t="shared" si="171"/>
        <v>14</v>
      </c>
      <c r="M1598" s="11">
        <v>621394.0</v>
      </c>
      <c r="N1598" s="11" t="s">
        <v>3061</v>
      </c>
      <c r="O1598" s="13" t="s">
        <v>761</v>
      </c>
      <c r="P1598" s="11">
        <v>0.0</v>
      </c>
      <c r="Q1598" s="14">
        <v>0.0</v>
      </c>
      <c r="R1598" s="41">
        <v>1.0</v>
      </c>
      <c r="S1598">
        <f t="shared" si="1"/>
        <v>2014</v>
      </c>
      <c r="T1598">
        <f t="shared" si="2"/>
        <v>2</v>
      </c>
      <c r="U1598">
        <f t="shared" si="3"/>
        <v>4</v>
      </c>
      <c r="AG1598" s="15"/>
      <c r="AH1598" s="16"/>
      <c r="AM1598" s="15"/>
      <c r="AN1598" s="16"/>
    </row>
    <row r="1599">
      <c r="A1599" s="48" t="s">
        <v>3062</v>
      </c>
      <c r="B1599" s="10">
        <v>41673.0</v>
      </c>
      <c r="C1599" s="11" t="s">
        <v>150</v>
      </c>
      <c r="D1599" s="11" t="s">
        <v>93</v>
      </c>
      <c r="E1599" s="11" t="s">
        <v>39</v>
      </c>
      <c r="F1599" s="11" t="s">
        <v>64</v>
      </c>
      <c r="G1599" s="11" t="s">
        <v>45</v>
      </c>
      <c r="H1599" s="11" t="s">
        <v>67</v>
      </c>
      <c r="I1599" s="11" t="s">
        <v>451</v>
      </c>
      <c r="J1599" s="11">
        <v>20.0</v>
      </c>
      <c r="K1599" s="12">
        <v>42555.0</v>
      </c>
      <c r="L1599" s="11"/>
      <c r="M1599" s="11">
        <v>608344.0</v>
      </c>
      <c r="N1599" s="11">
        <v>19244.0</v>
      </c>
      <c r="P1599" s="11">
        <v>0.0</v>
      </c>
      <c r="Q1599" s="14">
        <v>0.0</v>
      </c>
      <c r="R1599" s="41">
        <v>1.0</v>
      </c>
      <c r="S1599">
        <f t="shared" si="1"/>
        <v>2014</v>
      </c>
      <c r="T1599">
        <f t="shared" si="2"/>
        <v>2</v>
      </c>
      <c r="U1599">
        <f t="shared" si="3"/>
        <v>3</v>
      </c>
      <c r="AG1599" s="15"/>
      <c r="AH1599" s="16"/>
      <c r="AM1599" s="15"/>
      <c r="AN1599" s="16"/>
    </row>
    <row r="1600">
      <c r="A1600" s="13" t="s">
        <v>3063</v>
      </c>
      <c r="B1600" s="10">
        <v>41671.0</v>
      </c>
      <c r="C1600" s="11" t="s">
        <v>111</v>
      </c>
      <c r="D1600" s="11" t="s">
        <v>88</v>
      </c>
      <c r="E1600" s="11" t="s">
        <v>39</v>
      </c>
      <c r="F1600" s="11" t="s">
        <v>64</v>
      </c>
      <c r="G1600" s="11" t="s">
        <v>45</v>
      </c>
      <c r="H1600" s="11" t="s">
        <v>84</v>
      </c>
      <c r="I1600" s="11" t="s">
        <v>124</v>
      </c>
      <c r="J1600" s="11">
        <v>23.0</v>
      </c>
      <c r="K1600" s="12">
        <v>42103.0</v>
      </c>
      <c r="L1600" s="11">
        <f>ROUND(((K1600-B1600)/365)*12,0)</f>
        <v>14</v>
      </c>
      <c r="M1600" s="11">
        <v>608707.0</v>
      </c>
      <c r="N1600" s="11" t="s">
        <v>3064</v>
      </c>
      <c r="P1600" s="11">
        <v>0.0</v>
      </c>
      <c r="Q1600" s="14">
        <v>0.0</v>
      </c>
      <c r="R1600" s="41">
        <v>1.0</v>
      </c>
      <c r="S1600">
        <f t="shared" si="1"/>
        <v>2014</v>
      </c>
      <c r="T1600">
        <f t="shared" si="2"/>
        <v>2</v>
      </c>
      <c r="U1600">
        <f t="shared" si="3"/>
        <v>1</v>
      </c>
      <c r="AG1600" s="15"/>
      <c r="AH1600" s="16"/>
      <c r="AM1600" s="15"/>
      <c r="AN1600" s="16"/>
    </row>
    <row r="1601">
      <c r="A1601" s="13" t="s">
        <v>3065</v>
      </c>
      <c r="B1601" s="10">
        <v>41640.0</v>
      </c>
      <c r="C1601" s="11" t="s">
        <v>101</v>
      </c>
      <c r="D1601" s="11" t="s">
        <v>97</v>
      </c>
      <c r="E1601" s="11" t="s">
        <v>39</v>
      </c>
      <c r="F1601" s="11" t="s">
        <v>40</v>
      </c>
      <c r="G1601" s="11" t="s">
        <v>41</v>
      </c>
      <c r="H1601" s="11"/>
      <c r="I1601" s="11"/>
      <c r="J1601" s="11">
        <v>20.0</v>
      </c>
      <c r="K1601" s="12">
        <v>42180.0</v>
      </c>
      <c r="L1601" s="30"/>
      <c r="M1601" s="11">
        <v>612791.0</v>
      </c>
      <c r="N1601" s="11" t="s">
        <v>3066</v>
      </c>
      <c r="P1601" s="11">
        <v>0.0</v>
      </c>
      <c r="Q1601" s="14">
        <v>0.0</v>
      </c>
      <c r="R1601" s="41">
        <v>1.0</v>
      </c>
      <c r="S1601">
        <f t="shared" si="1"/>
        <v>2014</v>
      </c>
      <c r="T1601">
        <f t="shared" si="2"/>
        <v>1</v>
      </c>
      <c r="U1601">
        <f t="shared" si="3"/>
        <v>1</v>
      </c>
      <c r="AG1601" s="15"/>
      <c r="AH1601" s="16"/>
      <c r="AM1601" s="15"/>
      <c r="AN1601" s="16"/>
    </row>
    <row r="1602">
      <c r="A1602" s="13" t="s">
        <v>3067</v>
      </c>
      <c r="B1602" s="17">
        <v>41640.0</v>
      </c>
      <c r="C1602" s="11" t="s">
        <v>101</v>
      </c>
      <c r="D1602" s="11" t="s">
        <v>213</v>
      </c>
      <c r="E1602" s="11" t="s">
        <v>39</v>
      </c>
      <c r="F1602" s="11" t="s">
        <v>40</v>
      </c>
      <c r="G1602" s="11" t="s">
        <v>45</v>
      </c>
      <c r="H1602" s="11" t="s">
        <v>182</v>
      </c>
      <c r="I1602" s="11" t="s">
        <v>451</v>
      </c>
      <c r="J1602" s="11">
        <v>17.0</v>
      </c>
      <c r="K1602" s="12">
        <v>43277.0</v>
      </c>
      <c r="L1602" s="30"/>
      <c r="M1602" s="11">
        <v>663868.0</v>
      </c>
      <c r="N1602" s="11" t="s">
        <v>3068</v>
      </c>
      <c r="P1602" s="11">
        <v>0.0</v>
      </c>
      <c r="Q1602" s="14">
        <v>0.0</v>
      </c>
      <c r="R1602" s="11">
        <v>1.0</v>
      </c>
      <c r="S1602">
        <f t="shared" si="1"/>
        <v>2014</v>
      </c>
      <c r="T1602">
        <f t="shared" si="2"/>
        <v>1</v>
      </c>
      <c r="U1602">
        <f t="shared" si="3"/>
        <v>1</v>
      </c>
      <c r="AG1602" s="15"/>
      <c r="AH1602" s="16"/>
      <c r="AM1602" s="15"/>
      <c r="AN1602" s="16"/>
    </row>
    <row r="1603">
      <c r="A1603" s="13" t="s">
        <v>921</v>
      </c>
      <c r="B1603" s="17">
        <v>41640.0</v>
      </c>
      <c r="C1603" s="11" t="s">
        <v>138</v>
      </c>
      <c r="D1603" s="11" t="s">
        <v>213</v>
      </c>
      <c r="E1603" s="11" t="s">
        <v>39</v>
      </c>
      <c r="F1603" s="11" t="s">
        <v>40</v>
      </c>
      <c r="G1603" s="11" t="s">
        <v>45</v>
      </c>
      <c r="H1603" s="11" t="s">
        <v>56</v>
      </c>
      <c r="I1603" s="11" t="s">
        <v>922</v>
      </c>
      <c r="J1603" s="11">
        <v>15.0</v>
      </c>
      <c r="K1603" s="12">
        <v>44322.0</v>
      </c>
      <c r="L1603" s="30"/>
      <c r="M1603" s="11">
        <v>687064.0</v>
      </c>
      <c r="N1603" s="11" t="s">
        <v>923</v>
      </c>
      <c r="P1603" s="11">
        <v>0.0</v>
      </c>
      <c r="Q1603" s="14">
        <v>0.0</v>
      </c>
      <c r="R1603" s="11">
        <v>1.0</v>
      </c>
      <c r="S1603">
        <f t="shared" si="1"/>
        <v>2014</v>
      </c>
      <c r="T1603">
        <f t="shared" si="2"/>
        <v>1</v>
      </c>
      <c r="U1603">
        <f t="shared" si="3"/>
        <v>1</v>
      </c>
      <c r="AG1603" s="15"/>
      <c r="AH1603" s="16"/>
      <c r="AM1603" s="15"/>
      <c r="AN1603" s="16"/>
    </row>
    <row r="1604">
      <c r="A1604" s="13" t="s">
        <v>3069</v>
      </c>
      <c r="B1604" s="10">
        <v>41640.0</v>
      </c>
      <c r="C1604" s="11" t="s">
        <v>167</v>
      </c>
      <c r="D1604" s="11" t="s">
        <v>88</v>
      </c>
      <c r="E1604" s="11" t="s">
        <v>39</v>
      </c>
      <c r="F1604" s="11" t="s">
        <v>40</v>
      </c>
      <c r="G1604" s="11" t="s">
        <v>45</v>
      </c>
      <c r="H1604" s="11" t="s">
        <v>67</v>
      </c>
      <c r="I1604" s="11"/>
      <c r="J1604" s="11">
        <v>22.0</v>
      </c>
      <c r="K1604" s="30"/>
      <c r="L1604" s="30"/>
      <c r="M1604" s="11">
        <v>592666.0</v>
      </c>
      <c r="N1604" s="11" t="s">
        <v>3070</v>
      </c>
      <c r="P1604" s="11">
        <v>0.0</v>
      </c>
      <c r="Q1604" s="14">
        <v>0.0</v>
      </c>
      <c r="R1604" s="11">
        <v>0.0</v>
      </c>
      <c r="S1604">
        <f t="shared" si="1"/>
        <v>2014</v>
      </c>
      <c r="T1604">
        <f t="shared" si="2"/>
        <v>1</v>
      </c>
      <c r="U1604">
        <f t="shared" si="3"/>
        <v>1</v>
      </c>
      <c r="AG1604" s="15"/>
      <c r="AH1604" s="16"/>
      <c r="AM1604" s="15"/>
      <c r="AN1604" s="16"/>
    </row>
    <row r="1605">
      <c r="A1605" s="13" t="s">
        <v>2335</v>
      </c>
      <c r="B1605" s="10">
        <v>41640.0</v>
      </c>
      <c r="C1605" s="11" t="s">
        <v>167</v>
      </c>
      <c r="D1605" s="11" t="s">
        <v>213</v>
      </c>
      <c r="E1605" s="11" t="s">
        <v>39</v>
      </c>
      <c r="F1605" s="11" t="s">
        <v>40</v>
      </c>
      <c r="G1605" s="11" t="s">
        <v>45</v>
      </c>
      <c r="H1605" s="11" t="s">
        <v>669</v>
      </c>
      <c r="I1605" s="11" t="s">
        <v>78</v>
      </c>
      <c r="J1605" s="11">
        <v>18.0</v>
      </c>
      <c r="K1605" s="12"/>
      <c r="L1605" s="11"/>
      <c r="M1605" s="11"/>
      <c r="N1605" s="11"/>
      <c r="O1605" s="13"/>
      <c r="P1605" s="11">
        <v>0.0</v>
      </c>
      <c r="Q1605" s="14">
        <v>0.0</v>
      </c>
      <c r="R1605" s="11">
        <v>1.0</v>
      </c>
      <c r="S1605">
        <f t="shared" si="1"/>
        <v>2014</v>
      </c>
      <c r="T1605">
        <f t="shared" si="2"/>
        <v>1</v>
      </c>
      <c r="U1605">
        <f t="shared" si="3"/>
        <v>1</v>
      </c>
      <c r="X1605" s="17"/>
      <c r="Z1605" s="17"/>
      <c r="AG1605" s="15"/>
      <c r="AH1605" s="16"/>
      <c r="AM1605" s="15"/>
      <c r="AN1605" s="16"/>
    </row>
    <row r="1606">
      <c r="A1606" s="13" t="s">
        <v>3071</v>
      </c>
      <c r="B1606" s="10">
        <v>41640.0</v>
      </c>
      <c r="C1606" s="11" t="s">
        <v>167</v>
      </c>
      <c r="D1606" s="11" t="s">
        <v>221</v>
      </c>
      <c r="E1606" s="11" t="s">
        <v>39</v>
      </c>
      <c r="F1606" s="11" t="s">
        <v>40</v>
      </c>
      <c r="G1606" s="11" t="s">
        <v>2232</v>
      </c>
      <c r="H1606" s="11"/>
      <c r="I1606" s="11"/>
      <c r="J1606" s="11">
        <v>17.0</v>
      </c>
      <c r="K1606" s="12">
        <v>42175.0</v>
      </c>
      <c r="L1606" s="30"/>
      <c r="M1606" s="11">
        <v>650400.0</v>
      </c>
      <c r="N1606" s="11" t="s">
        <v>3072</v>
      </c>
      <c r="P1606" s="11">
        <v>0.0</v>
      </c>
      <c r="Q1606" s="14">
        <v>0.0</v>
      </c>
      <c r="R1606" s="41">
        <v>1.0</v>
      </c>
      <c r="S1606">
        <f t="shared" si="1"/>
        <v>2014</v>
      </c>
      <c r="T1606">
        <f t="shared" si="2"/>
        <v>1</v>
      </c>
      <c r="U1606">
        <f t="shared" si="3"/>
        <v>1</v>
      </c>
      <c r="AG1606" s="15"/>
      <c r="AH1606" s="16"/>
      <c r="AM1606" s="15"/>
      <c r="AN1606" s="16"/>
    </row>
    <row r="1607">
      <c r="A1607" s="13" t="s">
        <v>3073</v>
      </c>
      <c r="B1607" s="10">
        <v>41640.0</v>
      </c>
      <c r="C1607" s="11" t="s">
        <v>167</v>
      </c>
      <c r="D1607" s="11" t="s">
        <v>221</v>
      </c>
      <c r="E1607" s="30" t="s">
        <v>39</v>
      </c>
      <c r="F1607" s="11" t="s">
        <v>64</v>
      </c>
      <c r="G1607" s="30" t="s">
        <v>45</v>
      </c>
      <c r="H1607" s="11" t="s">
        <v>56</v>
      </c>
      <c r="I1607" s="11"/>
      <c r="J1607" s="11">
        <v>20.0</v>
      </c>
      <c r="K1607" s="30"/>
      <c r="L1607" s="30"/>
      <c r="M1607" s="11">
        <v>621342.0</v>
      </c>
      <c r="N1607" s="11" t="s">
        <v>3074</v>
      </c>
      <c r="P1607" s="11">
        <v>0.0</v>
      </c>
      <c r="Q1607" s="14">
        <v>0.0</v>
      </c>
      <c r="R1607" s="41">
        <v>0.0</v>
      </c>
      <c r="S1607">
        <f t="shared" si="1"/>
        <v>2014</v>
      </c>
      <c r="T1607">
        <f t="shared" si="2"/>
        <v>1</v>
      </c>
      <c r="U1607">
        <f t="shared" si="3"/>
        <v>1</v>
      </c>
      <c r="AG1607" s="15"/>
      <c r="AH1607" s="16"/>
      <c r="AM1607" s="15"/>
      <c r="AN1607" s="16"/>
    </row>
    <row r="1608">
      <c r="A1608" s="13" t="s">
        <v>3075</v>
      </c>
      <c r="B1608" s="10">
        <v>41640.0</v>
      </c>
      <c r="C1608" s="11" t="s">
        <v>143</v>
      </c>
      <c r="D1608" s="11" t="s">
        <v>58</v>
      </c>
      <c r="E1608" s="11" t="s">
        <v>39</v>
      </c>
      <c r="F1608" s="11" t="s">
        <v>40</v>
      </c>
      <c r="G1608" s="11" t="s">
        <v>41</v>
      </c>
      <c r="H1608" s="11"/>
      <c r="I1608" s="11"/>
      <c r="J1608" s="11">
        <v>26.0</v>
      </c>
      <c r="K1608" s="12">
        <v>42104.0</v>
      </c>
      <c r="L1608" s="11">
        <f>ROUND(((K1608-B1608)/365)*12,0)</f>
        <v>15</v>
      </c>
      <c r="M1608" s="11">
        <v>501563.0</v>
      </c>
      <c r="N1608" s="11">
        <v>9243.0</v>
      </c>
      <c r="P1608" s="11">
        <v>37.0</v>
      </c>
      <c r="Q1608" s="14">
        <v>47.333</v>
      </c>
      <c r="R1608" s="11">
        <v>1.0</v>
      </c>
      <c r="S1608">
        <f t="shared" si="1"/>
        <v>2014</v>
      </c>
      <c r="T1608">
        <f t="shared" si="2"/>
        <v>1</v>
      </c>
      <c r="U1608">
        <f t="shared" si="3"/>
        <v>1</v>
      </c>
      <c r="AG1608" s="15"/>
      <c r="AH1608" s="16"/>
      <c r="AM1608" s="15"/>
      <c r="AN1608" s="16"/>
    </row>
    <row r="1609">
      <c r="A1609" s="13" t="s">
        <v>3076</v>
      </c>
      <c r="B1609" s="10">
        <v>41640.0</v>
      </c>
      <c r="C1609" s="11" t="s">
        <v>143</v>
      </c>
      <c r="D1609" s="11" t="s">
        <v>93</v>
      </c>
      <c r="E1609" s="11" t="s">
        <v>279</v>
      </c>
      <c r="F1609" s="11" t="s">
        <v>40</v>
      </c>
      <c r="G1609" s="11" t="s">
        <v>45</v>
      </c>
      <c r="H1609" s="11" t="s">
        <v>59</v>
      </c>
      <c r="I1609" s="11" t="s">
        <v>2428</v>
      </c>
      <c r="J1609" s="11">
        <v>20.0</v>
      </c>
      <c r="K1609" s="12">
        <v>42564.0</v>
      </c>
      <c r="L1609" s="30"/>
      <c r="M1609" s="11">
        <v>621545.0</v>
      </c>
      <c r="N1609" s="11" t="s">
        <v>3077</v>
      </c>
      <c r="P1609" s="11">
        <v>0.0</v>
      </c>
      <c r="Q1609" s="14">
        <v>0.0</v>
      </c>
      <c r="R1609" s="41">
        <v>1.0</v>
      </c>
      <c r="S1609">
        <f t="shared" si="1"/>
        <v>2014</v>
      </c>
      <c r="T1609">
        <f t="shared" si="2"/>
        <v>1</v>
      </c>
      <c r="U1609">
        <f t="shared" si="3"/>
        <v>1</v>
      </c>
      <c r="AG1609" s="15"/>
      <c r="AH1609" s="16"/>
      <c r="AM1609" s="15"/>
      <c r="AN1609" s="16"/>
    </row>
    <row r="1610">
      <c r="A1610" s="13" t="s">
        <v>3078</v>
      </c>
      <c r="B1610" s="10">
        <v>41640.0</v>
      </c>
      <c r="C1610" s="11" t="s">
        <v>162</v>
      </c>
      <c r="D1610" s="11" t="s">
        <v>93</v>
      </c>
      <c r="E1610" s="30" t="s">
        <v>39</v>
      </c>
      <c r="F1610" s="11" t="s">
        <v>40</v>
      </c>
      <c r="G1610" s="30" t="s">
        <v>45</v>
      </c>
      <c r="H1610" s="11" t="s">
        <v>139</v>
      </c>
      <c r="I1610" s="11" t="s">
        <v>1071</v>
      </c>
      <c r="J1610" s="11">
        <v>20.0</v>
      </c>
      <c r="K1610" s="12">
        <v>42173.0</v>
      </c>
      <c r="L1610" s="30"/>
      <c r="M1610" s="11">
        <v>656661.0</v>
      </c>
      <c r="N1610" s="11" t="s">
        <v>3079</v>
      </c>
      <c r="P1610" s="11">
        <v>0.0</v>
      </c>
      <c r="Q1610" s="14">
        <v>0.0</v>
      </c>
      <c r="R1610" s="41">
        <v>1.0</v>
      </c>
      <c r="S1610">
        <f t="shared" si="1"/>
        <v>2014</v>
      </c>
      <c r="T1610">
        <f t="shared" si="2"/>
        <v>1</v>
      </c>
      <c r="U1610">
        <f t="shared" si="3"/>
        <v>1</v>
      </c>
      <c r="AG1610" s="15"/>
      <c r="AH1610" s="16"/>
      <c r="AM1610" s="15"/>
      <c r="AN1610" s="16"/>
    </row>
    <row r="1611">
      <c r="A1611" s="48" t="s">
        <v>3080</v>
      </c>
      <c r="B1611" s="10">
        <v>41640.0</v>
      </c>
      <c r="C1611" s="11" t="s">
        <v>162</v>
      </c>
      <c r="D1611" s="11" t="s">
        <v>213</v>
      </c>
      <c r="E1611" s="11" t="s">
        <v>279</v>
      </c>
      <c r="F1611" s="11" t="s">
        <v>40</v>
      </c>
      <c r="G1611" s="11" t="s">
        <v>45</v>
      </c>
      <c r="H1611" s="11" t="s">
        <v>73</v>
      </c>
      <c r="I1611" s="11" t="s">
        <v>73</v>
      </c>
      <c r="J1611" s="11">
        <v>17.0</v>
      </c>
      <c r="K1611" s="12">
        <v>43266.0</v>
      </c>
      <c r="L1611" s="30"/>
      <c r="M1611" s="11">
        <v>665023.0</v>
      </c>
      <c r="N1611" s="11" t="s">
        <v>3081</v>
      </c>
      <c r="P1611" s="11">
        <v>0.0</v>
      </c>
      <c r="Q1611" s="14">
        <v>0.0</v>
      </c>
      <c r="R1611" s="11">
        <v>1.0</v>
      </c>
      <c r="S1611">
        <f t="shared" si="1"/>
        <v>2014</v>
      </c>
      <c r="T1611">
        <f t="shared" si="2"/>
        <v>1</v>
      </c>
      <c r="U1611">
        <f t="shared" si="3"/>
        <v>1</v>
      </c>
      <c r="AG1611" s="15"/>
      <c r="AH1611" s="16"/>
      <c r="AM1611" s="15"/>
      <c r="AN1611" s="16"/>
    </row>
    <row r="1612">
      <c r="A1612" s="13" t="s">
        <v>3082</v>
      </c>
      <c r="B1612" s="10">
        <v>41640.0</v>
      </c>
      <c r="C1612" s="11" t="s">
        <v>111</v>
      </c>
      <c r="D1612" s="11" t="s">
        <v>77</v>
      </c>
      <c r="E1612" s="11" t="s">
        <v>39</v>
      </c>
      <c r="F1612" s="11" t="s">
        <v>64</v>
      </c>
      <c r="G1612" s="11" t="s">
        <v>45</v>
      </c>
      <c r="H1612" s="11" t="s">
        <v>46</v>
      </c>
      <c r="I1612" s="11" t="s">
        <v>159</v>
      </c>
      <c r="J1612" s="11">
        <v>23.0</v>
      </c>
      <c r="K1612" s="12">
        <v>42191.0</v>
      </c>
      <c r="L1612" s="30"/>
      <c r="M1612" s="11">
        <v>607412.0</v>
      </c>
      <c r="N1612" s="11" t="s">
        <v>3083</v>
      </c>
      <c r="P1612" s="11">
        <v>0.0</v>
      </c>
      <c r="Q1612" s="14">
        <v>0.0</v>
      </c>
      <c r="R1612" s="41">
        <v>1.0</v>
      </c>
      <c r="S1612">
        <f t="shared" si="1"/>
        <v>2014</v>
      </c>
      <c r="T1612">
        <f t="shared" si="2"/>
        <v>1</v>
      </c>
      <c r="U1612">
        <f t="shared" si="3"/>
        <v>1</v>
      </c>
      <c r="AG1612" s="15"/>
      <c r="AH1612" s="16"/>
      <c r="AM1612" s="15"/>
      <c r="AN1612" s="16"/>
    </row>
    <row r="1613">
      <c r="A1613" s="13" t="s">
        <v>3084</v>
      </c>
      <c r="B1613" s="10">
        <v>41640.0</v>
      </c>
      <c r="C1613" s="11" t="s">
        <v>111</v>
      </c>
      <c r="D1613" s="11" t="s">
        <v>93</v>
      </c>
      <c r="E1613" s="11" t="s">
        <v>39</v>
      </c>
      <c r="F1613" s="11" t="s">
        <v>40</v>
      </c>
      <c r="G1613" s="11" t="s">
        <v>45</v>
      </c>
      <c r="H1613" s="11" t="s">
        <v>67</v>
      </c>
      <c r="I1613" s="11" t="s">
        <v>3085</v>
      </c>
      <c r="J1613" s="11">
        <v>21.0</v>
      </c>
      <c r="K1613" s="12">
        <v>42478.0</v>
      </c>
      <c r="L1613" s="30"/>
      <c r="M1613" s="11">
        <v>664871.0</v>
      </c>
      <c r="N1613" s="11">
        <v>19285.0</v>
      </c>
      <c r="P1613" s="11">
        <v>0.0</v>
      </c>
      <c r="Q1613" s="14">
        <v>0.0</v>
      </c>
      <c r="R1613" s="11">
        <v>1.0</v>
      </c>
      <c r="S1613">
        <f t="shared" si="1"/>
        <v>2014</v>
      </c>
      <c r="T1613">
        <f t="shared" si="2"/>
        <v>1</v>
      </c>
      <c r="U1613">
        <f t="shared" si="3"/>
        <v>1</v>
      </c>
      <c r="AG1613" s="15"/>
      <c r="AH1613" s="16"/>
      <c r="AM1613" s="15"/>
      <c r="AN1613" s="16"/>
    </row>
    <row r="1614">
      <c r="A1614" s="13" t="s">
        <v>3086</v>
      </c>
      <c r="B1614" s="10">
        <v>41640.0</v>
      </c>
      <c r="C1614" s="11" t="s">
        <v>52</v>
      </c>
      <c r="D1614" s="11" t="s">
        <v>709</v>
      </c>
      <c r="E1614" s="11" t="s">
        <v>39</v>
      </c>
      <c r="F1614" s="11" t="s">
        <v>64</v>
      </c>
      <c r="G1614" s="11" t="s">
        <v>45</v>
      </c>
      <c r="H1614" s="11" t="s">
        <v>317</v>
      </c>
      <c r="I1614" s="11" t="s">
        <v>3087</v>
      </c>
      <c r="J1614" s="11">
        <v>21.0</v>
      </c>
      <c r="K1614" s="12">
        <v>42471.0</v>
      </c>
      <c r="L1614" s="30"/>
      <c r="M1614" s="11">
        <v>643394.0</v>
      </c>
      <c r="N1614" s="11" t="s">
        <v>3088</v>
      </c>
      <c r="P1614" s="11">
        <v>0.0</v>
      </c>
      <c r="Q1614" s="14">
        <v>0.0</v>
      </c>
      <c r="R1614" s="41">
        <v>1.0</v>
      </c>
      <c r="S1614">
        <f t="shared" si="1"/>
        <v>2014</v>
      </c>
      <c r="T1614">
        <f t="shared" si="2"/>
        <v>1</v>
      </c>
      <c r="U1614">
        <f t="shared" si="3"/>
        <v>1</v>
      </c>
      <c r="AG1614" s="15"/>
      <c r="AH1614" s="16"/>
      <c r="AM1614" s="15"/>
      <c r="AN1614" s="16"/>
    </row>
    <row r="1615">
      <c r="A1615" s="13" t="s">
        <v>3089</v>
      </c>
      <c r="B1615" s="10">
        <v>41640.0</v>
      </c>
      <c r="C1615" s="11" t="s">
        <v>52</v>
      </c>
      <c r="D1615" s="11" t="s">
        <v>77</v>
      </c>
      <c r="E1615" s="11" t="s">
        <v>39</v>
      </c>
      <c r="F1615" s="11" t="s">
        <v>40</v>
      </c>
      <c r="G1615" s="11" t="s">
        <v>45</v>
      </c>
      <c r="H1615" s="11" t="s">
        <v>133</v>
      </c>
      <c r="I1615" s="11" t="s">
        <v>1393</v>
      </c>
      <c r="J1615" s="11">
        <v>26.0</v>
      </c>
      <c r="K1615" s="12">
        <v>42119.0</v>
      </c>
      <c r="L1615" s="30"/>
      <c r="M1615" s="11">
        <v>606969.0</v>
      </c>
      <c r="N1615" s="11" t="s">
        <v>3090</v>
      </c>
      <c r="P1615" s="11">
        <v>0.0</v>
      </c>
      <c r="Q1615" s="14">
        <v>0.0</v>
      </c>
      <c r="R1615" s="11">
        <v>0.0</v>
      </c>
      <c r="S1615">
        <f t="shared" si="1"/>
        <v>2014</v>
      </c>
      <c r="T1615">
        <f t="shared" si="2"/>
        <v>1</v>
      </c>
      <c r="U1615">
        <f t="shared" si="3"/>
        <v>1</v>
      </c>
      <c r="AG1615" s="15"/>
      <c r="AH1615" s="16"/>
      <c r="AM1615" s="15"/>
      <c r="AN1615" s="16"/>
    </row>
    <row r="1616">
      <c r="A1616" s="13" t="s">
        <v>3091</v>
      </c>
      <c r="B1616" s="17">
        <v>41640.0</v>
      </c>
      <c r="C1616" s="11" t="s">
        <v>52</v>
      </c>
      <c r="D1616" s="11" t="s">
        <v>213</v>
      </c>
      <c r="E1616" s="11" t="s">
        <v>39</v>
      </c>
      <c r="F1616" s="11" t="s">
        <v>40</v>
      </c>
      <c r="G1616" s="11" t="s">
        <v>45</v>
      </c>
      <c r="H1616" s="11" t="s">
        <v>735</v>
      </c>
      <c r="I1616" s="11" t="s">
        <v>735</v>
      </c>
      <c r="J1616" s="11">
        <v>17.0</v>
      </c>
      <c r="K1616" s="12">
        <v>43640.0</v>
      </c>
      <c r="L1616" s="30"/>
      <c r="M1616" s="11">
        <v>680423.0</v>
      </c>
      <c r="N1616" s="11" t="s">
        <v>3092</v>
      </c>
      <c r="P1616" s="11">
        <v>0.0</v>
      </c>
      <c r="Q1616" s="14">
        <v>0.0</v>
      </c>
      <c r="R1616" s="11">
        <v>1.0</v>
      </c>
      <c r="S1616">
        <f t="shared" si="1"/>
        <v>2014</v>
      </c>
      <c r="T1616">
        <f t="shared" si="2"/>
        <v>1</v>
      </c>
      <c r="U1616">
        <f t="shared" si="3"/>
        <v>1</v>
      </c>
      <c r="AG1616" s="15"/>
      <c r="AH1616" s="16"/>
      <c r="AM1616" s="15"/>
      <c r="AN1616" s="16"/>
    </row>
    <row r="1617">
      <c r="A1617" s="13" t="s">
        <v>3093</v>
      </c>
      <c r="B1617" s="10">
        <v>41640.0</v>
      </c>
      <c r="C1617" s="11" t="s">
        <v>346</v>
      </c>
      <c r="D1617" s="11" t="s">
        <v>93</v>
      </c>
      <c r="E1617" s="11" t="s">
        <v>39</v>
      </c>
      <c r="F1617" s="11" t="s">
        <v>40</v>
      </c>
      <c r="G1617" s="11" t="s">
        <v>45</v>
      </c>
      <c r="H1617" s="11" t="s">
        <v>67</v>
      </c>
      <c r="I1617" s="11" t="s">
        <v>3094</v>
      </c>
      <c r="J1617" s="11">
        <v>21.0</v>
      </c>
      <c r="K1617" s="12">
        <v>42910.0</v>
      </c>
      <c r="L1617" s="30"/>
      <c r="M1617" s="11">
        <v>669920.0</v>
      </c>
      <c r="N1617" s="11">
        <v>19666.0</v>
      </c>
      <c r="P1617" s="11">
        <v>0.0</v>
      </c>
      <c r="Q1617" s="14">
        <v>0.0</v>
      </c>
      <c r="R1617" s="11">
        <v>1.0</v>
      </c>
      <c r="S1617">
        <f t="shared" si="1"/>
        <v>2014</v>
      </c>
      <c r="T1617">
        <f t="shared" si="2"/>
        <v>1</v>
      </c>
      <c r="U1617">
        <f t="shared" si="3"/>
        <v>1</v>
      </c>
      <c r="AG1617" s="15"/>
      <c r="AH1617" s="16"/>
      <c r="AM1617" s="15"/>
      <c r="AN1617" s="16"/>
    </row>
    <row r="1618">
      <c r="A1618" s="13" t="s">
        <v>3095</v>
      </c>
      <c r="B1618" s="10">
        <v>41640.0</v>
      </c>
      <c r="C1618" s="11" t="s">
        <v>346</v>
      </c>
      <c r="D1618" s="11" t="s">
        <v>221</v>
      </c>
      <c r="E1618" s="11" t="s">
        <v>39</v>
      </c>
      <c r="F1618" s="11" t="s">
        <v>64</v>
      </c>
      <c r="G1618" s="11" t="s">
        <v>41</v>
      </c>
      <c r="H1618" s="11"/>
      <c r="I1618" s="11"/>
      <c r="J1618" s="11">
        <v>17.0</v>
      </c>
      <c r="K1618" s="12"/>
      <c r="L1618" s="30"/>
      <c r="M1618" s="11">
        <v>658656.0</v>
      </c>
      <c r="N1618" s="11" t="s">
        <v>3096</v>
      </c>
      <c r="P1618" s="11">
        <v>0.0</v>
      </c>
      <c r="Q1618" s="14">
        <v>0.0</v>
      </c>
      <c r="R1618" s="11">
        <v>0.0</v>
      </c>
      <c r="S1618">
        <f t="shared" si="1"/>
        <v>2014</v>
      </c>
      <c r="T1618">
        <f t="shared" si="2"/>
        <v>1</v>
      </c>
      <c r="U1618">
        <f t="shared" si="3"/>
        <v>1</v>
      </c>
      <c r="AG1618" s="15"/>
      <c r="AH1618" s="16"/>
      <c r="AM1618" s="15"/>
      <c r="AN1618" s="16"/>
    </row>
    <row r="1619">
      <c r="A1619" s="13" t="s">
        <v>3097</v>
      </c>
      <c r="B1619" s="10">
        <v>41640.0</v>
      </c>
      <c r="C1619" s="11" t="s">
        <v>346</v>
      </c>
      <c r="D1619" s="11" t="s">
        <v>221</v>
      </c>
      <c r="E1619" s="11" t="s">
        <v>39</v>
      </c>
      <c r="F1619" s="11" t="s">
        <v>40</v>
      </c>
      <c r="G1619" s="11" t="s">
        <v>41</v>
      </c>
      <c r="H1619" s="11"/>
      <c r="I1619" s="11"/>
      <c r="J1619" s="11">
        <v>20.0</v>
      </c>
      <c r="K1619" s="12">
        <v>42538.0</v>
      </c>
      <c r="L1619" s="30"/>
      <c r="M1619" s="11">
        <v>622163.0</v>
      </c>
      <c r="N1619" s="11" t="s">
        <v>3098</v>
      </c>
      <c r="P1619" s="11">
        <v>0.0</v>
      </c>
      <c r="Q1619" s="14">
        <v>0.0</v>
      </c>
      <c r="R1619" s="41">
        <v>1.0</v>
      </c>
      <c r="S1619">
        <f t="shared" si="1"/>
        <v>2014</v>
      </c>
      <c r="T1619">
        <f t="shared" si="2"/>
        <v>1</v>
      </c>
      <c r="U1619">
        <f t="shared" si="3"/>
        <v>1</v>
      </c>
      <c r="AG1619" s="15"/>
      <c r="AH1619" s="16"/>
      <c r="AM1619" s="15"/>
      <c r="AN1619" s="16"/>
    </row>
    <row r="1620">
      <c r="A1620" s="13" t="s">
        <v>3099</v>
      </c>
      <c r="B1620" s="10">
        <v>41640.0</v>
      </c>
      <c r="C1620" s="11" t="s">
        <v>126</v>
      </c>
      <c r="D1620" s="11" t="s">
        <v>77</v>
      </c>
      <c r="E1620" s="11" t="s">
        <v>39</v>
      </c>
      <c r="F1620" s="11" t="s">
        <v>64</v>
      </c>
      <c r="G1620" s="11" t="s">
        <v>45</v>
      </c>
      <c r="H1620" s="11" t="s">
        <v>67</v>
      </c>
      <c r="I1620" s="11" t="s">
        <v>730</v>
      </c>
      <c r="J1620" s="11">
        <v>26.0</v>
      </c>
      <c r="K1620" s="12"/>
      <c r="L1620" s="11"/>
      <c r="M1620" s="11">
        <v>608578.0</v>
      </c>
      <c r="N1620" s="11" t="s">
        <v>3100</v>
      </c>
      <c r="O1620" s="13"/>
      <c r="P1620" s="11">
        <v>0.0</v>
      </c>
      <c r="Q1620" s="14">
        <v>0.0</v>
      </c>
      <c r="R1620" s="11">
        <v>0.0</v>
      </c>
      <c r="S1620">
        <f t="shared" si="1"/>
        <v>2014</v>
      </c>
      <c r="T1620">
        <f t="shared" si="2"/>
        <v>1</v>
      </c>
      <c r="U1620">
        <f t="shared" si="3"/>
        <v>1</v>
      </c>
      <c r="V1620" s="13"/>
      <c r="W1620" s="13"/>
      <c r="X1620" s="13"/>
      <c r="Y1620" s="13"/>
      <c r="Z1620" s="13"/>
      <c r="AA1620" s="13"/>
      <c r="AB1620" s="13"/>
      <c r="AC1620" s="13"/>
      <c r="AD1620" s="13"/>
      <c r="AE1620" s="13"/>
      <c r="AF1620" s="13"/>
      <c r="AG1620" s="50"/>
      <c r="AH1620" s="51"/>
      <c r="AI1620" s="13"/>
      <c r="AJ1620" s="13"/>
      <c r="AK1620" s="13"/>
      <c r="AL1620" s="13"/>
      <c r="AM1620" s="50"/>
      <c r="AN1620" s="51"/>
      <c r="AO1620" s="13"/>
      <c r="AP1620" s="13"/>
    </row>
    <row r="1621">
      <c r="A1621" s="13" t="s">
        <v>3101</v>
      </c>
      <c r="B1621" s="10">
        <v>41640.0</v>
      </c>
      <c r="C1621" s="11" t="s">
        <v>126</v>
      </c>
      <c r="D1621" s="11" t="s">
        <v>58</v>
      </c>
      <c r="E1621" s="11" t="s">
        <v>39</v>
      </c>
      <c r="F1621" s="11" t="s">
        <v>40</v>
      </c>
      <c r="G1621" s="11" t="s">
        <v>45</v>
      </c>
      <c r="H1621" s="11" t="s">
        <v>56</v>
      </c>
      <c r="I1621" s="11" t="s">
        <v>3102</v>
      </c>
      <c r="J1621" s="11">
        <v>27.0</v>
      </c>
      <c r="K1621" s="12">
        <v>41760.0</v>
      </c>
      <c r="L1621" s="30"/>
      <c r="M1621" s="11">
        <v>572017.0</v>
      </c>
      <c r="N1621" s="11">
        <v>10710.0</v>
      </c>
      <c r="P1621" s="11">
        <v>0.0</v>
      </c>
      <c r="Q1621" s="14">
        <v>0.0</v>
      </c>
      <c r="R1621" s="11">
        <v>0.0</v>
      </c>
      <c r="S1621">
        <f t="shared" si="1"/>
        <v>2014</v>
      </c>
      <c r="T1621">
        <f t="shared" si="2"/>
        <v>1</v>
      </c>
      <c r="U1621">
        <f t="shared" si="3"/>
        <v>1</v>
      </c>
      <c r="AG1621" s="15"/>
      <c r="AH1621" s="16"/>
      <c r="AM1621" s="15"/>
      <c r="AN1621" s="16"/>
    </row>
    <row r="1622">
      <c r="A1622" s="13" t="s">
        <v>3103</v>
      </c>
      <c r="B1622" s="10">
        <v>41640.0</v>
      </c>
      <c r="C1622" s="11" t="s">
        <v>126</v>
      </c>
      <c r="D1622" s="11" t="s">
        <v>213</v>
      </c>
      <c r="E1622" s="11" t="s">
        <v>39</v>
      </c>
      <c r="F1622" s="11" t="s">
        <v>64</v>
      </c>
      <c r="G1622" s="11" t="s">
        <v>45</v>
      </c>
      <c r="H1622" s="11" t="s">
        <v>67</v>
      </c>
      <c r="I1622" s="11" t="s">
        <v>2099</v>
      </c>
      <c r="J1622" s="11">
        <v>17.0</v>
      </c>
      <c r="K1622" s="12">
        <v>43269.0</v>
      </c>
      <c r="L1622" s="30"/>
      <c r="M1622" s="11">
        <v>677865.0</v>
      </c>
      <c r="N1622" s="11">
        <v>23779.0</v>
      </c>
      <c r="P1622" s="11">
        <v>0.0</v>
      </c>
      <c r="Q1622" s="14">
        <v>0.0</v>
      </c>
      <c r="R1622" s="11">
        <v>1.0</v>
      </c>
      <c r="S1622">
        <f t="shared" si="1"/>
        <v>2014</v>
      </c>
      <c r="T1622">
        <f t="shared" si="2"/>
        <v>1</v>
      </c>
      <c r="U1622">
        <f t="shared" si="3"/>
        <v>1</v>
      </c>
      <c r="AG1622" s="15"/>
      <c r="AH1622" s="16"/>
      <c r="AM1622" s="15"/>
      <c r="AN1622" s="16"/>
    </row>
    <row r="1623">
      <c r="A1623" s="13" t="s">
        <v>3104</v>
      </c>
      <c r="B1623" s="10">
        <v>41640.0</v>
      </c>
      <c r="C1623" s="11" t="s">
        <v>37</v>
      </c>
      <c r="D1623" s="11" t="s">
        <v>213</v>
      </c>
      <c r="E1623" s="11" t="s">
        <v>104</v>
      </c>
      <c r="F1623" s="11" t="s">
        <v>40</v>
      </c>
      <c r="G1623" s="11" t="s">
        <v>45</v>
      </c>
      <c r="H1623" s="11" t="s">
        <v>67</v>
      </c>
      <c r="I1623" s="52" t="s">
        <v>373</v>
      </c>
      <c r="J1623" s="11">
        <v>18.0</v>
      </c>
      <c r="K1623" s="12">
        <v>43647.0</v>
      </c>
      <c r="L1623" s="30"/>
      <c r="M1623" s="11">
        <v>656916.0</v>
      </c>
      <c r="N1623" s="11" t="s">
        <v>3105</v>
      </c>
      <c r="P1623" s="11">
        <v>0.0</v>
      </c>
      <c r="Q1623" s="14">
        <v>0.0</v>
      </c>
      <c r="R1623" s="11">
        <v>1.0</v>
      </c>
      <c r="S1623">
        <f t="shared" si="1"/>
        <v>2014</v>
      </c>
      <c r="T1623">
        <f t="shared" si="2"/>
        <v>1</v>
      </c>
      <c r="U1623">
        <f t="shared" si="3"/>
        <v>1</v>
      </c>
      <c r="AG1623" s="15"/>
      <c r="AH1623" s="16"/>
      <c r="AM1623" s="15"/>
      <c r="AN1623" s="16"/>
    </row>
    <row r="1624">
      <c r="A1624" s="13" t="s">
        <v>3106</v>
      </c>
      <c r="B1624" s="10">
        <v>41640.0</v>
      </c>
      <c r="C1624" s="11" t="s">
        <v>103</v>
      </c>
      <c r="D1624" s="11" t="s">
        <v>221</v>
      </c>
      <c r="E1624" s="30" t="s">
        <v>39</v>
      </c>
      <c r="F1624" s="11" t="s">
        <v>40</v>
      </c>
      <c r="G1624" s="30" t="s">
        <v>45</v>
      </c>
      <c r="H1624" s="11" t="s">
        <v>67</v>
      </c>
      <c r="I1624" s="11" t="s">
        <v>807</v>
      </c>
      <c r="J1624" s="11">
        <v>23.0</v>
      </c>
      <c r="K1624" s="12">
        <v>42179.0</v>
      </c>
      <c r="L1624" s="30"/>
      <c r="M1624" s="11">
        <v>642111.0</v>
      </c>
      <c r="N1624" s="11" t="s">
        <v>3107</v>
      </c>
      <c r="P1624" s="11">
        <v>0.0</v>
      </c>
      <c r="Q1624" s="14">
        <v>0.0</v>
      </c>
      <c r="R1624" s="41">
        <v>1.0</v>
      </c>
      <c r="S1624">
        <f t="shared" si="1"/>
        <v>2014</v>
      </c>
      <c r="T1624">
        <f t="shared" si="2"/>
        <v>1</v>
      </c>
      <c r="U1624">
        <f t="shared" si="3"/>
        <v>1</v>
      </c>
      <c r="AG1624" s="15"/>
      <c r="AH1624" s="16"/>
      <c r="AM1624" s="15"/>
      <c r="AN1624" s="16"/>
    </row>
    <row r="1625">
      <c r="A1625" s="13" t="s">
        <v>3108</v>
      </c>
      <c r="B1625" s="17">
        <v>41640.0</v>
      </c>
      <c r="C1625" s="11" t="s">
        <v>49</v>
      </c>
      <c r="D1625" s="11" t="s">
        <v>213</v>
      </c>
      <c r="E1625" s="11" t="s">
        <v>39</v>
      </c>
      <c r="F1625" s="11" t="s">
        <v>40</v>
      </c>
      <c r="G1625" s="11" t="s">
        <v>45</v>
      </c>
      <c r="H1625" s="11" t="s">
        <v>133</v>
      </c>
      <c r="I1625" s="11" t="s">
        <v>3109</v>
      </c>
      <c r="J1625" s="11">
        <v>17.0</v>
      </c>
      <c r="K1625" s="39">
        <v>43632.0</v>
      </c>
      <c r="L1625" s="30"/>
      <c r="M1625" s="11">
        <v>687109.0</v>
      </c>
      <c r="N1625" s="11" t="s">
        <v>3110</v>
      </c>
      <c r="O1625" s="13"/>
      <c r="P1625" s="11">
        <v>0.0</v>
      </c>
      <c r="Q1625" s="14">
        <v>0.0</v>
      </c>
      <c r="R1625" s="11">
        <v>1.0</v>
      </c>
      <c r="S1625">
        <f t="shared" si="1"/>
        <v>2014</v>
      </c>
      <c r="T1625">
        <f t="shared" si="2"/>
        <v>1</v>
      </c>
      <c r="U1625">
        <f t="shared" si="3"/>
        <v>1</v>
      </c>
      <c r="AG1625" s="15"/>
      <c r="AH1625" s="16"/>
      <c r="AM1625" s="15"/>
      <c r="AN1625" s="16"/>
    </row>
    <row r="1626">
      <c r="A1626" s="13" t="s">
        <v>3111</v>
      </c>
      <c r="B1626" s="10">
        <v>41640.0</v>
      </c>
      <c r="C1626" s="11" t="s">
        <v>274</v>
      </c>
      <c r="D1626" s="11" t="s">
        <v>77</v>
      </c>
      <c r="E1626" s="11" t="s">
        <v>39</v>
      </c>
      <c r="F1626" s="11" t="s">
        <v>40</v>
      </c>
      <c r="G1626" s="11" t="s">
        <v>45</v>
      </c>
      <c r="H1626" s="11" t="s">
        <v>109</v>
      </c>
      <c r="I1626" s="11" t="s">
        <v>3112</v>
      </c>
      <c r="J1626" s="11">
        <v>25.0</v>
      </c>
      <c r="K1626" s="30"/>
      <c r="L1626" s="30"/>
      <c r="M1626" s="11">
        <v>595340.0</v>
      </c>
      <c r="N1626" s="11" t="s">
        <v>3113</v>
      </c>
      <c r="O1626" s="13"/>
      <c r="P1626" s="11">
        <v>0.0</v>
      </c>
      <c r="Q1626" s="14">
        <v>0.0</v>
      </c>
      <c r="R1626" s="41">
        <v>0.0</v>
      </c>
      <c r="S1626">
        <f t="shared" si="1"/>
        <v>2014</v>
      </c>
      <c r="T1626">
        <f t="shared" si="2"/>
        <v>1</v>
      </c>
      <c r="U1626">
        <f t="shared" si="3"/>
        <v>1</v>
      </c>
      <c r="AG1626" s="15"/>
      <c r="AH1626" s="16"/>
      <c r="AM1626" s="15"/>
      <c r="AN1626" s="16"/>
    </row>
    <row r="1627">
      <c r="A1627" s="13" t="s">
        <v>1567</v>
      </c>
      <c r="B1627" s="10">
        <v>41640.0</v>
      </c>
      <c r="C1627" s="11" t="s">
        <v>150</v>
      </c>
      <c r="D1627" s="11" t="s">
        <v>93</v>
      </c>
      <c r="E1627" s="11" t="s">
        <v>39</v>
      </c>
      <c r="F1627" s="11" t="s">
        <v>40</v>
      </c>
      <c r="G1627" s="11" t="s">
        <v>45</v>
      </c>
      <c r="H1627" s="11" t="s">
        <v>67</v>
      </c>
      <c r="I1627" s="11" t="s">
        <v>1568</v>
      </c>
      <c r="J1627" s="11">
        <v>19.0</v>
      </c>
      <c r="K1627" s="12">
        <v>42560.0</v>
      </c>
      <c r="L1627" s="12"/>
      <c r="M1627" s="11">
        <v>670422.0</v>
      </c>
      <c r="N1627" s="11" t="s">
        <v>1569</v>
      </c>
      <c r="O1627" s="13"/>
      <c r="P1627" s="11">
        <v>0.0</v>
      </c>
      <c r="Q1627" s="14">
        <v>0.0</v>
      </c>
      <c r="R1627" s="11">
        <v>1.0</v>
      </c>
      <c r="S1627">
        <f t="shared" si="1"/>
        <v>2014</v>
      </c>
      <c r="T1627">
        <f t="shared" si="2"/>
        <v>1</v>
      </c>
      <c r="U1627">
        <f t="shared" si="3"/>
        <v>1</v>
      </c>
      <c r="AG1627" s="15"/>
      <c r="AH1627" s="16"/>
      <c r="AM1627" s="15"/>
      <c r="AN1627" s="16"/>
    </row>
    <row r="1628">
      <c r="A1628" s="13" t="s">
        <v>3114</v>
      </c>
      <c r="B1628" s="10">
        <v>41640.0</v>
      </c>
      <c r="C1628" s="11" t="s">
        <v>362</v>
      </c>
      <c r="D1628" s="11" t="s">
        <v>213</v>
      </c>
      <c r="E1628" s="11" t="s">
        <v>39</v>
      </c>
      <c r="F1628" s="11" t="s">
        <v>40</v>
      </c>
      <c r="G1628" s="11" t="s">
        <v>41</v>
      </c>
      <c r="H1628" s="11"/>
      <c r="I1628" s="11"/>
      <c r="J1628" s="11">
        <v>19.0</v>
      </c>
      <c r="K1628" s="39">
        <v>42545.0</v>
      </c>
      <c r="L1628" s="30"/>
      <c r="M1628" s="11">
        <v>642619.0</v>
      </c>
      <c r="N1628" s="11" t="s">
        <v>3115</v>
      </c>
      <c r="O1628" s="13"/>
      <c r="P1628" s="11">
        <v>0.0</v>
      </c>
      <c r="Q1628" s="14">
        <v>0.0</v>
      </c>
      <c r="R1628" s="41">
        <v>1.0</v>
      </c>
      <c r="S1628">
        <f t="shared" si="1"/>
        <v>2014</v>
      </c>
      <c r="T1628">
        <f t="shared" si="2"/>
        <v>1</v>
      </c>
      <c r="U1628">
        <f t="shared" si="3"/>
        <v>1</v>
      </c>
      <c r="AG1628" s="15"/>
      <c r="AH1628" s="16"/>
      <c r="AM1628" s="15"/>
      <c r="AN1628" s="16"/>
    </row>
    <row r="1629">
      <c r="A1629" s="13" t="s">
        <v>3116</v>
      </c>
      <c r="B1629" s="10">
        <v>41640.0</v>
      </c>
      <c r="C1629" s="11" t="s">
        <v>230</v>
      </c>
      <c r="D1629" s="11" t="s">
        <v>93</v>
      </c>
      <c r="E1629" s="11" t="s">
        <v>39</v>
      </c>
      <c r="F1629" s="11" t="s">
        <v>40</v>
      </c>
      <c r="G1629" s="11" t="s">
        <v>45</v>
      </c>
      <c r="H1629" s="11" t="s">
        <v>236</v>
      </c>
      <c r="I1629" s="11" t="s">
        <v>3117</v>
      </c>
      <c r="J1629" s="11">
        <v>21.0</v>
      </c>
      <c r="K1629" s="12">
        <v>42219.0</v>
      </c>
      <c r="L1629" s="11"/>
      <c r="M1629" s="11">
        <v>605521.0</v>
      </c>
      <c r="N1629" s="11">
        <v>18251.0</v>
      </c>
      <c r="O1629" s="13"/>
      <c r="P1629" s="11">
        <v>0.0</v>
      </c>
      <c r="Q1629" s="14">
        <v>0.0</v>
      </c>
      <c r="R1629" s="41">
        <v>1.0</v>
      </c>
      <c r="S1629">
        <f t="shared" si="1"/>
        <v>2014</v>
      </c>
      <c r="T1629">
        <f t="shared" si="2"/>
        <v>1</v>
      </c>
      <c r="U1629">
        <f t="shared" si="3"/>
        <v>1</v>
      </c>
      <c r="AG1629" s="15"/>
      <c r="AH1629" s="16"/>
      <c r="AM1629" s="15"/>
      <c r="AN1629" s="16"/>
    </row>
    <row r="1630">
      <c r="A1630" s="13" t="s">
        <v>3118</v>
      </c>
      <c r="B1630" s="10">
        <v>41640.0</v>
      </c>
      <c r="C1630" s="11" t="s">
        <v>62</v>
      </c>
      <c r="D1630" s="11" t="s">
        <v>58</v>
      </c>
      <c r="E1630" s="11" t="s">
        <v>118</v>
      </c>
      <c r="F1630" s="11" t="s">
        <v>40</v>
      </c>
      <c r="G1630" s="11" t="s">
        <v>53</v>
      </c>
      <c r="H1630" s="11"/>
      <c r="I1630" s="11"/>
      <c r="J1630" s="11">
        <v>29.0</v>
      </c>
      <c r="K1630" s="12"/>
      <c r="L1630" s="11"/>
      <c r="M1630" s="11">
        <v>464268.0</v>
      </c>
      <c r="N1630" s="11" t="s">
        <v>3119</v>
      </c>
      <c r="O1630" s="13"/>
      <c r="P1630" s="11">
        <v>0.0</v>
      </c>
      <c r="Q1630" s="14">
        <v>0.0</v>
      </c>
      <c r="R1630" s="11">
        <v>0.0</v>
      </c>
      <c r="S1630">
        <f t="shared" si="1"/>
        <v>2014</v>
      </c>
      <c r="T1630">
        <f t="shared" si="2"/>
        <v>1</v>
      </c>
      <c r="U1630">
        <f t="shared" si="3"/>
        <v>1</v>
      </c>
      <c r="AG1630" s="15"/>
      <c r="AH1630" s="16"/>
      <c r="AM1630" s="15"/>
      <c r="AN1630" s="16"/>
    </row>
    <row r="1631">
      <c r="A1631" s="13" t="s">
        <v>3120</v>
      </c>
      <c r="B1631" s="10">
        <v>41640.0</v>
      </c>
      <c r="C1631" s="11" t="s">
        <v>83</v>
      </c>
      <c r="D1631" s="11" t="s">
        <v>88</v>
      </c>
      <c r="E1631" s="11" t="s">
        <v>39</v>
      </c>
      <c r="F1631" s="11" t="s">
        <v>64</v>
      </c>
      <c r="G1631" s="11" t="s">
        <v>45</v>
      </c>
      <c r="H1631" s="11" t="s">
        <v>236</v>
      </c>
      <c r="I1631" s="11" t="s">
        <v>3121</v>
      </c>
      <c r="J1631" s="11">
        <v>25.0</v>
      </c>
      <c r="K1631" s="12">
        <v>42128.0</v>
      </c>
      <c r="L1631" s="11"/>
      <c r="M1631" s="11">
        <v>607647.0</v>
      </c>
      <c r="N1631" s="11" t="s">
        <v>3122</v>
      </c>
      <c r="P1631" s="11">
        <v>0.0</v>
      </c>
      <c r="Q1631" s="14">
        <v>0.0</v>
      </c>
      <c r="R1631" s="11">
        <v>0.0</v>
      </c>
      <c r="S1631">
        <f t="shared" si="1"/>
        <v>2014</v>
      </c>
      <c r="T1631">
        <f t="shared" si="2"/>
        <v>1</v>
      </c>
      <c r="U1631">
        <f t="shared" si="3"/>
        <v>1</v>
      </c>
      <c r="AG1631" s="15"/>
      <c r="AH1631" s="16"/>
      <c r="AM1631" s="15"/>
      <c r="AN1631" s="16"/>
    </row>
    <row r="1632">
      <c r="A1632" s="13" t="s">
        <v>3123</v>
      </c>
      <c r="B1632" s="10">
        <v>41640.0</v>
      </c>
      <c r="C1632" s="11" t="s">
        <v>235</v>
      </c>
      <c r="D1632" s="11" t="s">
        <v>93</v>
      </c>
      <c r="E1632" s="11" t="s">
        <v>39</v>
      </c>
      <c r="F1632" s="11" t="s">
        <v>40</v>
      </c>
      <c r="G1632" s="11" t="s">
        <v>45</v>
      </c>
      <c r="H1632" s="11" t="s">
        <v>236</v>
      </c>
      <c r="I1632" s="11" t="s">
        <v>2920</v>
      </c>
      <c r="J1632" s="11">
        <v>20.0</v>
      </c>
      <c r="K1632" s="12">
        <v>42913.0</v>
      </c>
      <c r="L1632" s="11"/>
      <c r="M1632" s="11">
        <v>677022.0</v>
      </c>
      <c r="N1632" s="11" t="s">
        <v>3124</v>
      </c>
      <c r="P1632" s="11">
        <v>0.0</v>
      </c>
      <c r="Q1632" s="14">
        <v>0.0</v>
      </c>
      <c r="R1632" s="11">
        <v>1.0</v>
      </c>
      <c r="S1632">
        <f t="shared" si="1"/>
        <v>2014</v>
      </c>
      <c r="T1632">
        <f t="shared" si="2"/>
        <v>1</v>
      </c>
      <c r="U1632">
        <f t="shared" si="3"/>
        <v>1</v>
      </c>
      <c r="AG1632" s="15"/>
      <c r="AH1632" s="16"/>
      <c r="AM1632" s="15"/>
      <c r="AN1632" s="16"/>
    </row>
    <row r="1633">
      <c r="A1633" s="19" t="s">
        <v>3125</v>
      </c>
      <c r="B1633" s="20">
        <v>41589.0</v>
      </c>
      <c r="C1633" s="21" t="s">
        <v>230</v>
      </c>
      <c r="D1633" s="21" t="s">
        <v>221</v>
      </c>
      <c r="E1633" s="21" t="s">
        <v>39</v>
      </c>
      <c r="F1633" s="21" t="s">
        <v>40</v>
      </c>
      <c r="G1633" s="21" t="s">
        <v>53</v>
      </c>
      <c r="H1633" s="21"/>
      <c r="I1633" s="21"/>
      <c r="J1633" s="21">
        <v>18.0</v>
      </c>
      <c r="K1633" s="22">
        <v>42175.0</v>
      </c>
      <c r="L1633" s="21">
        <f t="shared" ref="L1633:L1634" si="172">ROUND(((K1633-B1633)/365)*12,0)</f>
        <v>19</v>
      </c>
      <c r="M1633" s="21">
        <v>641154.0</v>
      </c>
      <c r="N1633" s="21">
        <v>17085.0</v>
      </c>
      <c r="O1633" s="24"/>
      <c r="P1633" s="21">
        <v>0.0</v>
      </c>
      <c r="Q1633" s="23">
        <v>0.0</v>
      </c>
      <c r="R1633" s="21">
        <v>1.0</v>
      </c>
      <c r="S1633" s="33">
        <f t="shared" si="1"/>
        <v>2013</v>
      </c>
      <c r="T1633" s="33">
        <f t="shared" si="2"/>
        <v>11</v>
      </c>
      <c r="U1633" s="33">
        <f t="shared" si="3"/>
        <v>11</v>
      </c>
      <c r="V1633" s="24"/>
      <c r="W1633" s="24"/>
      <c r="X1633" s="24"/>
      <c r="Y1633" s="24"/>
      <c r="Z1633" s="24"/>
      <c r="AA1633" s="24"/>
      <c r="AB1633" s="24"/>
      <c r="AC1633" s="24"/>
      <c r="AD1633" s="24"/>
      <c r="AE1633" s="24"/>
      <c r="AF1633" s="24"/>
      <c r="AG1633" s="26"/>
      <c r="AH1633" s="27"/>
      <c r="AI1633" s="24"/>
      <c r="AJ1633" s="24"/>
      <c r="AK1633" s="24"/>
      <c r="AL1633" s="24"/>
      <c r="AM1633" s="26"/>
      <c r="AN1633" s="27"/>
      <c r="AO1633" s="24"/>
      <c r="AP1633" s="24"/>
    </row>
    <row r="1634">
      <c r="A1634" s="13" t="s">
        <v>3126</v>
      </c>
      <c r="B1634" s="10">
        <v>41579.0</v>
      </c>
      <c r="C1634" s="11" t="s">
        <v>44</v>
      </c>
      <c r="D1634" s="11" t="s">
        <v>77</v>
      </c>
      <c r="E1634" s="11" t="s">
        <v>39</v>
      </c>
      <c r="F1634" s="11" t="s">
        <v>40</v>
      </c>
      <c r="G1634" s="11" t="s">
        <v>45</v>
      </c>
      <c r="H1634" s="11" t="s">
        <v>67</v>
      </c>
      <c r="I1634" s="11" t="s">
        <v>2099</v>
      </c>
      <c r="J1634" s="11">
        <v>24.0</v>
      </c>
      <c r="K1634" s="12">
        <v>42103.0</v>
      </c>
      <c r="L1634" s="11">
        <f t="shared" si="172"/>
        <v>17</v>
      </c>
      <c r="M1634" s="11">
        <v>607414.0</v>
      </c>
      <c r="N1634" s="11" t="s">
        <v>3127</v>
      </c>
      <c r="P1634" s="11">
        <v>0.0</v>
      </c>
      <c r="Q1634" s="14">
        <v>0.0</v>
      </c>
      <c r="R1634" s="41">
        <v>1.0</v>
      </c>
      <c r="S1634">
        <f t="shared" si="1"/>
        <v>2013</v>
      </c>
      <c r="T1634">
        <f t="shared" si="2"/>
        <v>11</v>
      </c>
      <c r="U1634">
        <f t="shared" si="3"/>
        <v>1</v>
      </c>
      <c r="AG1634" s="15"/>
      <c r="AH1634" s="16"/>
      <c r="AM1634" s="15"/>
      <c r="AN1634" s="16"/>
    </row>
    <row r="1635">
      <c r="A1635" s="13" t="s">
        <v>3128</v>
      </c>
      <c r="B1635" s="10">
        <v>41579.0</v>
      </c>
      <c r="C1635" s="11" t="s">
        <v>126</v>
      </c>
      <c r="D1635" s="11" t="s">
        <v>213</v>
      </c>
      <c r="E1635" s="11" t="s">
        <v>39</v>
      </c>
      <c r="F1635" s="11" t="s">
        <v>40</v>
      </c>
      <c r="G1635" s="11" t="s">
        <v>45</v>
      </c>
      <c r="H1635" s="11" t="s">
        <v>67</v>
      </c>
      <c r="I1635" s="11" t="s">
        <v>2023</v>
      </c>
      <c r="J1635" s="11">
        <v>18.0</v>
      </c>
      <c r="K1635" s="12">
        <v>42556.0</v>
      </c>
      <c r="L1635" s="11"/>
      <c r="M1635" s="11">
        <v>669952.0</v>
      </c>
      <c r="N1635" s="11">
        <v>19225.0</v>
      </c>
      <c r="O1635" s="13"/>
      <c r="P1635" s="11">
        <v>0.0</v>
      </c>
      <c r="Q1635" s="14">
        <v>0.0</v>
      </c>
      <c r="R1635" s="41">
        <v>1.0</v>
      </c>
      <c r="S1635">
        <f t="shared" si="1"/>
        <v>2013</v>
      </c>
      <c r="T1635">
        <f t="shared" si="2"/>
        <v>11</v>
      </c>
      <c r="U1635">
        <f t="shared" si="3"/>
        <v>1</v>
      </c>
      <c r="V1635" s="13"/>
      <c r="W1635" s="13"/>
      <c r="X1635" s="13"/>
      <c r="Y1635" s="13"/>
      <c r="Z1635" s="13"/>
      <c r="AA1635" s="13"/>
      <c r="AB1635" s="13"/>
      <c r="AC1635" s="13"/>
      <c r="AD1635" s="13"/>
      <c r="AE1635" s="13"/>
      <c r="AF1635" s="13"/>
      <c r="AG1635" s="50"/>
      <c r="AH1635" s="51"/>
      <c r="AI1635" s="13"/>
      <c r="AJ1635" s="13"/>
      <c r="AK1635" s="13"/>
      <c r="AL1635" s="13"/>
      <c r="AM1635" s="50"/>
      <c r="AN1635" s="16"/>
    </row>
    <row r="1636">
      <c r="A1636" s="13" t="s">
        <v>3129</v>
      </c>
      <c r="B1636" s="10">
        <v>41569.0</v>
      </c>
      <c r="C1636" s="11" t="s">
        <v>49</v>
      </c>
      <c r="D1636" s="11" t="s">
        <v>38</v>
      </c>
      <c r="E1636" s="30" t="s">
        <v>39</v>
      </c>
      <c r="F1636" s="11" t="s">
        <v>40</v>
      </c>
      <c r="G1636" s="30" t="s">
        <v>45</v>
      </c>
      <c r="H1636" s="11" t="s">
        <v>276</v>
      </c>
      <c r="I1636" s="11" t="s">
        <v>127</v>
      </c>
      <c r="J1636" s="11">
        <v>24.0</v>
      </c>
      <c r="K1636" s="12">
        <v>42103.0</v>
      </c>
      <c r="L1636" s="11">
        <f>ROUND(((K1636-B1636)/365)*12,0)</f>
        <v>18</v>
      </c>
      <c r="M1636" s="11">
        <v>518774.0</v>
      </c>
      <c r="N1636" s="11">
        <v>11713.0</v>
      </c>
      <c r="O1636" s="13" t="s">
        <v>761</v>
      </c>
      <c r="P1636" s="11">
        <v>65.0</v>
      </c>
      <c r="Q1636" s="14">
        <v>374.667</v>
      </c>
      <c r="R1636" s="41">
        <v>1.0</v>
      </c>
      <c r="S1636">
        <f t="shared" si="1"/>
        <v>2013</v>
      </c>
      <c r="T1636">
        <f t="shared" si="2"/>
        <v>10</v>
      </c>
      <c r="U1636">
        <f t="shared" si="3"/>
        <v>22</v>
      </c>
      <c r="V1636" s="13"/>
      <c r="W1636" s="13"/>
      <c r="X1636" s="13"/>
      <c r="Y1636" s="13"/>
      <c r="Z1636" s="17">
        <v>42103.0</v>
      </c>
      <c r="AA1636" s="13"/>
      <c r="AB1636" s="13"/>
      <c r="AC1636" s="13"/>
      <c r="AD1636" s="13"/>
      <c r="AE1636" s="13">
        <v>26.0</v>
      </c>
      <c r="AF1636" s="13">
        <v>26.0</v>
      </c>
      <c r="AG1636" s="50">
        <v>178.333</v>
      </c>
      <c r="AH1636" s="51">
        <v>0.232</v>
      </c>
      <c r="AI1636" s="13">
        <v>64.0</v>
      </c>
      <c r="AJ1636" s="13">
        <v>53.0</v>
      </c>
      <c r="AK1636" s="13">
        <v>16.0</v>
      </c>
      <c r="AL1636" s="13">
        <v>16.0</v>
      </c>
      <c r="AM1636" s="50">
        <v>105.333</v>
      </c>
      <c r="AN1636" s="16"/>
    </row>
    <row r="1637">
      <c r="A1637" s="13" t="s">
        <v>3130</v>
      </c>
      <c r="B1637" s="10">
        <v>41565.0</v>
      </c>
      <c r="C1637" s="11" t="s">
        <v>192</v>
      </c>
      <c r="D1637" s="11" t="s">
        <v>213</v>
      </c>
      <c r="E1637" s="11" t="s">
        <v>279</v>
      </c>
      <c r="F1637" s="11" t="s">
        <v>40</v>
      </c>
      <c r="G1637" s="11" t="s">
        <v>45</v>
      </c>
      <c r="H1637" s="11" t="s">
        <v>67</v>
      </c>
      <c r="I1637" s="11"/>
      <c r="J1637" s="11">
        <v>18.0</v>
      </c>
      <c r="K1637" s="12">
        <v>42177.0</v>
      </c>
      <c r="L1637" s="30"/>
      <c r="M1637" s="11">
        <v>663527.0</v>
      </c>
      <c r="N1637" s="11" t="s">
        <v>3131</v>
      </c>
      <c r="O1637" s="13"/>
      <c r="P1637" s="11">
        <v>0.0</v>
      </c>
      <c r="Q1637" s="14">
        <v>0.0</v>
      </c>
      <c r="R1637" s="41">
        <v>1.0</v>
      </c>
      <c r="S1637">
        <f t="shared" si="1"/>
        <v>2013</v>
      </c>
      <c r="T1637">
        <f t="shared" si="2"/>
        <v>10</v>
      </c>
      <c r="U1637">
        <f t="shared" si="3"/>
        <v>18</v>
      </c>
      <c r="AG1637" s="15"/>
      <c r="AH1637" s="16"/>
      <c r="AM1637" s="15"/>
      <c r="AN1637" s="16"/>
    </row>
    <row r="1638">
      <c r="A1638" s="13" t="s">
        <v>3132</v>
      </c>
      <c r="B1638" s="10">
        <v>41555.0</v>
      </c>
      <c r="C1638" s="11" t="s">
        <v>274</v>
      </c>
      <c r="D1638" s="11" t="s">
        <v>93</v>
      </c>
      <c r="E1638" s="11" t="s">
        <v>39</v>
      </c>
      <c r="F1638" s="11" t="s">
        <v>40</v>
      </c>
      <c r="G1638" s="11" t="s">
        <v>45</v>
      </c>
      <c r="H1638" s="11" t="s">
        <v>119</v>
      </c>
      <c r="I1638" s="11" t="s">
        <v>2756</v>
      </c>
      <c r="J1638" s="11">
        <v>20.0</v>
      </c>
      <c r="K1638" s="12">
        <v>42177.0</v>
      </c>
      <c r="L1638" s="30"/>
      <c r="M1638" s="11">
        <v>664955.0</v>
      </c>
      <c r="N1638" s="11" t="s">
        <v>3133</v>
      </c>
      <c r="O1638" s="13"/>
      <c r="P1638" s="11">
        <v>0.0</v>
      </c>
      <c r="Q1638" s="14">
        <v>0.0</v>
      </c>
      <c r="R1638" s="41">
        <v>1.0</v>
      </c>
      <c r="S1638">
        <f t="shared" si="1"/>
        <v>2013</v>
      </c>
      <c r="T1638">
        <f t="shared" si="2"/>
        <v>10</v>
      </c>
      <c r="U1638">
        <f t="shared" si="3"/>
        <v>8</v>
      </c>
      <c r="AG1638" s="15"/>
      <c r="AH1638" s="16"/>
      <c r="AM1638" s="15"/>
      <c r="AN1638" s="16"/>
    </row>
    <row r="1639">
      <c r="A1639" s="13" t="s">
        <v>3134</v>
      </c>
      <c r="B1639" s="10">
        <v>41551.0</v>
      </c>
      <c r="C1639" s="11" t="s">
        <v>150</v>
      </c>
      <c r="D1639" s="11" t="s">
        <v>709</v>
      </c>
      <c r="E1639" s="41" t="s">
        <v>104</v>
      </c>
      <c r="F1639" s="11" t="s">
        <v>40</v>
      </c>
      <c r="G1639" s="30" t="s">
        <v>45</v>
      </c>
      <c r="H1639" s="11" t="s">
        <v>67</v>
      </c>
      <c r="I1639" s="11" t="s">
        <v>748</v>
      </c>
      <c r="J1639" s="11">
        <v>21.0</v>
      </c>
      <c r="K1639" s="12">
        <v>41766.0</v>
      </c>
      <c r="L1639" s="11">
        <f t="shared" ref="L1639:L1647" si="173">ROUND(((K1639-B1639)/365)*12,0)</f>
        <v>7</v>
      </c>
      <c r="M1639" s="11">
        <v>595284.0</v>
      </c>
      <c r="N1639" s="11">
        <v>14942.0</v>
      </c>
      <c r="O1639" s="13" t="s">
        <v>1422</v>
      </c>
      <c r="P1639" s="11">
        <v>56.0</v>
      </c>
      <c r="Q1639" s="14">
        <v>204.0</v>
      </c>
      <c r="R1639" s="41">
        <v>1.0</v>
      </c>
      <c r="S1639">
        <f t="shared" si="1"/>
        <v>2013</v>
      </c>
      <c r="T1639">
        <f t="shared" si="2"/>
        <v>10</v>
      </c>
      <c r="U1639">
        <f t="shared" si="3"/>
        <v>4</v>
      </c>
      <c r="AG1639" s="15"/>
      <c r="AH1639" s="16"/>
      <c r="AM1639" s="15"/>
      <c r="AN1639" s="16"/>
    </row>
    <row r="1640">
      <c r="A1640" s="13" t="s">
        <v>3135</v>
      </c>
      <c r="B1640" s="10">
        <v>41548.0</v>
      </c>
      <c r="C1640" s="11" t="s">
        <v>358</v>
      </c>
      <c r="D1640" s="11" t="s">
        <v>97</v>
      </c>
      <c r="E1640" s="11" t="s">
        <v>39</v>
      </c>
      <c r="F1640" s="11" t="s">
        <v>64</v>
      </c>
      <c r="G1640" s="11" t="s">
        <v>45</v>
      </c>
      <c r="H1640" s="11" t="s">
        <v>240</v>
      </c>
      <c r="I1640" s="11"/>
      <c r="J1640" s="11">
        <v>19.0</v>
      </c>
      <c r="K1640" s="12">
        <v>42106.0</v>
      </c>
      <c r="L1640" s="11">
        <f t="shared" si="173"/>
        <v>18</v>
      </c>
      <c r="M1640" s="11">
        <v>621331.0</v>
      </c>
      <c r="N1640" s="11" t="s">
        <v>3136</v>
      </c>
      <c r="O1640" s="13"/>
      <c r="P1640" s="11">
        <v>0.0</v>
      </c>
      <c r="Q1640" s="14">
        <v>0.0</v>
      </c>
      <c r="R1640" s="41">
        <v>1.0</v>
      </c>
      <c r="S1640">
        <f t="shared" si="1"/>
        <v>2013</v>
      </c>
      <c r="T1640">
        <f t="shared" si="2"/>
        <v>10</v>
      </c>
      <c r="U1640">
        <f t="shared" si="3"/>
        <v>1</v>
      </c>
      <c r="AG1640" s="15"/>
      <c r="AH1640" s="16"/>
      <c r="AM1640" s="15"/>
      <c r="AN1640" s="16"/>
    </row>
    <row r="1641">
      <c r="A1641" s="13" t="s">
        <v>3137</v>
      </c>
      <c r="B1641" s="10">
        <v>41548.0</v>
      </c>
      <c r="C1641" s="11" t="s">
        <v>37</v>
      </c>
      <c r="D1641" s="11" t="s">
        <v>77</v>
      </c>
      <c r="E1641" s="11" t="s">
        <v>39</v>
      </c>
      <c r="F1641" s="11" t="s">
        <v>64</v>
      </c>
      <c r="G1641" s="11" t="s">
        <v>483</v>
      </c>
      <c r="H1641" s="11"/>
      <c r="I1641" s="11"/>
      <c r="J1641" s="11">
        <v>24.0</v>
      </c>
      <c r="K1641" s="39">
        <v>42174.0</v>
      </c>
      <c r="L1641" s="11">
        <f t="shared" si="173"/>
        <v>21</v>
      </c>
      <c r="M1641" s="11">
        <v>612272.0</v>
      </c>
      <c r="N1641" s="11">
        <v>14077.0</v>
      </c>
      <c r="O1641" s="13"/>
      <c r="P1641" s="11">
        <v>7.0</v>
      </c>
      <c r="Q1641" s="14">
        <v>5.667</v>
      </c>
      <c r="R1641" s="41">
        <v>1.0</v>
      </c>
      <c r="S1641">
        <f t="shared" si="1"/>
        <v>2013</v>
      </c>
      <c r="T1641">
        <f t="shared" si="2"/>
        <v>10</v>
      </c>
      <c r="U1641">
        <f t="shared" si="3"/>
        <v>1</v>
      </c>
      <c r="AG1641" s="15"/>
      <c r="AH1641" s="16"/>
      <c r="AM1641" s="15"/>
      <c r="AN1641" s="16"/>
    </row>
    <row r="1642">
      <c r="A1642" s="13" t="s">
        <v>3138</v>
      </c>
      <c r="B1642" s="10">
        <v>41541.0</v>
      </c>
      <c r="C1642" s="11" t="s">
        <v>101</v>
      </c>
      <c r="D1642" s="11" t="s">
        <v>38</v>
      </c>
      <c r="E1642" s="30" t="s">
        <v>39</v>
      </c>
      <c r="F1642" s="11" t="s">
        <v>64</v>
      </c>
      <c r="G1642" s="30" t="s">
        <v>45</v>
      </c>
      <c r="H1642" s="11" t="s">
        <v>73</v>
      </c>
      <c r="I1642" s="11" t="s">
        <v>3139</v>
      </c>
      <c r="J1642" s="11">
        <v>28.0</v>
      </c>
      <c r="K1642" s="12">
        <v>42239.0</v>
      </c>
      <c r="L1642" s="11">
        <f t="shared" si="173"/>
        <v>23</v>
      </c>
      <c r="M1642" s="11">
        <v>519186.0</v>
      </c>
      <c r="N1642" s="11">
        <v>8887.0</v>
      </c>
      <c r="O1642" s="13" t="s">
        <v>761</v>
      </c>
      <c r="P1642" s="11">
        <v>26.0</v>
      </c>
      <c r="Q1642" s="14">
        <v>19.667</v>
      </c>
      <c r="R1642" s="41">
        <v>1.0</v>
      </c>
      <c r="S1642">
        <f t="shared" si="1"/>
        <v>2013</v>
      </c>
      <c r="T1642">
        <f t="shared" si="2"/>
        <v>9</v>
      </c>
      <c r="U1642">
        <f t="shared" si="3"/>
        <v>24</v>
      </c>
      <c r="AG1642" s="15"/>
      <c r="AH1642" s="16"/>
      <c r="AM1642" s="15"/>
      <c r="AN1642" s="16"/>
    </row>
    <row r="1643">
      <c r="A1643" s="13" t="s">
        <v>3140</v>
      </c>
      <c r="B1643" s="10">
        <v>41534.0</v>
      </c>
      <c r="C1643" s="11" t="s">
        <v>192</v>
      </c>
      <c r="D1643" s="11" t="s">
        <v>38</v>
      </c>
      <c r="E1643" s="30" t="s">
        <v>39</v>
      </c>
      <c r="F1643" s="11" t="s">
        <v>40</v>
      </c>
      <c r="G1643" s="41" t="s">
        <v>53</v>
      </c>
      <c r="H1643" s="30"/>
      <c r="I1643" s="30"/>
      <c r="J1643" s="11">
        <v>38.0</v>
      </c>
      <c r="K1643" s="12">
        <v>42100.0</v>
      </c>
      <c r="L1643" s="11">
        <f t="shared" si="173"/>
        <v>19</v>
      </c>
      <c r="M1643" s="11">
        <v>429783.0</v>
      </c>
      <c r="N1643" s="11">
        <v>177.0</v>
      </c>
      <c r="O1643" s="13" t="s">
        <v>761</v>
      </c>
      <c r="P1643" s="11">
        <v>45.0</v>
      </c>
      <c r="Q1643" s="14">
        <v>39.333</v>
      </c>
      <c r="R1643" s="41">
        <v>0.0</v>
      </c>
      <c r="S1643">
        <f t="shared" si="1"/>
        <v>2013</v>
      </c>
      <c r="T1643">
        <f t="shared" si="2"/>
        <v>9</v>
      </c>
      <c r="U1643">
        <f t="shared" si="3"/>
        <v>17</v>
      </c>
      <c r="AG1643" s="15"/>
      <c r="AH1643" s="16"/>
      <c r="AM1643" s="15"/>
      <c r="AN1643" s="16"/>
    </row>
    <row r="1644">
      <c r="A1644" s="13" t="s">
        <v>3141</v>
      </c>
      <c r="B1644" s="10">
        <v>41534.0</v>
      </c>
      <c r="C1644" s="11" t="s">
        <v>103</v>
      </c>
      <c r="D1644" s="11" t="s">
        <v>221</v>
      </c>
      <c r="E1644" s="30" t="s">
        <v>39</v>
      </c>
      <c r="F1644" s="11" t="s">
        <v>40</v>
      </c>
      <c r="G1644" s="30" t="s">
        <v>45</v>
      </c>
      <c r="H1644" s="11" t="s">
        <v>240</v>
      </c>
      <c r="I1644" s="11" t="s">
        <v>775</v>
      </c>
      <c r="J1644" s="11">
        <v>22.0</v>
      </c>
      <c r="K1644" s="12">
        <v>42104.0</v>
      </c>
      <c r="L1644" s="11">
        <f t="shared" si="173"/>
        <v>19</v>
      </c>
      <c r="M1644" s="11">
        <v>608638.0</v>
      </c>
      <c r="N1644" s="11">
        <v>13767.0</v>
      </c>
      <c r="P1644" s="11">
        <v>25.0</v>
      </c>
      <c r="Q1644" s="14">
        <v>23.0</v>
      </c>
      <c r="R1644" s="41">
        <v>1.0</v>
      </c>
      <c r="S1644">
        <f t="shared" si="1"/>
        <v>2013</v>
      </c>
      <c r="T1644">
        <f t="shared" si="2"/>
        <v>9</v>
      </c>
      <c r="U1644">
        <f t="shared" si="3"/>
        <v>17</v>
      </c>
      <c r="AG1644" s="15"/>
      <c r="AH1644" s="16"/>
      <c r="AM1644" s="15"/>
      <c r="AN1644" s="16"/>
    </row>
    <row r="1645">
      <c r="A1645" s="13" t="s">
        <v>3142</v>
      </c>
      <c r="B1645" s="10">
        <v>41528.0</v>
      </c>
      <c r="C1645" s="11" t="s">
        <v>192</v>
      </c>
      <c r="D1645" s="11" t="s">
        <v>77</v>
      </c>
      <c r="E1645" s="30" t="s">
        <v>39</v>
      </c>
      <c r="F1645" s="11" t="s">
        <v>40</v>
      </c>
      <c r="G1645" s="30" t="s">
        <v>45</v>
      </c>
      <c r="H1645" s="11" t="s">
        <v>73</v>
      </c>
      <c r="I1645" s="11" t="s">
        <v>3143</v>
      </c>
      <c r="J1645" s="11">
        <v>24.0</v>
      </c>
      <c r="K1645" s="12">
        <v>41820.0</v>
      </c>
      <c r="L1645" s="11">
        <f t="shared" si="173"/>
        <v>10</v>
      </c>
      <c r="M1645" s="11">
        <v>592573.0</v>
      </c>
      <c r="N1645" s="11" t="s">
        <v>3144</v>
      </c>
      <c r="P1645" s="11">
        <v>0.0</v>
      </c>
      <c r="Q1645" s="14">
        <v>0.0</v>
      </c>
      <c r="R1645" s="11">
        <v>0.0</v>
      </c>
      <c r="S1645">
        <f t="shared" si="1"/>
        <v>2013</v>
      </c>
      <c r="T1645">
        <f t="shared" si="2"/>
        <v>9</v>
      </c>
      <c r="U1645">
        <f t="shared" si="3"/>
        <v>11</v>
      </c>
      <c r="AG1645" s="15"/>
      <c r="AH1645" s="16"/>
      <c r="AM1645" s="15"/>
      <c r="AN1645" s="16"/>
    </row>
    <row r="1646">
      <c r="A1646" s="13" t="s">
        <v>3145</v>
      </c>
      <c r="B1646" s="10">
        <v>41528.0</v>
      </c>
      <c r="C1646" s="11" t="s">
        <v>358</v>
      </c>
      <c r="D1646" s="11" t="s">
        <v>77</v>
      </c>
      <c r="E1646" s="11" t="s">
        <v>39</v>
      </c>
      <c r="F1646" s="11" t="s">
        <v>40</v>
      </c>
      <c r="G1646" s="11" t="s">
        <v>45</v>
      </c>
      <c r="H1646" s="11" t="s">
        <v>67</v>
      </c>
      <c r="I1646" s="11"/>
      <c r="J1646" s="11">
        <v>22.0</v>
      </c>
      <c r="K1646" s="12">
        <v>42216.0</v>
      </c>
      <c r="L1646" s="11">
        <f t="shared" si="173"/>
        <v>23</v>
      </c>
      <c r="M1646" s="11">
        <v>572044.0</v>
      </c>
      <c r="N1646" s="11">
        <v>10387.0</v>
      </c>
      <c r="P1646" s="11">
        <v>24.0</v>
      </c>
      <c r="Q1646" s="14">
        <v>23.0</v>
      </c>
      <c r="R1646" s="41">
        <v>1.0</v>
      </c>
      <c r="S1646">
        <f t="shared" si="1"/>
        <v>2013</v>
      </c>
      <c r="T1646">
        <f t="shared" si="2"/>
        <v>9</v>
      </c>
      <c r="U1646">
        <f t="shared" si="3"/>
        <v>11</v>
      </c>
      <c r="AG1646" s="15"/>
      <c r="AH1646" s="16"/>
      <c r="AM1646" s="15"/>
      <c r="AN1646" s="16"/>
    </row>
    <row r="1647">
      <c r="A1647" s="13" t="s">
        <v>3146</v>
      </c>
      <c r="B1647" s="10">
        <v>41518.0</v>
      </c>
      <c r="C1647" s="11" t="s">
        <v>72</v>
      </c>
      <c r="D1647" s="11" t="s">
        <v>221</v>
      </c>
      <c r="E1647" s="30" t="s">
        <v>39</v>
      </c>
      <c r="F1647" s="11" t="s">
        <v>40</v>
      </c>
      <c r="G1647" s="30" t="s">
        <v>45</v>
      </c>
      <c r="H1647" s="11" t="s">
        <v>67</v>
      </c>
      <c r="I1647" s="11"/>
      <c r="J1647" s="11">
        <v>18.0</v>
      </c>
      <c r="K1647" s="12">
        <v>41830.0</v>
      </c>
      <c r="L1647" s="11">
        <f t="shared" si="173"/>
        <v>10</v>
      </c>
      <c r="M1647" s="11">
        <v>642100.0</v>
      </c>
      <c r="N1647" s="11">
        <v>17170.0</v>
      </c>
      <c r="P1647" s="11">
        <v>0.0</v>
      </c>
      <c r="Q1647" s="14">
        <v>0.0</v>
      </c>
      <c r="R1647" s="41">
        <v>1.0</v>
      </c>
      <c r="S1647">
        <f t="shared" si="1"/>
        <v>2013</v>
      </c>
      <c r="T1647">
        <f t="shared" si="2"/>
        <v>9</v>
      </c>
      <c r="U1647">
        <f t="shared" si="3"/>
        <v>1</v>
      </c>
      <c r="AG1647" s="15"/>
      <c r="AH1647" s="16"/>
      <c r="AM1647" s="15"/>
      <c r="AN1647" s="16"/>
    </row>
    <row r="1648">
      <c r="A1648" s="13" t="s">
        <v>2878</v>
      </c>
      <c r="B1648" s="10">
        <v>41514.0</v>
      </c>
      <c r="C1648" s="11" t="s">
        <v>49</v>
      </c>
      <c r="D1648" s="11" t="s">
        <v>38</v>
      </c>
      <c r="E1648" s="30" t="s">
        <v>39</v>
      </c>
      <c r="F1648" s="11" t="s">
        <v>40</v>
      </c>
      <c r="G1648" s="30" t="s">
        <v>45</v>
      </c>
      <c r="H1648" s="11" t="s">
        <v>112</v>
      </c>
      <c r="I1648" s="11" t="s">
        <v>2879</v>
      </c>
      <c r="J1648" s="11">
        <v>27.0</v>
      </c>
      <c r="K1648" s="30"/>
      <c r="L1648" s="30"/>
      <c r="M1648" s="11">
        <v>458550.0</v>
      </c>
      <c r="N1648" s="11">
        <v>1989.0</v>
      </c>
      <c r="O1648" s="13" t="s">
        <v>1407</v>
      </c>
      <c r="P1648" s="11">
        <v>0.0</v>
      </c>
      <c r="Q1648" s="45">
        <v>0.0</v>
      </c>
      <c r="R1648" s="41">
        <v>0.0</v>
      </c>
      <c r="S1648">
        <f t="shared" si="1"/>
        <v>2013</v>
      </c>
      <c r="T1648">
        <f t="shared" si="2"/>
        <v>8</v>
      </c>
      <c r="U1648">
        <f t="shared" si="3"/>
        <v>28</v>
      </c>
      <c r="V1648" s="17">
        <v>41687.0</v>
      </c>
      <c r="W1648" s="17">
        <v>41800.0</v>
      </c>
      <c r="Y1648" s="17">
        <v>41824.0</v>
      </c>
      <c r="Z1648" s="17">
        <v>41832.0</v>
      </c>
      <c r="AA1648" s="17">
        <v>41857.0</v>
      </c>
      <c r="AB1648" s="13" t="s">
        <v>2310</v>
      </c>
      <c r="AG1648" s="15"/>
      <c r="AH1648" s="16"/>
      <c r="AM1648" s="15"/>
      <c r="AN1648" s="16"/>
    </row>
    <row r="1649">
      <c r="A1649" s="13" t="s">
        <v>3147</v>
      </c>
      <c r="B1649" s="10">
        <v>41487.0</v>
      </c>
      <c r="C1649" s="11" t="s">
        <v>116</v>
      </c>
      <c r="D1649" s="11" t="s">
        <v>221</v>
      </c>
      <c r="E1649" s="11" t="s">
        <v>39</v>
      </c>
      <c r="F1649" s="11" t="s">
        <v>64</v>
      </c>
      <c r="G1649" s="11" t="s">
        <v>41</v>
      </c>
      <c r="H1649" s="11"/>
      <c r="I1649" s="11"/>
      <c r="J1649" s="11">
        <v>18.0</v>
      </c>
      <c r="K1649" s="30"/>
      <c r="L1649" s="30"/>
      <c r="M1649" s="11">
        <v>623909.0</v>
      </c>
      <c r="N1649" s="11" t="s">
        <v>3148</v>
      </c>
      <c r="P1649" s="11">
        <v>0.0</v>
      </c>
      <c r="Q1649" s="14">
        <v>0.0</v>
      </c>
      <c r="R1649" s="11">
        <v>0.0</v>
      </c>
      <c r="S1649">
        <f t="shared" si="1"/>
        <v>2013</v>
      </c>
      <c r="T1649">
        <f t="shared" si="2"/>
        <v>8</v>
      </c>
      <c r="U1649">
        <f t="shared" si="3"/>
        <v>1</v>
      </c>
      <c r="AG1649" s="15"/>
      <c r="AH1649" s="16"/>
      <c r="AM1649" s="15"/>
      <c r="AN1649" s="16"/>
    </row>
    <row r="1650">
      <c r="A1650" s="13" t="s">
        <v>3149</v>
      </c>
      <c r="B1650" s="10">
        <v>41487.0</v>
      </c>
      <c r="C1650" s="11" t="s">
        <v>138</v>
      </c>
      <c r="D1650" s="11" t="s">
        <v>77</v>
      </c>
      <c r="E1650" s="30" t="s">
        <v>39</v>
      </c>
      <c r="F1650" s="11" t="s">
        <v>64</v>
      </c>
      <c r="G1650" s="30" t="s">
        <v>45</v>
      </c>
      <c r="H1650" s="11" t="s">
        <v>412</v>
      </c>
      <c r="I1650" s="11" t="s">
        <v>1066</v>
      </c>
      <c r="J1650" s="11">
        <v>27.0</v>
      </c>
      <c r="K1650" s="30"/>
      <c r="L1650" s="30"/>
      <c r="M1650" s="11">
        <v>543463.0</v>
      </c>
      <c r="N1650" s="11" t="s">
        <v>3150</v>
      </c>
      <c r="P1650" s="11">
        <v>0.0</v>
      </c>
      <c r="Q1650" s="14">
        <v>0.0</v>
      </c>
      <c r="R1650" s="11">
        <v>0.0</v>
      </c>
      <c r="S1650">
        <f t="shared" si="1"/>
        <v>2013</v>
      </c>
      <c r="T1650">
        <f t="shared" si="2"/>
        <v>8</v>
      </c>
      <c r="U1650">
        <f t="shared" si="3"/>
        <v>1</v>
      </c>
      <c r="AG1650" s="15"/>
      <c r="AH1650" s="16"/>
      <c r="AM1650" s="15"/>
      <c r="AN1650" s="16"/>
    </row>
    <row r="1651">
      <c r="A1651" s="13" t="s">
        <v>3151</v>
      </c>
      <c r="B1651" s="10">
        <v>41487.0</v>
      </c>
      <c r="C1651" s="11" t="s">
        <v>138</v>
      </c>
      <c r="D1651" s="11" t="s">
        <v>77</v>
      </c>
      <c r="E1651" s="30" t="s">
        <v>39</v>
      </c>
      <c r="F1651" s="11" t="s">
        <v>40</v>
      </c>
      <c r="G1651" s="30" t="s">
        <v>45</v>
      </c>
      <c r="H1651" s="11" t="s">
        <v>112</v>
      </c>
      <c r="I1651" s="11"/>
      <c r="J1651" s="11">
        <v>23.0</v>
      </c>
      <c r="K1651" s="12">
        <v>42103.0</v>
      </c>
      <c r="L1651" s="11">
        <f t="shared" ref="L1651:L1654" si="174">ROUND(((K1651-B1651)/365)*12,0)</f>
        <v>20</v>
      </c>
      <c r="M1651" s="11">
        <v>542989.0</v>
      </c>
      <c r="N1651" s="11" t="s">
        <v>3152</v>
      </c>
      <c r="P1651" s="11">
        <v>0.0</v>
      </c>
      <c r="Q1651" s="14">
        <v>0.0</v>
      </c>
      <c r="R1651" s="41">
        <v>1.0</v>
      </c>
      <c r="S1651">
        <f t="shared" si="1"/>
        <v>2013</v>
      </c>
      <c r="T1651">
        <f t="shared" si="2"/>
        <v>8</v>
      </c>
      <c r="U1651">
        <f t="shared" si="3"/>
        <v>1</v>
      </c>
      <c r="AG1651" s="15"/>
      <c r="AH1651" s="16"/>
      <c r="AM1651" s="15"/>
      <c r="AN1651" s="16"/>
    </row>
    <row r="1652">
      <c r="A1652" s="13" t="s">
        <v>3153</v>
      </c>
      <c r="B1652" s="10">
        <v>41487.0</v>
      </c>
      <c r="C1652" s="11" t="s">
        <v>143</v>
      </c>
      <c r="D1652" s="11" t="s">
        <v>97</v>
      </c>
      <c r="E1652" s="11" t="s">
        <v>39</v>
      </c>
      <c r="F1652" s="11" t="s">
        <v>40</v>
      </c>
      <c r="G1652" s="11" t="s">
        <v>45</v>
      </c>
      <c r="H1652" s="11" t="s">
        <v>67</v>
      </c>
      <c r="I1652" s="11" t="s">
        <v>3154</v>
      </c>
      <c r="J1652" s="11">
        <v>21.0</v>
      </c>
      <c r="K1652" s="12">
        <v>41836.0</v>
      </c>
      <c r="L1652" s="11">
        <f t="shared" si="174"/>
        <v>11</v>
      </c>
      <c r="M1652" s="11">
        <v>592165.0</v>
      </c>
      <c r="N1652" s="11">
        <v>13527.0</v>
      </c>
      <c r="P1652" s="11">
        <v>0.0</v>
      </c>
      <c r="Q1652" s="14">
        <v>0.0</v>
      </c>
      <c r="R1652" s="41">
        <v>1.0</v>
      </c>
      <c r="S1652">
        <f t="shared" si="1"/>
        <v>2013</v>
      </c>
      <c r="T1652">
        <f t="shared" si="2"/>
        <v>8</v>
      </c>
      <c r="U1652">
        <f t="shared" si="3"/>
        <v>1</v>
      </c>
      <c r="AG1652" s="15"/>
      <c r="AH1652" s="16"/>
      <c r="AM1652" s="15"/>
      <c r="AN1652" s="16"/>
    </row>
    <row r="1653">
      <c r="A1653" s="13" t="s">
        <v>3155</v>
      </c>
      <c r="B1653" s="10">
        <v>41487.0</v>
      </c>
      <c r="C1653" s="11" t="s">
        <v>111</v>
      </c>
      <c r="D1653" s="11" t="s">
        <v>58</v>
      </c>
      <c r="E1653" s="11" t="s">
        <v>39</v>
      </c>
      <c r="F1653" s="11" t="s">
        <v>64</v>
      </c>
      <c r="G1653" s="11" t="s">
        <v>45</v>
      </c>
      <c r="H1653" s="11" t="s">
        <v>73</v>
      </c>
      <c r="I1653" s="11" t="s">
        <v>3156</v>
      </c>
      <c r="J1653" s="11">
        <v>31.0</v>
      </c>
      <c r="K1653" s="12">
        <v>42117.0</v>
      </c>
      <c r="L1653" s="11">
        <f t="shared" si="174"/>
        <v>21</v>
      </c>
      <c r="M1653" s="11">
        <v>435619.0</v>
      </c>
      <c r="N1653" s="11">
        <v>5909.0</v>
      </c>
      <c r="P1653" s="11">
        <v>0.0</v>
      </c>
      <c r="Q1653" s="14">
        <v>0.0</v>
      </c>
      <c r="R1653" s="11">
        <v>0.0</v>
      </c>
      <c r="S1653">
        <f t="shared" si="1"/>
        <v>2013</v>
      </c>
      <c r="T1653">
        <f t="shared" si="2"/>
        <v>8</v>
      </c>
      <c r="U1653">
        <f t="shared" si="3"/>
        <v>1</v>
      </c>
      <c r="AG1653" s="15"/>
      <c r="AH1653" s="16"/>
      <c r="AM1653" s="15"/>
      <c r="AN1653" s="16"/>
    </row>
    <row r="1654">
      <c r="A1654" s="13" t="s">
        <v>3157</v>
      </c>
      <c r="B1654" s="10">
        <v>41487.0</v>
      </c>
      <c r="C1654" s="11" t="s">
        <v>346</v>
      </c>
      <c r="D1654" s="11" t="s">
        <v>221</v>
      </c>
      <c r="E1654" s="11" t="s">
        <v>39</v>
      </c>
      <c r="F1654" s="11" t="s">
        <v>40</v>
      </c>
      <c r="G1654" s="11" t="s">
        <v>45</v>
      </c>
      <c r="H1654" s="11" t="s">
        <v>84</v>
      </c>
      <c r="I1654" s="11" t="s">
        <v>3158</v>
      </c>
      <c r="J1654" s="11">
        <v>22.0</v>
      </c>
      <c r="K1654" s="12">
        <v>41837.0</v>
      </c>
      <c r="L1654" s="11">
        <f t="shared" si="174"/>
        <v>12</v>
      </c>
      <c r="M1654" s="11">
        <v>596211.0</v>
      </c>
      <c r="N1654" s="11" t="s">
        <v>3159</v>
      </c>
      <c r="P1654" s="11">
        <v>0.0</v>
      </c>
      <c r="Q1654" s="14">
        <v>0.0</v>
      </c>
      <c r="R1654" s="41">
        <v>1.0</v>
      </c>
      <c r="S1654">
        <f t="shared" si="1"/>
        <v>2013</v>
      </c>
      <c r="T1654">
        <f t="shared" si="2"/>
        <v>8</v>
      </c>
      <c r="U1654">
        <f t="shared" si="3"/>
        <v>1</v>
      </c>
      <c r="AG1654" s="15"/>
      <c r="AH1654" s="16"/>
      <c r="AM1654" s="15"/>
      <c r="AN1654" s="16"/>
    </row>
    <row r="1655">
      <c r="A1655" s="13" t="s">
        <v>3160</v>
      </c>
      <c r="B1655" s="10">
        <v>41487.0</v>
      </c>
      <c r="C1655" s="11" t="s">
        <v>103</v>
      </c>
      <c r="D1655" s="11" t="s">
        <v>77</v>
      </c>
      <c r="E1655" s="30" t="s">
        <v>39</v>
      </c>
      <c r="F1655" s="11" t="s">
        <v>40</v>
      </c>
      <c r="G1655" s="41" t="s">
        <v>153</v>
      </c>
      <c r="H1655" s="30"/>
      <c r="I1655" s="30"/>
      <c r="J1655" s="11">
        <v>24.0</v>
      </c>
      <c r="K1655" s="30"/>
      <c r="L1655" s="30"/>
      <c r="M1655" s="11">
        <v>521232.0</v>
      </c>
      <c r="N1655" s="11" t="s">
        <v>3161</v>
      </c>
      <c r="P1655" s="11">
        <v>0.0</v>
      </c>
      <c r="Q1655" s="14">
        <v>0.0</v>
      </c>
      <c r="R1655" s="11">
        <v>0.0</v>
      </c>
      <c r="S1655">
        <f t="shared" si="1"/>
        <v>2013</v>
      </c>
      <c r="T1655">
        <f t="shared" si="2"/>
        <v>8</v>
      </c>
      <c r="U1655">
        <f t="shared" si="3"/>
        <v>1</v>
      </c>
      <c r="AG1655" s="15"/>
      <c r="AH1655" s="16"/>
      <c r="AM1655" s="15"/>
      <c r="AN1655" s="16"/>
    </row>
    <row r="1656">
      <c r="A1656" s="13" t="s">
        <v>3162</v>
      </c>
      <c r="B1656" s="10">
        <v>41486.0</v>
      </c>
      <c r="C1656" s="11" t="s">
        <v>358</v>
      </c>
      <c r="D1656" s="11" t="s">
        <v>97</v>
      </c>
      <c r="E1656" s="11" t="s">
        <v>39</v>
      </c>
      <c r="F1656" s="11" t="s">
        <v>40</v>
      </c>
      <c r="G1656" s="11" t="s">
        <v>45</v>
      </c>
      <c r="H1656" s="11" t="s">
        <v>262</v>
      </c>
      <c r="I1656" s="11" t="s">
        <v>262</v>
      </c>
      <c r="J1656" s="11">
        <v>21.0</v>
      </c>
      <c r="K1656" s="12">
        <v>41843.0</v>
      </c>
      <c r="L1656" s="11">
        <f t="shared" ref="L1656:L1669" si="175">ROUND(((K1656-B1656)/365)*12,0)</f>
        <v>12</v>
      </c>
      <c r="M1656" s="11">
        <v>621219.0</v>
      </c>
      <c r="N1656" s="11">
        <v>13834.0</v>
      </c>
      <c r="O1656" s="13"/>
      <c r="P1656" s="11">
        <v>3.0</v>
      </c>
      <c r="Q1656" s="14">
        <v>3.333</v>
      </c>
      <c r="R1656" s="41">
        <v>1.0</v>
      </c>
      <c r="S1656">
        <f t="shared" si="1"/>
        <v>2013</v>
      </c>
      <c r="T1656">
        <f t="shared" si="2"/>
        <v>7</v>
      </c>
      <c r="U1656">
        <f t="shared" si="3"/>
        <v>31</v>
      </c>
      <c r="V1656" s="13"/>
      <c r="W1656" s="13"/>
      <c r="X1656" s="13"/>
      <c r="Y1656" s="13"/>
      <c r="Z1656" s="13"/>
      <c r="AA1656" s="13"/>
      <c r="AB1656" s="13"/>
      <c r="AC1656" s="13"/>
      <c r="AD1656" s="13"/>
      <c r="AE1656" s="13"/>
      <c r="AF1656" s="13"/>
      <c r="AG1656" s="50"/>
      <c r="AH1656" s="51"/>
      <c r="AI1656" s="13"/>
      <c r="AJ1656" s="13"/>
      <c r="AK1656" s="13"/>
      <c r="AL1656" s="13"/>
      <c r="AM1656" s="50"/>
      <c r="AN1656" s="51"/>
      <c r="AO1656" s="13"/>
      <c r="AP1656" s="13"/>
    </row>
    <row r="1657">
      <c r="A1657" s="13" t="s">
        <v>3163</v>
      </c>
      <c r="B1657" s="10">
        <v>41485.0</v>
      </c>
      <c r="C1657" s="11" t="s">
        <v>175</v>
      </c>
      <c r="D1657" s="11" t="s">
        <v>38</v>
      </c>
      <c r="E1657" s="30" t="s">
        <v>39</v>
      </c>
      <c r="F1657" s="11" t="s">
        <v>40</v>
      </c>
      <c r="G1657" s="30" t="s">
        <v>45</v>
      </c>
      <c r="H1657" s="11" t="s">
        <v>59</v>
      </c>
      <c r="I1657" s="11"/>
      <c r="J1657" s="11">
        <v>34.0</v>
      </c>
      <c r="K1657" s="12">
        <v>42104.0</v>
      </c>
      <c r="L1657" s="11">
        <f t="shared" si="175"/>
        <v>20</v>
      </c>
      <c r="M1657" s="11">
        <v>150302.0</v>
      </c>
      <c r="N1657" s="11">
        <v>105.0</v>
      </c>
      <c r="O1657" s="13" t="s">
        <v>355</v>
      </c>
      <c r="P1657" s="11">
        <v>9.0</v>
      </c>
      <c r="Q1657" s="14">
        <v>47.333</v>
      </c>
      <c r="R1657" s="11">
        <v>0.0</v>
      </c>
      <c r="S1657">
        <f t="shared" si="1"/>
        <v>2013</v>
      </c>
      <c r="T1657">
        <f t="shared" si="2"/>
        <v>7</v>
      </c>
      <c r="U1657">
        <f t="shared" si="3"/>
        <v>30</v>
      </c>
      <c r="V1657" s="13"/>
      <c r="W1657" s="13"/>
      <c r="X1657" s="13"/>
      <c r="Y1657" s="13"/>
      <c r="Z1657" s="17">
        <v>41811.0</v>
      </c>
      <c r="AA1657" s="13"/>
      <c r="AB1657" s="13"/>
      <c r="AC1657" s="13"/>
      <c r="AD1657" s="13"/>
      <c r="AE1657" s="13">
        <v>20.0</v>
      </c>
      <c r="AF1657" s="13">
        <v>20.0</v>
      </c>
      <c r="AG1657" s="50">
        <v>117.667</v>
      </c>
      <c r="AH1657" s="51">
        <v>0.008</v>
      </c>
      <c r="AI1657" s="13">
        <v>115.0</v>
      </c>
      <c r="AJ1657" s="13">
        <v>153.0</v>
      </c>
      <c r="AK1657" s="13">
        <v>9.0</v>
      </c>
      <c r="AL1657" s="13">
        <v>9.0</v>
      </c>
      <c r="AM1657" s="50">
        <v>47.333</v>
      </c>
      <c r="AN1657" s="51">
        <v>0.106</v>
      </c>
      <c r="AO1657" s="13">
        <v>167.0</v>
      </c>
      <c r="AP1657" s="13">
        <v>134.0</v>
      </c>
    </row>
    <row r="1658">
      <c r="A1658" s="13" t="s">
        <v>3164</v>
      </c>
      <c r="B1658" s="10">
        <v>41485.0</v>
      </c>
      <c r="C1658" s="11" t="s">
        <v>235</v>
      </c>
      <c r="D1658" s="11" t="s">
        <v>97</v>
      </c>
      <c r="E1658" s="30" t="s">
        <v>39</v>
      </c>
      <c r="F1658" s="11" t="s">
        <v>40</v>
      </c>
      <c r="G1658" s="41" t="s">
        <v>326</v>
      </c>
      <c r="H1658" s="30"/>
      <c r="I1658" s="30"/>
      <c r="J1658" s="11">
        <v>18.0</v>
      </c>
      <c r="K1658" s="12">
        <v>41852.0</v>
      </c>
      <c r="L1658" s="11">
        <f t="shared" si="175"/>
        <v>12</v>
      </c>
      <c r="M1658" s="11">
        <v>532077.0</v>
      </c>
      <c r="N1658" s="11">
        <v>13764.0</v>
      </c>
      <c r="P1658" s="11">
        <v>206.0</v>
      </c>
      <c r="Q1658" s="14">
        <v>207.667</v>
      </c>
      <c r="R1658" s="41">
        <v>1.0</v>
      </c>
      <c r="S1658">
        <f t="shared" si="1"/>
        <v>2013</v>
      </c>
      <c r="T1658">
        <f t="shared" si="2"/>
        <v>7</v>
      </c>
      <c r="U1658">
        <f t="shared" si="3"/>
        <v>30</v>
      </c>
      <c r="AG1658" s="15"/>
      <c r="AH1658" s="16"/>
      <c r="AM1658" s="15"/>
      <c r="AN1658" s="16"/>
    </row>
    <row r="1659">
      <c r="A1659" s="13" t="s">
        <v>3165</v>
      </c>
      <c r="B1659" s="10">
        <v>41479.0</v>
      </c>
      <c r="C1659" s="11" t="s">
        <v>156</v>
      </c>
      <c r="D1659" s="11" t="s">
        <v>97</v>
      </c>
      <c r="E1659" s="30" t="s">
        <v>39</v>
      </c>
      <c r="F1659" s="11" t="s">
        <v>40</v>
      </c>
      <c r="G1659" s="30" t="s">
        <v>45</v>
      </c>
      <c r="H1659" s="11" t="s">
        <v>173</v>
      </c>
      <c r="I1659" s="11"/>
      <c r="J1659" s="11">
        <v>20.0</v>
      </c>
      <c r="K1659" s="12">
        <v>42142.0</v>
      </c>
      <c r="L1659" s="11">
        <f t="shared" si="175"/>
        <v>22</v>
      </c>
      <c r="M1659" s="11">
        <v>605260.0</v>
      </c>
      <c r="N1659" s="11">
        <v>13616.0</v>
      </c>
      <c r="O1659" s="13" t="s">
        <v>761</v>
      </c>
      <c r="P1659" s="11">
        <v>0.0</v>
      </c>
      <c r="Q1659" s="14">
        <v>0.0</v>
      </c>
      <c r="R1659" s="41">
        <v>1.0</v>
      </c>
      <c r="S1659">
        <f t="shared" si="1"/>
        <v>2013</v>
      </c>
      <c r="T1659">
        <f t="shared" si="2"/>
        <v>7</v>
      </c>
      <c r="U1659">
        <f t="shared" si="3"/>
        <v>24</v>
      </c>
      <c r="AG1659" s="15"/>
      <c r="AH1659" s="16"/>
      <c r="AM1659" s="15"/>
      <c r="AN1659" s="16"/>
    </row>
    <row r="1660">
      <c r="A1660" s="13" t="s">
        <v>3166</v>
      </c>
      <c r="B1660" s="10">
        <v>41475.0</v>
      </c>
      <c r="C1660" s="11" t="s">
        <v>111</v>
      </c>
      <c r="D1660" s="11" t="s">
        <v>221</v>
      </c>
      <c r="E1660" s="30" t="s">
        <v>39</v>
      </c>
      <c r="F1660" s="11" t="s">
        <v>40</v>
      </c>
      <c r="G1660" s="11" t="s">
        <v>41</v>
      </c>
      <c r="H1660" s="30"/>
      <c r="I1660" s="30"/>
      <c r="J1660" s="11">
        <v>19.0</v>
      </c>
      <c r="K1660" s="12">
        <v>42175.0</v>
      </c>
      <c r="L1660" s="11">
        <f t="shared" si="175"/>
        <v>23</v>
      </c>
      <c r="M1660" s="11">
        <v>600944.0</v>
      </c>
      <c r="N1660" s="11">
        <v>17418.0</v>
      </c>
      <c r="P1660" s="11">
        <v>9.0</v>
      </c>
      <c r="Q1660" s="14">
        <v>36.0</v>
      </c>
      <c r="R1660" s="41">
        <v>1.0</v>
      </c>
      <c r="S1660">
        <f t="shared" si="1"/>
        <v>2013</v>
      </c>
      <c r="T1660">
        <f t="shared" si="2"/>
        <v>7</v>
      </c>
      <c r="U1660">
        <f t="shared" si="3"/>
        <v>20</v>
      </c>
      <c r="AG1660" s="15"/>
      <c r="AH1660" s="16"/>
      <c r="AM1660" s="15"/>
      <c r="AN1660" s="16"/>
    </row>
    <row r="1661">
      <c r="A1661" s="13" t="s">
        <v>3167</v>
      </c>
      <c r="B1661" s="10">
        <v>41473.0</v>
      </c>
      <c r="C1661" s="11" t="s">
        <v>167</v>
      </c>
      <c r="D1661" s="11" t="s">
        <v>88</v>
      </c>
      <c r="E1661" s="41" t="s">
        <v>2062</v>
      </c>
      <c r="F1661" s="11" t="s">
        <v>40</v>
      </c>
      <c r="G1661" s="30" t="s">
        <v>45</v>
      </c>
      <c r="H1661" s="11" t="s">
        <v>139</v>
      </c>
      <c r="I1661" s="11" t="s">
        <v>46</v>
      </c>
      <c r="J1661" s="11">
        <v>22.0</v>
      </c>
      <c r="K1661" s="12">
        <v>41732.0</v>
      </c>
      <c r="L1661" s="11">
        <f t="shared" si="175"/>
        <v>9</v>
      </c>
      <c r="M1661" s="11">
        <v>572738.0</v>
      </c>
      <c r="N1661" s="11" t="s">
        <v>3168</v>
      </c>
      <c r="P1661" s="11">
        <v>0.0</v>
      </c>
      <c r="Q1661" s="14">
        <v>0.0</v>
      </c>
      <c r="R1661" s="41">
        <v>1.0</v>
      </c>
      <c r="S1661">
        <f t="shared" si="1"/>
        <v>2013</v>
      </c>
      <c r="T1661">
        <f t="shared" si="2"/>
        <v>7</v>
      </c>
      <c r="U1661">
        <f t="shared" si="3"/>
        <v>18</v>
      </c>
      <c r="AG1661" s="15"/>
      <c r="AH1661" s="16"/>
      <c r="AM1661" s="15"/>
      <c r="AN1661" s="16"/>
    </row>
    <row r="1662">
      <c r="A1662" s="13" t="s">
        <v>3169</v>
      </c>
      <c r="B1662" s="10">
        <v>41466.0</v>
      </c>
      <c r="C1662" s="11" t="s">
        <v>358</v>
      </c>
      <c r="D1662" s="11" t="s">
        <v>221</v>
      </c>
      <c r="E1662" s="11" t="s">
        <v>39</v>
      </c>
      <c r="F1662" s="11" t="s">
        <v>64</v>
      </c>
      <c r="G1662" s="11" t="s">
        <v>45</v>
      </c>
      <c r="H1662" s="11" t="s">
        <v>251</v>
      </c>
      <c r="I1662" s="11" t="s">
        <v>3170</v>
      </c>
      <c r="J1662" s="11">
        <v>21.0</v>
      </c>
      <c r="K1662" s="12">
        <v>41842.0</v>
      </c>
      <c r="L1662" s="11">
        <f t="shared" si="175"/>
        <v>12</v>
      </c>
      <c r="M1662" s="11">
        <v>621381.0</v>
      </c>
      <c r="N1662" s="11">
        <v>13799.0</v>
      </c>
      <c r="O1662" s="13" t="s">
        <v>773</v>
      </c>
      <c r="P1662" s="11">
        <v>45.0</v>
      </c>
      <c r="Q1662" s="14">
        <v>56.667</v>
      </c>
      <c r="R1662" s="41">
        <v>1.0</v>
      </c>
      <c r="S1662">
        <f t="shared" si="1"/>
        <v>2013</v>
      </c>
      <c r="T1662">
        <f t="shared" si="2"/>
        <v>7</v>
      </c>
      <c r="U1662">
        <f t="shared" si="3"/>
        <v>11</v>
      </c>
      <c r="AG1662" s="15"/>
      <c r="AH1662" s="16"/>
      <c r="AM1662" s="15"/>
      <c r="AN1662" s="16"/>
    </row>
    <row r="1663">
      <c r="A1663" s="13" t="s">
        <v>3171</v>
      </c>
      <c r="B1663" s="10">
        <v>41465.0</v>
      </c>
      <c r="C1663" s="11" t="s">
        <v>362</v>
      </c>
      <c r="D1663" s="11" t="s">
        <v>58</v>
      </c>
      <c r="E1663" s="30" t="s">
        <v>39</v>
      </c>
      <c r="F1663" s="11" t="s">
        <v>40</v>
      </c>
      <c r="G1663" s="30" t="s">
        <v>45</v>
      </c>
      <c r="H1663" s="11" t="s">
        <v>243</v>
      </c>
      <c r="I1663" s="11" t="s">
        <v>3172</v>
      </c>
      <c r="J1663" s="11">
        <v>25.0</v>
      </c>
      <c r="K1663" s="12">
        <v>42470.0</v>
      </c>
      <c r="L1663" s="11">
        <f t="shared" si="175"/>
        <v>33</v>
      </c>
      <c r="M1663" s="11">
        <v>519015.0</v>
      </c>
      <c r="N1663" s="11">
        <v>5009.0</v>
      </c>
      <c r="P1663" s="11">
        <v>0.0</v>
      </c>
      <c r="Q1663" s="14">
        <v>0.0</v>
      </c>
      <c r="R1663" s="11">
        <v>0.0</v>
      </c>
      <c r="S1663">
        <f t="shared" si="1"/>
        <v>2013</v>
      </c>
      <c r="T1663">
        <f t="shared" si="2"/>
        <v>7</v>
      </c>
      <c r="U1663">
        <f t="shared" si="3"/>
        <v>10</v>
      </c>
      <c r="AG1663" s="15"/>
      <c r="AH1663" s="16"/>
      <c r="AM1663" s="15"/>
      <c r="AN1663" s="16"/>
    </row>
    <row r="1664">
      <c r="A1664" s="13" t="s">
        <v>3173</v>
      </c>
      <c r="B1664" s="10">
        <v>41456.0</v>
      </c>
      <c r="C1664" s="11" t="s">
        <v>167</v>
      </c>
      <c r="D1664" s="11" t="s">
        <v>88</v>
      </c>
      <c r="E1664" s="41" t="s">
        <v>2062</v>
      </c>
      <c r="F1664" s="11" t="s">
        <v>40</v>
      </c>
      <c r="G1664" s="30" t="s">
        <v>45</v>
      </c>
      <c r="H1664" s="11" t="s">
        <v>236</v>
      </c>
      <c r="I1664" s="11" t="s">
        <v>3174</v>
      </c>
      <c r="J1664" s="11">
        <v>23.0</v>
      </c>
      <c r="K1664" s="12">
        <v>41732.0</v>
      </c>
      <c r="L1664" s="11">
        <f t="shared" si="175"/>
        <v>9</v>
      </c>
      <c r="M1664" s="11">
        <v>623502.0</v>
      </c>
      <c r="N1664" s="11" t="s">
        <v>3175</v>
      </c>
      <c r="P1664" s="11">
        <v>0.0</v>
      </c>
      <c r="Q1664" s="14">
        <v>0.0</v>
      </c>
      <c r="R1664" s="11">
        <v>0.0</v>
      </c>
      <c r="S1664">
        <f t="shared" si="1"/>
        <v>2013</v>
      </c>
      <c r="T1664">
        <f t="shared" si="2"/>
        <v>7</v>
      </c>
      <c r="U1664">
        <f t="shared" si="3"/>
        <v>1</v>
      </c>
      <c r="AG1664" s="15"/>
      <c r="AH1664" s="16"/>
      <c r="AM1664" s="15"/>
      <c r="AN1664" s="16"/>
    </row>
    <row r="1665">
      <c r="A1665" s="13" t="s">
        <v>3176</v>
      </c>
      <c r="B1665" s="10">
        <v>41456.0</v>
      </c>
      <c r="C1665" s="11" t="s">
        <v>52</v>
      </c>
      <c r="D1665" s="11" t="s">
        <v>58</v>
      </c>
      <c r="E1665" s="11" t="s">
        <v>118</v>
      </c>
      <c r="F1665" s="11" t="s">
        <v>40</v>
      </c>
      <c r="G1665" s="30" t="s">
        <v>45</v>
      </c>
      <c r="H1665" s="11" t="s">
        <v>262</v>
      </c>
      <c r="I1665" s="11" t="s">
        <v>262</v>
      </c>
      <c r="J1665" s="11">
        <v>27.0</v>
      </c>
      <c r="K1665" s="12">
        <v>41743.0</v>
      </c>
      <c r="L1665" s="11">
        <f t="shared" si="175"/>
        <v>9</v>
      </c>
      <c r="M1665" s="11">
        <v>543784.0</v>
      </c>
      <c r="N1665" s="11" t="s">
        <v>3177</v>
      </c>
      <c r="P1665" s="11">
        <v>0.0</v>
      </c>
      <c r="Q1665" s="14">
        <v>0.0</v>
      </c>
      <c r="R1665" s="11">
        <v>0.0</v>
      </c>
      <c r="S1665">
        <f t="shared" si="1"/>
        <v>2013</v>
      </c>
      <c r="T1665">
        <f t="shared" si="2"/>
        <v>7</v>
      </c>
      <c r="U1665">
        <f t="shared" si="3"/>
        <v>1</v>
      </c>
      <c r="AG1665" s="15"/>
      <c r="AH1665" s="16"/>
      <c r="AM1665" s="15"/>
      <c r="AN1665" s="16"/>
    </row>
    <row r="1666">
      <c r="A1666" s="13" t="s">
        <v>3178</v>
      </c>
      <c r="B1666" s="10">
        <v>41456.0</v>
      </c>
      <c r="C1666" s="11" t="s">
        <v>274</v>
      </c>
      <c r="D1666" s="11" t="s">
        <v>93</v>
      </c>
      <c r="E1666" s="30" t="s">
        <v>39</v>
      </c>
      <c r="F1666" s="11" t="s">
        <v>64</v>
      </c>
      <c r="G1666" s="30" t="s">
        <v>45</v>
      </c>
      <c r="H1666" s="11" t="s">
        <v>112</v>
      </c>
      <c r="I1666" s="11" t="s">
        <v>112</v>
      </c>
      <c r="J1666" s="11">
        <v>21.0</v>
      </c>
      <c r="K1666" s="12">
        <v>41813.0</v>
      </c>
      <c r="L1666" s="11">
        <f t="shared" si="175"/>
        <v>12</v>
      </c>
      <c r="M1666" s="11">
        <v>592614.0</v>
      </c>
      <c r="N1666" s="11">
        <v>15627.0</v>
      </c>
      <c r="P1666" s="11">
        <v>17.0</v>
      </c>
      <c r="Q1666" s="14">
        <v>47.333</v>
      </c>
      <c r="R1666" s="41">
        <v>1.0</v>
      </c>
      <c r="S1666">
        <f t="shared" si="1"/>
        <v>2013</v>
      </c>
      <c r="T1666">
        <f t="shared" si="2"/>
        <v>7</v>
      </c>
      <c r="U1666">
        <f t="shared" si="3"/>
        <v>1</v>
      </c>
      <c r="AG1666" s="15"/>
      <c r="AH1666" s="16"/>
      <c r="AM1666" s="15"/>
      <c r="AN1666" s="16"/>
    </row>
    <row r="1667">
      <c r="A1667" s="13" t="s">
        <v>3179</v>
      </c>
      <c r="B1667" s="10">
        <v>41456.0</v>
      </c>
      <c r="C1667" s="11" t="s">
        <v>150</v>
      </c>
      <c r="D1667" s="11" t="s">
        <v>97</v>
      </c>
      <c r="E1667" s="30" t="s">
        <v>39</v>
      </c>
      <c r="F1667" s="11" t="s">
        <v>64</v>
      </c>
      <c r="G1667" s="41" t="s">
        <v>53</v>
      </c>
      <c r="H1667" s="30"/>
      <c r="I1667" s="30"/>
      <c r="J1667" s="11">
        <v>19.0</v>
      </c>
      <c r="K1667" s="12">
        <v>41835.0</v>
      </c>
      <c r="L1667" s="11">
        <f t="shared" si="175"/>
        <v>12</v>
      </c>
      <c r="M1667" s="11">
        <v>606279.0</v>
      </c>
      <c r="N1667" s="11" t="s">
        <v>3180</v>
      </c>
      <c r="P1667" s="11">
        <v>0.0</v>
      </c>
      <c r="Q1667" s="14">
        <v>0.0</v>
      </c>
      <c r="R1667" s="11">
        <v>0.0</v>
      </c>
      <c r="S1667">
        <f t="shared" si="1"/>
        <v>2013</v>
      </c>
      <c r="T1667">
        <f t="shared" si="2"/>
        <v>7</v>
      </c>
      <c r="U1667">
        <f t="shared" si="3"/>
        <v>1</v>
      </c>
      <c r="AG1667" s="15"/>
      <c r="AH1667" s="16"/>
      <c r="AM1667" s="15"/>
      <c r="AN1667" s="16"/>
    </row>
    <row r="1668">
      <c r="A1668" s="13" t="s">
        <v>3181</v>
      </c>
      <c r="B1668" s="10">
        <v>41455.0</v>
      </c>
      <c r="C1668" s="11" t="s">
        <v>72</v>
      </c>
      <c r="D1668" s="11" t="s">
        <v>97</v>
      </c>
      <c r="E1668" s="30" t="s">
        <v>39</v>
      </c>
      <c r="F1668" s="11" t="s">
        <v>40</v>
      </c>
      <c r="G1668" s="30" t="s">
        <v>45</v>
      </c>
      <c r="H1668" s="11" t="s">
        <v>84</v>
      </c>
      <c r="I1668" s="11"/>
      <c r="J1668" s="11">
        <v>20.0</v>
      </c>
      <c r="K1668" s="12">
        <v>41829.0</v>
      </c>
      <c r="L1668" s="11">
        <f t="shared" si="175"/>
        <v>12</v>
      </c>
      <c r="M1668" s="11">
        <v>592329.0</v>
      </c>
      <c r="N1668" s="11">
        <v>12143.0</v>
      </c>
      <c r="P1668" s="11">
        <v>21.0</v>
      </c>
      <c r="Q1668" s="14">
        <v>29.667</v>
      </c>
      <c r="R1668" s="41">
        <v>1.0</v>
      </c>
      <c r="S1668">
        <f t="shared" si="1"/>
        <v>2013</v>
      </c>
      <c r="T1668">
        <f t="shared" si="2"/>
        <v>6</v>
      </c>
      <c r="U1668">
        <f t="shared" si="3"/>
        <v>30</v>
      </c>
      <c r="AG1668" s="15"/>
      <c r="AH1668" s="16"/>
      <c r="AM1668" s="15"/>
      <c r="AN1668" s="16"/>
    </row>
    <row r="1669">
      <c r="A1669" s="13" t="s">
        <v>3182</v>
      </c>
      <c r="B1669" s="10">
        <v>41452.0</v>
      </c>
      <c r="C1669" s="11" t="s">
        <v>138</v>
      </c>
      <c r="D1669" s="11" t="s">
        <v>38</v>
      </c>
      <c r="E1669" s="30" t="s">
        <v>39</v>
      </c>
      <c r="F1669" s="11" t="s">
        <v>40</v>
      </c>
      <c r="G1669" s="30" t="s">
        <v>45</v>
      </c>
      <c r="H1669" s="11" t="s">
        <v>112</v>
      </c>
      <c r="I1669" s="11"/>
      <c r="J1669" s="11">
        <v>20.0</v>
      </c>
      <c r="K1669" s="12">
        <v>42467.0</v>
      </c>
      <c r="L1669" s="11">
        <f t="shared" si="175"/>
        <v>33</v>
      </c>
      <c r="M1669" s="11">
        <v>605164.0</v>
      </c>
      <c r="N1669" s="11">
        <v>12917.0</v>
      </c>
      <c r="O1669" s="13" t="s">
        <v>761</v>
      </c>
      <c r="P1669" s="11">
        <v>64.0</v>
      </c>
      <c r="Q1669" s="14">
        <v>279.333</v>
      </c>
      <c r="R1669" s="41">
        <v>1.0</v>
      </c>
      <c r="S1669">
        <f t="shared" si="1"/>
        <v>2013</v>
      </c>
      <c r="T1669">
        <f t="shared" si="2"/>
        <v>6</v>
      </c>
      <c r="U1669">
        <f t="shared" si="3"/>
        <v>27</v>
      </c>
      <c r="Z1669" s="17">
        <v>41805.0</v>
      </c>
      <c r="AG1669" s="15"/>
      <c r="AH1669" s="16"/>
      <c r="AM1669" s="15"/>
      <c r="AN1669" s="16"/>
    </row>
    <row r="1670">
      <c r="A1670" s="13" t="s">
        <v>3183</v>
      </c>
      <c r="B1670" s="10">
        <v>41452.0</v>
      </c>
      <c r="C1670" s="11" t="s">
        <v>274</v>
      </c>
      <c r="D1670" s="11" t="s">
        <v>93</v>
      </c>
      <c r="E1670" s="11" t="s">
        <v>39</v>
      </c>
      <c r="F1670" s="11" t="s">
        <v>40</v>
      </c>
      <c r="G1670" s="11" t="s">
        <v>45</v>
      </c>
      <c r="H1670" s="11" t="s">
        <v>159</v>
      </c>
      <c r="I1670" s="11" t="s">
        <v>243</v>
      </c>
      <c r="J1670" s="11">
        <v>20.0</v>
      </c>
      <c r="K1670" s="12">
        <v>42179.0</v>
      </c>
      <c r="L1670" s="11"/>
      <c r="M1670" s="11">
        <v>664942.0</v>
      </c>
      <c r="N1670" s="11">
        <v>18186.0</v>
      </c>
      <c r="P1670" s="11">
        <v>0.0</v>
      </c>
      <c r="Q1670" s="14">
        <v>0.0</v>
      </c>
      <c r="R1670" s="41">
        <v>1.0</v>
      </c>
      <c r="S1670">
        <f t="shared" si="1"/>
        <v>2013</v>
      </c>
      <c r="T1670">
        <f t="shared" si="2"/>
        <v>6</v>
      </c>
      <c r="U1670">
        <f t="shared" si="3"/>
        <v>27</v>
      </c>
      <c r="AG1670" s="15"/>
      <c r="AH1670" s="16"/>
      <c r="AM1670" s="15"/>
      <c r="AN1670" s="16"/>
    </row>
    <row r="1671">
      <c r="A1671" s="13" t="s">
        <v>3184</v>
      </c>
      <c r="B1671" s="10">
        <v>41451.0</v>
      </c>
      <c r="C1671" s="11" t="s">
        <v>37</v>
      </c>
      <c r="D1671" s="11" t="s">
        <v>77</v>
      </c>
      <c r="E1671" s="41" t="s">
        <v>118</v>
      </c>
      <c r="F1671" s="11" t="s">
        <v>40</v>
      </c>
      <c r="G1671" s="11" t="s">
        <v>41</v>
      </c>
      <c r="H1671" s="30"/>
      <c r="I1671" s="30"/>
      <c r="J1671" s="11">
        <v>26.0</v>
      </c>
      <c r="K1671" s="12">
        <v>41732.0</v>
      </c>
      <c r="L1671" s="11">
        <f>ROUND(((K1671-B1671)/365)*12,0)</f>
        <v>9</v>
      </c>
      <c r="M1671" s="11">
        <v>492728.0</v>
      </c>
      <c r="N1671" s="11" t="s">
        <v>3185</v>
      </c>
      <c r="P1671" s="11">
        <v>0.0</v>
      </c>
      <c r="Q1671" s="14">
        <v>0.0</v>
      </c>
      <c r="R1671" s="41">
        <v>1.0</v>
      </c>
      <c r="S1671">
        <f t="shared" si="1"/>
        <v>2013</v>
      </c>
      <c r="T1671">
        <f t="shared" si="2"/>
        <v>6</v>
      </c>
      <c r="U1671">
        <f t="shared" si="3"/>
        <v>26</v>
      </c>
      <c r="AG1671" s="15"/>
      <c r="AH1671" s="16"/>
      <c r="AM1671" s="15"/>
      <c r="AN1671" s="16"/>
    </row>
    <row r="1672">
      <c r="A1672" s="13" t="s">
        <v>3186</v>
      </c>
      <c r="B1672" s="10">
        <v>41445.0</v>
      </c>
      <c r="C1672" s="11" t="s">
        <v>274</v>
      </c>
      <c r="D1672" s="11" t="s">
        <v>38</v>
      </c>
      <c r="E1672" s="30" t="s">
        <v>39</v>
      </c>
      <c r="F1672" s="11" t="s">
        <v>64</v>
      </c>
      <c r="G1672" s="41" t="s">
        <v>41</v>
      </c>
      <c r="H1672" s="30"/>
      <c r="I1672" s="30"/>
      <c r="J1672" s="11">
        <v>26.0</v>
      </c>
      <c r="K1672" s="30"/>
      <c r="L1672" s="30"/>
      <c r="M1672" s="11">
        <v>467099.0</v>
      </c>
      <c r="N1672" s="11">
        <v>8432.0</v>
      </c>
      <c r="O1672" s="13" t="s">
        <v>761</v>
      </c>
      <c r="P1672" s="11">
        <v>0.0</v>
      </c>
      <c r="Q1672" s="45">
        <v>0.0</v>
      </c>
      <c r="R1672" s="11">
        <v>0.0</v>
      </c>
      <c r="S1672">
        <f t="shared" si="1"/>
        <v>2013</v>
      </c>
      <c r="T1672">
        <f t="shared" si="2"/>
        <v>6</v>
      </c>
      <c r="U1672">
        <f t="shared" si="3"/>
        <v>20</v>
      </c>
      <c r="AG1672" s="15"/>
      <c r="AH1672" s="16"/>
      <c r="AM1672" s="15"/>
      <c r="AN1672" s="16"/>
    </row>
    <row r="1673">
      <c r="A1673" s="13" t="s">
        <v>3187</v>
      </c>
      <c r="B1673" s="10">
        <v>41443.0</v>
      </c>
      <c r="C1673" s="11" t="s">
        <v>101</v>
      </c>
      <c r="D1673" s="11" t="s">
        <v>38</v>
      </c>
      <c r="E1673" s="30" t="s">
        <v>39</v>
      </c>
      <c r="F1673" s="11" t="s">
        <v>40</v>
      </c>
      <c r="G1673" s="30" t="s">
        <v>45</v>
      </c>
      <c r="H1673" s="11" t="s">
        <v>46</v>
      </c>
      <c r="I1673" s="11" t="s">
        <v>594</v>
      </c>
      <c r="J1673" s="11">
        <v>26.0</v>
      </c>
      <c r="K1673" s="12">
        <v>41885.0</v>
      </c>
      <c r="L1673" s="11">
        <f>ROUND(((K1673-B1673)/365)*12,0)</f>
        <v>15</v>
      </c>
      <c r="M1673" s="11">
        <v>543339.0</v>
      </c>
      <c r="N1673" s="11">
        <v>7146.0</v>
      </c>
      <c r="O1673" s="13" t="s">
        <v>761</v>
      </c>
      <c r="P1673" s="11">
        <v>208.0</v>
      </c>
      <c r="Q1673" s="14">
        <v>192.333</v>
      </c>
      <c r="R1673" s="41">
        <v>1.0</v>
      </c>
      <c r="S1673">
        <f t="shared" si="1"/>
        <v>2013</v>
      </c>
      <c r="T1673">
        <f t="shared" si="2"/>
        <v>6</v>
      </c>
      <c r="U1673">
        <f t="shared" si="3"/>
        <v>18</v>
      </c>
      <c r="AG1673" s="15"/>
      <c r="AH1673" s="16"/>
      <c r="AM1673" s="15"/>
      <c r="AN1673" s="16"/>
    </row>
    <row r="1674">
      <c r="A1674" s="13" t="s">
        <v>3188</v>
      </c>
      <c r="B1674" s="10">
        <v>41437.0</v>
      </c>
      <c r="C1674" s="11" t="s">
        <v>62</v>
      </c>
      <c r="D1674" s="11" t="s">
        <v>58</v>
      </c>
      <c r="E1674" s="30" t="s">
        <v>39</v>
      </c>
      <c r="F1674" s="11" t="s">
        <v>40</v>
      </c>
      <c r="G1674" s="30" t="s">
        <v>45</v>
      </c>
      <c r="H1674" s="11" t="s">
        <v>317</v>
      </c>
      <c r="I1674" s="11"/>
      <c r="J1674" s="11">
        <v>33.0</v>
      </c>
      <c r="K1674" s="12"/>
      <c r="L1674" s="11"/>
      <c r="M1674" s="11">
        <v>400076.0</v>
      </c>
      <c r="N1674" s="11">
        <v>1613.0</v>
      </c>
      <c r="P1674" s="11">
        <v>0.0</v>
      </c>
      <c r="Q1674" s="14">
        <v>0.0</v>
      </c>
      <c r="R1674" s="11">
        <v>0.0</v>
      </c>
      <c r="S1674">
        <f t="shared" si="1"/>
        <v>2013</v>
      </c>
      <c r="T1674">
        <f t="shared" si="2"/>
        <v>6</v>
      </c>
      <c r="U1674">
        <f t="shared" si="3"/>
        <v>12</v>
      </c>
      <c r="AG1674" s="15"/>
      <c r="AH1674" s="16"/>
      <c r="AM1674" s="15"/>
      <c r="AN1674" s="16"/>
    </row>
    <row r="1675">
      <c r="A1675" s="13" t="s">
        <v>3189</v>
      </c>
      <c r="B1675" s="10">
        <v>41436.0</v>
      </c>
      <c r="C1675" s="11" t="s">
        <v>167</v>
      </c>
      <c r="D1675" s="11" t="s">
        <v>38</v>
      </c>
      <c r="E1675" s="30" t="s">
        <v>39</v>
      </c>
      <c r="F1675" s="11" t="s">
        <v>40</v>
      </c>
      <c r="G1675" s="41" t="s">
        <v>503</v>
      </c>
      <c r="H1675" s="30"/>
      <c r="I1675" s="30"/>
      <c r="J1675" s="11">
        <v>32.0</v>
      </c>
      <c r="K1675" s="12">
        <v>41857.0</v>
      </c>
      <c r="L1675" s="11">
        <f t="shared" ref="L1675:L1678" si="176">ROUND(((K1675-B1675)/365)*12,0)</f>
        <v>14</v>
      </c>
      <c r="M1675" s="11">
        <v>493117.0</v>
      </c>
      <c r="N1675" s="11">
        <v>14443.0</v>
      </c>
      <c r="O1675" s="13" t="s">
        <v>761</v>
      </c>
      <c r="P1675" s="11">
        <v>17.0</v>
      </c>
      <c r="Q1675" s="14">
        <v>14.667</v>
      </c>
      <c r="R1675" s="11">
        <v>0.0</v>
      </c>
      <c r="S1675">
        <f t="shared" si="1"/>
        <v>2013</v>
      </c>
      <c r="T1675">
        <f t="shared" si="2"/>
        <v>6</v>
      </c>
      <c r="U1675">
        <f t="shared" si="3"/>
        <v>11</v>
      </c>
      <c r="AG1675" s="15"/>
      <c r="AH1675" s="16"/>
      <c r="AM1675" s="15"/>
      <c r="AN1675" s="16"/>
    </row>
    <row r="1676">
      <c r="A1676" s="13" t="s">
        <v>3190</v>
      </c>
      <c r="B1676" s="10">
        <v>41436.0</v>
      </c>
      <c r="C1676" s="11" t="s">
        <v>49</v>
      </c>
      <c r="D1676" s="11" t="s">
        <v>88</v>
      </c>
      <c r="E1676" s="30" t="s">
        <v>39</v>
      </c>
      <c r="F1676" s="11" t="s">
        <v>40</v>
      </c>
      <c r="G1676" s="41" t="s">
        <v>41</v>
      </c>
      <c r="H1676" s="30"/>
      <c r="I1676" s="30"/>
      <c r="J1676" s="11">
        <v>23.0</v>
      </c>
      <c r="K1676" s="12">
        <v>42470.0</v>
      </c>
      <c r="L1676" s="11">
        <f t="shared" si="176"/>
        <v>34</v>
      </c>
      <c r="M1676" s="11">
        <v>606716.0</v>
      </c>
      <c r="N1676" s="11" t="s">
        <v>3191</v>
      </c>
      <c r="P1676" s="11">
        <v>0.0</v>
      </c>
      <c r="Q1676" s="14">
        <v>0.0</v>
      </c>
      <c r="R1676" s="41">
        <v>1.0</v>
      </c>
      <c r="S1676">
        <f t="shared" si="1"/>
        <v>2013</v>
      </c>
      <c r="T1676">
        <f t="shared" si="2"/>
        <v>6</v>
      </c>
      <c r="U1676">
        <f t="shared" si="3"/>
        <v>11</v>
      </c>
      <c r="AG1676" s="15"/>
      <c r="AH1676" s="16"/>
      <c r="AM1676" s="15"/>
      <c r="AN1676" s="16"/>
    </row>
    <row r="1677">
      <c r="A1677" s="13" t="s">
        <v>3192</v>
      </c>
      <c r="B1677" s="10">
        <v>41432.0</v>
      </c>
      <c r="C1677" s="11" t="s">
        <v>126</v>
      </c>
      <c r="D1677" s="11" t="s">
        <v>77</v>
      </c>
      <c r="E1677" s="30" t="s">
        <v>39</v>
      </c>
      <c r="F1677" s="11" t="s">
        <v>64</v>
      </c>
      <c r="G1677" s="30" t="s">
        <v>45</v>
      </c>
      <c r="H1677" s="11" t="s">
        <v>74</v>
      </c>
      <c r="I1677" s="11"/>
      <c r="J1677" s="11">
        <v>27.0</v>
      </c>
      <c r="K1677" s="12">
        <v>41822.0</v>
      </c>
      <c r="L1677" s="11">
        <f t="shared" si="176"/>
        <v>13</v>
      </c>
      <c r="M1677" s="11">
        <v>455092.0</v>
      </c>
      <c r="N1677" s="11">
        <v>7489.0</v>
      </c>
      <c r="P1677" s="11">
        <v>7.0</v>
      </c>
      <c r="Q1677" s="14">
        <v>4.333</v>
      </c>
      <c r="R1677" s="11">
        <v>0.0</v>
      </c>
      <c r="S1677">
        <f t="shared" si="1"/>
        <v>2013</v>
      </c>
      <c r="T1677">
        <f t="shared" si="2"/>
        <v>6</v>
      </c>
      <c r="U1677">
        <f t="shared" si="3"/>
        <v>7</v>
      </c>
      <c r="AG1677" s="15"/>
      <c r="AH1677" s="16"/>
      <c r="AM1677" s="15"/>
      <c r="AN1677" s="16"/>
    </row>
    <row r="1678">
      <c r="A1678" s="13" t="s">
        <v>3193</v>
      </c>
      <c r="B1678" s="10">
        <v>41428.0</v>
      </c>
      <c r="C1678" s="11" t="s">
        <v>186</v>
      </c>
      <c r="D1678" s="11" t="s">
        <v>58</v>
      </c>
      <c r="E1678" s="30" t="s">
        <v>39</v>
      </c>
      <c r="F1678" s="11" t="s">
        <v>40</v>
      </c>
      <c r="G1678" s="30" t="s">
        <v>45</v>
      </c>
      <c r="H1678" s="11" t="s">
        <v>67</v>
      </c>
      <c r="I1678" s="11"/>
      <c r="J1678" s="11">
        <v>27.0</v>
      </c>
      <c r="K1678" s="12">
        <v>42104.0</v>
      </c>
      <c r="L1678" s="11">
        <f t="shared" si="176"/>
        <v>22</v>
      </c>
      <c r="M1678" s="11">
        <v>444446.0</v>
      </c>
      <c r="N1678" s="11">
        <v>6883.0</v>
      </c>
      <c r="P1678" s="11">
        <v>15.0</v>
      </c>
      <c r="Q1678" s="14">
        <v>15.667</v>
      </c>
      <c r="R1678" s="11">
        <v>0.0</v>
      </c>
      <c r="S1678">
        <f t="shared" si="1"/>
        <v>2013</v>
      </c>
      <c r="T1678">
        <f t="shared" si="2"/>
        <v>6</v>
      </c>
      <c r="U1678">
        <f t="shared" si="3"/>
        <v>3</v>
      </c>
      <c r="AG1678" s="15"/>
      <c r="AH1678" s="16"/>
      <c r="AM1678" s="15"/>
      <c r="AN1678" s="16"/>
    </row>
    <row r="1679">
      <c r="A1679" s="13" t="s">
        <v>3194</v>
      </c>
      <c r="B1679" s="10">
        <v>41426.0</v>
      </c>
      <c r="C1679" s="11" t="s">
        <v>358</v>
      </c>
      <c r="D1679" s="11" t="s">
        <v>97</v>
      </c>
      <c r="E1679" s="11" t="s">
        <v>39</v>
      </c>
      <c r="F1679" s="11" t="s">
        <v>40</v>
      </c>
      <c r="G1679" s="11" t="s">
        <v>45</v>
      </c>
      <c r="H1679" s="11" t="s">
        <v>56</v>
      </c>
      <c r="I1679" s="11"/>
      <c r="J1679" s="11">
        <v>21.0</v>
      </c>
      <c r="K1679" s="12"/>
      <c r="L1679" s="11"/>
      <c r="M1679" s="11">
        <v>595893.0</v>
      </c>
      <c r="N1679" s="11" t="s">
        <v>3195</v>
      </c>
      <c r="P1679" s="11">
        <v>0.0</v>
      </c>
      <c r="Q1679" s="14">
        <v>0.0</v>
      </c>
      <c r="R1679" s="11">
        <v>0.0</v>
      </c>
      <c r="S1679">
        <f t="shared" si="1"/>
        <v>2013</v>
      </c>
      <c r="T1679">
        <f t="shared" si="2"/>
        <v>6</v>
      </c>
      <c r="U1679">
        <f t="shared" si="3"/>
        <v>1</v>
      </c>
      <c r="AG1679" s="15"/>
      <c r="AH1679" s="16"/>
      <c r="AM1679" s="15"/>
      <c r="AN1679" s="16"/>
    </row>
    <row r="1680">
      <c r="A1680" s="13" t="s">
        <v>3196</v>
      </c>
      <c r="B1680" s="10">
        <v>41426.0</v>
      </c>
      <c r="C1680" s="11" t="s">
        <v>83</v>
      </c>
      <c r="D1680" s="11" t="s">
        <v>93</v>
      </c>
      <c r="E1680" s="11" t="s">
        <v>39</v>
      </c>
      <c r="F1680" s="11" t="s">
        <v>40</v>
      </c>
      <c r="G1680" s="11" t="s">
        <v>45</v>
      </c>
      <c r="H1680" s="11" t="s">
        <v>205</v>
      </c>
      <c r="I1680" s="11" t="s">
        <v>205</v>
      </c>
      <c r="J1680" s="11">
        <v>21.0</v>
      </c>
      <c r="K1680" s="12">
        <v>41804.0</v>
      </c>
      <c r="L1680" s="11">
        <f t="shared" ref="L1680:L1681" si="177">ROUND(((K1680-B1680)/365)*12,0)</f>
        <v>12</v>
      </c>
      <c r="M1680" s="11">
        <v>592594.0</v>
      </c>
      <c r="N1680" s="11" t="s">
        <v>3197</v>
      </c>
      <c r="P1680" s="11">
        <v>0.0</v>
      </c>
      <c r="Q1680" s="14">
        <v>0.0</v>
      </c>
      <c r="R1680" s="41">
        <v>1.0</v>
      </c>
      <c r="S1680">
        <f t="shared" si="1"/>
        <v>2013</v>
      </c>
      <c r="T1680">
        <f t="shared" si="2"/>
        <v>6</v>
      </c>
      <c r="U1680">
        <f t="shared" si="3"/>
        <v>1</v>
      </c>
      <c r="AG1680" s="15"/>
      <c r="AH1680" s="16"/>
      <c r="AM1680" s="15"/>
      <c r="AN1680" s="16"/>
    </row>
    <row r="1681">
      <c r="A1681" s="13" t="s">
        <v>3198</v>
      </c>
      <c r="B1681" s="10">
        <v>41419.0</v>
      </c>
      <c r="C1681" s="11" t="s">
        <v>62</v>
      </c>
      <c r="D1681" s="11" t="s">
        <v>88</v>
      </c>
      <c r="E1681" s="30" t="s">
        <v>39</v>
      </c>
      <c r="F1681" s="11" t="s">
        <v>40</v>
      </c>
      <c r="G1681" s="30" t="s">
        <v>45</v>
      </c>
      <c r="H1681" s="11" t="s">
        <v>163</v>
      </c>
      <c r="I1681" s="11"/>
      <c r="J1681" s="11">
        <v>24.0</v>
      </c>
      <c r="K1681" s="12">
        <v>41779.0</v>
      </c>
      <c r="L1681" s="11">
        <f t="shared" si="177"/>
        <v>12</v>
      </c>
      <c r="M1681" s="11">
        <v>519326.0</v>
      </c>
      <c r="N1681" s="11">
        <v>7836.0</v>
      </c>
      <c r="P1681" s="11">
        <v>204.0</v>
      </c>
      <c r="Q1681" s="14">
        <v>180.667</v>
      </c>
      <c r="R1681" s="41">
        <v>1.0</v>
      </c>
      <c r="S1681">
        <f t="shared" si="1"/>
        <v>2013</v>
      </c>
      <c r="T1681">
        <f t="shared" si="2"/>
        <v>5</v>
      </c>
      <c r="U1681">
        <f t="shared" si="3"/>
        <v>25</v>
      </c>
      <c r="AG1681" s="15"/>
      <c r="AH1681" s="16"/>
      <c r="AM1681" s="15"/>
      <c r="AN1681" s="16"/>
    </row>
    <row r="1682">
      <c r="A1682" s="13" t="s">
        <v>3199</v>
      </c>
      <c r="B1682" s="10">
        <v>41417.0</v>
      </c>
      <c r="C1682" s="11" t="s">
        <v>108</v>
      </c>
      <c r="D1682" s="11" t="s">
        <v>93</v>
      </c>
      <c r="E1682" s="11" t="s">
        <v>39</v>
      </c>
      <c r="F1682" s="11" t="s">
        <v>64</v>
      </c>
      <c r="G1682" s="11" t="s">
        <v>194</v>
      </c>
      <c r="H1682" s="11"/>
      <c r="I1682" s="11"/>
      <c r="J1682" s="11">
        <v>20.0</v>
      </c>
      <c r="K1682" s="12">
        <v>42203.0</v>
      </c>
      <c r="L1682" s="11"/>
      <c r="M1682" s="11">
        <v>664681.0</v>
      </c>
      <c r="N1682" s="11" t="s">
        <v>3200</v>
      </c>
      <c r="O1682" s="13"/>
      <c r="P1682" s="11">
        <v>0.0</v>
      </c>
      <c r="Q1682" s="14">
        <v>0.0</v>
      </c>
      <c r="R1682" s="41">
        <v>1.0</v>
      </c>
      <c r="S1682">
        <f t="shared" si="1"/>
        <v>2013</v>
      </c>
      <c r="T1682">
        <f t="shared" si="2"/>
        <v>5</v>
      </c>
      <c r="U1682">
        <f t="shared" si="3"/>
        <v>23</v>
      </c>
      <c r="AG1682" s="15"/>
      <c r="AH1682" s="16"/>
      <c r="AM1682" s="15"/>
      <c r="AN1682" s="16"/>
    </row>
    <row r="1683">
      <c r="A1683" s="13" t="s">
        <v>3201</v>
      </c>
      <c r="B1683" s="10">
        <v>41415.0</v>
      </c>
      <c r="C1683" s="11" t="s">
        <v>116</v>
      </c>
      <c r="D1683" s="11" t="s">
        <v>38</v>
      </c>
      <c r="E1683" s="30" t="s">
        <v>39</v>
      </c>
      <c r="F1683" s="11" t="s">
        <v>64</v>
      </c>
      <c r="G1683" s="30" t="s">
        <v>45</v>
      </c>
      <c r="H1683" s="11" t="s">
        <v>182</v>
      </c>
      <c r="I1683" s="11"/>
      <c r="J1683" s="11">
        <v>28.0</v>
      </c>
      <c r="K1683" s="12">
        <v>41824.0</v>
      </c>
      <c r="L1683" s="11">
        <f>ROUND(((K1683-B1683)/365)*12,0)</f>
        <v>13</v>
      </c>
      <c r="M1683" s="11">
        <v>447714.0</v>
      </c>
      <c r="N1683" s="11">
        <v>5746.0</v>
      </c>
      <c r="O1683" s="13" t="s">
        <v>761</v>
      </c>
      <c r="P1683" s="11">
        <v>123.0</v>
      </c>
      <c r="Q1683" s="14">
        <v>97.0</v>
      </c>
      <c r="R1683" s="41">
        <v>1.0</v>
      </c>
      <c r="S1683">
        <f t="shared" si="1"/>
        <v>2013</v>
      </c>
      <c r="T1683">
        <f t="shared" si="2"/>
        <v>5</v>
      </c>
      <c r="U1683">
        <f t="shared" si="3"/>
        <v>21</v>
      </c>
      <c r="AG1683" s="15"/>
      <c r="AH1683" s="16"/>
      <c r="AM1683" s="15"/>
      <c r="AN1683" s="16"/>
    </row>
    <row r="1684">
      <c r="A1684" s="13" t="s">
        <v>3202</v>
      </c>
      <c r="B1684" s="10">
        <v>41415.0</v>
      </c>
      <c r="C1684" s="11" t="s">
        <v>143</v>
      </c>
      <c r="D1684" s="11" t="s">
        <v>97</v>
      </c>
      <c r="E1684" s="11" t="s">
        <v>39</v>
      </c>
      <c r="F1684" s="11" t="s">
        <v>64</v>
      </c>
      <c r="G1684" s="11" t="s">
        <v>45</v>
      </c>
      <c r="H1684" s="11" t="s">
        <v>163</v>
      </c>
      <c r="I1684" s="11" t="s">
        <v>1461</v>
      </c>
      <c r="J1684" s="11">
        <v>22.0</v>
      </c>
      <c r="K1684" s="30"/>
      <c r="L1684" s="30"/>
      <c r="M1684" s="11">
        <v>607393.0</v>
      </c>
      <c r="N1684" s="11" t="s">
        <v>3203</v>
      </c>
      <c r="O1684" s="13"/>
      <c r="P1684" s="11">
        <v>0.0</v>
      </c>
      <c r="Q1684" s="14">
        <v>0.0</v>
      </c>
      <c r="R1684" s="11">
        <v>0.0</v>
      </c>
      <c r="S1684">
        <f t="shared" si="1"/>
        <v>2013</v>
      </c>
      <c r="T1684">
        <f t="shared" si="2"/>
        <v>5</v>
      </c>
      <c r="U1684">
        <f t="shared" si="3"/>
        <v>21</v>
      </c>
      <c r="AG1684" s="15"/>
      <c r="AH1684" s="16"/>
      <c r="AM1684" s="15"/>
      <c r="AN1684" s="16"/>
    </row>
    <row r="1685">
      <c r="A1685" s="13" t="s">
        <v>2887</v>
      </c>
      <c r="B1685" s="10">
        <v>41410.0</v>
      </c>
      <c r="C1685" s="11" t="s">
        <v>116</v>
      </c>
      <c r="D1685" s="11" t="s">
        <v>38</v>
      </c>
      <c r="E1685" s="30" t="s">
        <v>39</v>
      </c>
      <c r="F1685" s="11" t="s">
        <v>64</v>
      </c>
      <c r="G1685" s="30" t="s">
        <v>45</v>
      </c>
      <c r="H1685" s="11" t="s">
        <v>84</v>
      </c>
      <c r="I1685" s="11" t="s">
        <v>2888</v>
      </c>
      <c r="J1685" s="11">
        <v>28.0</v>
      </c>
      <c r="K1685" s="39">
        <v>43215.0</v>
      </c>
      <c r="L1685" s="11">
        <f>ROUND(((K1685-B1685)/365)*12,0)</f>
        <v>59</v>
      </c>
      <c r="M1685" s="11">
        <v>458924.0</v>
      </c>
      <c r="N1685" s="11">
        <v>7175.0</v>
      </c>
      <c r="O1685" s="13" t="s">
        <v>761</v>
      </c>
      <c r="P1685" s="11">
        <v>0.0</v>
      </c>
      <c r="Q1685" s="45">
        <v>0.0</v>
      </c>
      <c r="R1685" s="41">
        <v>0.0</v>
      </c>
      <c r="S1685">
        <f t="shared" si="1"/>
        <v>2013</v>
      </c>
      <c r="T1685">
        <f t="shared" si="2"/>
        <v>5</v>
      </c>
      <c r="U1685">
        <f t="shared" si="3"/>
        <v>16</v>
      </c>
      <c r="V1685" s="17">
        <v>41541.0</v>
      </c>
      <c r="W1685" s="17">
        <v>41703.0</v>
      </c>
      <c r="Y1685" s="17">
        <v>41775.0</v>
      </c>
      <c r="AA1685" s="17">
        <v>41808.0</v>
      </c>
      <c r="AB1685" s="13" t="s">
        <v>3204</v>
      </c>
      <c r="AC1685" s="17">
        <v>41879.0</v>
      </c>
      <c r="AD1685" s="13" t="s">
        <v>2310</v>
      </c>
      <c r="AG1685" s="15"/>
      <c r="AH1685" s="16"/>
      <c r="AM1685" s="15"/>
      <c r="AN1685" s="16"/>
    </row>
    <row r="1686">
      <c r="A1686" s="13" t="s">
        <v>2778</v>
      </c>
      <c r="B1686" s="10">
        <v>41410.0</v>
      </c>
      <c r="C1686" s="11" t="s">
        <v>72</v>
      </c>
      <c r="D1686" s="11" t="s">
        <v>38</v>
      </c>
      <c r="E1686" s="30" t="s">
        <v>39</v>
      </c>
      <c r="F1686" s="11" t="s">
        <v>40</v>
      </c>
      <c r="G1686" s="30" t="s">
        <v>45</v>
      </c>
      <c r="H1686" s="11" t="s">
        <v>735</v>
      </c>
      <c r="I1686" s="11"/>
      <c r="J1686" s="11">
        <v>31.0</v>
      </c>
      <c r="K1686" s="30"/>
      <c r="L1686" s="30"/>
      <c r="M1686" s="11">
        <v>430629.0</v>
      </c>
      <c r="N1686" s="11">
        <v>2186.0</v>
      </c>
      <c r="O1686" s="13" t="s">
        <v>761</v>
      </c>
      <c r="P1686" s="11">
        <v>0.0</v>
      </c>
      <c r="Q1686" s="45">
        <v>0.0</v>
      </c>
      <c r="R1686" s="41">
        <v>0.0</v>
      </c>
      <c r="S1686">
        <f t="shared" si="1"/>
        <v>2013</v>
      </c>
      <c r="T1686">
        <f t="shared" si="2"/>
        <v>5</v>
      </c>
      <c r="U1686">
        <f t="shared" si="3"/>
        <v>16</v>
      </c>
      <c r="AG1686" s="15"/>
      <c r="AH1686" s="16"/>
      <c r="AM1686" s="15"/>
      <c r="AN1686" s="16"/>
    </row>
    <row r="1687">
      <c r="A1687" s="13" t="s">
        <v>3205</v>
      </c>
      <c r="B1687" s="10">
        <v>41410.0</v>
      </c>
      <c r="C1687" s="11" t="s">
        <v>143</v>
      </c>
      <c r="D1687" s="11" t="s">
        <v>97</v>
      </c>
      <c r="E1687" s="11" t="s">
        <v>104</v>
      </c>
      <c r="F1687" s="11" t="s">
        <v>40</v>
      </c>
      <c r="G1687" s="11" t="s">
        <v>45</v>
      </c>
      <c r="H1687" s="11" t="s">
        <v>67</v>
      </c>
      <c r="I1687" s="11"/>
      <c r="J1687" s="11">
        <v>18.0</v>
      </c>
      <c r="K1687" s="12"/>
      <c r="L1687" s="11"/>
      <c r="M1687" s="11">
        <v>622186.0</v>
      </c>
      <c r="N1687" s="11" t="s">
        <v>3206</v>
      </c>
      <c r="O1687" s="13"/>
      <c r="P1687" s="11">
        <v>0.0</v>
      </c>
      <c r="Q1687" s="14">
        <v>0.0</v>
      </c>
      <c r="R1687" s="11">
        <v>0.0</v>
      </c>
      <c r="S1687">
        <f t="shared" si="1"/>
        <v>2013</v>
      </c>
      <c r="T1687">
        <f t="shared" si="2"/>
        <v>5</v>
      </c>
      <c r="U1687">
        <f t="shared" si="3"/>
        <v>16</v>
      </c>
      <c r="V1687" s="13"/>
      <c r="W1687" s="13"/>
      <c r="X1687" s="13"/>
      <c r="Y1687" s="13"/>
      <c r="Z1687" s="13"/>
      <c r="AA1687" s="13"/>
      <c r="AB1687" s="13"/>
      <c r="AC1687" s="13"/>
      <c r="AD1687" s="13"/>
      <c r="AE1687" s="13"/>
      <c r="AF1687" s="13"/>
      <c r="AG1687" s="50"/>
      <c r="AH1687" s="51"/>
      <c r="AI1687" s="13"/>
      <c r="AJ1687" s="13"/>
      <c r="AK1687" s="13"/>
      <c r="AL1687" s="13"/>
      <c r="AM1687" s="50"/>
      <c r="AN1687" s="51"/>
      <c r="AO1687" s="13"/>
      <c r="AP1687" s="13"/>
    </row>
    <row r="1688">
      <c r="A1688" s="13" t="s">
        <v>3207</v>
      </c>
      <c r="B1688" s="10">
        <v>41402.0</v>
      </c>
      <c r="C1688" s="11" t="s">
        <v>143</v>
      </c>
      <c r="D1688" s="11" t="s">
        <v>38</v>
      </c>
      <c r="E1688" s="30" t="s">
        <v>39</v>
      </c>
      <c r="F1688" s="11" t="s">
        <v>40</v>
      </c>
      <c r="G1688" s="30" t="s">
        <v>45</v>
      </c>
      <c r="H1688" s="11" t="s">
        <v>566</v>
      </c>
      <c r="I1688" s="11"/>
      <c r="J1688" s="11">
        <v>30.0</v>
      </c>
      <c r="K1688" s="12">
        <v>41765.0</v>
      </c>
      <c r="L1688" s="11">
        <f>ROUND(((K1688-B1688)/365)*12,0)</f>
        <v>12</v>
      </c>
      <c r="M1688" s="11">
        <v>425856.0</v>
      </c>
      <c r="N1688" s="11">
        <v>3886.0</v>
      </c>
      <c r="O1688" s="13" t="s">
        <v>1407</v>
      </c>
      <c r="P1688" s="11">
        <v>44.0</v>
      </c>
      <c r="Q1688" s="14">
        <v>98.667</v>
      </c>
      <c r="R1688" s="41">
        <v>1.0</v>
      </c>
      <c r="S1688">
        <f t="shared" si="1"/>
        <v>2013</v>
      </c>
      <c r="T1688">
        <f t="shared" si="2"/>
        <v>5</v>
      </c>
      <c r="U1688">
        <f t="shared" si="3"/>
        <v>8</v>
      </c>
      <c r="V1688" s="13"/>
      <c r="W1688" s="13"/>
      <c r="X1688" s="13"/>
      <c r="Y1688" s="13"/>
      <c r="Z1688" s="17">
        <v>41732.0</v>
      </c>
      <c r="AA1688" s="13"/>
      <c r="AB1688" s="13"/>
      <c r="AC1688" s="13"/>
      <c r="AD1688" s="13"/>
      <c r="AE1688" s="13">
        <v>5.0</v>
      </c>
      <c r="AF1688" s="13">
        <v>5.0</v>
      </c>
      <c r="AG1688" s="50">
        <v>24.333</v>
      </c>
      <c r="AH1688" s="51">
        <v>0.118</v>
      </c>
      <c r="AI1688" s="13">
        <v>125.0</v>
      </c>
      <c r="AJ1688" s="13">
        <v>114.0</v>
      </c>
      <c r="AK1688" s="13">
        <v>9.0</v>
      </c>
      <c r="AL1688" s="13">
        <v>9.0</v>
      </c>
      <c r="AM1688" s="50">
        <v>54.333</v>
      </c>
      <c r="AN1688" s="51">
        <v>0.14</v>
      </c>
      <c r="AO1688" s="13">
        <v>73.0</v>
      </c>
      <c r="AP1688" s="13">
        <v>103.0</v>
      </c>
    </row>
    <row r="1689">
      <c r="A1689" s="13" t="s">
        <v>3208</v>
      </c>
      <c r="B1689" s="10">
        <v>41402.0</v>
      </c>
      <c r="C1689" s="11" t="s">
        <v>346</v>
      </c>
      <c r="D1689" s="11" t="s">
        <v>88</v>
      </c>
      <c r="E1689" s="30" t="s">
        <v>39</v>
      </c>
      <c r="F1689" s="11" t="s">
        <v>64</v>
      </c>
      <c r="G1689" s="30" t="s">
        <v>45</v>
      </c>
      <c r="H1689" s="11" t="s">
        <v>56</v>
      </c>
      <c r="I1689" s="11" t="s">
        <v>2723</v>
      </c>
      <c r="J1689" s="11">
        <v>24.0</v>
      </c>
      <c r="K1689" s="12"/>
      <c r="L1689" s="11"/>
      <c r="M1689" s="11">
        <v>607753.0</v>
      </c>
      <c r="N1689" s="11" t="s">
        <v>3209</v>
      </c>
      <c r="P1689" s="11">
        <v>0.0</v>
      </c>
      <c r="Q1689" s="14">
        <v>0.0</v>
      </c>
      <c r="R1689" s="11">
        <v>0.0</v>
      </c>
      <c r="S1689">
        <f t="shared" si="1"/>
        <v>2013</v>
      </c>
      <c r="T1689">
        <f t="shared" si="2"/>
        <v>5</v>
      </c>
      <c r="U1689">
        <f t="shared" si="3"/>
        <v>8</v>
      </c>
      <c r="AG1689" s="15"/>
      <c r="AH1689" s="16"/>
      <c r="AM1689" s="15"/>
      <c r="AN1689" s="16"/>
    </row>
    <row r="1690">
      <c r="A1690" s="13" t="s">
        <v>1739</v>
      </c>
      <c r="B1690" s="10">
        <v>41400.0</v>
      </c>
      <c r="C1690" s="11" t="s">
        <v>55</v>
      </c>
      <c r="D1690" s="11" t="s">
        <v>93</v>
      </c>
      <c r="E1690" s="11" t="s">
        <v>39</v>
      </c>
      <c r="F1690" s="11" t="s">
        <v>64</v>
      </c>
      <c r="G1690" s="11" t="s">
        <v>45</v>
      </c>
      <c r="H1690" s="11" t="s">
        <v>222</v>
      </c>
      <c r="I1690" s="11" t="s">
        <v>222</v>
      </c>
      <c r="J1690" s="11">
        <v>18.0</v>
      </c>
      <c r="K1690" s="12">
        <v>42177.0</v>
      </c>
      <c r="L1690" s="11"/>
      <c r="M1690" s="11">
        <v>665014.0</v>
      </c>
      <c r="N1690" s="11" t="s">
        <v>1740</v>
      </c>
      <c r="O1690" s="13" t="s">
        <v>3210</v>
      </c>
      <c r="P1690" s="11">
        <v>0.0</v>
      </c>
      <c r="Q1690" s="14">
        <v>0.0</v>
      </c>
      <c r="R1690" s="41">
        <v>1.0</v>
      </c>
      <c r="S1690">
        <f t="shared" si="1"/>
        <v>2013</v>
      </c>
      <c r="T1690">
        <f t="shared" si="2"/>
        <v>5</v>
      </c>
      <c r="U1690">
        <f t="shared" si="3"/>
        <v>6</v>
      </c>
      <c r="AG1690" s="15"/>
      <c r="AH1690" s="16"/>
      <c r="AM1690" s="15"/>
      <c r="AN1690" s="16"/>
    </row>
    <row r="1691">
      <c r="A1691" s="13" t="s">
        <v>3211</v>
      </c>
      <c r="B1691" s="10">
        <v>41400.0</v>
      </c>
      <c r="C1691" s="11" t="s">
        <v>83</v>
      </c>
      <c r="D1691" s="11" t="s">
        <v>38</v>
      </c>
      <c r="E1691" s="30" t="s">
        <v>39</v>
      </c>
      <c r="F1691" s="11" t="s">
        <v>40</v>
      </c>
      <c r="G1691" s="30" t="s">
        <v>45</v>
      </c>
      <c r="H1691" s="11" t="s">
        <v>59</v>
      </c>
      <c r="I1691" s="11" t="s">
        <v>3212</v>
      </c>
      <c r="J1691" s="11">
        <v>31.0</v>
      </c>
      <c r="K1691" s="12">
        <v>41780.0</v>
      </c>
      <c r="L1691" s="11">
        <f>ROUND(((K1691-B1691)/365)*12,0)</f>
        <v>12</v>
      </c>
      <c r="M1691" s="11">
        <v>435400.0</v>
      </c>
      <c r="N1691" s="11">
        <v>5861.0</v>
      </c>
      <c r="O1691" s="13" t="s">
        <v>1332</v>
      </c>
      <c r="P1691" s="11">
        <v>162.0</v>
      </c>
      <c r="Q1691" s="14">
        <v>137.667</v>
      </c>
      <c r="R1691" s="41">
        <v>1.0</v>
      </c>
      <c r="S1691">
        <f t="shared" si="1"/>
        <v>2013</v>
      </c>
      <c r="T1691">
        <f t="shared" si="2"/>
        <v>5</v>
      </c>
      <c r="U1691">
        <f t="shared" si="3"/>
        <v>6</v>
      </c>
      <c r="AG1691" s="15"/>
      <c r="AH1691" s="16"/>
      <c r="AM1691" s="15"/>
      <c r="AN1691" s="16"/>
    </row>
    <row r="1692">
      <c r="A1692" s="13" t="s">
        <v>3213</v>
      </c>
      <c r="B1692" s="10">
        <v>41398.0</v>
      </c>
      <c r="C1692" s="11" t="s">
        <v>156</v>
      </c>
      <c r="D1692" s="11" t="s">
        <v>77</v>
      </c>
      <c r="E1692" s="41" t="s">
        <v>118</v>
      </c>
      <c r="F1692" s="11" t="s">
        <v>40</v>
      </c>
      <c r="G1692" s="30" t="s">
        <v>45</v>
      </c>
      <c r="H1692" s="11" t="s">
        <v>46</v>
      </c>
      <c r="I1692" s="11"/>
      <c r="J1692" s="11">
        <v>22.0</v>
      </c>
      <c r="K1692" s="12"/>
      <c r="L1692" s="11"/>
      <c r="M1692" s="11">
        <v>543573.0</v>
      </c>
      <c r="N1692" s="11" t="s">
        <v>3214</v>
      </c>
      <c r="P1692" s="11">
        <v>0.0</v>
      </c>
      <c r="Q1692" s="14">
        <v>0.0</v>
      </c>
      <c r="R1692" s="11">
        <v>0.0</v>
      </c>
      <c r="S1692">
        <f t="shared" si="1"/>
        <v>2013</v>
      </c>
      <c r="T1692">
        <f t="shared" si="2"/>
        <v>5</v>
      </c>
      <c r="U1692">
        <f t="shared" si="3"/>
        <v>4</v>
      </c>
      <c r="AG1692" s="15"/>
      <c r="AH1692" s="16"/>
      <c r="AM1692" s="15"/>
      <c r="AN1692" s="16"/>
    </row>
    <row r="1693">
      <c r="A1693" s="13" t="s">
        <v>3215</v>
      </c>
      <c r="B1693" s="10">
        <v>41395.0</v>
      </c>
      <c r="C1693" s="11" t="s">
        <v>167</v>
      </c>
      <c r="D1693" s="11" t="s">
        <v>221</v>
      </c>
      <c r="E1693" s="30" t="s">
        <v>39</v>
      </c>
      <c r="F1693" s="11" t="s">
        <v>40</v>
      </c>
      <c r="G1693" s="30" t="s">
        <v>45</v>
      </c>
      <c r="H1693" s="11" t="s">
        <v>67</v>
      </c>
      <c r="I1693" s="11"/>
      <c r="J1693" s="11">
        <v>19.0</v>
      </c>
      <c r="K1693" s="12">
        <v>41812.0</v>
      </c>
      <c r="L1693" s="11">
        <f t="shared" ref="L1693:L1695" si="178">ROUND(((K1693-B1693)/365)*12,0)</f>
        <v>14</v>
      </c>
      <c r="M1693" s="11">
        <v>621263.0</v>
      </c>
      <c r="N1693" s="11" t="s">
        <v>3216</v>
      </c>
      <c r="P1693" s="11">
        <v>0.0</v>
      </c>
      <c r="Q1693" s="14">
        <v>0.0</v>
      </c>
      <c r="R1693" s="41">
        <v>1.0</v>
      </c>
      <c r="S1693">
        <f t="shared" si="1"/>
        <v>2013</v>
      </c>
      <c r="T1693">
        <f t="shared" si="2"/>
        <v>5</v>
      </c>
      <c r="U1693">
        <f t="shared" si="3"/>
        <v>1</v>
      </c>
      <c r="AG1693" s="15"/>
      <c r="AH1693" s="16"/>
      <c r="AM1693" s="15"/>
      <c r="AN1693" s="16"/>
    </row>
    <row r="1694">
      <c r="A1694" s="13" t="s">
        <v>3217</v>
      </c>
      <c r="B1694" s="10">
        <v>41395.0</v>
      </c>
      <c r="C1694" s="11" t="s">
        <v>126</v>
      </c>
      <c r="D1694" s="11" t="s">
        <v>221</v>
      </c>
      <c r="E1694" s="30" t="s">
        <v>39</v>
      </c>
      <c r="F1694" s="11" t="s">
        <v>40</v>
      </c>
      <c r="G1694" s="30" t="s">
        <v>45</v>
      </c>
      <c r="H1694" s="11" t="s">
        <v>129</v>
      </c>
      <c r="I1694" s="11" t="s">
        <v>2226</v>
      </c>
      <c r="J1694" s="11">
        <v>23.0</v>
      </c>
      <c r="K1694" s="12">
        <v>41806.0</v>
      </c>
      <c r="L1694" s="11">
        <f t="shared" si="178"/>
        <v>14</v>
      </c>
      <c r="M1694" s="11">
        <v>607306.0</v>
      </c>
      <c r="N1694" s="11" t="s">
        <v>3218</v>
      </c>
      <c r="P1694" s="11">
        <v>0.0</v>
      </c>
      <c r="Q1694" s="14">
        <v>0.0</v>
      </c>
      <c r="R1694" s="11">
        <v>0.0</v>
      </c>
      <c r="S1694">
        <f t="shared" si="1"/>
        <v>2013</v>
      </c>
      <c r="T1694">
        <f t="shared" si="2"/>
        <v>5</v>
      </c>
      <c r="U1694">
        <f t="shared" si="3"/>
        <v>1</v>
      </c>
      <c r="AG1694" s="15"/>
      <c r="AH1694" s="16"/>
      <c r="AM1694" s="15"/>
      <c r="AN1694" s="16"/>
    </row>
    <row r="1695">
      <c r="A1695" s="13" t="s">
        <v>3219</v>
      </c>
      <c r="B1695" s="10">
        <v>41395.0</v>
      </c>
      <c r="C1695" s="11" t="s">
        <v>37</v>
      </c>
      <c r="D1695" s="11" t="s">
        <v>97</v>
      </c>
      <c r="E1695" s="11" t="s">
        <v>39</v>
      </c>
      <c r="F1695" s="11" t="s">
        <v>40</v>
      </c>
      <c r="G1695" s="11" t="s">
        <v>45</v>
      </c>
      <c r="H1695" s="11" t="s">
        <v>163</v>
      </c>
      <c r="I1695" s="11" t="s">
        <v>262</v>
      </c>
      <c r="J1695" s="11">
        <v>22.0</v>
      </c>
      <c r="K1695" s="12">
        <v>42124.0</v>
      </c>
      <c r="L1695" s="11">
        <f t="shared" si="178"/>
        <v>24</v>
      </c>
      <c r="M1695" s="11">
        <v>608716.0</v>
      </c>
      <c r="N1695" s="11">
        <v>18806.0</v>
      </c>
      <c r="O1695" s="13" t="s">
        <v>761</v>
      </c>
      <c r="P1695" s="11">
        <v>37.0</v>
      </c>
      <c r="Q1695" s="14">
        <v>34.667</v>
      </c>
      <c r="R1695" s="41">
        <v>1.0</v>
      </c>
      <c r="S1695">
        <f t="shared" si="1"/>
        <v>2013</v>
      </c>
      <c r="T1695">
        <f t="shared" si="2"/>
        <v>5</v>
      </c>
      <c r="U1695">
        <f t="shared" si="3"/>
        <v>1</v>
      </c>
      <c r="AG1695" s="15"/>
      <c r="AH1695" s="16"/>
      <c r="AM1695" s="15"/>
      <c r="AN1695" s="16"/>
    </row>
    <row r="1696">
      <c r="A1696" s="13" t="s">
        <v>3220</v>
      </c>
      <c r="B1696" s="10">
        <v>41395.0</v>
      </c>
      <c r="C1696" s="11" t="s">
        <v>55</v>
      </c>
      <c r="D1696" s="11" t="s">
        <v>88</v>
      </c>
      <c r="E1696" s="30" t="s">
        <v>39</v>
      </c>
      <c r="F1696" s="11" t="s">
        <v>40</v>
      </c>
      <c r="G1696" s="30" t="s">
        <v>45</v>
      </c>
      <c r="H1696" s="11" t="s">
        <v>182</v>
      </c>
      <c r="I1696" s="11" t="s">
        <v>771</v>
      </c>
      <c r="J1696" s="11">
        <v>25.0</v>
      </c>
      <c r="K1696" s="12"/>
      <c r="L1696" s="11"/>
      <c r="M1696" s="11">
        <v>571752.0</v>
      </c>
      <c r="N1696" s="11" t="s">
        <v>3221</v>
      </c>
      <c r="P1696" s="11">
        <v>0.0</v>
      </c>
      <c r="Q1696" s="14">
        <v>0.0</v>
      </c>
      <c r="R1696" s="11">
        <v>0.0</v>
      </c>
      <c r="S1696">
        <f t="shared" si="1"/>
        <v>2013</v>
      </c>
      <c r="T1696">
        <f t="shared" si="2"/>
        <v>5</v>
      </c>
      <c r="U1696">
        <f t="shared" si="3"/>
        <v>1</v>
      </c>
      <c r="AG1696" s="15"/>
      <c r="AH1696" s="16"/>
      <c r="AM1696" s="15"/>
      <c r="AN1696" s="16"/>
    </row>
    <row r="1697">
      <c r="A1697" s="13" t="s">
        <v>3222</v>
      </c>
      <c r="B1697" s="10">
        <v>41395.0</v>
      </c>
      <c r="C1697" s="11" t="s">
        <v>108</v>
      </c>
      <c r="D1697" s="11" t="s">
        <v>97</v>
      </c>
      <c r="E1697" s="30" t="s">
        <v>39</v>
      </c>
      <c r="F1697" s="11" t="s">
        <v>40</v>
      </c>
      <c r="G1697" s="30" t="s">
        <v>45</v>
      </c>
      <c r="H1697" s="11" t="s">
        <v>67</v>
      </c>
      <c r="I1697" s="11"/>
      <c r="J1697" s="11">
        <v>21.0</v>
      </c>
      <c r="K1697" s="12">
        <v>41830.0</v>
      </c>
      <c r="L1697" s="11">
        <f t="shared" ref="L1697:L1700" si="179">ROUND(((K1697-B1697)/365)*12,0)</f>
        <v>14</v>
      </c>
      <c r="M1697" s="11">
        <v>592290.0</v>
      </c>
      <c r="N1697" s="11" t="s">
        <v>3223</v>
      </c>
      <c r="P1697" s="11">
        <v>0.0</v>
      </c>
      <c r="Q1697" s="14">
        <v>0.0</v>
      </c>
      <c r="R1697" s="41">
        <v>1.0</v>
      </c>
      <c r="S1697">
        <f t="shared" si="1"/>
        <v>2013</v>
      </c>
      <c r="T1697">
        <f t="shared" si="2"/>
        <v>5</v>
      </c>
      <c r="U1697">
        <f t="shared" si="3"/>
        <v>1</v>
      </c>
      <c r="AG1697" s="15"/>
      <c r="AH1697" s="16"/>
      <c r="AM1697" s="15"/>
      <c r="AN1697" s="16"/>
    </row>
    <row r="1698">
      <c r="A1698" s="13" t="s">
        <v>3224</v>
      </c>
      <c r="B1698" s="10">
        <v>41395.0</v>
      </c>
      <c r="C1698" s="11" t="s">
        <v>108</v>
      </c>
      <c r="D1698" s="11" t="s">
        <v>77</v>
      </c>
      <c r="E1698" s="41" t="s">
        <v>104</v>
      </c>
      <c r="F1698" s="11" t="s">
        <v>40</v>
      </c>
      <c r="G1698" s="30" t="s">
        <v>45</v>
      </c>
      <c r="H1698" s="11" t="s">
        <v>67</v>
      </c>
      <c r="I1698" s="11"/>
      <c r="J1698" s="11">
        <v>23.0</v>
      </c>
      <c r="K1698" s="12">
        <v>42248.0</v>
      </c>
      <c r="L1698" s="11">
        <f t="shared" si="179"/>
        <v>28</v>
      </c>
      <c r="M1698" s="11">
        <v>543309.0</v>
      </c>
      <c r="N1698" s="11">
        <v>5517.0</v>
      </c>
      <c r="P1698" s="11">
        <v>9.0</v>
      </c>
      <c r="Q1698" s="14">
        <v>20.0</v>
      </c>
      <c r="R1698" s="41">
        <v>1.0</v>
      </c>
      <c r="S1698">
        <f t="shared" si="1"/>
        <v>2013</v>
      </c>
      <c r="T1698">
        <f t="shared" si="2"/>
        <v>5</v>
      </c>
      <c r="U1698">
        <f t="shared" si="3"/>
        <v>1</v>
      </c>
      <c r="AG1698" s="15"/>
      <c r="AH1698" s="16"/>
      <c r="AM1698" s="15"/>
      <c r="AN1698" s="16"/>
    </row>
    <row r="1699">
      <c r="A1699" s="13" t="s">
        <v>3225</v>
      </c>
      <c r="B1699" s="10">
        <v>41395.0</v>
      </c>
      <c r="C1699" s="11" t="s">
        <v>150</v>
      </c>
      <c r="D1699" s="11" t="s">
        <v>93</v>
      </c>
      <c r="E1699" s="30" t="s">
        <v>39</v>
      </c>
      <c r="F1699" s="11" t="s">
        <v>40</v>
      </c>
      <c r="G1699" s="30" t="s">
        <v>45</v>
      </c>
      <c r="H1699" s="11" t="s">
        <v>236</v>
      </c>
      <c r="I1699" s="11" t="s">
        <v>826</v>
      </c>
      <c r="J1699" s="11">
        <v>21.0</v>
      </c>
      <c r="K1699" s="12">
        <v>41805.0</v>
      </c>
      <c r="L1699" s="11">
        <f t="shared" si="179"/>
        <v>13</v>
      </c>
      <c r="M1699" s="11">
        <v>592856.0</v>
      </c>
      <c r="N1699" s="11" t="s">
        <v>3226</v>
      </c>
      <c r="P1699" s="11">
        <v>0.0</v>
      </c>
      <c r="Q1699" s="14">
        <v>0.0</v>
      </c>
      <c r="R1699" s="41">
        <v>1.0</v>
      </c>
      <c r="S1699">
        <f t="shared" si="1"/>
        <v>2013</v>
      </c>
      <c r="T1699">
        <f t="shared" si="2"/>
        <v>5</v>
      </c>
      <c r="U1699">
        <f t="shared" si="3"/>
        <v>1</v>
      </c>
      <c r="AG1699" s="15"/>
      <c r="AH1699" s="16"/>
      <c r="AM1699" s="15"/>
      <c r="AN1699" s="16"/>
    </row>
    <row r="1700">
      <c r="A1700" s="13" t="s">
        <v>3227</v>
      </c>
      <c r="B1700" s="10">
        <v>41395.0</v>
      </c>
      <c r="C1700" s="11" t="s">
        <v>362</v>
      </c>
      <c r="D1700" s="11" t="s">
        <v>77</v>
      </c>
      <c r="E1700" s="30" t="s">
        <v>39</v>
      </c>
      <c r="F1700" s="11" t="s">
        <v>40</v>
      </c>
      <c r="G1700" s="30" t="s">
        <v>45</v>
      </c>
      <c r="H1700" s="11" t="s">
        <v>67</v>
      </c>
      <c r="I1700" s="11" t="s">
        <v>616</v>
      </c>
      <c r="J1700" s="11">
        <v>25.0</v>
      </c>
      <c r="K1700" s="12">
        <v>41824.0</v>
      </c>
      <c r="L1700" s="11">
        <f t="shared" si="179"/>
        <v>14</v>
      </c>
      <c r="M1700" s="11">
        <v>502144.0</v>
      </c>
      <c r="N1700" s="11" t="s">
        <v>3228</v>
      </c>
      <c r="P1700" s="11">
        <v>0.0</v>
      </c>
      <c r="Q1700" s="14">
        <v>0.0</v>
      </c>
      <c r="R1700" s="41">
        <v>1.0</v>
      </c>
      <c r="S1700">
        <f t="shared" si="1"/>
        <v>2013</v>
      </c>
      <c r="T1700">
        <f t="shared" si="2"/>
        <v>5</v>
      </c>
      <c r="U1700">
        <f t="shared" si="3"/>
        <v>1</v>
      </c>
      <c r="AG1700" s="15"/>
      <c r="AH1700" s="16"/>
      <c r="AM1700" s="15"/>
      <c r="AN1700" s="16"/>
    </row>
    <row r="1701">
      <c r="A1701" s="13" t="s">
        <v>3229</v>
      </c>
      <c r="B1701" s="10">
        <v>41395.0</v>
      </c>
      <c r="C1701" s="11" t="s">
        <v>175</v>
      </c>
      <c r="D1701" s="11" t="s">
        <v>93</v>
      </c>
      <c r="E1701" s="11" t="s">
        <v>39</v>
      </c>
      <c r="F1701" s="11" t="s">
        <v>40</v>
      </c>
      <c r="G1701" s="11" t="s">
        <v>45</v>
      </c>
      <c r="H1701" s="11" t="s">
        <v>67</v>
      </c>
      <c r="I1701" s="11" t="s">
        <v>3230</v>
      </c>
      <c r="J1701" s="11">
        <v>19.0</v>
      </c>
      <c r="K1701" s="12">
        <v>42179.0</v>
      </c>
      <c r="L1701" s="11"/>
      <c r="M1701" s="11">
        <v>656730.0</v>
      </c>
      <c r="N1701" s="11">
        <v>17722.0</v>
      </c>
      <c r="O1701" s="13"/>
      <c r="P1701" s="11">
        <v>0.0</v>
      </c>
      <c r="Q1701" s="14">
        <v>0.0</v>
      </c>
      <c r="R1701" s="11">
        <v>1.0</v>
      </c>
      <c r="S1701">
        <f t="shared" si="1"/>
        <v>2013</v>
      </c>
      <c r="T1701">
        <f t="shared" si="2"/>
        <v>5</v>
      </c>
      <c r="U1701">
        <f t="shared" si="3"/>
        <v>1</v>
      </c>
      <c r="AG1701" s="15"/>
      <c r="AH1701" s="16"/>
      <c r="AM1701" s="15"/>
      <c r="AN1701" s="16"/>
    </row>
    <row r="1702">
      <c r="A1702" s="13" t="s">
        <v>3231</v>
      </c>
      <c r="B1702" s="10">
        <v>41388.0</v>
      </c>
      <c r="C1702" s="11" t="s">
        <v>52</v>
      </c>
      <c r="D1702" s="11" t="s">
        <v>58</v>
      </c>
      <c r="E1702" s="30" t="s">
        <v>39</v>
      </c>
      <c r="F1702" s="11" t="s">
        <v>40</v>
      </c>
      <c r="G1702" s="30" t="s">
        <v>45</v>
      </c>
      <c r="H1702" s="11" t="s">
        <v>73</v>
      </c>
      <c r="I1702" s="11" t="s">
        <v>3121</v>
      </c>
      <c r="J1702" s="11">
        <v>27.0</v>
      </c>
      <c r="K1702" s="12">
        <v>41782.0</v>
      </c>
      <c r="L1702" s="11">
        <f t="shared" ref="L1702:L1705" si="180">ROUND(((K1702-B1702)/365)*12,0)</f>
        <v>13</v>
      </c>
      <c r="M1702" s="11">
        <v>518655.0</v>
      </c>
      <c r="N1702" s="11">
        <v>6132.0</v>
      </c>
      <c r="P1702" s="11">
        <v>0.0</v>
      </c>
      <c r="Q1702" s="14">
        <v>0.0</v>
      </c>
      <c r="R1702" s="11">
        <v>0.0</v>
      </c>
      <c r="S1702">
        <f t="shared" si="1"/>
        <v>2013</v>
      </c>
      <c r="T1702">
        <f t="shared" si="2"/>
        <v>4</v>
      </c>
      <c r="U1702">
        <f t="shared" si="3"/>
        <v>24</v>
      </c>
      <c r="AG1702" s="15"/>
      <c r="AH1702" s="16"/>
      <c r="AM1702" s="15"/>
      <c r="AN1702" s="16"/>
    </row>
    <row r="1703">
      <c r="A1703" s="13" t="s">
        <v>3232</v>
      </c>
      <c r="B1703" s="10">
        <v>41388.0</v>
      </c>
      <c r="C1703" s="11" t="s">
        <v>126</v>
      </c>
      <c r="D1703" s="11" t="s">
        <v>38</v>
      </c>
      <c r="E1703" s="30" t="s">
        <v>39</v>
      </c>
      <c r="F1703" s="11" t="s">
        <v>40</v>
      </c>
      <c r="G1703" s="30" t="s">
        <v>45</v>
      </c>
      <c r="H1703" s="11" t="s">
        <v>236</v>
      </c>
      <c r="I1703" s="11"/>
      <c r="J1703" s="11">
        <v>28.0</v>
      </c>
      <c r="K1703" s="12">
        <v>42129.0</v>
      </c>
      <c r="L1703" s="11">
        <f t="shared" si="180"/>
        <v>24</v>
      </c>
      <c r="M1703" s="11">
        <v>451532.0</v>
      </c>
      <c r="N1703" s="11">
        <v>5842.0</v>
      </c>
      <c r="O1703" s="13" t="s">
        <v>69</v>
      </c>
      <c r="P1703" s="11">
        <v>7.0</v>
      </c>
      <c r="Q1703" s="14">
        <v>37.0</v>
      </c>
      <c r="R1703" s="11">
        <v>0.0</v>
      </c>
      <c r="S1703">
        <f t="shared" si="1"/>
        <v>2013</v>
      </c>
      <c r="T1703">
        <f t="shared" si="2"/>
        <v>4</v>
      </c>
      <c r="U1703">
        <f t="shared" si="3"/>
        <v>24</v>
      </c>
      <c r="Z1703" s="17">
        <v>41735.0</v>
      </c>
      <c r="AG1703" s="15"/>
      <c r="AH1703" s="16"/>
      <c r="AM1703" s="15"/>
      <c r="AN1703" s="16"/>
    </row>
    <row r="1704">
      <c r="A1704" s="13" t="s">
        <v>3233</v>
      </c>
      <c r="B1704" s="10">
        <v>41381.0</v>
      </c>
      <c r="C1704" s="11" t="s">
        <v>76</v>
      </c>
      <c r="D1704" s="11" t="s">
        <v>77</v>
      </c>
      <c r="E1704" s="41" t="s">
        <v>279</v>
      </c>
      <c r="F1704" s="11" t="s">
        <v>271</v>
      </c>
      <c r="G1704" s="30" t="s">
        <v>45</v>
      </c>
      <c r="H1704" s="11" t="s">
        <v>163</v>
      </c>
      <c r="I1704" s="11" t="s">
        <v>1599</v>
      </c>
      <c r="J1704" s="11">
        <v>23.0</v>
      </c>
      <c r="K1704" s="12">
        <v>41732.0</v>
      </c>
      <c r="L1704" s="11">
        <f t="shared" si="180"/>
        <v>12</v>
      </c>
      <c r="M1704" s="11">
        <v>605474.0</v>
      </c>
      <c r="N1704" s="11" t="s">
        <v>3234</v>
      </c>
      <c r="P1704" s="11">
        <v>0.0</v>
      </c>
      <c r="Q1704" s="14">
        <v>0.0</v>
      </c>
      <c r="R1704" s="41">
        <v>1.0</v>
      </c>
      <c r="S1704">
        <f t="shared" si="1"/>
        <v>2013</v>
      </c>
      <c r="T1704">
        <f t="shared" si="2"/>
        <v>4</v>
      </c>
      <c r="U1704">
        <f t="shared" si="3"/>
        <v>17</v>
      </c>
      <c r="AG1704" s="15"/>
      <c r="AH1704" s="16"/>
      <c r="AM1704" s="15"/>
      <c r="AN1704" s="16"/>
    </row>
    <row r="1705">
      <c r="A1705" s="13" t="s">
        <v>3235</v>
      </c>
      <c r="B1705" s="10">
        <v>41380.0</v>
      </c>
      <c r="C1705" s="11" t="s">
        <v>108</v>
      </c>
      <c r="D1705" s="11" t="s">
        <v>88</v>
      </c>
      <c r="E1705" s="30" t="s">
        <v>39</v>
      </c>
      <c r="F1705" s="11" t="s">
        <v>40</v>
      </c>
      <c r="G1705" s="30" t="s">
        <v>45</v>
      </c>
      <c r="H1705" s="11" t="s">
        <v>84</v>
      </c>
      <c r="I1705" s="11" t="s">
        <v>3236</v>
      </c>
      <c r="J1705" s="11">
        <v>21.0</v>
      </c>
      <c r="K1705" s="12">
        <v>41765.0</v>
      </c>
      <c r="L1705" s="11">
        <f t="shared" si="180"/>
        <v>13</v>
      </c>
      <c r="M1705" s="11">
        <v>580792.0</v>
      </c>
      <c r="N1705" s="11">
        <v>13685.0</v>
      </c>
      <c r="P1705" s="11">
        <v>90.0</v>
      </c>
      <c r="Q1705" s="14">
        <v>89.333</v>
      </c>
      <c r="R1705" s="41">
        <v>1.0</v>
      </c>
      <c r="S1705">
        <f t="shared" si="1"/>
        <v>2013</v>
      </c>
      <c r="T1705">
        <f t="shared" si="2"/>
        <v>4</v>
      </c>
      <c r="U1705">
        <f t="shared" si="3"/>
        <v>16</v>
      </c>
      <c r="AG1705" s="15"/>
      <c r="AH1705" s="16"/>
      <c r="AM1705" s="15"/>
      <c r="AN1705" s="16"/>
    </row>
    <row r="1706">
      <c r="A1706" s="13" t="s">
        <v>3237</v>
      </c>
      <c r="B1706" s="10">
        <v>41375.0</v>
      </c>
      <c r="C1706" s="11" t="s">
        <v>52</v>
      </c>
      <c r="D1706" s="11" t="s">
        <v>38</v>
      </c>
      <c r="E1706" s="30" t="s">
        <v>39</v>
      </c>
      <c r="F1706" s="11" t="s">
        <v>40</v>
      </c>
      <c r="G1706" s="30" t="s">
        <v>45</v>
      </c>
      <c r="H1706" s="11" t="s">
        <v>127</v>
      </c>
      <c r="I1706" s="11" t="s">
        <v>127</v>
      </c>
      <c r="J1706" s="11">
        <v>24.0</v>
      </c>
      <c r="K1706" s="30"/>
      <c r="L1706" s="30"/>
      <c r="M1706" s="11">
        <v>502229.0</v>
      </c>
      <c r="N1706" s="11">
        <v>10054.0</v>
      </c>
      <c r="O1706" s="13" t="s">
        <v>761</v>
      </c>
      <c r="P1706" s="11">
        <v>0.0</v>
      </c>
      <c r="Q1706" s="45">
        <v>0.0</v>
      </c>
      <c r="R1706" s="11">
        <v>0.0</v>
      </c>
      <c r="S1706">
        <f t="shared" si="1"/>
        <v>2013</v>
      </c>
      <c r="T1706">
        <f t="shared" si="2"/>
        <v>4</v>
      </c>
      <c r="U1706">
        <f t="shared" si="3"/>
        <v>11</v>
      </c>
      <c r="AG1706" s="15"/>
      <c r="AH1706" s="16"/>
      <c r="AM1706" s="15"/>
      <c r="AN1706" s="16"/>
    </row>
    <row r="1707">
      <c r="A1707" s="13" t="s">
        <v>3238</v>
      </c>
      <c r="B1707" s="10">
        <v>41375.0</v>
      </c>
      <c r="C1707" s="11" t="s">
        <v>126</v>
      </c>
      <c r="D1707" s="11" t="s">
        <v>213</v>
      </c>
      <c r="E1707" s="11" t="s">
        <v>39</v>
      </c>
      <c r="F1707" s="11" t="s">
        <v>40</v>
      </c>
      <c r="G1707" s="11" t="s">
        <v>45</v>
      </c>
      <c r="H1707" s="11" t="s">
        <v>262</v>
      </c>
      <c r="I1707" s="11" t="s">
        <v>140</v>
      </c>
      <c r="J1707" s="11">
        <v>18.0</v>
      </c>
      <c r="K1707" s="12">
        <v>42578.0</v>
      </c>
      <c r="L1707" s="11"/>
      <c r="M1707" s="11">
        <v>642068.0</v>
      </c>
      <c r="N1707" s="11">
        <v>19682.0</v>
      </c>
      <c r="P1707" s="11">
        <v>0.0</v>
      </c>
      <c r="Q1707" s="14">
        <v>0.0</v>
      </c>
      <c r="R1707" s="41">
        <v>1.0</v>
      </c>
      <c r="S1707">
        <f t="shared" si="1"/>
        <v>2013</v>
      </c>
      <c r="T1707">
        <f t="shared" si="2"/>
        <v>4</v>
      </c>
      <c r="U1707">
        <f t="shared" si="3"/>
        <v>11</v>
      </c>
      <c r="AG1707" s="15"/>
      <c r="AH1707" s="16"/>
      <c r="AM1707" s="15"/>
      <c r="AN1707" s="16"/>
    </row>
    <row r="1708">
      <c r="A1708" s="13" t="s">
        <v>260</v>
      </c>
      <c r="B1708" s="10">
        <v>41375.0</v>
      </c>
      <c r="C1708" s="11" t="s">
        <v>49</v>
      </c>
      <c r="D1708" s="11" t="s">
        <v>213</v>
      </c>
      <c r="E1708" s="11" t="s">
        <v>39</v>
      </c>
      <c r="F1708" s="11" t="s">
        <v>40</v>
      </c>
      <c r="G1708" s="11" t="s">
        <v>45</v>
      </c>
      <c r="H1708" s="11" t="s">
        <v>119</v>
      </c>
      <c r="I1708" s="11" t="s">
        <v>74</v>
      </c>
      <c r="J1708" s="11">
        <v>17.0</v>
      </c>
      <c r="K1708" s="12">
        <v>44321.0</v>
      </c>
      <c r="L1708" s="11"/>
      <c r="M1708" s="11">
        <v>656755.0</v>
      </c>
      <c r="N1708" s="11">
        <v>21319.0</v>
      </c>
      <c r="P1708" s="11">
        <v>0.0</v>
      </c>
      <c r="Q1708" s="14">
        <v>0.0</v>
      </c>
      <c r="R1708" s="11">
        <v>1.0</v>
      </c>
      <c r="S1708">
        <f t="shared" si="1"/>
        <v>2013</v>
      </c>
      <c r="T1708">
        <f t="shared" si="2"/>
        <v>4</v>
      </c>
      <c r="U1708">
        <f t="shared" si="3"/>
        <v>11</v>
      </c>
      <c r="AG1708" s="15"/>
      <c r="AH1708" s="16"/>
      <c r="AM1708" s="15"/>
      <c r="AN1708" s="16"/>
    </row>
    <row r="1709">
      <c r="A1709" s="13" t="s">
        <v>3239</v>
      </c>
      <c r="B1709" s="10">
        <v>41369.0</v>
      </c>
      <c r="C1709" s="11" t="s">
        <v>156</v>
      </c>
      <c r="D1709" s="11" t="s">
        <v>97</v>
      </c>
      <c r="E1709" s="11" t="s">
        <v>982</v>
      </c>
      <c r="F1709" s="11" t="s">
        <v>40</v>
      </c>
      <c r="G1709" s="11" t="s">
        <v>53</v>
      </c>
      <c r="H1709" s="11"/>
      <c r="I1709" s="11"/>
      <c r="J1709" s="11">
        <v>20.0</v>
      </c>
      <c r="K1709" s="12">
        <v>41732.0</v>
      </c>
      <c r="L1709" s="11">
        <f t="shared" ref="L1709:L1711" si="181">ROUND(((K1709-B1709)/365)*12,0)</f>
        <v>12</v>
      </c>
      <c r="M1709" s="11">
        <v>578570.0</v>
      </c>
      <c r="N1709" s="11">
        <v>12140.0</v>
      </c>
      <c r="O1709" s="13" t="s">
        <v>662</v>
      </c>
      <c r="P1709" s="11">
        <v>4.0</v>
      </c>
      <c r="Q1709" s="14">
        <v>11.0</v>
      </c>
      <c r="R1709" s="11">
        <v>1.0</v>
      </c>
      <c r="S1709">
        <f t="shared" si="1"/>
        <v>2013</v>
      </c>
      <c r="T1709">
        <f t="shared" si="2"/>
        <v>4</v>
      </c>
      <c r="U1709">
        <f t="shared" si="3"/>
        <v>5</v>
      </c>
      <c r="Z1709" s="17">
        <v>41732.0</v>
      </c>
      <c r="AG1709" s="15"/>
      <c r="AH1709" s="16"/>
      <c r="AM1709" s="15"/>
      <c r="AN1709" s="16"/>
    </row>
    <row r="1710">
      <c r="A1710" s="13" t="s">
        <v>3240</v>
      </c>
      <c r="B1710" s="10">
        <v>41367.0</v>
      </c>
      <c r="C1710" s="11" t="s">
        <v>186</v>
      </c>
      <c r="D1710" s="11" t="s">
        <v>58</v>
      </c>
      <c r="E1710" s="30" t="s">
        <v>39</v>
      </c>
      <c r="F1710" s="11" t="s">
        <v>64</v>
      </c>
      <c r="G1710" s="30" t="s">
        <v>45</v>
      </c>
      <c r="H1710" s="11" t="s">
        <v>262</v>
      </c>
      <c r="I1710" s="11" t="s">
        <v>1912</v>
      </c>
      <c r="J1710" s="11">
        <v>24.0</v>
      </c>
      <c r="K1710" s="12">
        <v>41772.0</v>
      </c>
      <c r="L1710" s="11">
        <f t="shared" si="181"/>
        <v>13</v>
      </c>
      <c r="M1710" s="11">
        <v>518445.0</v>
      </c>
      <c r="N1710" s="11">
        <v>10297.0</v>
      </c>
      <c r="P1710" s="11">
        <v>28.0</v>
      </c>
      <c r="Q1710" s="14">
        <v>62.333</v>
      </c>
      <c r="R1710" s="41">
        <v>1.0</v>
      </c>
      <c r="S1710">
        <f t="shared" si="1"/>
        <v>2013</v>
      </c>
      <c r="T1710">
        <f t="shared" si="2"/>
        <v>4</v>
      </c>
      <c r="U1710">
        <f t="shared" si="3"/>
        <v>3</v>
      </c>
      <c r="AG1710" s="15"/>
      <c r="AH1710" s="16"/>
      <c r="AM1710" s="15"/>
      <c r="AN1710" s="16"/>
    </row>
    <row r="1711">
      <c r="A1711" s="13" t="s">
        <v>3241</v>
      </c>
      <c r="B1711" s="10">
        <v>41366.0</v>
      </c>
      <c r="C1711" s="11" t="s">
        <v>175</v>
      </c>
      <c r="D1711" s="11" t="s">
        <v>38</v>
      </c>
      <c r="E1711" s="30" t="s">
        <v>39</v>
      </c>
      <c r="F1711" s="11" t="s">
        <v>40</v>
      </c>
      <c r="G1711" s="30" t="s">
        <v>45</v>
      </c>
      <c r="H1711" s="11" t="s">
        <v>84</v>
      </c>
      <c r="I1711" s="11"/>
      <c r="J1711" s="11">
        <v>23.0</v>
      </c>
      <c r="K1711" s="12">
        <v>42266.0</v>
      </c>
      <c r="L1711" s="11">
        <f t="shared" si="181"/>
        <v>30</v>
      </c>
      <c r="M1711" s="11">
        <v>543391.0</v>
      </c>
      <c r="N1711" s="11">
        <v>9174.0</v>
      </c>
      <c r="O1711" s="13" t="s">
        <v>761</v>
      </c>
      <c r="P1711" s="11">
        <v>13.0</v>
      </c>
      <c r="Q1711" s="14">
        <v>33.0</v>
      </c>
      <c r="R1711" s="41">
        <v>1.0</v>
      </c>
      <c r="S1711">
        <f t="shared" si="1"/>
        <v>2013</v>
      </c>
      <c r="T1711">
        <f t="shared" si="2"/>
        <v>4</v>
      </c>
      <c r="U1711">
        <f t="shared" si="3"/>
        <v>2</v>
      </c>
      <c r="Z1711" s="17">
        <v>41762.0</v>
      </c>
      <c r="AG1711" s="15"/>
      <c r="AH1711" s="16"/>
      <c r="AM1711" s="15"/>
      <c r="AN1711" s="16"/>
    </row>
    <row r="1712">
      <c r="A1712" s="13" t="s">
        <v>3242</v>
      </c>
      <c r="B1712" s="10">
        <v>41365.0</v>
      </c>
      <c r="C1712" s="11" t="s">
        <v>162</v>
      </c>
      <c r="D1712" s="11" t="s">
        <v>213</v>
      </c>
      <c r="E1712" s="11" t="s">
        <v>39</v>
      </c>
      <c r="F1712" s="11" t="s">
        <v>40</v>
      </c>
      <c r="G1712" s="11" t="s">
        <v>45</v>
      </c>
      <c r="H1712" s="11" t="s">
        <v>240</v>
      </c>
      <c r="I1712" s="11" t="s">
        <v>619</v>
      </c>
      <c r="J1712" s="11">
        <v>18.0</v>
      </c>
      <c r="K1712" s="12">
        <v>42548.0</v>
      </c>
      <c r="L1712" s="11"/>
      <c r="M1712" s="11">
        <v>670164.0</v>
      </c>
      <c r="N1712" s="11" t="s">
        <v>3243</v>
      </c>
      <c r="P1712" s="11">
        <v>0.0</v>
      </c>
      <c r="Q1712" s="14">
        <v>0.0</v>
      </c>
      <c r="R1712" s="41">
        <v>1.0</v>
      </c>
      <c r="S1712">
        <f t="shared" si="1"/>
        <v>2013</v>
      </c>
      <c r="T1712">
        <f t="shared" si="2"/>
        <v>4</v>
      </c>
      <c r="U1712">
        <f t="shared" si="3"/>
        <v>1</v>
      </c>
      <c r="AG1712" s="15"/>
      <c r="AH1712" s="16"/>
      <c r="AM1712" s="15"/>
      <c r="AN1712" s="16"/>
    </row>
    <row r="1713">
      <c r="A1713" s="13" t="s">
        <v>3244</v>
      </c>
      <c r="B1713" s="10">
        <v>41365.0</v>
      </c>
      <c r="C1713" s="11" t="s">
        <v>358</v>
      </c>
      <c r="D1713" s="11" t="s">
        <v>93</v>
      </c>
      <c r="E1713" s="11" t="s">
        <v>39</v>
      </c>
      <c r="F1713" s="11" t="s">
        <v>64</v>
      </c>
      <c r="G1713" s="11" t="s">
        <v>45</v>
      </c>
      <c r="H1713" s="11" t="s">
        <v>139</v>
      </c>
      <c r="I1713" s="11" t="s">
        <v>1059</v>
      </c>
      <c r="J1713" s="11">
        <v>21.0</v>
      </c>
      <c r="K1713" s="12">
        <v>42176.0</v>
      </c>
      <c r="L1713" s="11"/>
      <c r="M1713" s="11">
        <v>592455.0</v>
      </c>
      <c r="N1713" s="11" t="s">
        <v>3245</v>
      </c>
      <c r="P1713" s="11">
        <v>0.0</v>
      </c>
      <c r="Q1713" s="14">
        <v>0.0</v>
      </c>
      <c r="R1713" s="41">
        <v>1.0</v>
      </c>
      <c r="S1713">
        <f t="shared" si="1"/>
        <v>2013</v>
      </c>
      <c r="T1713">
        <f t="shared" si="2"/>
        <v>4</v>
      </c>
      <c r="U1713">
        <f t="shared" si="3"/>
        <v>1</v>
      </c>
      <c r="AG1713" s="15"/>
      <c r="AH1713" s="16"/>
      <c r="AM1713" s="15"/>
      <c r="AN1713" s="16"/>
    </row>
    <row r="1714">
      <c r="A1714" s="13" t="s">
        <v>1535</v>
      </c>
      <c r="B1714" s="10">
        <v>41365.0</v>
      </c>
      <c r="C1714" s="11" t="s">
        <v>108</v>
      </c>
      <c r="D1714" s="11" t="s">
        <v>213</v>
      </c>
      <c r="E1714" s="11" t="s">
        <v>39</v>
      </c>
      <c r="F1714" s="11" t="s">
        <v>64</v>
      </c>
      <c r="G1714" s="11" t="s">
        <v>45</v>
      </c>
      <c r="H1714" s="11" t="s">
        <v>412</v>
      </c>
      <c r="I1714" s="11" t="s">
        <v>746</v>
      </c>
      <c r="J1714" s="11">
        <v>19.0</v>
      </c>
      <c r="K1714" s="12">
        <v>42203.0</v>
      </c>
      <c r="L1714" s="11"/>
      <c r="M1714" s="11">
        <v>642028.0</v>
      </c>
      <c r="N1714" s="11">
        <v>18510.0</v>
      </c>
      <c r="O1714" s="13" t="s">
        <v>355</v>
      </c>
      <c r="P1714" s="11">
        <v>0.0</v>
      </c>
      <c r="Q1714" s="14">
        <v>0.0</v>
      </c>
      <c r="R1714" s="41">
        <v>1.0</v>
      </c>
      <c r="S1714">
        <f t="shared" si="1"/>
        <v>2013</v>
      </c>
      <c r="T1714">
        <f t="shared" si="2"/>
        <v>4</v>
      </c>
      <c r="U1714">
        <f t="shared" si="3"/>
        <v>1</v>
      </c>
      <c r="AG1714" s="15"/>
      <c r="AH1714" s="16"/>
      <c r="AM1714" s="15"/>
      <c r="AN1714" s="16"/>
    </row>
    <row r="1715">
      <c r="A1715" s="13" t="s">
        <v>3246</v>
      </c>
      <c r="B1715" s="10">
        <v>41363.0</v>
      </c>
      <c r="C1715" s="11" t="s">
        <v>235</v>
      </c>
      <c r="D1715" s="11" t="s">
        <v>221</v>
      </c>
      <c r="E1715" s="30" t="s">
        <v>39</v>
      </c>
      <c r="F1715" s="11" t="s">
        <v>64</v>
      </c>
      <c r="G1715" s="30" t="s">
        <v>45</v>
      </c>
      <c r="H1715" s="11" t="s">
        <v>73</v>
      </c>
      <c r="I1715" s="11"/>
      <c r="J1715" s="11">
        <v>19.0</v>
      </c>
      <c r="K1715" s="12">
        <v>41810.0</v>
      </c>
      <c r="L1715" s="11">
        <f t="shared" ref="L1715:L1720" si="182">ROUND(((K1715-B1715)/365)*12,0)</f>
        <v>15</v>
      </c>
      <c r="M1715" s="11">
        <v>621366.0</v>
      </c>
      <c r="N1715" s="11">
        <v>16350.0</v>
      </c>
      <c r="P1715" s="11">
        <v>0.0</v>
      </c>
      <c r="Q1715" s="14">
        <v>0.0</v>
      </c>
      <c r="R1715" s="41">
        <v>1.0</v>
      </c>
      <c r="S1715">
        <f t="shared" si="1"/>
        <v>2013</v>
      </c>
      <c r="T1715">
        <f t="shared" si="2"/>
        <v>3</v>
      </c>
      <c r="U1715">
        <f t="shared" si="3"/>
        <v>30</v>
      </c>
      <c r="AG1715" s="15"/>
      <c r="AH1715" s="16"/>
      <c r="AM1715" s="15"/>
      <c r="AN1715" s="16"/>
    </row>
    <row r="1716">
      <c r="A1716" s="13" t="s">
        <v>3247</v>
      </c>
      <c r="B1716" s="10">
        <v>41360.0</v>
      </c>
      <c r="C1716" s="11" t="s">
        <v>274</v>
      </c>
      <c r="D1716" s="11" t="s">
        <v>38</v>
      </c>
      <c r="E1716" s="30" t="s">
        <v>39</v>
      </c>
      <c r="F1716" s="11" t="s">
        <v>40</v>
      </c>
      <c r="G1716" s="30" t="s">
        <v>45</v>
      </c>
      <c r="H1716" s="11" t="s">
        <v>56</v>
      </c>
      <c r="I1716" s="11" t="s">
        <v>3248</v>
      </c>
      <c r="J1716" s="11">
        <v>29.0</v>
      </c>
      <c r="K1716" s="12">
        <v>41768.0</v>
      </c>
      <c r="L1716" s="11">
        <f t="shared" si="182"/>
        <v>13</v>
      </c>
      <c r="M1716" s="11">
        <v>451775.0</v>
      </c>
      <c r="N1716" s="11">
        <v>7558.0</v>
      </c>
      <c r="O1716" s="13" t="s">
        <v>2059</v>
      </c>
      <c r="P1716" s="11">
        <v>97.0</v>
      </c>
      <c r="Q1716" s="14">
        <v>108.333</v>
      </c>
      <c r="R1716" s="41">
        <v>1.0</v>
      </c>
      <c r="S1716">
        <f t="shared" si="1"/>
        <v>2013</v>
      </c>
      <c r="T1716">
        <f t="shared" si="2"/>
        <v>3</v>
      </c>
      <c r="U1716">
        <f t="shared" si="3"/>
        <v>27</v>
      </c>
      <c r="AG1716" s="15"/>
      <c r="AH1716" s="16"/>
      <c r="AM1716" s="15"/>
      <c r="AN1716" s="16"/>
    </row>
    <row r="1717">
      <c r="A1717" s="13" t="s">
        <v>3249</v>
      </c>
      <c r="B1717" s="10">
        <v>41359.0</v>
      </c>
      <c r="C1717" s="11" t="s">
        <v>346</v>
      </c>
      <c r="D1717" s="11" t="s">
        <v>58</v>
      </c>
      <c r="E1717" s="30" t="s">
        <v>39</v>
      </c>
      <c r="F1717" s="11" t="s">
        <v>64</v>
      </c>
      <c r="G1717" s="30" t="s">
        <v>45</v>
      </c>
      <c r="H1717" s="11" t="s">
        <v>56</v>
      </c>
      <c r="I1717" s="11" t="s">
        <v>3250</v>
      </c>
      <c r="J1717" s="11">
        <v>27.0</v>
      </c>
      <c r="K1717" s="12">
        <v>41784.0</v>
      </c>
      <c r="L1717" s="11">
        <f t="shared" si="182"/>
        <v>14</v>
      </c>
      <c r="M1717" s="11">
        <v>545196.0</v>
      </c>
      <c r="N1717" s="11" t="s">
        <v>3251</v>
      </c>
      <c r="P1717" s="11">
        <v>0.0</v>
      </c>
      <c r="Q1717" s="14">
        <v>0.0</v>
      </c>
      <c r="R1717" s="41">
        <v>1.0</v>
      </c>
      <c r="S1717">
        <f t="shared" si="1"/>
        <v>2013</v>
      </c>
      <c r="T1717">
        <f t="shared" si="2"/>
        <v>3</v>
      </c>
      <c r="U1717">
        <f t="shared" si="3"/>
        <v>26</v>
      </c>
      <c r="AG1717" s="15"/>
      <c r="AH1717" s="16"/>
      <c r="AM1717" s="15"/>
      <c r="AN1717" s="16"/>
    </row>
    <row r="1718">
      <c r="A1718" s="13" t="s">
        <v>3252</v>
      </c>
      <c r="B1718" s="10">
        <v>41346.0</v>
      </c>
      <c r="C1718" s="11" t="s">
        <v>72</v>
      </c>
      <c r="D1718" s="11" t="s">
        <v>77</v>
      </c>
      <c r="E1718" s="30" t="s">
        <v>39</v>
      </c>
      <c r="F1718" s="11" t="s">
        <v>40</v>
      </c>
      <c r="G1718" s="30" t="s">
        <v>45</v>
      </c>
      <c r="H1718" s="11" t="s">
        <v>301</v>
      </c>
      <c r="I1718" s="11" t="s">
        <v>739</v>
      </c>
      <c r="J1718" s="11">
        <v>22.0</v>
      </c>
      <c r="K1718" s="12">
        <v>41751.0</v>
      </c>
      <c r="L1718" s="11">
        <f t="shared" si="182"/>
        <v>13</v>
      </c>
      <c r="M1718" s="11">
        <v>594891.0</v>
      </c>
      <c r="N1718" s="11" t="s">
        <v>3253</v>
      </c>
      <c r="P1718" s="11">
        <v>0.0</v>
      </c>
      <c r="Q1718" s="14">
        <v>0.0</v>
      </c>
      <c r="R1718" s="41">
        <v>1.0</v>
      </c>
      <c r="S1718">
        <f t="shared" si="1"/>
        <v>2013</v>
      </c>
      <c r="T1718">
        <f t="shared" si="2"/>
        <v>3</v>
      </c>
      <c r="U1718">
        <f t="shared" si="3"/>
        <v>13</v>
      </c>
      <c r="AG1718" s="15"/>
      <c r="AH1718" s="16"/>
      <c r="AM1718" s="15"/>
      <c r="AN1718" s="16"/>
    </row>
    <row r="1719">
      <c r="A1719" s="13" t="s">
        <v>3254</v>
      </c>
      <c r="B1719" s="10">
        <v>41346.0</v>
      </c>
      <c r="C1719" s="11" t="s">
        <v>44</v>
      </c>
      <c r="D1719" s="11" t="s">
        <v>38</v>
      </c>
      <c r="E1719" s="30" t="s">
        <v>39</v>
      </c>
      <c r="F1719" s="11" t="s">
        <v>40</v>
      </c>
      <c r="G1719" s="30" t="s">
        <v>45</v>
      </c>
      <c r="H1719" s="11" t="s">
        <v>139</v>
      </c>
      <c r="I1719" s="11" t="s">
        <v>730</v>
      </c>
      <c r="J1719" s="11">
        <v>29.0</v>
      </c>
      <c r="K1719" s="39">
        <v>42599.0</v>
      </c>
      <c r="L1719" s="11">
        <f t="shared" si="182"/>
        <v>41</v>
      </c>
      <c r="M1719" s="11">
        <v>497807.0</v>
      </c>
      <c r="N1719" s="11">
        <v>7960.0</v>
      </c>
      <c r="O1719" s="13" t="s">
        <v>1407</v>
      </c>
      <c r="P1719" s="11">
        <v>14.0</v>
      </c>
      <c r="Q1719" s="14">
        <v>15.0</v>
      </c>
      <c r="R1719" s="41">
        <v>1.0</v>
      </c>
      <c r="S1719">
        <f t="shared" si="1"/>
        <v>2013</v>
      </c>
      <c r="T1719">
        <f t="shared" si="2"/>
        <v>3</v>
      </c>
      <c r="U1719">
        <f t="shared" si="3"/>
        <v>13</v>
      </c>
      <c r="AG1719" s="15"/>
      <c r="AH1719" s="16"/>
      <c r="AM1719" s="15"/>
      <c r="AN1719" s="16"/>
    </row>
    <row r="1720">
      <c r="A1720" s="13" t="s">
        <v>3255</v>
      </c>
      <c r="B1720" s="10">
        <v>41346.0</v>
      </c>
      <c r="C1720" s="11" t="s">
        <v>83</v>
      </c>
      <c r="D1720" s="11" t="s">
        <v>38</v>
      </c>
      <c r="E1720" s="41" t="s">
        <v>982</v>
      </c>
      <c r="F1720" s="11" t="s">
        <v>40</v>
      </c>
      <c r="G1720" s="11" t="s">
        <v>41</v>
      </c>
      <c r="H1720" s="30"/>
      <c r="I1720" s="30"/>
      <c r="J1720" s="11">
        <v>35.0</v>
      </c>
      <c r="K1720" s="12">
        <v>41803.0</v>
      </c>
      <c r="L1720" s="11">
        <f t="shared" si="182"/>
        <v>15</v>
      </c>
      <c r="M1720" s="11">
        <v>279577.0</v>
      </c>
      <c r="N1720" s="11">
        <v>88.0</v>
      </c>
      <c r="O1720" s="13" t="s">
        <v>761</v>
      </c>
      <c r="P1720" s="11">
        <v>9.0</v>
      </c>
      <c r="Q1720" s="45">
        <v>37.0</v>
      </c>
      <c r="R1720" s="41">
        <v>0.0</v>
      </c>
      <c r="S1720">
        <f t="shared" si="1"/>
        <v>2013</v>
      </c>
      <c r="T1720">
        <f t="shared" si="2"/>
        <v>3</v>
      </c>
      <c r="U1720">
        <f t="shared" si="3"/>
        <v>13</v>
      </c>
      <c r="AG1720" s="15"/>
      <c r="AH1720" s="16"/>
      <c r="AM1720" s="15"/>
      <c r="AN1720" s="16"/>
    </row>
    <row r="1721">
      <c r="A1721" s="13" t="s">
        <v>3256</v>
      </c>
      <c r="B1721" s="10">
        <v>41332.0</v>
      </c>
      <c r="C1721" s="11" t="s">
        <v>126</v>
      </c>
      <c r="D1721" s="11" t="s">
        <v>93</v>
      </c>
      <c r="E1721" s="11" t="s">
        <v>39</v>
      </c>
      <c r="F1721" s="11" t="s">
        <v>40</v>
      </c>
      <c r="G1721" s="11" t="s">
        <v>45</v>
      </c>
      <c r="H1721" s="11" t="s">
        <v>412</v>
      </c>
      <c r="I1721" s="11" t="s">
        <v>3257</v>
      </c>
      <c r="J1721" s="11">
        <v>19.0</v>
      </c>
      <c r="K1721" s="12"/>
      <c r="L1721" s="11"/>
      <c r="M1721" s="11"/>
      <c r="N1721" s="11"/>
      <c r="O1721" s="13"/>
      <c r="P1721" s="11">
        <v>0.0</v>
      </c>
      <c r="Q1721" s="14">
        <v>0.0</v>
      </c>
      <c r="R1721" s="11">
        <v>0.0</v>
      </c>
      <c r="S1721">
        <f t="shared" si="1"/>
        <v>2013</v>
      </c>
      <c r="T1721">
        <f t="shared" si="2"/>
        <v>2</v>
      </c>
      <c r="U1721">
        <f t="shared" si="3"/>
        <v>27</v>
      </c>
      <c r="AG1721" s="15"/>
      <c r="AH1721" s="16"/>
      <c r="AM1721" s="15"/>
      <c r="AN1721" s="16"/>
    </row>
    <row r="1722">
      <c r="A1722" s="13" t="s">
        <v>3258</v>
      </c>
      <c r="B1722" s="10">
        <v>41325.0</v>
      </c>
      <c r="C1722" s="11" t="s">
        <v>175</v>
      </c>
      <c r="D1722" s="11" t="s">
        <v>77</v>
      </c>
      <c r="E1722" s="41" t="s">
        <v>118</v>
      </c>
      <c r="F1722" s="11" t="s">
        <v>40</v>
      </c>
      <c r="G1722" s="11" t="s">
        <v>41</v>
      </c>
      <c r="H1722" s="30"/>
      <c r="I1722" s="30"/>
      <c r="J1722" s="11">
        <v>22.0</v>
      </c>
      <c r="K1722" s="12">
        <v>41732.0</v>
      </c>
      <c r="L1722" s="11">
        <f>ROUND(((K1722-B1722)/365)*12,0)</f>
        <v>13</v>
      </c>
      <c r="M1722" s="11">
        <v>542642.0</v>
      </c>
      <c r="N1722" s="11">
        <v>4779.0</v>
      </c>
      <c r="O1722" s="13" t="s">
        <v>2884</v>
      </c>
      <c r="P1722" s="11">
        <v>59.0</v>
      </c>
      <c r="Q1722" s="14">
        <v>167.0</v>
      </c>
      <c r="R1722" s="41">
        <v>1.0</v>
      </c>
      <c r="S1722">
        <f t="shared" si="1"/>
        <v>2013</v>
      </c>
      <c r="T1722">
        <f t="shared" si="2"/>
        <v>2</v>
      </c>
      <c r="U1722">
        <f t="shared" si="3"/>
        <v>20</v>
      </c>
      <c r="AG1722" s="15"/>
      <c r="AH1722" s="16"/>
      <c r="AM1722" s="15"/>
      <c r="AN1722" s="16"/>
    </row>
    <row r="1723">
      <c r="A1723" s="13" t="s">
        <v>3259</v>
      </c>
      <c r="B1723" s="10">
        <v>41275.0</v>
      </c>
      <c r="C1723" s="11" t="s">
        <v>101</v>
      </c>
      <c r="D1723" s="11" t="s">
        <v>93</v>
      </c>
      <c r="E1723" s="11" t="s">
        <v>39</v>
      </c>
      <c r="F1723" s="11" t="s">
        <v>40</v>
      </c>
      <c r="G1723" s="11" t="s">
        <v>45</v>
      </c>
      <c r="H1723" s="11" t="s">
        <v>46</v>
      </c>
      <c r="I1723" s="11" t="s">
        <v>3260</v>
      </c>
      <c r="J1723" s="11">
        <v>20.0</v>
      </c>
      <c r="K1723" s="12">
        <v>42180.0</v>
      </c>
      <c r="L1723" s="30"/>
      <c r="M1723" s="11">
        <v>664199.0</v>
      </c>
      <c r="N1723" s="11">
        <v>17611.0</v>
      </c>
      <c r="P1723" s="11">
        <v>0.0</v>
      </c>
      <c r="Q1723" s="14">
        <v>0.0</v>
      </c>
      <c r="R1723" s="41">
        <v>1.0</v>
      </c>
      <c r="S1723">
        <f t="shared" si="1"/>
        <v>2013</v>
      </c>
      <c r="T1723">
        <f t="shared" si="2"/>
        <v>1</v>
      </c>
      <c r="U1723">
        <f t="shared" si="3"/>
        <v>1</v>
      </c>
      <c r="AG1723" s="15"/>
      <c r="AH1723" s="16"/>
      <c r="AM1723" s="15"/>
      <c r="AN1723" s="16"/>
    </row>
    <row r="1724">
      <c r="A1724" s="13" t="s">
        <v>3261</v>
      </c>
      <c r="B1724" s="10">
        <v>41275.0</v>
      </c>
      <c r="C1724" s="11" t="s">
        <v>101</v>
      </c>
      <c r="D1724" s="11" t="s">
        <v>213</v>
      </c>
      <c r="E1724" s="11" t="s">
        <v>39</v>
      </c>
      <c r="F1724" s="11" t="s">
        <v>40</v>
      </c>
      <c r="G1724" s="11" t="s">
        <v>45</v>
      </c>
      <c r="H1724" s="11" t="s">
        <v>67</v>
      </c>
      <c r="I1724" s="11" t="s">
        <v>3262</v>
      </c>
      <c r="J1724" s="11">
        <v>19.0</v>
      </c>
      <c r="K1724" s="12">
        <v>42178.0</v>
      </c>
      <c r="L1724" s="30"/>
      <c r="M1724" s="11">
        <v>664845.0</v>
      </c>
      <c r="N1724" s="11" t="s">
        <v>3263</v>
      </c>
      <c r="P1724" s="11">
        <v>0.0</v>
      </c>
      <c r="Q1724" s="14">
        <v>0.0</v>
      </c>
      <c r="R1724" s="41">
        <v>1.0</v>
      </c>
      <c r="S1724">
        <f t="shared" si="1"/>
        <v>2013</v>
      </c>
      <c r="T1724">
        <f t="shared" si="2"/>
        <v>1</v>
      </c>
      <c r="U1724">
        <f t="shared" si="3"/>
        <v>1</v>
      </c>
      <c r="AG1724" s="15"/>
      <c r="AH1724" s="16"/>
      <c r="AM1724" s="15"/>
      <c r="AN1724" s="16"/>
    </row>
    <row r="1725">
      <c r="A1725" s="13" t="s">
        <v>3264</v>
      </c>
      <c r="B1725" s="10">
        <v>41275.0</v>
      </c>
      <c r="C1725" s="11" t="s">
        <v>116</v>
      </c>
      <c r="D1725" s="11" t="s">
        <v>93</v>
      </c>
      <c r="E1725" s="11" t="s">
        <v>39</v>
      </c>
      <c r="F1725" s="11" t="s">
        <v>64</v>
      </c>
      <c r="G1725" s="11" t="s">
        <v>45</v>
      </c>
      <c r="H1725" s="11" t="s">
        <v>231</v>
      </c>
      <c r="I1725" s="11" t="s">
        <v>3265</v>
      </c>
      <c r="J1725" s="11">
        <v>18.0</v>
      </c>
      <c r="K1725" s="12">
        <v>42180.0</v>
      </c>
      <c r="L1725" s="30"/>
      <c r="M1725" s="11">
        <v>621337.0</v>
      </c>
      <c r="N1725" s="11" t="s">
        <v>3266</v>
      </c>
      <c r="P1725" s="11">
        <v>0.0</v>
      </c>
      <c r="Q1725" s="14">
        <v>0.0</v>
      </c>
      <c r="R1725" s="41">
        <v>1.0</v>
      </c>
      <c r="S1725">
        <f t="shared" si="1"/>
        <v>2013</v>
      </c>
      <c r="T1725">
        <f t="shared" si="2"/>
        <v>1</v>
      </c>
      <c r="U1725">
        <f t="shared" si="3"/>
        <v>1</v>
      </c>
      <c r="AG1725" s="15"/>
      <c r="AH1725" s="16"/>
      <c r="AM1725" s="15"/>
      <c r="AN1725" s="16"/>
    </row>
    <row r="1726">
      <c r="A1726" s="13" t="s">
        <v>3267</v>
      </c>
      <c r="B1726" s="10">
        <v>41275.0</v>
      </c>
      <c r="C1726" s="11" t="s">
        <v>116</v>
      </c>
      <c r="D1726" s="11" t="s">
        <v>93</v>
      </c>
      <c r="E1726" s="11" t="s">
        <v>104</v>
      </c>
      <c r="F1726" s="11" t="s">
        <v>40</v>
      </c>
      <c r="G1726" s="11" t="s">
        <v>45</v>
      </c>
      <c r="H1726" s="11" t="s">
        <v>236</v>
      </c>
      <c r="I1726" s="11" t="s">
        <v>3268</v>
      </c>
      <c r="J1726" s="11">
        <v>20.0</v>
      </c>
      <c r="K1726" s="12">
        <v>42179.0</v>
      </c>
      <c r="L1726" s="30"/>
      <c r="M1726" s="11">
        <v>664201.0</v>
      </c>
      <c r="N1726" s="11" t="s">
        <v>3269</v>
      </c>
      <c r="P1726" s="11">
        <v>0.0</v>
      </c>
      <c r="Q1726" s="14">
        <v>0.0</v>
      </c>
      <c r="R1726" s="41">
        <v>1.0</v>
      </c>
      <c r="S1726">
        <f t="shared" si="1"/>
        <v>2013</v>
      </c>
      <c r="T1726">
        <f t="shared" si="2"/>
        <v>1</v>
      </c>
      <c r="U1726">
        <f t="shared" si="3"/>
        <v>1</v>
      </c>
      <c r="AG1726" s="15"/>
      <c r="AH1726" s="16"/>
      <c r="AM1726" s="15"/>
      <c r="AN1726" s="16"/>
    </row>
    <row r="1727">
      <c r="A1727" s="13" t="s">
        <v>3270</v>
      </c>
      <c r="B1727" s="17">
        <v>41275.0</v>
      </c>
      <c r="C1727" s="11" t="s">
        <v>138</v>
      </c>
      <c r="D1727" s="11" t="s">
        <v>213</v>
      </c>
      <c r="E1727" s="11" t="s">
        <v>39</v>
      </c>
      <c r="F1727" s="11" t="s">
        <v>40</v>
      </c>
      <c r="G1727" s="11" t="s">
        <v>45</v>
      </c>
      <c r="H1727" s="11" t="s">
        <v>84</v>
      </c>
      <c r="I1727" s="11" t="s">
        <v>826</v>
      </c>
      <c r="J1727" s="11">
        <v>16.0</v>
      </c>
      <c r="K1727" s="12">
        <v>43278.0</v>
      </c>
      <c r="L1727" s="30"/>
      <c r="M1727" s="11">
        <v>681795.0</v>
      </c>
      <c r="N1727" s="11" t="s">
        <v>3271</v>
      </c>
      <c r="O1727" s="13" t="s">
        <v>761</v>
      </c>
      <c r="P1727" s="11">
        <v>0.0</v>
      </c>
      <c r="Q1727" s="14">
        <v>0.0</v>
      </c>
      <c r="R1727" s="11">
        <v>1.0</v>
      </c>
      <c r="S1727">
        <f t="shared" si="1"/>
        <v>2013</v>
      </c>
      <c r="T1727">
        <f t="shared" si="2"/>
        <v>1</v>
      </c>
      <c r="U1727">
        <f t="shared" si="3"/>
        <v>1</v>
      </c>
      <c r="AG1727" s="15"/>
      <c r="AH1727" s="16"/>
      <c r="AM1727" s="15"/>
      <c r="AN1727" s="16"/>
    </row>
    <row r="1728">
      <c r="A1728" s="13" t="s">
        <v>3272</v>
      </c>
      <c r="B1728" s="17">
        <v>41275.0</v>
      </c>
      <c r="C1728" s="11" t="s">
        <v>167</v>
      </c>
      <c r="D1728" s="11" t="s">
        <v>93</v>
      </c>
      <c r="E1728" s="11" t="s">
        <v>39</v>
      </c>
      <c r="F1728" s="11" t="s">
        <v>40</v>
      </c>
      <c r="G1728" s="11" t="s">
        <v>45</v>
      </c>
      <c r="H1728" s="11" t="s">
        <v>67</v>
      </c>
      <c r="I1728" s="11" t="s">
        <v>2023</v>
      </c>
      <c r="J1728" s="11">
        <v>22.0</v>
      </c>
      <c r="K1728" s="12">
        <v>42539.0</v>
      </c>
      <c r="L1728" s="30"/>
      <c r="M1728" s="11">
        <v>667297.0</v>
      </c>
      <c r="N1728" s="11">
        <v>19178.0</v>
      </c>
      <c r="P1728" s="11">
        <v>0.0</v>
      </c>
      <c r="Q1728" s="14">
        <v>0.0</v>
      </c>
      <c r="R1728" s="11">
        <v>1.0</v>
      </c>
      <c r="S1728">
        <f t="shared" si="1"/>
        <v>2013</v>
      </c>
      <c r="T1728">
        <f t="shared" si="2"/>
        <v>1</v>
      </c>
      <c r="U1728">
        <f t="shared" si="3"/>
        <v>1</v>
      </c>
      <c r="AG1728" s="15"/>
      <c r="AH1728" s="16"/>
      <c r="AM1728" s="15"/>
      <c r="AN1728" s="16"/>
    </row>
    <row r="1729">
      <c r="A1729" s="13" t="s">
        <v>3273</v>
      </c>
      <c r="B1729" s="17">
        <v>41275.0</v>
      </c>
      <c r="C1729" s="11" t="s">
        <v>143</v>
      </c>
      <c r="D1729" s="11" t="s">
        <v>213</v>
      </c>
      <c r="E1729" s="11" t="s">
        <v>39</v>
      </c>
      <c r="F1729" s="11" t="s">
        <v>40</v>
      </c>
      <c r="G1729" s="11" t="s">
        <v>45</v>
      </c>
      <c r="H1729" s="11" t="s">
        <v>231</v>
      </c>
      <c r="I1729" s="11" t="s">
        <v>746</v>
      </c>
      <c r="J1729" s="11">
        <v>17.0</v>
      </c>
      <c r="K1729" s="12">
        <v>42939.0</v>
      </c>
      <c r="L1729" s="30"/>
      <c r="M1729" s="11">
        <v>669205.0</v>
      </c>
      <c r="N1729" s="11" t="s">
        <v>3274</v>
      </c>
      <c r="P1729" s="11">
        <v>0.0</v>
      </c>
      <c r="Q1729" s="14">
        <v>0.0</v>
      </c>
      <c r="R1729" s="11">
        <v>1.0</v>
      </c>
      <c r="S1729">
        <f t="shared" si="1"/>
        <v>2013</v>
      </c>
      <c r="T1729">
        <f t="shared" si="2"/>
        <v>1</v>
      </c>
      <c r="U1729">
        <f t="shared" si="3"/>
        <v>1</v>
      </c>
      <c r="AG1729" s="15"/>
      <c r="AH1729" s="16"/>
      <c r="AM1729" s="15"/>
      <c r="AN1729" s="16"/>
    </row>
    <row r="1730">
      <c r="A1730" s="13" t="s">
        <v>3275</v>
      </c>
      <c r="B1730" s="10">
        <v>41275.0</v>
      </c>
      <c r="C1730" s="11" t="s">
        <v>162</v>
      </c>
      <c r="D1730" s="11" t="s">
        <v>93</v>
      </c>
      <c r="E1730" s="11" t="s">
        <v>118</v>
      </c>
      <c r="F1730" s="11" t="s">
        <v>40</v>
      </c>
      <c r="G1730" s="11" t="s">
        <v>326</v>
      </c>
      <c r="H1730" s="11"/>
      <c r="I1730" s="11"/>
      <c r="J1730" s="11">
        <v>20.0</v>
      </c>
      <c r="K1730" s="12">
        <v>41732.0</v>
      </c>
      <c r="L1730" s="30"/>
      <c r="M1730" s="11">
        <v>590271.0</v>
      </c>
      <c r="N1730" s="11" t="s">
        <v>3276</v>
      </c>
      <c r="O1730" s="13"/>
      <c r="P1730" s="11">
        <v>0.0</v>
      </c>
      <c r="Q1730" s="14">
        <v>0.0</v>
      </c>
      <c r="R1730" s="11">
        <v>1.0</v>
      </c>
      <c r="S1730">
        <f t="shared" si="1"/>
        <v>2013</v>
      </c>
      <c r="T1730">
        <f t="shared" si="2"/>
        <v>1</v>
      </c>
      <c r="U1730">
        <f t="shared" si="3"/>
        <v>1</v>
      </c>
      <c r="Z1730" s="17">
        <v>41732.0</v>
      </c>
      <c r="AG1730" s="15"/>
      <c r="AH1730" s="16"/>
      <c r="AM1730" s="15"/>
      <c r="AN1730" s="16"/>
    </row>
    <row r="1731">
      <c r="A1731" s="13" t="s">
        <v>3277</v>
      </c>
      <c r="B1731" s="10">
        <v>41275.0</v>
      </c>
      <c r="C1731" s="11" t="s">
        <v>162</v>
      </c>
      <c r="D1731" s="11" t="s">
        <v>213</v>
      </c>
      <c r="E1731" s="11" t="s">
        <v>39</v>
      </c>
      <c r="F1731" s="11" t="s">
        <v>64</v>
      </c>
      <c r="G1731" s="11" t="s">
        <v>45</v>
      </c>
      <c r="H1731" s="11" t="s">
        <v>729</v>
      </c>
      <c r="I1731" s="11" t="s">
        <v>47</v>
      </c>
      <c r="J1731" s="11">
        <v>17.0</v>
      </c>
      <c r="K1731" s="12">
        <v>42914.0</v>
      </c>
      <c r="L1731" s="30"/>
      <c r="M1731" s="11">
        <v>676050.0</v>
      </c>
      <c r="N1731" s="11">
        <v>23292.0</v>
      </c>
      <c r="O1731" s="13"/>
      <c r="P1731" s="11">
        <v>0.0</v>
      </c>
      <c r="Q1731" s="14">
        <v>0.0</v>
      </c>
      <c r="R1731" s="11">
        <v>1.0</v>
      </c>
      <c r="S1731">
        <f t="shared" si="1"/>
        <v>2013</v>
      </c>
      <c r="T1731">
        <f t="shared" si="2"/>
        <v>1</v>
      </c>
      <c r="U1731">
        <f t="shared" si="3"/>
        <v>1</v>
      </c>
      <c r="AG1731" s="15"/>
      <c r="AH1731" s="16"/>
      <c r="AM1731" s="15"/>
      <c r="AN1731" s="16"/>
    </row>
    <row r="1732">
      <c r="A1732" s="13" t="s">
        <v>3278</v>
      </c>
      <c r="B1732" s="10">
        <v>41275.0</v>
      </c>
      <c r="C1732" s="11" t="s">
        <v>162</v>
      </c>
      <c r="D1732" s="11" t="s">
        <v>221</v>
      </c>
      <c r="E1732" s="11" t="s">
        <v>39</v>
      </c>
      <c r="F1732" s="11" t="s">
        <v>64</v>
      </c>
      <c r="G1732" s="11" t="s">
        <v>45</v>
      </c>
      <c r="H1732" s="11" t="s">
        <v>127</v>
      </c>
      <c r="I1732" s="11" t="s">
        <v>3279</v>
      </c>
      <c r="J1732" s="11">
        <v>24.0</v>
      </c>
      <c r="K1732" s="12">
        <v>42104.0</v>
      </c>
      <c r="L1732" s="30"/>
      <c r="M1732" s="11">
        <v>502432.0</v>
      </c>
      <c r="N1732" s="11" t="s">
        <v>3280</v>
      </c>
      <c r="P1732" s="11">
        <v>0.0</v>
      </c>
      <c r="Q1732" s="14">
        <v>0.0</v>
      </c>
      <c r="R1732" s="11">
        <v>0.0</v>
      </c>
      <c r="S1732">
        <f t="shared" si="1"/>
        <v>2013</v>
      </c>
      <c r="T1732">
        <f t="shared" si="2"/>
        <v>1</v>
      </c>
      <c r="U1732">
        <f t="shared" si="3"/>
        <v>1</v>
      </c>
      <c r="AG1732" s="15"/>
      <c r="AH1732" s="16"/>
      <c r="AM1732" s="15"/>
      <c r="AN1732" s="16"/>
    </row>
    <row r="1733">
      <c r="A1733" s="13" t="s">
        <v>3281</v>
      </c>
      <c r="B1733" s="10">
        <v>41275.0</v>
      </c>
      <c r="C1733" s="11" t="s">
        <v>162</v>
      </c>
      <c r="D1733" s="11" t="s">
        <v>221</v>
      </c>
      <c r="E1733" s="11" t="s">
        <v>39</v>
      </c>
      <c r="F1733" s="11" t="s">
        <v>40</v>
      </c>
      <c r="G1733" s="11" t="s">
        <v>460</v>
      </c>
      <c r="H1733" s="11"/>
      <c r="I1733" s="11"/>
      <c r="J1733" s="11">
        <v>18.0</v>
      </c>
      <c r="K1733" s="12"/>
      <c r="L1733" s="30"/>
      <c r="M1733" s="11">
        <v>611615.0</v>
      </c>
      <c r="N1733" s="11"/>
      <c r="P1733" s="11">
        <v>0.0</v>
      </c>
      <c r="Q1733" s="14">
        <v>0.0</v>
      </c>
      <c r="R1733" s="41">
        <v>0.0</v>
      </c>
      <c r="S1733">
        <f t="shared" si="1"/>
        <v>2013</v>
      </c>
      <c r="T1733">
        <f t="shared" si="2"/>
        <v>1</v>
      </c>
      <c r="U1733">
        <f t="shared" si="3"/>
        <v>1</v>
      </c>
      <c r="AG1733" s="15"/>
      <c r="AH1733" s="16"/>
      <c r="AM1733" s="15"/>
      <c r="AN1733" s="16"/>
    </row>
    <row r="1734">
      <c r="A1734" s="13" t="s">
        <v>3282</v>
      </c>
      <c r="B1734" s="10">
        <v>41275.0</v>
      </c>
      <c r="C1734" s="11" t="s">
        <v>126</v>
      </c>
      <c r="D1734" s="11" t="s">
        <v>93</v>
      </c>
      <c r="E1734" s="11" t="s">
        <v>118</v>
      </c>
      <c r="F1734" s="11" t="s">
        <v>40</v>
      </c>
      <c r="G1734" s="11" t="s">
        <v>45</v>
      </c>
      <c r="H1734" s="11" t="s">
        <v>112</v>
      </c>
      <c r="I1734" s="11" t="s">
        <v>3283</v>
      </c>
      <c r="J1734" s="11">
        <v>20.0</v>
      </c>
      <c r="K1734" s="12">
        <v>42573.0</v>
      </c>
      <c r="L1734" s="30"/>
      <c r="M1734" s="11">
        <v>607184.0</v>
      </c>
      <c r="N1734" s="11" t="s">
        <v>3284</v>
      </c>
      <c r="O1734" s="13"/>
      <c r="P1734" s="11">
        <v>0.0</v>
      </c>
      <c r="Q1734" s="14">
        <v>0.0</v>
      </c>
      <c r="R1734" s="41">
        <v>1.0</v>
      </c>
      <c r="S1734">
        <f t="shared" si="1"/>
        <v>2013</v>
      </c>
      <c r="T1734">
        <f t="shared" si="2"/>
        <v>1</v>
      </c>
      <c r="U1734">
        <f t="shared" si="3"/>
        <v>1</v>
      </c>
      <c r="AG1734" s="15"/>
      <c r="AH1734" s="16"/>
      <c r="AM1734" s="15"/>
      <c r="AN1734" s="16"/>
    </row>
    <row r="1735">
      <c r="A1735" s="13" t="s">
        <v>3285</v>
      </c>
      <c r="B1735" s="10">
        <v>41275.0</v>
      </c>
      <c r="C1735" s="11" t="s">
        <v>126</v>
      </c>
      <c r="D1735" s="11" t="s">
        <v>93</v>
      </c>
      <c r="E1735" s="11" t="s">
        <v>39</v>
      </c>
      <c r="F1735" s="11" t="s">
        <v>40</v>
      </c>
      <c r="G1735" s="11" t="s">
        <v>45</v>
      </c>
      <c r="H1735" s="11" t="s">
        <v>73</v>
      </c>
      <c r="I1735" s="11" t="s">
        <v>240</v>
      </c>
      <c r="J1735" s="11">
        <v>20.0</v>
      </c>
      <c r="K1735" s="12">
        <v>42469.0</v>
      </c>
      <c r="L1735" s="30"/>
      <c r="M1735" s="11">
        <v>607565.0</v>
      </c>
      <c r="N1735" s="11" t="s">
        <v>3286</v>
      </c>
      <c r="O1735" s="13" t="s">
        <v>761</v>
      </c>
      <c r="P1735" s="11">
        <v>0.0</v>
      </c>
      <c r="Q1735" s="14">
        <v>0.0</v>
      </c>
      <c r="R1735" s="41">
        <v>1.0</v>
      </c>
      <c r="S1735">
        <f t="shared" si="1"/>
        <v>2013</v>
      </c>
      <c r="T1735">
        <f t="shared" si="2"/>
        <v>1</v>
      </c>
      <c r="U1735">
        <f t="shared" si="3"/>
        <v>1</v>
      </c>
      <c r="AG1735" s="15"/>
      <c r="AH1735" s="16"/>
      <c r="AM1735" s="15"/>
      <c r="AN1735" s="16"/>
    </row>
    <row r="1736">
      <c r="A1736" s="13" t="s">
        <v>3287</v>
      </c>
      <c r="B1736" s="10">
        <v>41275.0</v>
      </c>
      <c r="C1736" s="11" t="s">
        <v>103</v>
      </c>
      <c r="D1736" s="11" t="s">
        <v>93</v>
      </c>
      <c r="E1736" s="11" t="s">
        <v>39</v>
      </c>
      <c r="F1736" s="11" t="s">
        <v>40</v>
      </c>
      <c r="G1736" s="11" t="s">
        <v>45</v>
      </c>
      <c r="H1736" s="11" t="s">
        <v>127</v>
      </c>
      <c r="I1736" s="11" t="s">
        <v>341</v>
      </c>
      <c r="J1736" s="11">
        <v>20.0</v>
      </c>
      <c r="K1736" s="12">
        <v>42548.0</v>
      </c>
      <c r="L1736" s="30"/>
      <c r="M1736" s="11">
        <v>670175.0</v>
      </c>
      <c r="N1736" s="11" t="s">
        <v>3288</v>
      </c>
      <c r="P1736" s="11">
        <v>0.0</v>
      </c>
      <c r="Q1736" s="14">
        <v>0.0</v>
      </c>
      <c r="R1736" s="11">
        <v>1.0</v>
      </c>
      <c r="S1736">
        <f t="shared" si="1"/>
        <v>2013</v>
      </c>
      <c r="T1736">
        <f t="shared" si="2"/>
        <v>1</v>
      </c>
      <c r="U1736">
        <f t="shared" si="3"/>
        <v>1</v>
      </c>
      <c r="AG1736" s="15"/>
      <c r="AH1736" s="16"/>
      <c r="AM1736" s="15"/>
      <c r="AN1736" s="16"/>
    </row>
    <row r="1737">
      <c r="A1737" s="13" t="s">
        <v>3289</v>
      </c>
      <c r="B1737" s="10">
        <v>41275.0</v>
      </c>
      <c r="C1737" s="11" t="s">
        <v>108</v>
      </c>
      <c r="D1737" s="11" t="s">
        <v>213</v>
      </c>
      <c r="E1737" s="11" t="s">
        <v>39</v>
      </c>
      <c r="F1737" s="11" t="s">
        <v>40</v>
      </c>
      <c r="G1737" s="11" t="s">
        <v>45</v>
      </c>
      <c r="H1737" s="11" t="s">
        <v>139</v>
      </c>
      <c r="I1737" s="11" t="s">
        <v>65</v>
      </c>
      <c r="J1737" s="11">
        <v>17.0</v>
      </c>
      <c r="K1737" s="12">
        <v>42915.0</v>
      </c>
      <c r="L1737" s="30"/>
      <c r="M1737" s="11">
        <v>676760.0</v>
      </c>
      <c r="N1737" s="11">
        <v>23488.0</v>
      </c>
      <c r="P1737" s="11">
        <v>0.0</v>
      </c>
      <c r="Q1737" s="14">
        <v>0.0</v>
      </c>
      <c r="R1737" s="11">
        <v>1.0</v>
      </c>
      <c r="S1737">
        <f t="shared" si="1"/>
        <v>2013</v>
      </c>
      <c r="T1737">
        <f t="shared" si="2"/>
        <v>1</v>
      </c>
      <c r="U1737">
        <f t="shared" si="3"/>
        <v>1</v>
      </c>
      <c r="AG1737" s="15"/>
      <c r="AH1737" s="16"/>
      <c r="AM1737" s="15"/>
      <c r="AN1737" s="16"/>
    </row>
    <row r="1738">
      <c r="A1738" s="13" t="s">
        <v>3290</v>
      </c>
      <c r="B1738" s="10">
        <v>41275.0</v>
      </c>
      <c r="C1738" s="11" t="s">
        <v>274</v>
      </c>
      <c r="D1738" s="11" t="s">
        <v>93</v>
      </c>
      <c r="E1738" s="11" t="s">
        <v>39</v>
      </c>
      <c r="F1738" s="11" t="s">
        <v>40</v>
      </c>
      <c r="G1738" s="11" t="s">
        <v>45</v>
      </c>
      <c r="H1738" s="11" t="s">
        <v>73</v>
      </c>
      <c r="I1738" s="11" t="s">
        <v>73</v>
      </c>
      <c r="J1738" s="11">
        <v>24.0</v>
      </c>
      <c r="K1738" s="12">
        <v>42105.0</v>
      </c>
      <c r="L1738" s="30"/>
      <c r="M1738" s="11">
        <v>571821.0</v>
      </c>
      <c r="N1738" s="11" t="s">
        <v>3291</v>
      </c>
      <c r="P1738" s="11">
        <v>0.0</v>
      </c>
      <c r="Q1738" s="14">
        <v>0.0</v>
      </c>
      <c r="R1738" s="41">
        <v>0.0</v>
      </c>
      <c r="S1738">
        <f t="shared" si="1"/>
        <v>2013</v>
      </c>
      <c r="T1738">
        <f t="shared" si="2"/>
        <v>1</v>
      </c>
      <c r="U1738">
        <f t="shared" si="3"/>
        <v>1</v>
      </c>
      <c r="AG1738" s="15"/>
      <c r="AH1738" s="16"/>
      <c r="AM1738" s="15"/>
      <c r="AN1738" s="16"/>
    </row>
    <row r="1739">
      <c r="A1739" s="13" t="s">
        <v>3292</v>
      </c>
      <c r="B1739" s="10">
        <v>41275.0</v>
      </c>
      <c r="C1739" s="11" t="s">
        <v>362</v>
      </c>
      <c r="D1739" s="11" t="s">
        <v>97</v>
      </c>
      <c r="E1739" s="30" t="s">
        <v>39</v>
      </c>
      <c r="F1739" s="11" t="s">
        <v>64</v>
      </c>
      <c r="G1739" s="41" t="s">
        <v>3293</v>
      </c>
      <c r="H1739" s="30"/>
      <c r="I1739" s="30"/>
      <c r="J1739" s="11">
        <v>24.0</v>
      </c>
      <c r="K1739" s="30"/>
      <c r="L1739" s="30"/>
      <c r="M1739" s="11">
        <v>573653.0</v>
      </c>
      <c r="N1739" s="11" t="s">
        <v>3294</v>
      </c>
      <c r="P1739" s="11">
        <v>0.0</v>
      </c>
      <c r="Q1739" s="14">
        <v>0.0</v>
      </c>
      <c r="R1739" s="41">
        <v>0.0</v>
      </c>
      <c r="S1739">
        <f t="shared" si="1"/>
        <v>2013</v>
      </c>
      <c r="T1739">
        <f t="shared" si="2"/>
        <v>1</v>
      </c>
      <c r="U1739">
        <f t="shared" si="3"/>
        <v>1</v>
      </c>
      <c r="AG1739" s="15"/>
      <c r="AH1739" s="16"/>
      <c r="AM1739" s="15"/>
      <c r="AN1739" s="16"/>
    </row>
    <row r="1740">
      <c r="A1740" s="13" t="s">
        <v>3295</v>
      </c>
      <c r="B1740" s="10">
        <v>41275.0</v>
      </c>
      <c r="C1740" s="11" t="s">
        <v>62</v>
      </c>
      <c r="D1740" s="11" t="s">
        <v>709</v>
      </c>
      <c r="E1740" s="11" t="s">
        <v>39</v>
      </c>
      <c r="F1740" s="11" t="s">
        <v>40</v>
      </c>
      <c r="G1740" s="11" t="s">
        <v>41</v>
      </c>
      <c r="H1740" s="11"/>
      <c r="I1740" s="11"/>
      <c r="J1740" s="11">
        <v>20.0</v>
      </c>
      <c r="K1740" s="12">
        <v>42105.0</v>
      </c>
      <c r="L1740" s="30"/>
      <c r="M1740" s="11">
        <v>606625.0</v>
      </c>
      <c r="N1740" s="11">
        <v>14966.0</v>
      </c>
      <c r="P1740" s="11">
        <v>7.0</v>
      </c>
      <c r="Q1740" s="14">
        <v>6.667</v>
      </c>
      <c r="R1740" s="11">
        <v>1.0</v>
      </c>
      <c r="S1740">
        <f t="shared" si="1"/>
        <v>2013</v>
      </c>
      <c r="T1740">
        <f t="shared" si="2"/>
        <v>1</v>
      </c>
      <c r="U1740">
        <f t="shared" si="3"/>
        <v>1</v>
      </c>
      <c r="Z1740" s="17">
        <v>41812.0</v>
      </c>
      <c r="AG1740" s="15"/>
      <c r="AH1740" s="16"/>
      <c r="AM1740" s="15"/>
      <c r="AN1740" s="16"/>
    </row>
    <row r="1741">
      <c r="A1741" s="13" t="s">
        <v>3296</v>
      </c>
      <c r="B1741" s="10">
        <v>41275.0</v>
      </c>
      <c r="C1741" s="11" t="s">
        <v>186</v>
      </c>
      <c r="D1741" s="11" t="s">
        <v>213</v>
      </c>
      <c r="E1741" s="11" t="s">
        <v>39</v>
      </c>
      <c r="F1741" s="11" t="s">
        <v>40</v>
      </c>
      <c r="G1741" s="11" t="s">
        <v>326</v>
      </c>
      <c r="H1741" s="11"/>
      <c r="I1741" s="11"/>
      <c r="J1741" s="11">
        <v>16.0</v>
      </c>
      <c r="K1741" s="12">
        <v>42177.0</v>
      </c>
      <c r="L1741" s="30"/>
      <c r="M1741" s="11">
        <v>639238.0</v>
      </c>
      <c r="N1741" s="11" t="s">
        <v>3297</v>
      </c>
      <c r="P1741" s="11">
        <v>0.0</v>
      </c>
      <c r="Q1741" s="14">
        <v>0.0</v>
      </c>
      <c r="R1741" s="11">
        <v>1.0</v>
      </c>
      <c r="S1741">
        <f t="shared" si="1"/>
        <v>2013</v>
      </c>
      <c r="T1741">
        <f t="shared" si="2"/>
        <v>1</v>
      </c>
      <c r="U1741">
        <f t="shared" si="3"/>
        <v>1</v>
      </c>
      <c r="AG1741" s="15"/>
      <c r="AH1741" s="16"/>
      <c r="AM1741" s="15"/>
      <c r="AN1741" s="16"/>
    </row>
    <row r="1742">
      <c r="A1742" s="13" t="s">
        <v>3298</v>
      </c>
      <c r="B1742" s="10">
        <v>41275.0</v>
      </c>
      <c r="C1742" s="11" t="s">
        <v>76</v>
      </c>
      <c r="D1742" s="11" t="s">
        <v>93</v>
      </c>
      <c r="E1742" s="11" t="s">
        <v>39</v>
      </c>
      <c r="F1742" s="11" t="s">
        <v>40</v>
      </c>
      <c r="G1742" s="11" t="s">
        <v>45</v>
      </c>
      <c r="H1742" s="11" t="s">
        <v>84</v>
      </c>
      <c r="I1742" s="11" t="s">
        <v>517</v>
      </c>
      <c r="J1742" s="11">
        <v>19.0</v>
      </c>
      <c r="K1742" s="12">
        <v>42177.0</v>
      </c>
      <c r="L1742" s="11"/>
      <c r="M1742" s="11">
        <v>664156.0</v>
      </c>
      <c r="N1742" s="11" t="s">
        <v>3299</v>
      </c>
      <c r="P1742" s="11">
        <v>0.0</v>
      </c>
      <c r="Q1742" s="14">
        <v>0.0</v>
      </c>
      <c r="R1742" s="41">
        <v>1.0</v>
      </c>
      <c r="S1742">
        <f t="shared" si="1"/>
        <v>2013</v>
      </c>
      <c r="T1742">
        <f t="shared" si="2"/>
        <v>1</v>
      </c>
      <c r="U1742">
        <f t="shared" si="3"/>
        <v>1</v>
      </c>
      <c r="AG1742" s="15"/>
      <c r="AH1742" s="16"/>
      <c r="AM1742" s="15"/>
      <c r="AN1742" s="16"/>
    </row>
    <row r="1743">
      <c r="A1743" s="13" t="s">
        <v>3300</v>
      </c>
      <c r="B1743" s="10">
        <v>41275.0</v>
      </c>
      <c r="C1743" s="11" t="s">
        <v>76</v>
      </c>
      <c r="D1743" s="11" t="s">
        <v>213</v>
      </c>
      <c r="E1743" s="11" t="s">
        <v>39</v>
      </c>
      <c r="F1743" s="11" t="s">
        <v>64</v>
      </c>
      <c r="G1743" s="11" t="s">
        <v>45</v>
      </c>
      <c r="H1743" s="11" t="s">
        <v>276</v>
      </c>
      <c r="I1743" s="11" t="s">
        <v>276</v>
      </c>
      <c r="J1743" s="11">
        <v>15.0</v>
      </c>
      <c r="K1743" s="12">
        <v>43279.0</v>
      </c>
      <c r="L1743" s="11"/>
      <c r="M1743" s="11">
        <v>669420.0</v>
      </c>
      <c r="N1743" s="11" t="s">
        <v>3301</v>
      </c>
      <c r="P1743" s="11">
        <v>0.0</v>
      </c>
      <c r="Q1743" s="14">
        <v>0.0</v>
      </c>
      <c r="R1743" s="11">
        <v>1.0</v>
      </c>
      <c r="S1743">
        <f t="shared" si="1"/>
        <v>2013</v>
      </c>
      <c r="T1743">
        <f t="shared" si="2"/>
        <v>1</v>
      </c>
      <c r="U1743">
        <f t="shared" si="3"/>
        <v>1</v>
      </c>
      <c r="AG1743" s="15"/>
      <c r="AH1743" s="16"/>
      <c r="AM1743" s="15"/>
      <c r="AN1743" s="16"/>
    </row>
    <row r="1744">
      <c r="A1744" s="13" t="s">
        <v>3302</v>
      </c>
      <c r="B1744" s="10">
        <v>41275.0</v>
      </c>
      <c r="C1744" s="11" t="s">
        <v>76</v>
      </c>
      <c r="D1744" s="11" t="s">
        <v>221</v>
      </c>
      <c r="E1744" s="41" t="s">
        <v>104</v>
      </c>
      <c r="F1744" s="11" t="s">
        <v>40</v>
      </c>
      <c r="G1744" s="30" t="s">
        <v>45</v>
      </c>
      <c r="H1744" s="11" t="s">
        <v>163</v>
      </c>
      <c r="I1744" s="11" t="s">
        <v>864</v>
      </c>
      <c r="J1744" s="11">
        <v>22.0</v>
      </c>
      <c r="K1744" s="12">
        <v>41732.0</v>
      </c>
      <c r="L1744" s="30"/>
      <c r="M1744" s="11">
        <v>571851.0</v>
      </c>
      <c r="N1744" s="11">
        <v>13300.0</v>
      </c>
      <c r="P1744" s="11">
        <v>1.0</v>
      </c>
      <c r="Q1744" s="14">
        <v>1.0</v>
      </c>
      <c r="R1744" s="41">
        <v>1.0</v>
      </c>
      <c r="S1744">
        <f t="shared" si="1"/>
        <v>2013</v>
      </c>
      <c r="T1744">
        <f t="shared" si="2"/>
        <v>1</v>
      </c>
      <c r="U1744">
        <f t="shared" si="3"/>
        <v>1</v>
      </c>
      <c r="AG1744" s="15"/>
      <c r="AH1744" s="16"/>
      <c r="AM1744" s="15"/>
      <c r="AN1744" s="16"/>
    </row>
    <row r="1745">
      <c r="A1745" s="13" t="s">
        <v>3303</v>
      </c>
      <c r="B1745" s="10">
        <v>41244.0</v>
      </c>
      <c r="C1745" s="11" t="s">
        <v>108</v>
      </c>
      <c r="D1745" s="11" t="s">
        <v>221</v>
      </c>
      <c r="E1745" s="11" t="s">
        <v>39</v>
      </c>
      <c r="F1745" s="11" t="s">
        <v>64</v>
      </c>
      <c r="G1745" s="11" t="s">
        <v>45</v>
      </c>
      <c r="H1745" s="11" t="s">
        <v>1848</v>
      </c>
      <c r="I1745" s="11"/>
      <c r="J1745" s="11">
        <v>21.0</v>
      </c>
      <c r="K1745" s="12">
        <v>42103.0</v>
      </c>
      <c r="L1745" s="11">
        <f t="shared" ref="L1745:L1748" si="183">ROUND(((K1745-B1745)/365)*12,0)</f>
        <v>28</v>
      </c>
      <c r="M1745" s="11">
        <v>621350.0</v>
      </c>
      <c r="N1745" s="11">
        <v>14353.0</v>
      </c>
      <c r="P1745" s="11">
        <v>0.0</v>
      </c>
      <c r="Q1745" s="14">
        <v>0.0</v>
      </c>
      <c r="R1745" s="41">
        <v>1.0</v>
      </c>
      <c r="S1745">
        <f t="shared" si="1"/>
        <v>2012</v>
      </c>
      <c r="T1745">
        <f t="shared" si="2"/>
        <v>12</v>
      </c>
      <c r="U1745">
        <f t="shared" si="3"/>
        <v>1</v>
      </c>
      <c r="AG1745" s="15"/>
      <c r="AH1745" s="16"/>
      <c r="AM1745" s="15"/>
      <c r="AN1745" s="16"/>
    </row>
    <row r="1746">
      <c r="A1746" s="13" t="s">
        <v>3304</v>
      </c>
      <c r="B1746" s="10">
        <v>41244.0</v>
      </c>
      <c r="C1746" s="11" t="s">
        <v>274</v>
      </c>
      <c r="D1746" s="11" t="s">
        <v>77</v>
      </c>
      <c r="E1746" s="30" t="s">
        <v>39</v>
      </c>
      <c r="F1746" s="11" t="s">
        <v>40</v>
      </c>
      <c r="G1746" s="30" t="s">
        <v>45</v>
      </c>
      <c r="H1746" s="11" t="s">
        <v>276</v>
      </c>
      <c r="I1746" s="11" t="s">
        <v>730</v>
      </c>
      <c r="J1746" s="11">
        <v>26.0</v>
      </c>
      <c r="K1746" s="12">
        <v>41750.0</v>
      </c>
      <c r="L1746" s="11">
        <f t="shared" si="183"/>
        <v>17</v>
      </c>
      <c r="M1746" s="11">
        <v>543286.0</v>
      </c>
      <c r="N1746" s="11" t="s">
        <v>3305</v>
      </c>
      <c r="P1746" s="11">
        <v>0.0</v>
      </c>
      <c r="Q1746" s="14">
        <v>0.0</v>
      </c>
      <c r="R1746" s="41">
        <v>1.0</v>
      </c>
      <c r="S1746">
        <f t="shared" si="1"/>
        <v>2012</v>
      </c>
      <c r="T1746">
        <f t="shared" si="2"/>
        <v>12</v>
      </c>
      <c r="U1746">
        <f t="shared" si="3"/>
        <v>1</v>
      </c>
      <c r="AG1746" s="15"/>
      <c r="AH1746" s="16"/>
      <c r="AM1746" s="15"/>
      <c r="AN1746" s="16"/>
    </row>
    <row r="1747">
      <c r="A1747" s="13" t="s">
        <v>3306</v>
      </c>
      <c r="B1747" s="10">
        <v>41228.0</v>
      </c>
      <c r="C1747" s="11" t="s">
        <v>143</v>
      </c>
      <c r="D1747" s="11" t="s">
        <v>58</v>
      </c>
      <c r="E1747" s="30" t="s">
        <v>39</v>
      </c>
      <c r="F1747" s="11" t="s">
        <v>40</v>
      </c>
      <c r="G1747" s="30" t="s">
        <v>45</v>
      </c>
      <c r="H1747" s="11" t="s">
        <v>74</v>
      </c>
      <c r="I1747" s="11" t="s">
        <v>3307</v>
      </c>
      <c r="J1747" s="11">
        <v>27.0</v>
      </c>
      <c r="K1747" s="12">
        <v>41732.0</v>
      </c>
      <c r="L1747" s="11">
        <f t="shared" si="183"/>
        <v>17</v>
      </c>
      <c r="M1747" s="11">
        <v>453222.0</v>
      </c>
      <c r="N1747" s="11">
        <v>888.0</v>
      </c>
      <c r="P1747" s="11">
        <v>47.0</v>
      </c>
      <c r="Q1747" s="14">
        <v>168.333</v>
      </c>
      <c r="R1747" s="41">
        <v>1.0</v>
      </c>
      <c r="S1747">
        <f t="shared" si="1"/>
        <v>2012</v>
      </c>
      <c r="T1747">
        <f t="shared" si="2"/>
        <v>11</v>
      </c>
      <c r="U1747">
        <f t="shared" si="3"/>
        <v>15</v>
      </c>
      <c r="AG1747" s="15"/>
      <c r="AH1747" s="16"/>
      <c r="AM1747" s="15"/>
      <c r="AN1747" s="16"/>
    </row>
    <row r="1748">
      <c r="A1748" s="13" t="s">
        <v>3308</v>
      </c>
      <c r="B1748" s="10">
        <v>41212.0</v>
      </c>
      <c r="C1748" s="11" t="s">
        <v>138</v>
      </c>
      <c r="D1748" s="11" t="s">
        <v>38</v>
      </c>
      <c r="E1748" s="30" t="s">
        <v>39</v>
      </c>
      <c r="F1748" s="11" t="s">
        <v>64</v>
      </c>
      <c r="G1748" s="30" t="s">
        <v>45</v>
      </c>
      <c r="H1748" s="11" t="s">
        <v>67</v>
      </c>
      <c r="I1748" s="11" t="s">
        <v>878</v>
      </c>
      <c r="J1748" s="11">
        <v>35.0</v>
      </c>
      <c r="K1748" s="12">
        <v>41773.0</v>
      </c>
      <c r="L1748" s="11">
        <f t="shared" si="183"/>
        <v>18</v>
      </c>
      <c r="M1748" s="11">
        <v>150116.0</v>
      </c>
      <c r="N1748" s="11">
        <v>976.0</v>
      </c>
      <c r="O1748" s="13" t="s">
        <v>3309</v>
      </c>
      <c r="P1748" s="11">
        <v>14.0</v>
      </c>
      <c r="Q1748" s="14">
        <v>60.333</v>
      </c>
      <c r="R1748" s="11">
        <v>0.0</v>
      </c>
      <c r="S1748">
        <f t="shared" si="1"/>
        <v>2012</v>
      </c>
      <c r="T1748">
        <f t="shared" si="2"/>
        <v>10</v>
      </c>
      <c r="U1748">
        <f t="shared" si="3"/>
        <v>30</v>
      </c>
      <c r="V1748" s="13"/>
      <c r="W1748" s="13"/>
      <c r="X1748" s="13"/>
      <c r="Y1748" s="13"/>
      <c r="Z1748" s="17">
        <v>41743.0</v>
      </c>
      <c r="AA1748" s="13"/>
      <c r="AB1748" s="13"/>
      <c r="AC1748" s="13"/>
      <c r="AD1748" s="13"/>
      <c r="AE1748" s="13">
        <v>30.0</v>
      </c>
      <c r="AF1748" s="13">
        <v>26.0</v>
      </c>
      <c r="AG1748" s="50">
        <v>157.667</v>
      </c>
      <c r="AH1748" s="51">
        <v>0.074</v>
      </c>
      <c r="AI1748" s="13">
        <v>139.0</v>
      </c>
      <c r="AJ1748" s="13">
        <v>119.0</v>
      </c>
      <c r="AK1748" s="13">
        <v>6.0</v>
      </c>
      <c r="AL1748" s="13">
        <v>4.0</v>
      </c>
      <c r="AM1748" s="50">
        <v>25.667</v>
      </c>
      <c r="AN1748" s="51">
        <v>0.115</v>
      </c>
      <c r="AO1748" s="13">
        <v>143.0</v>
      </c>
      <c r="AP1748" s="13">
        <v>122.0</v>
      </c>
    </row>
    <row r="1749">
      <c r="A1749" s="13" t="s">
        <v>3310</v>
      </c>
      <c r="B1749" s="10">
        <v>41193.0</v>
      </c>
      <c r="C1749" s="11" t="s">
        <v>138</v>
      </c>
      <c r="D1749" s="11" t="s">
        <v>93</v>
      </c>
      <c r="E1749" s="11" t="s">
        <v>39</v>
      </c>
      <c r="F1749" s="11" t="s">
        <v>40</v>
      </c>
      <c r="G1749" s="11" t="s">
        <v>45</v>
      </c>
      <c r="H1749" s="11" t="s">
        <v>163</v>
      </c>
      <c r="I1749" s="11" t="s">
        <v>1599</v>
      </c>
      <c r="J1749" s="11">
        <v>20.0</v>
      </c>
      <c r="K1749" s="12">
        <v>41821.0</v>
      </c>
      <c r="L1749" s="11"/>
      <c r="M1749" s="11">
        <v>592362.0</v>
      </c>
      <c r="N1749" s="11" t="s">
        <v>3311</v>
      </c>
      <c r="P1749" s="11">
        <v>0.0</v>
      </c>
      <c r="Q1749" s="14">
        <v>0.0</v>
      </c>
      <c r="R1749" s="41">
        <v>1.0</v>
      </c>
      <c r="S1749">
        <f t="shared" si="1"/>
        <v>2012</v>
      </c>
      <c r="T1749">
        <f t="shared" si="2"/>
        <v>10</v>
      </c>
      <c r="U1749">
        <f t="shared" si="3"/>
        <v>11</v>
      </c>
      <c r="AG1749" s="15"/>
      <c r="AH1749" s="16"/>
      <c r="AM1749" s="15"/>
      <c r="AN1749" s="16"/>
    </row>
    <row r="1750">
      <c r="A1750" s="13" t="s">
        <v>3312</v>
      </c>
      <c r="B1750" s="10">
        <v>41186.0</v>
      </c>
      <c r="C1750" s="11" t="s">
        <v>108</v>
      </c>
      <c r="D1750" s="11" t="s">
        <v>58</v>
      </c>
      <c r="E1750" s="30" t="s">
        <v>39</v>
      </c>
      <c r="F1750" s="11" t="s">
        <v>64</v>
      </c>
      <c r="G1750" s="41" t="s">
        <v>326</v>
      </c>
      <c r="H1750" s="30"/>
      <c r="I1750" s="30"/>
      <c r="J1750" s="11">
        <v>21.0</v>
      </c>
      <c r="K1750" s="12">
        <v>41863.0</v>
      </c>
      <c r="L1750" s="11">
        <f>ROUND(((K1750-B1750)/365)*12,0)</f>
        <v>22</v>
      </c>
      <c r="M1750" s="11">
        <v>544365.0</v>
      </c>
      <c r="N1750" s="11">
        <v>5365.0</v>
      </c>
      <c r="O1750" s="13" t="s">
        <v>761</v>
      </c>
      <c r="P1750" s="11">
        <v>7.0</v>
      </c>
      <c r="Q1750" s="14">
        <v>26.333</v>
      </c>
      <c r="R1750" s="41">
        <v>1.0</v>
      </c>
      <c r="S1750">
        <f t="shared" si="1"/>
        <v>2012</v>
      </c>
      <c r="T1750">
        <f t="shared" si="2"/>
        <v>10</v>
      </c>
      <c r="U1750">
        <f t="shared" si="3"/>
        <v>4</v>
      </c>
      <c r="AG1750" s="15"/>
      <c r="AH1750" s="16"/>
      <c r="AM1750" s="15"/>
      <c r="AN1750" s="16"/>
    </row>
    <row r="1751">
      <c r="A1751" s="13" t="s">
        <v>3313</v>
      </c>
      <c r="B1751" s="10">
        <v>41186.0</v>
      </c>
      <c r="C1751" s="11" t="s">
        <v>230</v>
      </c>
      <c r="D1751" s="11" t="s">
        <v>213</v>
      </c>
      <c r="E1751" s="41" t="s">
        <v>118</v>
      </c>
      <c r="F1751" s="11" t="s">
        <v>40</v>
      </c>
      <c r="G1751" s="30" t="s">
        <v>45</v>
      </c>
      <c r="H1751" s="11" t="s">
        <v>67</v>
      </c>
      <c r="I1751" s="11"/>
      <c r="J1751" s="11">
        <v>17.0</v>
      </c>
      <c r="K1751" s="12">
        <v>41833.0</v>
      </c>
      <c r="L1751" s="11"/>
      <c r="M1751" s="11">
        <v>650863.0</v>
      </c>
      <c r="N1751" s="11" t="s">
        <v>3314</v>
      </c>
      <c r="P1751" s="11">
        <v>0.0</v>
      </c>
      <c r="Q1751" s="14">
        <v>0.0</v>
      </c>
      <c r="R1751" s="41">
        <v>0.0</v>
      </c>
      <c r="S1751">
        <f t="shared" si="1"/>
        <v>2012</v>
      </c>
      <c r="T1751">
        <f t="shared" si="2"/>
        <v>10</v>
      </c>
      <c r="U1751">
        <f t="shared" si="3"/>
        <v>4</v>
      </c>
      <c r="AG1751" s="15"/>
      <c r="AH1751" s="16"/>
      <c r="AM1751" s="15"/>
      <c r="AN1751" s="16"/>
    </row>
    <row r="1752">
      <c r="A1752" s="13" t="s">
        <v>3315</v>
      </c>
      <c r="B1752" s="10">
        <v>41183.0</v>
      </c>
      <c r="C1752" s="11" t="s">
        <v>358</v>
      </c>
      <c r="D1752" s="11" t="s">
        <v>97</v>
      </c>
      <c r="E1752" s="11" t="s">
        <v>39</v>
      </c>
      <c r="F1752" s="11" t="s">
        <v>40</v>
      </c>
      <c r="G1752" s="11" t="s">
        <v>45</v>
      </c>
      <c r="H1752" s="11" t="s">
        <v>74</v>
      </c>
      <c r="I1752" s="11"/>
      <c r="J1752" s="11">
        <v>22.0</v>
      </c>
      <c r="K1752" s="12">
        <v>41733.0</v>
      </c>
      <c r="L1752" s="11">
        <f t="shared" ref="L1752:L1753" si="184">ROUND(((K1752-B1752)/365)*12,0)</f>
        <v>18</v>
      </c>
      <c r="M1752" s="11">
        <v>543532.0</v>
      </c>
      <c r="N1752" s="11">
        <v>9149.0</v>
      </c>
      <c r="P1752" s="11">
        <v>6.0</v>
      </c>
      <c r="Q1752" s="14">
        <v>14.667</v>
      </c>
      <c r="R1752" s="41">
        <v>1.0</v>
      </c>
      <c r="S1752">
        <f t="shared" si="1"/>
        <v>2012</v>
      </c>
      <c r="T1752">
        <f t="shared" si="2"/>
        <v>10</v>
      </c>
      <c r="U1752">
        <f t="shared" si="3"/>
        <v>1</v>
      </c>
      <c r="AG1752" s="15"/>
      <c r="AH1752" s="16"/>
      <c r="AM1752" s="15"/>
      <c r="AN1752" s="16"/>
    </row>
    <row r="1753">
      <c r="A1753" s="13" t="s">
        <v>2861</v>
      </c>
      <c r="B1753" s="10">
        <v>41183.0</v>
      </c>
      <c r="C1753" s="11" t="s">
        <v>186</v>
      </c>
      <c r="D1753" s="11" t="s">
        <v>88</v>
      </c>
      <c r="E1753" s="11" t="s">
        <v>39</v>
      </c>
      <c r="F1753" s="11" t="s">
        <v>64</v>
      </c>
      <c r="G1753" s="11" t="s">
        <v>45</v>
      </c>
      <c r="H1753" s="11" t="s">
        <v>236</v>
      </c>
      <c r="I1753" s="11" t="s">
        <v>1806</v>
      </c>
      <c r="J1753" s="11">
        <v>22.0</v>
      </c>
      <c r="K1753" s="12">
        <v>42495.0</v>
      </c>
      <c r="L1753" s="11">
        <f t="shared" si="184"/>
        <v>43</v>
      </c>
      <c r="M1753" s="11">
        <v>543927.0</v>
      </c>
      <c r="N1753" s="11" t="s">
        <v>2862</v>
      </c>
      <c r="O1753" s="13" t="s">
        <v>42</v>
      </c>
      <c r="P1753" s="11">
        <v>0.0</v>
      </c>
      <c r="Q1753" s="14">
        <v>0.0</v>
      </c>
      <c r="R1753" s="11">
        <v>0.0</v>
      </c>
      <c r="S1753">
        <f t="shared" si="1"/>
        <v>2012</v>
      </c>
      <c r="T1753">
        <f t="shared" si="2"/>
        <v>10</v>
      </c>
      <c r="U1753">
        <f t="shared" si="3"/>
        <v>1</v>
      </c>
      <c r="AG1753" s="15"/>
      <c r="AH1753" s="16"/>
      <c r="AM1753" s="15"/>
      <c r="AN1753" s="16"/>
    </row>
    <row r="1754">
      <c r="A1754" s="13" t="s">
        <v>1577</v>
      </c>
      <c r="B1754" s="10">
        <v>41183.0</v>
      </c>
      <c r="C1754" s="11" t="s">
        <v>186</v>
      </c>
      <c r="D1754" s="11" t="s">
        <v>93</v>
      </c>
      <c r="E1754" s="11" t="s">
        <v>39</v>
      </c>
      <c r="F1754" s="11" t="s">
        <v>40</v>
      </c>
      <c r="G1754" s="11" t="s">
        <v>45</v>
      </c>
      <c r="H1754" s="11" t="s">
        <v>236</v>
      </c>
      <c r="I1754" s="11" t="s">
        <v>1578</v>
      </c>
      <c r="J1754" s="11">
        <v>20.0</v>
      </c>
      <c r="K1754" s="12">
        <v>41803.0</v>
      </c>
      <c r="L1754" s="30"/>
      <c r="M1754" s="11">
        <v>592296.0</v>
      </c>
      <c r="N1754" s="11" t="s">
        <v>1579</v>
      </c>
      <c r="P1754" s="11">
        <v>0.0</v>
      </c>
      <c r="Q1754" s="14">
        <v>0.0</v>
      </c>
      <c r="R1754" s="41">
        <v>1.0</v>
      </c>
      <c r="S1754">
        <f t="shared" si="1"/>
        <v>2012</v>
      </c>
      <c r="T1754">
        <f t="shared" si="2"/>
        <v>10</v>
      </c>
      <c r="U1754">
        <f t="shared" si="3"/>
        <v>1</v>
      </c>
      <c r="AG1754" s="15"/>
      <c r="AH1754" s="16"/>
      <c r="AM1754" s="15"/>
      <c r="AN1754" s="16"/>
    </row>
    <row r="1755">
      <c r="A1755" s="13" t="s">
        <v>3316</v>
      </c>
      <c r="B1755" s="10">
        <v>41173.0</v>
      </c>
      <c r="C1755" s="11" t="s">
        <v>126</v>
      </c>
      <c r="D1755" s="11" t="s">
        <v>93</v>
      </c>
      <c r="E1755" s="30" t="s">
        <v>39</v>
      </c>
      <c r="F1755" s="11" t="s">
        <v>40</v>
      </c>
      <c r="G1755" s="30" t="s">
        <v>45</v>
      </c>
      <c r="H1755" s="11" t="s">
        <v>240</v>
      </c>
      <c r="I1755" s="11" t="s">
        <v>619</v>
      </c>
      <c r="J1755" s="11">
        <v>21.0</v>
      </c>
      <c r="K1755" s="12">
        <v>41812.0</v>
      </c>
      <c r="L1755" s="30"/>
      <c r="M1755" s="11">
        <v>657530.0</v>
      </c>
      <c r="N1755" s="11" t="s">
        <v>3317</v>
      </c>
      <c r="P1755" s="11">
        <v>0.0</v>
      </c>
      <c r="Q1755" s="14">
        <v>0.0</v>
      </c>
      <c r="R1755" s="41">
        <v>1.0</v>
      </c>
      <c r="S1755">
        <f t="shared" si="1"/>
        <v>2012</v>
      </c>
      <c r="T1755">
        <f t="shared" si="2"/>
        <v>9</v>
      </c>
      <c r="U1755">
        <f t="shared" si="3"/>
        <v>21</v>
      </c>
      <c r="AG1755" s="15"/>
      <c r="AH1755" s="16"/>
      <c r="AM1755" s="15"/>
      <c r="AN1755" s="16"/>
    </row>
    <row r="1756">
      <c r="A1756" s="13" t="s">
        <v>3318</v>
      </c>
      <c r="B1756" s="10">
        <v>41158.0</v>
      </c>
      <c r="C1756" s="11" t="s">
        <v>37</v>
      </c>
      <c r="D1756" s="11" t="s">
        <v>38</v>
      </c>
      <c r="E1756" s="30" t="s">
        <v>39</v>
      </c>
      <c r="F1756" s="11" t="s">
        <v>40</v>
      </c>
      <c r="G1756" s="11" t="s">
        <v>41</v>
      </c>
      <c r="H1756" s="30"/>
      <c r="I1756" s="30"/>
      <c r="J1756" s="11">
        <v>30.0</v>
      </c>
      <c r="K1756" s="12">
        <v>41753.0</v>
      </c>
      <c r="L1756" s="11">
        <f t="shared" ref="L1756:L1757" si="185">ROUND(((K1756-B1756)/365)*12,0)</f>
        <v>20</v>
      </c>
      <c r="M1756" s="11">
        <v>434663.0</v>
      </c>
      <c r="N1756" s="11">
        <v>2886.0</v>
      </c>
      <c r="O1756" s="13" t="s">
        <v>761</v>
      </c>
      <c r="P1756" s="11">
        <v>32.0</v>
      </c>
      <c r="Q1756" s="14">
        <v>31.667</v>
      </c>
      <c r="R1756" s="41">
        <v>0.0</v>
      </c>
      <c r="S1756">
        <f t="shared" si="1"/>
        <v>2012</v>
      </c>
      <c r="T1756">
        <f t="shared" si="2"/>
        <v>9</v>
      </c>
      <c r="U1756">
        <f t="shared" si="3"/>
        <v>6</v>
      </c>
      <c r="AG1756" s="15"/>
      <c r="AH1756" s="16"/>
      <c r="AM1756" s="15"/>
      <c r="AN1756" s="16"/>
    </row>
    <row r="1757">
      <c r="A1757" s="13" t="s">
        <v>3319</v>
      </c>
      <c r="B1757" s="10">
        <v>41157.0</v>
      </c>
      <c r="C1757" s="11" t="s">
        <v>44</v>
      </c>
      <c r="D1757" s="11" t="s">
        <v>221</v>
      </c>
      <c r="E1757" s="11" t="s">
        <v>39</v>
      </c>
      <c r="F1757" s="11" t="s">
        <v>40</v>
      </c>
      <c r="G1757" s="11" t="s">
        <v>245</v>
      </c>
      <c r="H1757" s="11"/>
      <c r="I1757" s="11"/>
      <c r="J1757" s="11">
        <v>18.0</v>
      </c>
      <c r="K1757" s="12">
        <v>41513.0</v>
      </c>
      <c r="L1757" s="11">
        <f t="shared" si="185"/>
        <v>12</v>
      </c>
      <c r="M1757" s="11">
        <v>623992.0</v>
      </c>
      <c r="N1757" s="11" t="s">
        <v>3320</v>
      </c>
      <c r="P1757" s="11">
        <v>0.0</v>
      </c>
      <c r="Q1757" s="14">
        <v>0.0</v>
      </c>
      <c r="R1757" s="41">
        <v>1.0</v>
      </c>
      <c r="S1757">
        <f t="shared" si="1"/>
        <v>2012</v>
      </c>
      <c r="T1757">
        <f t="shared" si="2"/>
        <v>9</v>
      </c>
      <c r="U1757">
        <f t="shared" si="3"/>
        <v>5</v>
      </c>
      <c r="AG1757" s="15"/>
      <c r="AH1757" s="16"/>
      <c r="AM1757" s="15"/>
      <c r="AN1757" s="16"/>
    </row>
    <row r="1758">
      <c r="A1758" s="48" t="s">
        <v>3321</v>
      </c>
      <c r="B1758" s="10">
        <v>41152.0</v>
      </c>
      <c r="C1758" s="11" t="s">
        <v>346</v>
      </c>
      <c r="D1758" s="11" t="s">
        <v>213</v>
      </c>
      <c r="E1758" s="11" t="s">
        <v>39</v>
      </c>
      <c r="F1758" s="11" t="s">
        <v>40</v>
      </c>
      <c r="G1758" s="11" t="s">
        <v>45</v>
      </c>
      <c r="H1758" s="11" t="s">
        <v>56</v>
      </c>
      <c r="I1758" s="11" t="s">
        <v>259</v>
      </c>
      <c r="J1758" s="11">
        <v>18.0</v>
      </c>
      <c r="K1758" s="12">
        <v>42908.0</v>
      </c>
      <c r="L1758" s="11"/>
      <c r="M1758" s="11">
        <v>621117.0</v>
      </c>
      <c r="N1758" s="11" t="s">
        <v>3322</v>
      </c>
      <c r="P1758" s="11">
        <v>0.0</v>
      </c>
      <c r="Q1758" s="14">
        <v>0.0</v>
      </c>
      <c r="R1758" s="11">
        <v>1.0</v>
      </c>
      <c r="S1758">
        <f t="shared" si="1"/>
        <v>2012</v>
      </c>
      <c r="T1758">
        <f t="shared" si="2"/>
        <v>8</v>
      </c>
      <c r="U1758">
        <f t="shared" si="3"/>
        <v>31</v>
      </c>
      <c r="AG1758" s="15"/>
      <c r="AH1758" s="16"/>
      <c r="AM1758" s="15"/>
      <c r="AN1758" s="16"/>
    </row>
    <row r="1759">
      <c r="A1759" s="13" t="s">
        <v>3323</v>
      </c>
      <c r="B1759" s="10">
        <v>41152.0</v>
      </c>
      <c r="C1759" s="11" t="s">
        <v>76</v>
      </c>
      <c r="D1759" s="11" t="s">
        <v>221</v>
      </c>
      <c r="E1759" s="30" t="s">
        <v>39</v>
      </c>
      <c r="F1759" s="11" t="s">
        <v>40</v>
      </c>
      <c r="G1759" s="30" t="s">
        <v>45</v>
      </c>
      <c r="H1759" s="11" t="s">
        <v>67</v>
      </c>
      <c r="I1759" s="11"/>
      <c r="J1759" s="11">
        <v>17.0</v>
      </c>
      <c r="K1759" s="12">
        <v>41458.0</v>
      </c>
      <c r="L1759" s="11">
        <f t="shared" ref="L1759:L1765" si="186">ROUND(((K1759-B1759)/365)*12,0)</f>
        <v>10</v>
      </c>
      <c r="M1759" s="11">
        <v>608337.0</v>
      </c>
      <c r="N1759" s="11">
        <v>15474.0</v>
      </c>
      <c r="O1759" s="13" t="s">
        <v>3309</v>
      </c>
      <c r="P1759" s="11">
        <v>13.0</v>
      </c>
      <c r="Q1759" s="14">
        <v>66.667</v>
      </c>
      <c r="R1759" s="41">
        <v>1.0</v>
      </c>
      <c r="S1759">
        <f t="shared" si="1"/>
        <v>2012</v>
      </c>
      <c r="T1759">
        <f t="shared" si="2"/>
        <v>8</v>
      </c>
      <c r="U1759">
        <f t="shared" si="3"/>
        <v>31</v>
      </c>
      <c r="AG1759" s="15"/>
      <c r="AH1759" s="16"/>
      <c r="AM1759" s="15"/>
      <c r="AN1759" s="16"/>
    </row>
    <row r="1760">
      <c r="A1760" s="13" t="s">
        <v>3324</v>
      </c>
      <c r="B1760" s="10">
        <v>41151.0</v>
      </c>
      <c r="C1760" s="11" t="s">
        <v>103</v>
      </c>
      <c r="D1760" s="11" t="s">
        <v>58</v>
      </c>
      <c r="E1760" s="30" t="s">
        <v>39</v>
      </c>
      <c r="F1760" s="11" t="s">
        <v>40</v>
      </c>
      <c r="G1760" s="41" t="s">
        <v>53</v>
      </c>
      <c r="H1760" s="30"/>
      <c r="I1760" s="30"/>
      <c r="J1760" s="11">
        <v>24.0</v>
      </c>
      <c r="K1760" s="12">
        <v>41816.0</v>
      </c>
      <c r="L1760" s="11">
        <f t="shared" si="186"/>
        <v>22</v>
      </c>
      <c r="M1760" s="11">
        <v>500902.0</v>
      </c>
      <c r="N1760" s="11">
        <v>9167.0</v>
      </c>
      <c r="P1760" s="11">
        <v>7.0</v>
      </c>
      <c r="Q1760" s="14">
        <v>6.333</v>
      </c>
      <c r="R1760" s="11">
        <v>0.0</v>
      </c>
      <c r="S1760">
        <f t="shared" si="1"/>
        <v>2012</v>
      </c>
      <c r="T1760">
        <f t="shared" si="2"/>
        <v>8</v>
      </c>
      <c r="U1760">
        <f t="shared" si="3"/>
        <v>30</v>
      </c>
      <c r="AG1760" s="15"/>
      <c r="AH1760" s="16"/>
      <c r="AM1760" s="15"/>
      <c r="AN1760" s="16"/>
    </row>
    <row r="1761">
      <c r="A1761" s="13" t="s">
        <v>3325</v>
      </c>
      <c r="B1761" s="10">
        <v>41144.0</v>
      </c>
      <c r="C1761" s="11" t="s">
        <v>72</v>
      </c>
      <c r="D1761" s="11" t="s">
        <v>38</v>
      </c>
      <c r="E1761" s="41" t="s">
        <v>118</v>
      </c>
      <c r="F1761" s="11" t="s">
        <v>64</v>
      </c>
      <c r="G1761" s="30" t="s">
        <v>45</v>
      </c>
      <c r="H1761" s="11" t="s">
        <v>56</v>
      </c>
      <c r="I1761" s="11"/>
      <c r="J1761" s="11">
        <v>30.0</v>
      </c>
      <c r="K1761" s="12">
        <v>41365.0</v>
      </c>
      <c r="L1761" s="11">
        <f t="shared" si="186"/>
        <v>7</v>
      </c>
      <c r="M1761" s="11">
        <v>408307.0</v>
      </c>
      <c r="N1761" s="11">
        <v>1201.0</v>
      </c>
      <c r="O1761" s="13" t="s">
        <v>761</v>
      </c>
      <c r="P1761" s="11">
        <v>320.0</v>
      </c>
      <c r="Q1761" s="14">
        <v>1119.0</v>
      </c>
      <c r="R1761" s="11">
        <v>0.0</v>
      </c>
      <c r="S1761">
        <f t="shared" si="1"/>
        <v>2012</v>
      </c>
      <c r="T1761">
        <f t="shared" si="2"/>
        <v>8</v>
      </c>
      <c r="U1761">
        <f t="shared" si="3"/>
        <v>23</v>
      </c>
      <c r="AG1761" s="15"/>
      <c r="AH1761" s="16"/>
      <c r="AM1761" s="15"/>
      <c r="AN1761" s="16"/>
    </row>
    <row r="1762">
      <c r="A1762" s="13" t="s">
        <v>3326</v>
      </c>
      <c r="B1762" s="10">
        <v>41143.0</v>
      </c>
      <c r="C1762" s="11" t="s">
        <v>44</v>
      </c>
      <c r="D1762" s="11" t="s">
        <v>38</v>
      </c>
      <c r="E1762" s="30" t="s">
        <v>39</v>
      </c>
      <c r="F1762" s="11" t="s">
        <v>40</v>
      </c>
      <c r="G1762" s="30" t="s">
        <v>45</v>
      </c>
      <c r="H1762" s="11" t="s">
        <v>56</v>
      </c>
      <c r="I1762" s="11" t="s">
        <v>3327</v>
      </c>
      <c r="J1762" s="11">
        <v>27.0</v>
      </c>
      <c r="K1762" s="12">
        <v>41529.0</v>
      </c>
      <c r="L1762" s="11">
        <f t="shared" si="186"/>
        <v>13</v>
      </c>
      <c r="M1762" s="11">
        <v>458708.0</v>
      </c>
      <c r="N1762" s="11">
        <v>9388.0</v>
      </c>
      <c r="O1762" s="13" t="s">
        <v>3309</v>
      </c>
      <c r="P1762" s="11">
        <v>92.0</v>
      </c>
      <c r="Q1762" s="14">
        <v>486.667</v>
      </c>
      <c r="R1762" s="41">
        <v>1.0</v>
      </c>
      <c r="S1762">
        <f t="shared" si="1"/>
        <v>2012</v>
      </c>
      <c r="T1762">
        <f t="shared" si="2"/>
        <v>8</v>
      </c>
      <c r="U1762">
        <f t="shared" si="3"/>
        <v>22</v>
      </c>
      <c r="V1762" s="13"/>
      <c r="W1762" s="13"/>
      <c r="X1762" s="13"/>
      <c r="Y1762" s="13"/>
      <c r="Z1762" s="13"/>
      <c r="AA1762" s="13"/>
      <c r="AB1762" s="13"/>
      <c r="AC1762" s="13"/>
      <c r="AD1762" s="13"/>
      <c r="AE1762" s="13">
        <v>21.0</v>
      </c>
      <c r="AF1762" s="13">
        <v>16.0</v>
      </c>
      <c r="AG1762" s="50">
        <v>103.333</v>
      </c>
      <c r="AH1762" s="51">
        <v>0.069</v>
      </c>
      <c r="AI1762" s="13">
        <v>160.0</v>
      </c>
      <c r="AJ1762" s="13">
        <v>124.0</v>
      </c>
      <c r="AK1762" s="13">
        <v>1.0</v>
      </c>
      <c r="AL1762" s="13">
        <v>0.0</v>
      </c>
      <c r="AM1762" s="50">
        <v>2.0</v>
      </c>
      <c r="AN1762" s="51">
        <v>0.0</v>
      </c>
      <c r="AO1762" s="13">
        <v>0.0</v>
      </c>
      <c r="AP1762" s="13">
        <v>78.0</v>
      </c>
    </row>
    <row r="1763">
      <c r="A1763" s="13" t="s">
        <v>3328</v>
      </c>
      <c r="B1763" s="10">
        <v>41143.0</v>
      </c>
      <c r="C1763" s="11" t="s">
        <v>186</v>
      </c>
      <c r="D1763" s="11" t="s">
        <v>88</v>
      </c>
      <c r="E1763" s="30" t="s">
        <v>39</v>
      </c>
      <c r="F1763" s="11" t="s">
        <v>40</v>
      </c>
      <c r="G1763" s="30" t="s">
        <v>45</v>
      </c>
      <c r="H1763" s="11" t="s">
        <v>56</v>
      </c>
      <c r="I1763" s="11"/>
      <c r="J1763" s="11">
        <v>23.0</v>
      </c>
      <c r="K1763" s="12">
        <v>41733.0</v>
      </c>
      <c r="L1763" s="11">
        <f t="shared" si="186"/>
        <v>19</v>
      </c>
      <c r="M1763" s="11">
        <v>519411.0</v>
      </c>
      <c r="N1763" s="11">
        <v>7980.0</v>
      </c>
      <c r="P1763" s="11">
        <v>5.0</v>
      </c>
      <c r="Q1763" s="14">
        <v>7.0</v>
      </c>
      <c r="R1763" s="41">
        <v>1.0</v>
      </c>
      <c r="S1763">
        <f t="shared" si="1"/>
        <v>2012</v>
      </c>
      <c r="T1763">
        <f t="shared" si="2"/>
        <v>8</v>
      </c>
      <c r="U1763">
        <f t="shared" si="3"/>
        <v>22</v>
      </c>
      <c r="AG1763" s="15"/>
      <c r="AH1763" s="16"/>
      <c r="AM1763" s="15"/>
      <c r="AN1763" s="16"/>
    </row>
    <row r="1764">
      <c r="A1764" s="13" t="s">
        <v>3329</v>
      </c>
      <c r="B1764" s="10">
        <v>41130.0</v>
      </c>
      <c r="C1764" s="11" t="s">
        <v>235</v>
      </c>
      <c r="D1764" s="11" t="s">
        <v>38</v>
      </c>
      <c r="E1764" s="30" t="s">
        <v>39</v>
      </c>
      <c r="F1764" s="11" t="s">
        <v>40</v>
      </c>
      <c r="G1764" s="30" t="s">
        <v>45</v>
      </c>
      <c r="H1764" s="11" t="s">
        <v>84</v>
      </c>
      <c r="I1764" s="11"/>
      <c r="J1764" s="11">
        <v>21.0</v>
      </c>
      <c r="K1764" s="12">
        <v>41730.0</v>
      </c>
      <c r="L1764" s="11">
        <f t="shared" si="186"/>
        <v>20</v>
      </c>
      <c r="M1764" s="11">
        <v>571800.0</v>
      </c>
      <c r="N1764" s="11">
        <v>10732.0</v>
      </c>
      <c r="O1764" s="13" t="s">
        <v>761</v>
      </c>
      <c r="P1764" s="11">
        <v>71.0</v>
      </c>
      <c r="Q1764" s="14">
        <v>359.0</v>
      </c>
      <c r="R1764" s="41">
        <v>1.0</v>
      </c>
      <c r="S1764">
        <f t="shared" si="1"/>
        <v>2012</v>
      </c>
      <c r="T1764">
        <f t="shared" si="2"/>
        <v>8</v>
      </c>
      <c r="U1764">
        <f t="shared" si="3"/>
        <v>9</v>
      </c>
      <c r="V1764" s="13"/>
      <c r="W1764" s="13"/>
      <c r="X1764" s="13"/>
      <c r="Y1764" s="13"/>
      <c r="Z1764" s="17">
        <v>41469.0</v>
      </c>
      <c r="AA1764" s="13"/>
      <c r="AB1764" s="13"/>
      <c r="AC1764" s="13"/>
      <c r="AD1764" s="13"/>
      <c r="AE1764" s="13">
        <v>11.0</v>
      </c>
      <c r="AF1764" s="13">
        <v>11.0</v>
      </c>
      <c r="AG1764" s="50">
        <v>58.667</v>
      </c>
      <c r="AH1764" s="51">
        <v>0.113</v>
      </c>
      <c r="AI1764" s="13">
        <v>109.0</v>
      </c>
      <c r="AJ1764" s="13">
        <v>107.0</v>
      </c>
      <c r="AK1764" s="13">
        <v>32.0</v>
      </c>
      <c r="AL1764" s="13">
        <v>32.0</v>
      </c>
      <c r="AM1764" s="50">
        <v>184.667</v>
      </c>
      <c r="AN1764" s="51">
        <v>0.158</v>
      </c>
      <c r="AO1764" s="13">
        <v>114.0</v>
      </c>
      <c r="AP1764" s="13">
        <v>100.0</v>
      </c>
    </row>
    <row r="1765">
      <c r="A1765" s="13" t="s">
        <v>3330</v>
      </c>
      <c r="B1765" s="10">
        <v>41123.0</v>
      </c>
      <c r="C1765" s="11" t="s">
        <v>103</v>
      </c>
      <c r="D1765" s="11" t="s">
        <v>221</v>
      </c>
      <c r="E1765" s="30" t="s">
        <v>39</v>
      </c>
      <c r="F1765" s="11" t="s">
        <v>40</v>
      </c>
      <c r="G1765" s="30" t="s">
        <v>45</v>
      </c>
      <c r="H1765" s="11" t="s">
        <v>236</v>
      </c>
      <c r="I1765" s="11" t="s">
        <v>237</v>
      </c>
      <c r="J1765" s="11">
        <v>23.0</v>
      </c>
      <c r="K1765" s="12">
        <v>41468.0</v>
      </c>
      <c r="L1765" s="11">
        <f t="shared" si="186"/>
        <v>11</v>
      </c>
      <c r="M1765" s="11">
        <v>592872.0</v>
      </c>
      <c r="N1765" s="11">
        <v>11394.0</v>
      </c>
      <c r="P1765" s="11">
        <v>22.0</v>
      </c>
      <c r="Q1765" s="14">
        <v>24.667</v>
      </c>
      <c r="R1765" s="41">
        <v>1.0</v>
      </c>
      <c r="S1765">
        <f t="shared" si="1"/>
        <v>2012</v>
      </c>
      <c r="T1765">
        <f t="shared" si="2"/>
        <v>8</v>
      </c>
      <c r="U1765">
        <f t="shared" si="3"/>
        <v>2</v>
      </c>
      <c r="AG1765" s="15"/>
      <c r="AH1765" s="16"/>
      <c r="AM1765" s="15"/>
      <c r="AN1765" s="16"/>
    </row>
    <row r="1766">
      <c r="A1766" s="13" t="s">
        <v>1744</v>
      </c>
      <c r="B1766" s="10">
        <v>41122.0</v>
      </c>
      <c r="C1766" s="11" t="s">
        <v>111</v>
      </c>
      <c r="D1766" s="11" t="s">
        <v>93</v>
      </c>
      <c r="E1766" s="11" t="s">
        <v>39</v>
      </c>
      <c r="F1766" s="11" t="s">
        <v>40</v>
      </c>
      <c r="G1766" s="11" t="s">
        <v>45</v>
      </c>
      <c r="H1766" s="11" t="s">
        <v>139</v>
      </c>
      <c r="I1766" s="11" t="s">
        <v>46</v>
      </c>
      <c r="J1766" s="11">
        <v>20.0</v>
      </c>
      <c r="K1766" s="12">
        <v>41834.0</v>
      </c>
      <c r="L1766" s="11"/>
      <c r="M1766" s="11">
        <v>592499.0</v>
      </c>
      <c r="N1766" s="11">
        <v>16731.0</v>
      </c>
      <c r="O1766" s="13" t="s">
        <v>494</v>
      </c>
      <c r="P1766" s="11">
        <v>4.0</v>
      </c>
      <c r="Q1766" s="14">
        <v>10.333</v>
      </c>
      <c r="R1766" s="11">
        <v>1.0</v>
      </c>
      <c r="S1766">
        <f t="shared" si="1"/>
        <v>2012</v>
      </c>
      <c r="T1766">
        <f t="shared" si="2"/>
        <v>8</v>
      </c>
      <c r="U1766">
        <f t="shared" si="3"/>
        <v>1</v>
      </c>
      <c r="AG1766" s="15"/>
      <c r="AH1766" s="16"/>
      <c r="AM1766" s="15"/>
      <c r="AN1766" s="16"/>
    </row>
    <row r="1767">
      <c r="A1767" s="13" t="s">
        <v>3331</v>
      </c>
      <c r="B1767" s="10">
        <v>41122.0</v>
      </c>
      <c r="C1767" s="11" t="s">
        <v>346</v>
      </c>
      <c r="D1767" s="11" t="s">
        <v>97</v>
      </c>
      <c r="E1767" s="30" t="s">
        <v>39</v>
      </c>
      <c r="F1767" s="11" t="s">
        <v>40</v>
      </c>
      <c r="G1767" s="30" t="s">
        <v>45</v>
      </c>
      <c r="H1767" s="11" t="s">
        <v>84</v>
      </c>
      <c r="I1767" s="11" t="s">
        <v>1326</v>
      </c>
      <c r="J1767" s="11">
        <v>21.0</v>
      </c>
      <c r="K1767" s="12">
        <v>41734.0</v>
      </c>
      <c r="L1767" s="11">
        <f>ROUND(((K1767-B1767)/365)*12,0)</f>
        <v>20</v>
      </c>
      <c r="M1767" s="11">
        <v>605182.0</v>
      </c>
      <c r="N1767" s="11">
        <v>12808.0</v>
      </c>
      <c r="P1767" s="11">
        <v>44.0</v>
      </c>
      <c r="Q1767" s="14">
        <v>174.667</v>
      </c>
      <c r="R1767" s="41">
        <v>1.0</v>
      </c>
      <c r="S1767">
        <f t="shared" si="1"/>
        <v>2012</v>
      </c>
      <c r="T1767">
        <f t="shared" si="2"/>
        <v>8</v>
      </c>
      <c r="U1767">
        <f t="shared" si="3"/>
        <v>1</v>
      </c>
      <c r="AG1767" s="15"/>
      <c r="AH1767" s="16"/>
      <c r="AM1767" s="15"/>
      <c r="AN1767" s="16"/>
    </row>
    <row r="1768">
      <c r="A1768" s="13" t="s">
        <v>1033</v>
      </c>
      <c r="B1768" s="10">
        <v>41122.0</v>
      </c>
      <c r="C1768" s="11" t="s">
        <v>103</v>
      </c>
      <c r="D1768" s="11" t="s">
        <v>93</v>
      </c>
      <c r="E1768" s="30" t="s">
        <v>39</v>
      </c>
      <c r="F1768" s="11" t="s">
        <v>40</v>
      </c>
      <c r="G1768" s="30" t="s">
        <v>45</v>
      </c>
      <c r="H1768" s="11" t="s">
        <v>56</v>
      </c>
      <c r="I1768" s="11" t="s">
        <v>56</v>
      </c>
      <c r="J1768" s="11">
        <v>19.0</v>
      </c>
      <c r="K1768" s="12">
        <v>41833.0</v>
      </c>
      <c r="L1768" s="30"/>
      <c r="M1768" s="11">
        <v>595928.0</v>
      </c>
      <c r="N1768" s="11">
        <v>16128.0</v>
      </c>
      <c r="P1768" s="11">
        <v>9.0</v>
      </c>
      <c r="Q1768" s="14">
        <v>8.667</v>
      </c>
      <c r="R1768" s="41">
        <v>1.0</v>
      </c>
      <c r="S1768">
        <f t="shared" si="1"/>
        <v>2012</v>
      </c>
      <c r="T1768">
        <f t="shared" si="2"/>
        <v>8</v>
      </c>
      <c r="U1768">
        <f t="shared" si="3"/>
        <v>1</v>
      </c>
      <c r="AG1768" s="15"/>
      <c r="AH1768" s="16"/>
      <c r="AM1768" s="15"/>
      <c r="AN1768" s="16"/>
    </row>
    <row r="1769">
      <c r="A1769" s="13" t="s">
        <v>3332</v>
      </c>
      <c r="B1769" s="10">
        <v>41122.0</v>
      </c>
      <c r="C1769" s="11" t="s">
        <v>186</v>
      </c>
      <c r="D1769" s="11" t="s">
        <v>709</v>
      </c>
      <c r="E1769" s="11" t="s">
        <v>39</v>
      </c>
      <c r="F1769" s="11" t="s">
        <v>40</v>
      </c>
      <c r="G1769" s="11" t="s">
        <v>41</v>
      </c>
      <c r="H1769" s="11"/>
      <c r="I1769" s="11"/>
      <c r="J1769" s="11">
        <v>19.0</v>
      </c>
      <c r="K1769" s="12">
        <v>41806.0</v>
      </c>
      <c r="L1769" s="11">
        <f t="shared" ref="L1769:L1772" si="187">ROUND(((K1769-B1769)/365)*12,0)</f>
        <v>22</v>
      </c>
      <c r="M1769" s="11">
        <v>593634.0</v>
      </c>
      <c r="N1769" s="11" t="s">
        <v>3333</v>
      </c>
      <c r="P1769" s="11">
        <v>0.0</v>
      </c>
      <c r="Q1769" s="14">
        <v>0.0</v>
      </c>
      <c r="R1769" s="41">
        <v>1.0</v>
      </c>
      <c r="S1769">
        <f t="shared" si="1"/>
        <v>2012</v>
      </c>
      <c r="T1769">
        <f t="shared" si="2"/>
        <v>8</v>
      </c>
      <c r="U1769">
        <f t="shared" si="3"/>
        <v>1</v>
      </c>
      <c r="AG1769" s="15"/>
      <c r="AH1769" s="16"/>
      <c r="AM1769" s="15"/>
      <c r="AN1769" s="16"/>
    </row>
    <row r="1770">
      <c r="A1770" s="13" t="s">
        <v>3334</v>
      </c>
      <c r="B1770" s="10">
        <v>41122.0</v>
      </c>
      <c r="C1770" s="11" t="s">
        <v>186</v>
      </c>
      <c r="D1770" s="11" t="s">
        <v>38</v>
      </c>
      <c r="E1770" s="30" t="s">
        <v>39</v>
      </c>
      <c r="F1770" s="11" t="s">
        <v>40</v>
      </c>
      <c r="G1770" s="41" t="s">
        <v>41</v>
      </c>
      <c r="H1770" s="30"/>
      <c r="I1770" s="30"/>
      <c r="J1770" s="11">
        <v>24.0</v>
      </c>
      <c r="K1770" s="12">
        <v>41518.0</v>
      </c>
      <c r="L1770" s="11">
        <f t="shared" si="187"/>
        <v>13</v>
      </c>
      <c r="M1770" s="11">
        <v>491703.0</v>
      </c>
      <c r="N1770" s="11">
        <v>18.0</v>
      </c>
      <c r="O1770" s="13" t="s">
        <v>42</v>
      </c>
      <c r="P1770" s="11">
        <v>195.0</v>
      </c>
      <c r="Q1770" s="14">
        <v>184.0</v>
      </c>
      <c r="R1770" s="41">
        <v>1.0</v>
      </c>
      <c r="S1770">
        <f t="shared" si="1"/>
        <v>2012</v>
      </c>
      <c r="T1770">
        <f t="shared" si="2"/>
        <v>8</v>
      </c>
      <c r="U1770">
        <f t="shared" si="3"/>
        <v>1</v>
      </c>
      <c r="AG1770" s="15"/>
      <c r="AH1770" s="16"/>
      <c r="AM1770" s="15"/>
      <c r="AN1770" s="16"/>
    </row>
    <row r="1771">
      <c r="A1771" s="13" t="s">
        <v>3335</v>
      </c>
      <c r="B1771" s="10">
        <v>41117.0</v>
      </c>
      <c r="C1771" s="11" t="s">
        <v>175</v>
      </c>
      <c r="D1771" s="11" t="s">
        <v>38</v>
      </c>
      <c r="E1771" s="30" t="s">
        <v>39</v>
      </c>
      <c r="F1771" s="11" t="s">
        <v>40</v>
      </c>
      <c r="G1771" s="30" t="s">
        <v>45</v>
      </c>
      <c r="H1771" s="11" t="s">
        <v>301</v>
      </c>
      <c r="I1771" s="11"/>
      <c r="J1771" s="11">
        <v>22.0</v>
      </c>
      <c r="K1771" s="12">
        <v>41888.0</v>
      </c>
      <c r="L1771" s="11">
        <f t="shared" si="187"/>
        <v>25</v>
      </c>
      <c r="M1771" s="11">
        <v>543921.0</v>
      </c>
      <c r="N1771" s="11">
        <v>6109.0</v>
      </c>
      <c r="O1771" s="13" t="s">
        <v>3309</v>
      </c>
      <c r="P1771" s="11">
        <v>7.0</v>
      </c>
      <c r="Q1771" s="14">
        <v>25.0</v>
      </c>
      <c r="R1771" s="41">
        <v>1.0</v>
      </c>
      <c r="S1771">
        <f t="shared" si="1"/>
        <v>2012</v>
      </c>
      <c r="T1771">
        <f t="shared" si="2"/>
        <v>7</v>
      </c>
      <c r="U1771">
        <f t="shared" si="3"/>
        <v>27</v>
      </c>
      <c r="Z1771" s="17">
        <v>41839.0</v>
      </c>
      <c r="AG1771" s="15"/>
      <c r="AH1771" s="16"/>
      <c r="AM1771" s="15"/>
      <c r="AN1771" s="16"/>
    </row>
    <row r="1772">
      <c r="A1772" s="13" t="s">
        <v>3336</v>
      </c>
      <c r="B1772" s="10">
        <v>41114.0</v>
      </c>
      <c r="C1772" s="11" t="s">
        <v>62</v>
      </c>
      <c r="D1772" s="11" t="s">
        <v>38</v>
      </c>
      <c r="E1772" s="30" t="s">
        <v>39</v>
      </c>
      <c r="F1772" s="11" t="s">
        <v>64</v>
      </c>
      <c r="G1772" s="30" t="s">
        <v>45</v>
      </c>
      <c r="H1772" s="11" t="s">
        <v>236</v>
      </c>
      <c r="I1772" s="11" t="s">
        <v>359</v>
      </c>
      <c r="J1772" s="11">
        <v>24.0</v>
      </c>
      <c r="K1772" s="12">
        <v>41478.0</v>
      </c>
      <c r="L1772" s="11">
        <f t="shared" si="187"/>
        <v>12</v>
      </c>
      <c r="M1772" s="11">
        <v>474668.0</v>
      </c>
      <c r="N1772" s="11">
        <v>2540.0</v>
      </c>
      <c r="O1772" s="13" t="s">
        <v>761</v>
      </c>
      <c r="P1772" s="11">
        <v>46.0</v>
      </c>
      <c r="Q1772" s="14">
        <v>69.0</v>
      </c>
      <c r="R1772" s="41">
        <v>1.0</v>
      </c>
      <c r="S1772">
        <f t="shared" si="1"/>
        <v>2012</v>
      </c>
      <c r="T1772">
        <f t="shared" si="2"/>
        <v>7</v>
      </c>
      <c r="U1772">
        <f t="shared" si="3"/>
        <v>24</v>
      </c>
      <c r="AG1772" s="15"/>
      <c r="AH1772" s="16"/>
      <c r="AM1772" s="15"/>
      <c r="AN1772" s="16"/>
    </row>
    <row r="1773">
      <c r="A1773" s="13" t="s">
        <v>1223</v>
      </c>
      <c r="B1773" s="10">
        <v>41113.0</v>
      </c>
      <c r="C1773" s="11" t="s">
        <v>274</v>
      </c>
      <c r="D1773" s="11" t="s">
        <v>213</v>
      </c>
      <c r="E1773" s="11" t="s">
        <v>39</v>
      </c>
      <c r="F1773" s="11" t="s">
        <v>40</v>
      </c>
      <c r="G1773" s="11" t="s">
        <v>45</v>
      </c>
      <c r="H1773" s="11" t="s">
        <v>652</v>
      </c>
      <c r="I1773" s="11" t="s">
        <v>183</v>
      </c>
      <c r="J1773" s="11">
        <v>17.0</v>
      </c>
      <c r="K1773" s="39">
        <v>42548.0</v>
      </c>
      <c r="L1773" s="30"/>
      <c r="M1773" s="11">
        <v>669064.0</v>
      </c>
      <c r="N1773" s="11">
        <v>19582.0</v>
      </c>
      <c r="O1773" s="13"/>
      <c r="P1773" s="11">
        <v>0.0</v>
      </c>
      <c r="Q1773" s="14">
        <v>0.0</v>
      </c>
      <c r="R1773" s="11">
        <v>1.0</v>
      </c>
      <c r="S1773">
        <f t="shared" si="1"/>
        <v>2012</v>
      </c>
      <c r="T1773">
        <f t="shared" si="2"/>
        <v>7</v>
      </c>
      <c r="U1773">
        <f t="shared" si="3"/>
        <v>23</v>
      </c>
      <c r="AG1773" s="15"/>
      <c r="AH1773" s="16"/>
      <c r="AM1773" s="15"/>
      <c r="AN1773" s="16"/>
    </row>
    <row r="1774">
      <c r="A1774" s="13" t="s">
        <v>3337</v>
      </c>
      <c r="B1774" s="10">
        <v>41108.0</v>
      </c>
      <c r="C1774" s="11" t="s">
        <v>126</v>
      </c>
      <c r="D1774" s="11" t="s">
        <v>38</v>
      </c>
      <c r="E1774" s="30" t="s">
        <v>39</v>
      </c>
      <c r="F1774" s="11" t="s">
        <v>40</v>
      </c>
      <c r="G1774" s="30" t="s">
        <v>45</v>
      </c>
      <c r="H1774" s="11" t="s">
        <v>127</v>
      </c>
      <c r="I1774" s="11"/>
      <c r="J1774" s="11">
        <v>31.0</v>
      </c>
      <c r="K1774" s="30"/>
      <c r="L1774" s="30"/>
      <c r="M1774" s="11">
        <v>434298.0</v>
      </c>
      <c r="N1774" s="11">
        <v>2467.0</v>
      </c>
      <c r="O1774" s="13" t="s">
        <v>69</v>
      </c>
      <c r="P1774" s="11">
        <v>0.0</v>
      </c>
      <c r="Q1774" s="45">
        <v>0.0</v>
      </c>
      <c r="R1774" s="11">
        <v>0.0</v>
      </c>
      <c r="S1774">
        <f t="shared" si="1"/>
        <v>2012</v>
      </c>
      <c r="T1774">
        <f t="shared" si="2"/>
        <v>7</v>
      </c>
      <c r="U1774">
        <f t="shared" si="3"/>
        <v>18</v>
      </c>
      <c r="AG1774" s="15"/>
      <c r="AH1774" s="16"/>
      <c r="AM1774" s="15"/>
      <c r="AN1774" s="16"/>
    </row>
    <row r="1775">
      <c r="A1775" s="13" t="s">
        <v>3338</v>
      </c>
      <c r="B1775" s="10">
        <v>41107.0</v>
      </c>
      <c r="C1775" s="11" t="s">
        <v>103</v>
      </c>
      <c r="D1775" s="11" t="s">
        <v>58</v>
      </c>
      <c r="E1775" s="30" t="s">
        <v>39</v>
      </c>
      <c r="F1775" s="11" t="s">
        <v>64</v>
      </c>
      <c r="G1775" s="30" t="s">
        <v>45</v>
      </c>
      <c r="H1775" s="11" t="s">
        <v>236</v>
      </c>
      <c r="I1775" s="11" t="s">
        <v>159</v>
      </c>
      <c r="J1775" s="11">
        <v>28.0</v>
      </c>
      <c r="K1775" s="12">
        <v>41785.0</v>
      </c>
      <c r="L1775" s="11">
        <f t="shared" ref="L1775:L1780" si="188">ROUND(((K1775-B1775)/365)*12,0)</f>
        <v>22</v>
      </c>
      <c r="M1775" s="11">
        <v>476011.0</v>
      </c>
      <c r="N1775" s="11">
        <v>9920.0</v>
      </c>
      <c r="P1775" s="11">
        <v>0.0</v>
      </c>
      <c r="Q1775" s="14">
        <v>0.0</v>
      </c>
      <c r="R1775" s="11">
        <v>0.0</v>
      </c>
      <c r="S1775">
        <f t="shared" si="1"/>
        <v>2012</v>
      </c>
      <c r="T1775">
        <f t="shared" si="2"/>
        <v>7</v>
      </c>
      <c r="U1775">
        <f t="shared" si="3"/>
        <v>17</v>
      </c>
      <c r="AG1775" s="15"/>
      <c r="AH1775" s="16"/>
      <c r="AM1775" s="15"/>
      <c r="AN1775" s="16"/>
    </row>
    <row r="1776">
      <c r="A1776" s="13" t="s">
        <v>3339</v>
      </c>
      <c r="B1776" s="10">
        <v>41107.0</v>
      </c>
      <c r="C1776" s="11" t="s">
        <v>235</v>
      </c>
      <c r="D1776" s="11" t="s">
        <v>38</v>
      </c>
      <c r="E1776" s="30" t="s">
        <v>39</v>
      </c>
      <c r="F1776" s="11" t="s">
        <v>64</v>
      </c>
      <c r="G1776" s="41" t="s">
        <v>41</v>
      </c>
      <c r="H1776" s="30"/>
      <c r="I1776" s="30"/>
      <c r="J1776" s="11">
        <v>27.0</v>
      </c>
      <c r="K1776" s="12">
        <v>41521.0</v>
      </c>
      <c r="L1776" s="11">
        <f t="shared" si="188"/>
        <v>14</v>
      </c>
      <c r="M1776" s="11">
        <v>469802.0</v>
      </c>
      <c r="N1776" s="11">
        <v>6389.0</v>
      </c>
      <c r="O1776" s="13" t="s">
        <v>761</v>
      </c>
      <c r="P1776" s="11">
        <v>6.0</v>
      </c>
      <c r="Q1776" s="45">
        <v>5.0</v>
      </c>
      <c r="R1776" s="11">
        <v>0.0</v>
      </c>
      <c r="S1776">
        <f t="shared" si="1"/>
        <v>2012</v>
      </c>
      <c r="T1776">
        <f t="shared" si="2"/>
        <v>7</v>
      </c>
      <c r="U1776">
        <f t="shared" si="3"/>
        <v>17</v>
      </c>
      <c r="AG1776" s="15"/>
      <c r="AH1776" s="16"/>
      <c r="AM1776" s="15"/>
      <c r="AN1776" s="16"/>
    </row>
    <row r="1777">
      <c r="A1777" s="13" t="s">
        <v>2449</v>
      </c>
      <c r="B1777" s="10">
        <v>41103.0</v>
      </c>
      <c r="C1777" s="11" t="s">
        <v>167</v>
      </c>
      <c r="D1777" s="11" t="s">
        <v>97</v>
      </c>
      <c r="E1777" s="11" t="s">
        <v>39</v>
      </c>
      <c r="F1777" s="11" t="s">
        <v>64</v>
      </c>
      <c r="G1777" s="11" t="s">
        <v>45</v>
      </c>
      <c r="H1777" s="11" t="s">
        <v>56</v>
      </c>
      <c r="I1777" s="11" t="s">
        <v>56</v>
      </c>
      <c r="J1777" s="11">
        <v>22.0</v>
      </c>
      <c r="K1777" s="12">
        <v>41472.0</v>
      </c>
      <c r="L1777" s="11">
        <f t="shared" si="188"/>
        <v>12</v>
      </c>
      <c r="M1777" s="11">
        <v>605374.0</v>
      </c>
      <c r="N1777" s="11">
        <v>12870.0</v>
      </c>
      <c r="O1777" s="13" t="s">
        <v>282</v>
      </c>
      <c r="P1777" s="11">
        <v>27.0</v>
      </c>
      <c r="Q1777" s="14">
        <v>27.333</v>
      </c>
      <c r="R1777" s="41">
        <v>1.0</v>
      </c>
      <c r="S1777">
        <f t="shared" si="1"/>
        <v>2012</v>
      </c>
      <c r="T1777">
        <f t="shared" si="2"/>
        <v>7</v>
      </c>
      <c r="U1777">
        <f t="shared" si="3"/>
        <v>13</v>
      </c>
      <c r="AG1777" s="15"/>
      <c r="AH1777" s="16"/>
      <c r="AM1777" s="15"/>
      <c r="AN1777" s="16"/>
    </row>
    <row r="1778">
      <c r="A1778" s="13" t="s">
        <v>3340</v>
      </c>
      <c r="B1778" s="10">
        <v>41103.0</v>
      </c>
      <c r="C1778" s="11" t="s">
        <v>49</v>
      </c>
      <c r="D1778" s="11" t="s">
        <v>97</v>
      </c>
      <c r="E1778" s="11" t="s">
        <v>270</v>
      </c>
      <c r="F1778" s="11" t="s">
        <v>40</v>
      </c>
      <c r="G1778" s="11" t="s">
        <v>45</v>
      </c>
      <c r="H1778" s="11" t="s">
        <v>451</v>
      </c>
      <c r="I1778" s="11" t="s">
        <v>2695</v>
      </c>
      <c r="J1778" s="11">
        <v>20.0</v>
      </c>
      <c r="K1778" s="12">
        <v>41400.0</v>
      </c>
      <c r="L1778" s="11">
        <f t="shared" si="188"/>
        <v>10</v>
      </c>
      <c r="M1778" s="11">
        <v>607741.0</v>
      </c>
      <c r="N1778" s="11" t="s">
        <v>3341</v>
      </c>
      <c r="O1778" s="13"/>
      <c r="P1778" s="11">
        <v>0.0</v>
      </c>
      <c r="Q1778" s="14">
        <v>0.0</v>
      </c>
      <c r="R1778" s="11">
        <v>1.0</v>
      </c>
      <c r="S1778">
        <f t="shared" si="1"/>
        <v>2012</v>
      </c>
      <c r="T1778">
        <f t="shared" si="2"/>
        <v>7</v>
      </c>
      <c r="U1778">
        <f t="shared" si="3"/>
        <v>13</v>
      </c>
      <c r="AG1778" s="15"/>
      <c r="AH1778" s="16"/>
      <c r="AM1778" s="15"/>
      <c r="AN1778" s="16"/>
    </row>
    <row r="1779">
      <c r="A1779" s="13" t="s">
        <v>3187</v>
      </c>
      <c r="B1779" s="10">
        <v>41099.0</v>
      </c>
      <c r="C1779" s="11" t="s">
        <v>101</v>
      </c>
      <c r="D1779" s="11" t="s">
        <v>38</v>
      </c>
      <c r="E1779" s="30" t="s">
        <v>39</v>
      </c>
      <c r="F1779" s="11" t="s">
        <v>40</v>
      </c>
      <c r="G1779" s="30" t="s">
        <v>45</v>
      </c>
      <c r="H1779" s="11" t="s">
        <v>46</v>
      </c>
      <c r="I1779" s="11" t="s">
        <v>594</v>
      </c>
      <c r="J1779" s="11">
        <v>25.0</v>
      </c>
      <c r="K1779" s="12">
        <v>41885.0</v>
      </c>
      <c r="L1779" s="11">
        <f t="shared" si="188"/>
        <v>26</v>
      </c>
      <c r="M1779" s="11">
        <v>543339.0</v>
      </c>
      <c r="N1779" s="11">
        <v>7146.0</v>
      </c>
      <c r="O1779" s="13" t="s">
        <v>3309</v>
      </c>
      <c r="P1779" s="11">
        <v>0.0</v>
      </c>
      <c r="Q1779" s="45">
        <v>0.0</v>
      </c>
      <c r="R1779" s="41">
        <v>0.0</v>
      </c>
      <c r="S1779">
        <f t="shared" si="1"/>
        <v>2012</v>
      </c>
      <c r="T1779">
        <f t="shared" si="2"/>
        <v>7</v>
      </c>
      <c r="U1779">
        <f t="shared" si="3"/>
        <v>9</v>
      </c>
      <c r="AG1779" s="15"/>
      <c r="AH1779" s="16"/>
      <c r="AM1779" s="15"/>
      <c r="AN1779" s="16"/>
    </row>
    <row r="1780">
      <c r="A1780" s="13" t="s">
        <v>3342</v>
      </c>
      <c r="B1780" s="10">
        <v>41099.0</v>
      </c>
      <c r="C1780" s="11" t="s">
        <v>111</v>
      </c>
      <c r="D1780" s="11" t="s">
        <v>97</v>
      </c>
      <c r="E1780" s="41" t="s">
        <v>118</v>
      </c>
      <c r="F1780" s="11" t="s">
        <v>40</v>
      </c>
      <c r="G1780" s="11" t="s">
        <v>225</v>
      </c>
      <c r="H1780" s="30"/>
      <c r="I1780" s="30"/>
      <c r="J1780" s="11">
        <v>20.0</v>
      </c>
      <c r="K1780" s="12">
        <v>41368.0</v>
      </c>
      <c r="L1780" s="11">
        <f t="shared" si="188"/>
        <v>9</v>
      </c>
      <c r="M1780" s="41">
        <v>570615.0</v>
      </c>
      <c r="N1780" s="11">
        <v>11854.0</v>
      </c>
      <c r="P1780" s="11">
        <v>51.0</v>
      </c>
      <c r="Q1780" s="14">
        <v>133.0</v>
      </c>
      <c r="R1780" s="41">
        <v>1.0</v>
      </c>
      <c r="S1780">
        <f t="shared" si="1"/>
        <v>2012</v>
      </c>
      <c r="T1780">
        <f t="shared" si="2"/>
        <v>7</v>
      </c>
      <c r="U1780">
        <f t="shared" si="3"/>
        <v>9</v>
      </c>
      <c r="AG1780" s="15"/>
      <c r="AH1780" s="16"/>
      <c r="AM1780" s="15"/>
      <c r="AN1780" s="16"/>
    </row>
    <row r="1781">
      <c r="A1781" s="13" t="s">
        <v>3343</v>
      </c>
      <c r="B1781" s="10">
        <v>41093.0</v>
      </c>
      <c r="C1781" s="11" t="s">
        <v>192</v>
      </c>
      <c r="D1781" s="11" t="s">
        <v>213</v>
      </c>
      <c r="E1781" s="11" t="s">
        <v>39</v>
      </c>
      <c r="F1781" s="11" t="s">
        <v>40</v>
      </c>
      <c r="G1781" s="11" t="s">
        <v>45</v>
      </c>
      <c r="H1781" s="11" t="s">
        <v>159</v>
      </c>
      <c r="I1781" s="11" t="s">
        <v>637</v>
      </c>
      <c r="J1781" s="11">
        <v>17.0</v>
      </c>
      <c r="K1781" s="12">
        <v>42592.0</v>
      </c>
      <c r="L1781" s="11"/>
      <c r="M1781" s="11">
        <v>641714.0</v>
      </c>
      <c r="N1781" s="11" t="s">
        <v>3344</v>
      </c>
      <c r="P1781" s="11">
        <v>0.0</v>
      </c>
      <c r="Q1781" s="14">
        <v>0.0</v>
      </c>
      <c r="R1781" s="41">
        <v>1.0</v>
      </c>
      <c r="S1781">
        <f t="shared" si="1"/>
        <v>2012</v>
      </c>
      <c r="T1781">
        <f t="shared" si="2"/>
        <v>7</v>
      </c>
      <c r="U1781">
        <f t="shared" si="3"/>
        <v>3</v>
      </c>
      <c r="AG1781" s="15"/>
      <c r="AH1781" s="16"/>
      <c r="AM1781" s="15"/>
      <c r="AN1781" s="16"/>
    </row>
    <row r="1782">
      <c r="A1782" s="13" t="s">
        <v>3345</v>
      </c>
      <c r="B1782" s="10">
        <v>41093.0</v>
      </c>
      <c r="C1782" s="11" t="s">
        <v>358</v>
      </c>
      <c r="D1782" s="11" t="s">
        <v>38</v>
      </c>
      <c r="E1782" s="30" t="s">
        <v>39</v>
      </c>
      <c r="F1782" s="11" t="s">
        <v>40</v>
      </c>
      <c r="G1782" s="41" t="s">
        <v>41</v>
      </c>
      <c r="H1782" s="30"/>
      <c r="I1782" s="30"/>
      <c r="J1782" s="11">
        <v>28.0</v>
      </c>
      <c r="K1782" s="12">
        <v>41731.0</v>
      </c>
      <c r="L1782" s="11">
        <f t="shared" ref="L1782:L1784" si="189">ROUND(((K1782-B1782)/365)*12,0)</f>
        <v>21</v>
      </c>
      <c r="M1782" s="11">
        <v>462956.0</v>
      </c>
      <c r="N1782" s="11">
        <v>3777.0</v>
      </c>
      <c r="O1782" s="13" t="s">
        <v>3309</v>
      </c>
      <c r="P1782" s="11">
        <v>4.0</v>
      </c>
      <c r="Q1782" s="45">
        <v>18.333000000000006</v>
      </c>
      <c r="R1782" s="41">
        <v>1.0</v>
      </c>
      <c r="S1782">
        <f t="shared" si="1"/>
        <v>2012</v>
      </c>
      <c r="T1782">
        <f t="shared" si="2"/>
        <v>7</v>
      </c>
      <c r="U1782">
        <f t="shared" si="3"/>
        <v>3</v>
      </c>
      <c r="V1782" s="13"/>
      <c r="W1782" s="13"/>
      <c r="X1782" s="13"/>
      <c r="Y1782" s="13"/>
      <c r="Z1782" s="17">
        <v>41436.0</v>
      </c>
      <c r="AA1782" s="13"/>
      <c r="AB1782" s="13"/>
      <c r="AC1782" s="13"/>
      <c r="AD1782" s="13"/>
      <c r="AE1782" s="13">
        <v>7.0</v>
      </c>
      <c r="AF1782" s="13">
        <v>7.0</v>
      </c>
      <c r="AG1782" s="50">
        <v>37.667</v>
      </c>
      <c r="AH1782" s="51">
        <v>0.154</v>
      </c>
      <c r="AI1782" s="13">
        <v>41.0</v>
      </c>
      <c r="AJ1782" s="13">
        <v>79.0</v>
      </c>
      <c r="AK1782" s="13">
        <v>4.0</v>
      </c>
      <c r="AL1782" s="13">
        <v>4.0</v>
      </c>
      <c r="AM1782" s="50">
        <v>18.333</v>
      </c>
      <c r="AN1782" s="51">
        <v>0.019</v>
      </c>
      <c r="AO1782" s="13">
        <v>285.0</v>
      </c>
      <c r="AP1782" s="13">
        <v>206.0</v>
      </c>
    </row>
    <row r="1783">
      <c r="A1783" s="13" t="s">
        <v>3346</v>
      </c>
      <c r="B1783" s="10">
        <v>41091.0</v>
      </c>
      <c r="C1783" s="11" t="s">
        <v>167</v>
      </c>
      <c r="D1783" s="11" t="s">
        <v>221</v>
      </c>
      <c r="E1783" s="30" t="s">
        <v>39</v>
      </c>
      <c r="F1783" s="11" t="s">
        <v>40</v>
      </c>
      <c r="G1783" s="41" t="s">
        <v>803</v>
      </c>
      <c r="H1783" s="30"/>
      <c r="I1783" s="30"/>
      <c r="J1783" s="11">
        <v>36.0</v>
      </c>
      <c r="K1783" s="12">
        <v>41449.0</v>
      </c>
      <c r="L1783" s="11">
        <f t="shared" si="189"/>
        <v>12</v>
      </c>
      <c r="M1783" s="11">
        <v>547939.0</v>
      </c>
      <c r="N1783" s="11">
        <v>14445.0</v>
      </c>
      <c r="P1783" s="11">
        <v>6.0</v>
      </c>
      <c r="Q1783" s="14">
        <v>5.0</v>
      </c>
      <c r="R1783" s="41">
        <v>0.0</v>
      </c>
      <c r="S1783">
        <f t="shared" si="1"/>
        <v>2012</v>
      </c>
      <c r="T1783">
        <f t="shared" si="2"/>
        <v>7</v>
      </c>
      <c r="U1783">
        <f t="shared" si="3"/>
        <v>1</v>
      </c>
      <c r="AG1783" s="15"/>
      <c r="AH1783" s="16"/>
      <c r="AM1783" s="15"/>
      <c r="AN1783" s="16"/>
    </row>
    <row r="1784">
      <c r="A1784" s="13" t="s">
        <v>3347</v>
      </c>
      <c r="B1784" s="10">
        <v>41091.0</v>
      </c>
      <c r="C1784" s="11" t="s">
        <v>358</v>
      </c>
      <c r="D1784" s="11" t="s">
        <v>88</v>
      </c>
      <c r="E1784" s="30" t="s">
        <v>39</v>
      </c>
      <c r="F1784" s="11" t="s">
        <v>40</v>
      </c>
      <c r="G1784" s="30" t="s">
        <v>45</v>
      </c>
      <c r="H1784" s="11" t="s">
        <v>73</v>
      </c>
      <c r="I1784" s="11"/>
      <c r="J1784" s="11">
        <v>21.0</v>
      </c>
      <c r="K1784" s="12">
        <v>41734.0</v>
      </c>
      <c r="L1784" s="11">
        <f t="shared" si="189"/>
        <v>21</v>
      </c>
      <c r="M1784" s="11">
        <v>542937.0</v>
      </c>
      <c r="N1784" s="11" t="s">
        <v>3348</v>
      </c>
      <c r="P1784" s="11">
        <v>0.0</v>
      </c>
      <c r="Q1784" s="14">
        <v>0.0</v>
      </c>
      <c r="R1784" s="11">
        <v>0.0</v>
      </c>
      <c r="S1784">
        <f t="shared" si="1"/>
        <v>2012</v>
      </c>
      <c r="T1784">
        <f t="shared" si="2"/>
        <v>7</v>
      </c>
      <c r="U1784">
        <f t="shared" si="3"/>
        <v>1</v>
      </c>
      <c r="AG1784" s="15"/>
      <c r="AH1784" s="16"/>
      <c r="AM1784" s="15"/>
      <c r="AN1784" s="16"/>
    </row>
    <row r="1785">
      <c r="A1785" s="13" t="s">
        <v>3349</v>
      </c>
      <c r="B1785" s="10">
        <v>41091.0</v>
      </c>
      <c r="C1785" s="11" t="s">
        <v>126</v>
      </c>
      <c r="D1785" s="11" t="s">
        <v>93</v>
      </c>
      <c r="E1785" s="30" t="s">
        <v>39</v>
      </c>
      <c r="F1785" s="11" t="s">
        <v>40</v>
      </c>
      <c r="G1785" s="30" t="s">
        <v>45</v>
      </c>
      <c r="H1785" s="11" t="s">
        <v>182</v>
      </c>
      <c r="I1785" s="11" t="s">
        <v>182</v>
      </c>
      <c r="J1785" s="11">
        <v>20.0</v>
      </c>
      <c r="K1785" s="12">
        <v>41824.0</v>
      </c>
      <c r="L1785" s="30"/>
      <c r="M1785" s="11">
        <v>656257.0</v>
      </c>
      <c r="N1785" s="11">
        <v>16631.0</v>
      </c>
      <c r="P1785" s="11">
        <v>0.0</v>
      </c>
      <c r="Q1785" s="14">
        <v>0.0</v>
      </c>
      <c r="R1785" s="41">
        <v>1.0</v>
      </c>
      <c r="S1785">
        <f t="shared" si="1"/>
        <v>2012</v>
      </c>
      <c r="T1785">
        <f t="shared" si="2"/>
        <v>7</v>
      </c>
      <c r="U1785">
        <f t="shared" si="3"/>
        <v>1</v>
      </c>
      <c r="AG1785" s="15"/>
      <c r="AH1785" s="16"/>
      <c r="AM1785" s="15"/>
      <c r="AN1785" s="16"/>
    </row>
    <row r="1786">
      <c r="A1786" s="13" t="s">
        <v>3350</v>
      </c>
      <c r="B1786" s="10">
        <v>41091.0</v>
      </c>
      <c r="C1786" s="11" t="s">
        <v>62</v>
      </c>
      <c r="D1786" s="11" t="s">
        <v>93</v>
      </c>
      <c r="E1786" s="11" t="s">
        <v>39</v>
      </c>
      <c r="F1786" s="11" t="s">
        <v>64</v>
      </c>
      <c r="G1786" s="11" t="s">
        <v>45</v>
      </c>
      <c r="H1786" s="11" t="s">
        <v>163</v>
      </c>
      <c r="I1786" s="11" t="s">
        <v>3351</v>
      </c>
      <c r="J1786" s="11">
        <v>22.0</v>
      </c>
      <c r="K1786" s="12">
        <v>42176.0</v>
      </c>
      <c r="L1786" s="11"/>
      <c r="M1786" s="11">
        <v>622216.0</v>
      </c>
      <c r="N1786" s="11" t="s">
        <v>3352</v>
      </c>
      <c r="P1786" s="11">
        <v>0.0</v>
      </c>
      <c r="Q1786" s="14">
        <v>0.0</v>
      </c>
      <c r="R1786" s="41">
        <v>1.0</v>
      </c>
      <c r="S1786">
        <f t="shared" si="1"/>
        <v>2012</v>
      </c>
      <c r="T1786">
        <f t="shared" si="2"/>
        <v>7</v>
      </c>
      <c r="U1786">
        <f t="shared" si="3"/>
        <v>1</v>
      </c>
      <c r="AG1786" s="15"/>
      <c r="AH1786" s="16"/>
      <c r="AM1786" s="15"/>
      <c r="AN1786" s="16"/>
    </row>
    <row r="1787">
      <c r="A1787" s="13" t="s">
        <v>3353</v>
      </c>
      <c r="B1787" s="10">
        <v>41091.0</v>
      </c>
      <c r="C1787" s="11" t="s">
        <v>235</v>
      </c>
      <c r="D1787" s="11" t="s">
        <v>213</v>
      </c>
      <c r="E1787" s="30" t="s">
        <v>39</v>
      </c>
      <c r="F1787" s="11" t="s">
        <v>64</v>
      </c>
      <c r="G1787" s="30" t="s">
        <v>45</v>
      </c>
      <c r="H1787" s="11" t="s">
        <v>317</v>
      </c>
      <c r="I1787" s="11"/>
      <c r="J1787" s="11">
        <v>17.0</v>
      </c>
      <c r="K1787" s="12">
        <v>41824.0</v>
      </c>
      <c r="L1787" s="11">
        <f>ROUND(((K1787-B1787)/365)*12,0)</f>
        <v>24</v>
      </c>
      <c r="M1787" s="11">
        <v>641907.0</v>
      </c>
      <c r="N1787" s="11">
        <v>19712.0</v>
      </c>
      <c r="P1787" s="11">
        <v>0.0</v>
      </c>
      <c r="Q1787" s="14">
        <v>0.0</v>
      </c>
      <c r="R1787" s="41">
        <v>1.0</v>
      </c>
      <c r="S1787">
        <f t="shared" si="1"/>
        <v>2012</v>
      </c>
      <c r="T1787">
        <f t="shared" si="2"/>
        <v>7</v>
      </c>
      <c r="U1787">
        <f t="shared" si="3"/>
        <v>1</v>
      </c>
      <c r="AG1787" s="15"/>
      <c r="AH1787" s="16"/>
      <c r="AM1787" s="15"/>
      <c r="AN1787" s="16"/>
    </row>
    <row r="1788">
      <c r="A1788" s="13" t="s">
        <v>3354</v>
      </c>
      <c r="B1788" s="10">
        <v>41082.0</v>
      </c>
      <c r="C1788" s="11" t="s">
        <v>76</v>
      </c>
      <c r="D1788" s="11" t="s">
        <v>213</v>
      </c>
      <c r="E1788" s="11" t="s">
        <v>39</v>
      </c>
      <c r="F1788" s="11" t="s">
        <v>40</v>
      </c>
      <c r="G1788" s="11" t="s">
        <v>45</v>
      </c>
      <c r="H1788" s="11" t="s">
        <v>56</v>
      </c>
      <c r="I1788" s="11" t="s">
        <v>344</v>
      </c>
      <c r="J1788" s="11">
        <v>16.0</v>
      </c>
      <c r="K1788" s="12">
        <v>42923.0</v>
      </c>
      <c r="L1788" s="11"/>
      <c r="M1788" s="11">
        <v>656536.0</v>
      </c>
      <c r="N1788" s="11" t="s">
        <v>3355</v>
      </c>
      <c r="O1788" s="13"/>
      <c r="P1788" s="11">
        <v>0.0</v>
      </c>
      <c r="Q1788" s="14">
        <v>0.0</v>
      </c>
      <c r="R1788" s="11">
        <v>1.0</v>
      </c>
      <c r="S1788">
        <f t="shared" si="1"/>
        <v>2012</v>
      </c>
      <c r="T1788">
        <f t="shared" si="2"/>
        <v>6</v>
      </c>
      <c r="U1788">
        <f t="shared" si="3"/>
        <v>22</v>
      </c>
      <c r="V1788" s="13"/>
      <c r="W1788" s="13"/>
      <c r="X1788" s="13"/>
      <c r="Y1788" s="13"/>
      <c r="Z1788" s="13"/>
      <c r="AA1788" s="13"/>
      <c r="AB1788" s="13"/>
      <c r="AC1788" s="13"/>
      <c r="AD1788" s="13"/>
      <c r="AE1788" s="13"/>
      <c r="AF1788" s="13"/>
      <c r="AG1788" s="50"/>
      <c r="AH1788" s="51"/>
      <c r="AI1788" s="13"/>
      <c r="AJ1788" s="13"/>
      <c r="AK1788" s="13"/>
      <c r="AL1788" s="13"/>
      <c r="AM1788" s="50"/>
      <c r="AN1788" s="51"/>
      <c r="AO1788" s="13"/>
      <c r="AP1788" s="13"/>
    </row>
    <row r="1789">
      <c r="A1789" s="13" t="s">
        <v>3356</v>
      </c>
      <c r="B1789" s="10">
        <v>41081.0</v>
      </c>
      <c r="C1789" s="11" t="s">
        <v>116</v>
      </c>
      <c r="D1789" s="11" t="s">
        <v>77</v>
      </c>
      <c r="E1789" s="30" t="s">
        <v>39</v>
      </c>
      <c r="F1789" s="11" t="s">
        <v>64</v>
      </c>
      <c r="G1789" s="30" t="s">
        <v>45</v>
      </c>
      <c r="H1789" s="11" t="s">
        <v>67</v>
      </c>
      <c r="I1789" s="11"/>
      <c r="J1789" s="11">
        <v>24.0</v>
      </c>
      <c r="K1789" s="12">
        <v>42470.0</v>
      </c>
      <c r="L1789" s="11">
        <f t="shared" ref="L1789:L1791" si="190">ROUND(((K1789-B1789)/365)*12,0)</f>
        <v>46</v>
      </c>
      <c r="M1789" s="11">
        <v>502061.0</v>
      </c>
      <c r="N1789" s="11" t="s">
        <v>3357</v>
      </c>
      <c r="P1789" s="11">
        <v>0.0</v>
      </c>
      <c r="Q1789" s="14">
        <v>0.0</v>
      </c>
      <c r="R1789" s="41">
        <v>0.0</v>
      </c>
      <c r="S1789">
        <f t="shared" si="1"/>
        <v>2012</v>
      </c>
      <c r="T1789">
        <f t="shared" si="2"/>
        <v>6</v>
      </c>
      <c r="U1789">
        <f t="shared" si="3"/>
        <v>21</v>
      </c>
      <c r="AG1789" s="15"/>
      <c r="AH1789" s="16"/>
      <c r="AM1789" s="15"/>
      <c r="AN1789" s="16"/>
    </row>
    <row r="1790">
      <c r="A1790" s="13" t="s">
        <v>3038</v>
      </c>
      <c r="B1790" s="10">
        <v>41081.0</v>
      </c>
      <c r="C1790" s="11" t="s">
        <v>116</v>
      </c>
      <c r="D1790" s="11" t="s">
        <v>38</v>
      </c>
      <c r="E1790" s="30" t="s">
        <v>39</v>
      </c>
      <c r="F1790" s="11" t="s">
        <v>40</v>
      </c>
      <c r="G1790" s="30" t="s">
        <v>45</v>
      </c>
      <c r="H1790" s="11" t="s">
        <v>412</v>
      </c>
      <c r="I1790" s="11" t="s">
        <v>2837</v>
      </c>
      <c r="J1790" s="11">
        <v>25.0</v>
      </c>
      <c r="K1790" s="12">
        <v>41484.0</v>
      </c>
      <c r="L1790" s="11">
        <f t="shared" si="190"/>
        <v>13</v>
      </c>
      <c r="M1790" s="11">
        <v>545404.0</v>
      </c>
      <c r="N1790" s="11">
        <v>8851.0</v>
      </c>
      <c r="O1790" s="13" t="s">
        <v>761</v>
      </c>
      <c r="P1790" s="11">
        <v>5.0</v>
      </c>
      <c r="Q1790" s="45">
        <v>30.0</v>
      </c>
      <c r="R1790" s="41">
        <v>0.0</v>
      </c>
      <c r="S1790">
        <f t="shared" si="1"/>
        <v>2012</v>
      </c>
      <c r="T1790">
        <f t="shared" si="2"/>
        <v>6</v>
      </c>
      <c r="U1790">
        <f t="shared" si="3"/>
        <v>21</v>
      </c>
      <c r="V1790" s="13"/>
      <c r="W1790" s="13"/>
      <c r="X1790" s="13"/>
      <c r="Y1790" s="13"/>
      <c r="Z1790" s="17">
        <v>41418.0</v>
      </c>
      <c r="AA1790" s="13"/>
      <c r="AB1790" s="13"/>
      <c r="AC1790" s="13"/>
      <c r="AD1790" s="13"/>
      <c r="AE1790" s="13">
        <v>13.0</v>
      </c>
      <c r="AF1790" s="13">
        <v>13.0</v>
      </c>
      <c r="AG1790" s="50">
        <v>81.0</v>
      </c>
      <c r="AH1790" s="51">
        <v>0.122</v>
      </c>
      <c r="AI1790" s="13">
        <v>51.0</v>
      </c>
      <c r="AJ1790" s="13">
        <v>90.0</v>
      </c>
      <c r="AK1790" s="13">
        <v>5.0</v>
      </c>
      <c r="AL1790" s="13">
        <v>5.0</v>
      </c>
      <c r="AM1790" s="50">
        <v>30.0</v>
      </c>
      <c r="AN1790" s="51">
        <v>0.158</v>
      </c>
      <c r="AO1790" s="13">
        <v>121.0</v>
      </c>
      <c r="AP1790" s="13">
        <v>109.0</v>
      </c>
    </row>
    <row r="1791">
      <c r="A1791" s="13" t="s">
        <v>3358</v>
      </c>
      <c r="B1791" s="10">
        <v>41080.0</v>
      </c>
      <c r="C1791" s="11" t="s">
        <v>150</v>
      </c>
      <c r="D1791" s="11" t="s">
        <v>38</v>
      </c>
      <c r="E1791" s="30" t="s">
        <v>39</v>
      </c>
      <c r="F1791" s="11" t="s">
        <v>40</v>
      </c>
      <c r="G1791" s="41" t="s">
        <v>483</v>
      </c>
      <c r="H1791" s="30"/>
      <c r="I1791" s="30"/>
      <c r="J1791" s="11">
        <v>40.0</v>
      </c>
      <c r="K1791" s="12">
        <v>41399.0</v>
      </c>
      <c r="L1791" s="11">
        <f t="shared" si="190"/>
        <v>10</v>
      </c>
      <c r="M1791" s="11">
        <v>425747.0</v>
      </c>
      <c r="N1791" s="11">
        <v>1660.0</v>
      </c>
      <c r="O1791" s="13" t="s">
        <v>3309</v>
      </c>
      <c r="P1791" s="11">
        <v>7.0</v>
      </c>
      <c r="Q1791" s="45">
        <v>5.0</v>
      </c>
      <c r="R1791" s="41">
        <v>0.0</v>
      </c>
      <c r="S1791">
        <f t="shared" si="1"/>
        <v>2012</v>
      </c>
      <c r="T1791">
        <f t="shared" si="2"/>
        <v>6</v>
      </c>
      <c r="U1791">
        <f t="shared" si="3"/>
        <v>20</v>
      </c>
      <c r="AG1791" s="15"/>
      <c r="AH1791" s="16"/>
      <c r="AM1791" s="15"/>
      <c r="AN1791" s="16"/>
    </row>
    <row r="1792">
      <c r="A1792" s="13" t="s">
        <v>3359</v>
      </c>
      <c r="B1792" s="10">
        <v>41079.0</v>
      </c>
      <c r="C1792" s="11" t="s">
        <v>274</v>
      </c>
      <c r="D1792" s="11" t="s">
        <v>38</v>
      </c>
      <c r="E1792" s="30" t="s">
        <v>39</v>
      </c>
      <c r="F1792" s="11" t="s">
        <v>40</v>
      </c>
      <c r="G1792" s="30" t="s">
        <v>45</v>
      </c>
      <c r="H1792" s="11" t="s">
        <v>276</v>
      </c>
      <c r="I1792" s="11" t="s">
        <v>127</v>
      </c>
      <c r="J1792" s="11">
        <v>25.0</v>
      </c>
      <c r="K1792" s="30"/>
      <c r="L1792" s="30"/>
      <c r="M1792" s="11">
        <v>446398.0</v>
      </c>
      <c r="N1792" s="11">
        <v>2431.0</v>
      </c>
      <c r="O1792" s="13" t="s">
        <v>1407</v>
      </c>
      <c r="P1792" s="11">
        <v>0.0</v>
      </c>
      <c r="Q1792" s="45">
        <v>0.0</v>
      </c>
      <c r="R1792" s="41">
        <v>0.0</v>
      </c>
      <c r="S1792">
        <f t="shared" si="1"/>
        <v>2012</v>
      </c>
      <c r="T1792">
        <f t="shared" si="2"/>
        <v>6</v>
      </c>
      <c r="U1792">
        <f t="shared" si="3"/>
        <v>19</v>
      </c>
      <c r="AG1792" s="15"/>
      <c r="AH1792" s="16"/>
      <c r="AM1792" s="15"/>
      <c r="AN1792" s="16"/>
    </row>
    <row r="1793">
      <c r="A1793" s="13" t="s">
        <v>3360</v>
      </c>
      <c r="B1793" s="10">
        <v>41079.0</v>
      </c>
      <c r="C1793" s="11" t="s">
        <v>150</v>
      </c>
      <c r="D1793" s="11" t="s">
        <v>38</v>
      </c>
      <c r="E1793" s="30" t="s">
        <v>39</v>
      </c>
      <c r="F1793" s="11" t="s">
        <v>40</v>
      </c>
      <c r="G1793" s="30" t="s">
        <v>45</v>
      </c>
      <c r="H1793" s="11" t="s">
        <v>84</v>
      </c>
      <c r="I1793" s="11" t="s">
        <v>2154</v>
      </c>
      <c r="J1793" s="11">
        <v>26.0</v>
      </c>
      <c r="K1793" s="30"/>
      <c r="L1793" s="30"/>
      <c r="M1793" s="11">
        <v>458589.0</v>
      </c>
      <c r="N1793" s="11">
        <v>9264.0</v>
      </c>
      <c r="O1793" s="13" t="s">
        <v>761</v>
      </c>
      <c r="P1793" s="11">
        <v>0.0</v>
      </c>
      <c r="Q1793" s="45">
        <v>0.0</v>
      </c>
      <c r="R1793" s="11">
        <v>0.0</v>
      </c>
      <c r="S1793">
        <f t="shared" si="1"/>
        <v>2012</v>
      </c>
      <c r="T1793">
        <f t="shared" si="2"/>
        <v>6</v>
      </c>
      <c r="U1793">
        <f t="shared" si="3"/>
        <v>19</v>
      </c>
      <c r="AG1793" s="15"/>
      <c r="AH1793" s="16"/>
      <c r="AM1793" s="15"/>
      <c r="AN1793" s="16"/>
    </row>
    <row r="1794">
      <c r="A1794" s="13" t="s">
        <v>3361</v>
      </c>
      <c r="B1794" s="10">
        <v>41079.0</v>
      </c>
      <c r="C1794" s="11" t="s">
        <v>235</v>
      </c>
      <c r="D1794" s="11" t="s">
        <v>38</v>
      </c>
      <c r="E1794" s="30" t="s">
        <v>39</v>
      </c>
      <c r="F1794" s="11" t="s">
        <v>40</v>
      </c>
      <c r="G1794" s="30" t="s">
        <v>45</v>
      </c>
      <c r="H1794" s="11" t="s">
        <v>56</v>
      </c>
      <c r="I1794" s="11"/>
      <c r="J1794" s="11">
        <v>24.0</v>
      </c>
      <c r="K1794" s="12">
        <v>41524.0</v>
      </c>
      <c r="L1794" s="11">
        <f t="shared" ref="L1794:L1797" si="191">ROUND(((K1794-B1794)/365)*12,0)</f>
        <v>15</v>
      </c>
      <c r="M1794" s="11">
        <v>475138.0</v>
      </c>
      <c r="N1794" s="11">
        <v>4359.0</v>
      </c>
      <c r="O1794" s="13" t="s">
        <v>761</v>
      </c>
      <c r="P1794" s="11">
        <v>9.0</v>
      </c>
      <c r="Q1794" s="14">
        <v>12.667</v>
      </c>
      <c r="R1794" s="41">
        <v>1.0</v>
      </c>
      <c r="S1794">
        <f t="shared" si="1"/>
        <v>2012</v>
      </c>
      <c r="T1794">
        <f t="shared" si="2"/>
        <v>6</v>
      </c>
      <c r="U1794">
        <f t="shared" si="3"/>
        <v>19</v>
      </c>
      <c r="AG1794" s="15"/>
      <c r="AH1794" s="16"/>
      <c r="AM1794" s="15"/>
      <c r="AN1794" s="16"/>
    </row>
    <row r="1795">
      <c r="A1795" s="13" t="s">
        <v>3362</v>
      </c>
      <c r="B1795" s="10">
        <v>41074.0</v>
      </c>
      <c r="C1795" s="11" t="s">
        <v>362</v>
      </c>
      <c r="D1795" s="11" t="s">
        <v>38</v>
      </c>
      <c r="E1795" s="30" t="s">
        <v>39</v>
      </c>
      <c r="F1795" s="11" t="s">
        <v>40</v>
      </c>
      <c r="G1795" s="30" t="s">
        <v>45</v>
      </c>
      <c r="H1795" s="11" t="s">
        <v>276</v>
      </c>
      <c r="I1795" s="11"/>
      <c r="J1795" s="11">
        <v>28.0</v>
      </c>
      <c r="K1795" s="12">
        <v>41438.0</v>
      </c>
      <c r="L1795" s="11">
        <f t="shared" si="191"/>
        <v>12</v>
      </c>
      <c r="M1795" s="11">
        <v>450203.0</v>
      </c>
      <c r="N1795" s="11">
        <v>4676.0</v>
      </c>
      <c r="O1795" s="13" t="s">
        <v>761</v>
      </c>
      <c r="P1795" s="11">
        <v>98.0</v>
      </c>
      <c r="Q1795" s="14">
        <v>566.333</v>
      </c>
      <c r="R1795" s="41">
        <v>1.0</v>
      </c>
      <c r="S1795">
        <f t="shared" si="1"/>
        <v>2012</v>
      </c>
      <c r="T1795">
        <f t="shared" si="2"/>
        <v>6</v>
      </c>
      <c r="U1795">
        <f t="shared" si="3"/>
        <v>14</v>
      </c>
      <c r="V1795" s="13"/>
      <c r="W1795" s="13"/>
      <c r="X1795" s="13"/>
      <c r="Y1795" s="13"/>
      <c r="Z1795" s="17">
        <v>41382.0</v>
      </c>
      <c r="AA1795" s="13"/>
      <c r="AB1795" s="13"/>
      <c r="AC1795" s="13"/>
      <c r="AD1795" s="13"/>
      <c r="AE1795" s="13">
        <v>9.0</v>
      </c>
      <c r="AF1795" s="13">
        <v>9.0</v>
      </c>
      <c r="AG1795" s="50">
        <v>50.333</v>
      </c>
      <c r="AH1795" s="51">
        <v>0.063</v>
      </c>
      <c r="AI1795" s="13">
        <v>122.0</v>
      </c>
      <c r="AJ1795" s="13">
        <v>109.0</v>
      </c>
      <c r="AK1795" s="13">
        <v>20.0</v>
      </c>
      <c r="AL1795" s="13">
        <v>20.0</v>
      </c>
      <c r="AM1795" s="50">
        <v>116.0</v>
      </c>
      <c r="AN1795" s="51">
        <v>0.099</v>
      </c>
      <c r="AO1795" s="13">
        <v>90.0</v>
      </c>
      <c r="AP1795" s="13">
        <v>98.0</v>
      </c>
    </row>
    <row r="1796">
      <c r="A1796" s="13" t="s">
        <v>3363</v>
      </c>
      <c r="B1796" s="10">
        <v>41073.0</v>
      </c>
      <c r="C1796" s="11" t="s">
        <v>358</v>
      </c>
      <c r="D1796" s="11" t="s">
        <v>38</v>
      </c>
      <c r="E1796" s="30" t="s">
        <v>39</v>
      </c>
      <c r="F1796" s="11" t="s">
        <v>64</v>
      </c>
      <c r="G1796" s="30" t="s">
        <v>45</v>
      </c>
      <c r="H1796" s="11" t="s">
        <v>67</v>
      </c>
      <c r="I1796" s="11"/>
      <c r="J1796" s="11">
        <v>23.0</v>
      </c>
      <c r="K1796" s="12">
        <v>41493.0</v>
      </c>
      <c r="L1796" s="11">
        <f t="shared" si="191"/>
        <v>14</v>
      </c>
      <c r="M1796" s="11">
        <v>518633.0</v>
      </c>
      <c r="N1796" s="11">
        <v>3542.0</v>
      </c>
      <c r="O1796" s="13" t="s">
        <v>3309</v>
      </c>
      <c r="P1796" s="11">
        <v>132.0</v>
      </c>
      <c r="Q1796" s="14">
        <v>636.333</v>
      </c>
      <c r="R1796" s="41">
        <v>1.0</v>
      </c>
      <c r="S1796">
        <f t="shared" si="1"/>
        <v>2012</v>
      </c>
      <c r="T1796">
        <f t="shared" si="2"/>
        <v>6</v>
      </c>
      <c r="U1796">
        <f t="shared" si="3"/>
        <v>13</v>
      </c>
      <c r="V1796" s="13"/>
      <c r="W1796" s="13"/>
      <c r="X1796" s="13"/>
      <c r="Y1796" s="13"/>
      <c r="Z1796" s="17">
        <v>41420.0</v>
      </c>
      <c r="AA1796" s="13"/>
      <c r="AB1796" s="13"/>
      <c r="AC1796" s="13"/>
      <c r="AD1796" s="13"/>
      <c r="AE1796" s="13">
        <v>6.0</v>
      </c>
      <c r="AF1796" s="13">
        <v>6.0</v>
      </c>
      <c r="AG1796" s="50">
        <v>27.667</v>
      </c>
      <c r="AH1796" s="51">
        <v>0.083</v>
      </c>
      <c r="AI1796" s="13">
        <v>95.0</v>
      </c>
      <c r="AJ1796" s="13">
        <v>96.0</v>
      </c>
      <c r="AK1796" s="13">
        <v>5.0</v>
      </c>
      <c r="AL1796" s="13">
        <v>5.0</v>
      </c>
      <c r="AM1796" s="50">
        <v>24.333</v>
      </c>
      <c r="AN1796" s="51">
        <v>0.077</v>
      </c>
      <c r="AO1796" s="13">
        <v>46.0</v>
      </c>
      <c r="AP1796" s="13">
        <v>79.0</v>
      </c>
    </row>
    <row r="1797">
      <c r="A1797" s="13" t="s">
        <v>3364</v>
      </c>
      <c r="B1797" s="10">
        <v>41072.0</v>
      </c>
      <c r="C1797" s="11" t="s">
        <v>362</v>
      </c>
      <c r="D1797" s="11" t="s">
        <v>77</v>
      </c>
      <c r="E1797" s="30" t="s">
        <v>39</v>
      </c>
      <c r="F1797" s="11" t="s">
        <v>40</v>
      </c>
      <c r="G1797" s="30" t="s">
        <v>45</v>
      </c>
      <c r="H1797" s="11" t="s">
        <v>56</v>
      </c>
      <c r="I1797" s="11" t="s">
        <v>1883</v>
      </c>
      <c r="J1797" s="11">
        <v>22.0</v>
      </c>
      <c r="K1797" s="12">
        <v>41473.0</v>
      </c>
      <c r="L1797" s="11">
        <f t="shared" si="191"/>
        <v>13</v>
      </c>
      <c r="M1797" s="11">
        <v>572713.0</v>
      </c>
      <c r="N1797" s="11" t="s">
        <v>3365</v>
      </c>
      <c r="P1797" s="11">
        <v>0.0</v>
      </c>
      <c r="Q1797" s="14">
        <v>0.0</v>
      </c>
      <c r="R1797" s="41">
        <v>1.0</v>
      </c>
      <c r="S1797">
        <f t="shared" si="1"/>
        <v>2012</v>
      </c>
      <c r="T1797">
        <f t="shared" si="2"/>
        <v>6</v>
      </c>
      <c r="U1797">
        <f t="shared" si="3"/>
        <v>12</v>
      </c>
      <c r="AG1797" s="15"/>
      <c r="AH1797" s="16"/>
      <c r="AM1797" s="15"/>
      <c r="AN1797" s="16"/>
    </row>
    <row r="1798">
      <c r="A1798" s="13" t="s">
        <v>3366</v>
      </c>
      <c r="B1798" s="10">
        <v>41066.0</v>
      </c>
      <c r="C1798" s="11" t="s">
        <v>55</v>
      </c>
      <c r="D1798" s="11" t="s">
        <v>213</v>
      </c>
      <c r="E1798" s="11" t="s">
        <v>39</v>
      </c>
      <c r="F1798" s="11" t="s">
        <v>40</v>
      </c>
      <c r="G1798" s="11" t="s">
        <v>45</v>
      </c>
      <c r="H1798" s="11" t="s">
        <v>133</v>
      </c>
      <c r="I1798" s="11" t="s">
        <v>120</v>
      </c>
      <c r="J1798" s="11">
        <v>18.0</v>
      </c>
      <c r="K1798" s="12">
        <v>42178.0</v>
      </c>
      <c r="L1798" s="11"/>
      <c r="M1798" s="11">
        <v>664155.0</v>
      </c>
      <c r="N1798" s="11" t="s">
        <v>3367</v>
      </c>
      <c r="P1798" s="11">
        <v>0.0</v>
      </c>
      <c r="Q1798" s="14">
        <v>0.0</v>
      </c>
      <c r="R1798" s="41">
        <v>1.0</v>
      </c>
      <c r="S1798">
        <f t="shared" si="1"/>
        <v>2012</v>
      </c>
      <c r="T1798">
        <f t="shared" si="2"/>
        <v>6</v>
      </c>
      <c r="U1798">
        <f t="shared" si="3"/>
        <v>6</v>
      </c>
      <c r="AG1798" s="15"/>
      <c r="AH1798" s="16"/>
      <c r="AM1798" s="15"/>
      <c r="AN1798" s="16"/>
    </row>
    <row r="1799">
      <c r="A1799" s="13" t="s">
        <v>3368</v>
      </c>
      <c r="B1799" s="10">
        <v>41065.0</v>
      </c>
      <c r="C1799" s="11" t="s">
        <v>175</v>
      </c>
      <c r="D1799" s="11" t="s">
        <v>77</v>
      </c>
      <c r="E1799" s="30" t="s">
        <v>39</v>
      </c>
      <c r="F1799" s="11" t="s">
        <v>64</v>
      </c>
      <c r="G1799" s="41" t="s">
        <v>326</v>
      </c>
      <c r="H1799" s="30"/>
      <c r="I1799" s="30"/>
      <c r="J1799" s="11">
        <v>22.0</v>
      </c>
      <c r="K1799" s="12">
        <v>41455.0</v>
      </c>
      <c r="L1799" s="11">
        <f t="shared" ref="L1799:L1800" si="192">ROUND(((K1799-B1799)/365)*12,0)</f>
        <v>13</v>
      </c>
      <c r="M1799" s="11">
        <v>517062.0</v>
      </c>
      <c r="N1799" s="11" t="s">
        <v>3369</v>
      </c>
      <c r="P1799" s="11">
        <v>0.0</v>
      </c>
      <c r="Q1799" s="14">
        <v>0.0</v>
      </c>
      <c r="R1799" s="41">
        <v>1.0</v>
      </c>
      <c r="S1799">
        <f t="shared" si="1"/>
        <v>2012</v>
      </c>
      <c r="T1799">
        <f t="shared" si="2"/>
        <v>6</v>
      </c>
      <c r="U1799">
        <f t="shared" si="3"/>
        <v>5</v>
      </c>
      <c r="AG1799" s="15"/>
      <c r="AH1799" s="16"/>
      <c r="AM1799" s="15"/>
      <c r="AN1799" s="16"/>
    </row>
    <row r="1800">
      <c r="A1800" s="13" t="s">
        <v>3370</v>
      </c>
      <c r="B1800" s="10">
        <v>41061.0</v>
      </c>
      <c r="C1800" s="11" t="s">
        <v>167</v>
      </c>
      <c r="D1800" s="11" t="s">
        <v>38</v>
      </c>
      <c r="E1800" s="30" t="s">
        <v>39</v>
      </c>
      <c r="F1800" s="11" t="s">
        <v>40</v>
      </c>
      <c r="G1800" s="41" t="s">
        <v>41</v>
      </c>
      <c r="H1800" s="30"/>
      <c r="I1800" s="30"/>
      <c r="J1800" s="11">
        <v>28.0</v>
      </c>
      <c r="K1800" s="12">
        <v>42179.0</v>
      </c>
      <c r="L1800" s="11">
        <f t="shared" si="192"/>
        <v>37</v>
      </c>
      <c r="M1800" s="11">
        <v>456496.0</v>
      </c>
      <c r="N1800" s="11">
        <v>6869.0</v>
      </c>
      <c r="P1800" s="11">
        <v>26.0</v>
      </c>
      <c r="Q1800" s="14">
        <v>27.0</v>
      </c>
      <c r="R1800" s="11">
        <v>0.0</v>
      </c>
      <c r="S1800">
        <f t="shared" si="1"/>
        <v>2012</v>
      </c>
      <c r="T1800">
        <f t="shared" si="2"/>
        <v>6</v>
      </c>
      <c r="U1800">
        <f t="shared" si="3"/>
        <v>1</v>
      </c>
      <c r="AG1800" s="15"/>
      <c r="AH1800" s="16"/>
      <c r="AM1800" s="15"/>
      <c r="AN1800" s="16"/>
    </row>
    <row r="1801">
      <c r="A1801" s="13" t="s">
        <v>2660</v>
      </c>
      <c r="B1801" s="10">
        <v>41061.0</v>
      </c>
      <c r="C1801" s="11" t="s">
        <v>143</v>
      </c>
      <c r="D1801" s="11" t="s">
        <v>93</v>
      </c>
      <c r="E1801" s="30" t="s">
        <v>39</v>
      </c>
      <c r="F1801" s="11" t="s">
        <v>64</v>
      </c>
      <c r="G1801" s="30" t="s">
        <v>45</v>
      </c>
      <c r="H1801" s="11" t="s">
        <v>451</v>
      </c>
      <c r="I1801" s="11" t="s">
        <v>179</v>
      </c>
      <c r="J1801" s="11">
        <v>18.0</v>
      </c>
      <c r="K1801" s="12">
        <v>41811.0</v>
      </c>
      <c r="L1801" s="30"/>
      <c r="M1801" s="11">
        <v>605240.0</v>
      </c>
      <c r="N1801" s="11">
        <v>16159.0</v>
      </c>
      <c r="P1801" s="11">
        <v>0.0</v>
      </c>
      <c r="Q1801" s="14">
        <v>0.0</v>
      </c>
      <c r="R1801" s="11">
        <v>0.0</v>
      </c>
      <c r="S1801">
        <f t="shared" si="1"/>
        <v>2012</v>
      </c>
      <c r="T1801">
        <f t="shared" si="2"/>
        <v>6</v>
      </c>
      <c r="U1801">
        <f t="shared" si="3"/>
        <v>1</v>
      </c>
      <c r="AG1801" s="15"/>
      <c r="AH1801" s="16"/>
      <c r="AM1801" s="15"/>
      <c r="AN1801" s="16"/>
    </row>
    <row r="1802">
      <c r="A1802" s="13" t="s">
        <v>3371</v>
      </c>
      <c r="B1802" s="10">
        <v>41061.0</v>
      </c>
      <c r="C1802" s="11" t="s">
        <v>111</v>
      </c>
      <c r="D1802" s="11" t="s">
        <v>58</v>
      </c>
      <c r="E1802" s="30" t="s">
        <v>39</v>
      </c>
      <c r="F1802" s="11" t="s">
        <v>64</v>
      </c>
      <c r="G1802" s="41" t="s">
        <v>245</v>
      </c>
      <c r="H1802" s="30"/>
      <c r="I1802" s="30"/>
      <c r="J1802" s="11">
        <v>29.0</v>
      </c>
      <c r="K1802" s="30"/>
      <c r="L1802" s="30"/>
      <c r="M1802" s="11">
        <v>547820.0</v>
      </c>
      <c r="N1802" s="11">
        <v>4199.0</v>
      </c>
      <c r="P1802" s="11">
        <v>0.0</v>
      </c>
      <c r="Q1802" s="14">
        <v>0.0</v>
      </c>
      <c r="R1802" s="41">
        <v>0.0</v>
      </c>
      <c r="S1802">
        <f t="shared" si="1"/>
        <v>2012</v>
      </c>
      <c r="T1802">
        <f t="shared" si="2"/>
        <v>6</v>
      </c>
      <c r="U1802">
        <f t="shared" si="3"/>
        <v>1</v>
      </c>
      <c r="AG1802" s="15"/>
      <c r="AH1802" s="16"/>
      <c r="AM1802" s="15"/>
      <c r="AN1802" s="16"/>
    </row>
    <row r="1803">
      <c r="A1803" s="13" t="s">
        <v>3372</v>
      </c>
      <c r="B1803" s="10">
        <v>41061.0</v>
      </c>
      <c r="C1803" s="11" t="s">
        <v>126</v>
      </c>
      <c r="D1803" s="11" t="s">
        <v>221</v>
      </c>
      <c r="E1803" s="30" t="s">
        <v>39</v>
      </c>
      <c r="F1803" s="11" t="s">
        <v>40</v>
      </c>
      <c r="G1803" s="30" t="s">
        <v>45</v>
      </c>
      <c r="H1803" s="11" t="s">
        <v>67</v>
      </c>
      <c r="I1803" s="11"/>
      <c r="J1803" s="11">
        <v>19.0</v>
      </c>
      <c r="K1803" s="12">
        <v>41445.0</v>
      </c>
      <c r="L1803" s="11">
        <f>ROUND(((K1803-B1803)/365)*12,0)</f>
        <v>13</v>
      </c>
      <c r="M1803" s="11">
        <v>605130.0</v>
      </c>
      <c r="N1803" s="11">
        <v>14993.0</v>
      </c>
      <c r="P1803" s="11">
        <v>0.0</v>
      </c>
      <c r="Q1803" s="14">
        <v>0.0</v>
      </c>
      <c r="R1803" s="41">
        <v>1.0</v>
      </c>
      <c r="S1803">
        <f t="shared" si="1"/>
        <v>2012</v>
      </c>
      <c r="T1803">
        <f t="shared" si="2"/>
        <v>6</v>
      </c>
      <c r="U1803">
        <f t="shared" si="3"/>
        <v>1</v>
      </c>
      <c r="AG1803" s="15"/>
      <c r="AH1803" s="16"/>
      <c r="AM1803" s="15"/>
      <c r="AN1803" s="16"/>
    </row>
    <row r="1804">
      <c r="A1804" s="13" t="s">
        <v>3373</v>
      </c>
      <c r="B1804" s="10">
        <v>41061.0</v>
      </c>
      <c r="C1804" s="11" t="s">
        <v>55</v>
      </c>
      <c r="D1804" s="11" t="s">
        <v>88</v>
      </c>
      <c r="E1804" s="30" t="s">
        <v>39</v>
      </c>
      <c r="F1804" s="11" t="s">
        <v>40</v>
      </c>
      <c r="G1804" s="30" t="s">
        <v>45</v>
      </c>
      <c r="H1804" s="11" t="s">
        <v>127</v>
      </c>
      <c r="I1804" s="11" t="s">
        <v>826</v>
      </c>
      <c r="J1804" s="11">
        <v>22.0</v>
      </c>
      <c r="K1804" s="30"/>
      <c r="L1804" s="30"/>
      <c r="M1804" s="11">
        <v>607502.0</v>
      </c>
      <c r="N1804" s="11" t="s">
        <v>3374</v>
      </c>
      <c r="P1804" s="11">
        <v>0.0</v>
      </c>
      <c r="Q1804" s="14">
        <v>0.0</v>
      </c>
      <c r="R1804" s="41">
        <v>0.0</v>
      </c>
      <c r="S1804">
        <f t="shared" si="1"/>
        <v>2012</v>
      </c>
      <c r="T1804">
        <f t="shared" si="2"/>
        <v>6</v>
      </c>
      <c r="U1804">
        <f t="shared" si="3"/>
        <v>1</v>
      </c>
      <c r="AG1804" s="15"/>
      <c r="AH1804" s="16"/>
      <c r="AM1804" s="15"/>
      <c r="AN1804" s="16"/>
    </row>
    <row r="1805">
      <c r="A1805" s="13" t="s">
        <v>3375</v>
      </c>
      <c r="B1805" s="10">
        <v>41061.0</v>
      </c>
      <c r="C1805" s="11" t="s">
        <v>274</v>
      </c>
      <c r="D1805" s="11" t="s">
        <v>709</v>
      </c>
      <c r="E1805" s="41" t="s">
        <v>118</v>
      </c>
      <c r="F1805" s="11" t="s">
        <v>40</v>
      </c>
      <c r="G1805" s="30" t="s">
        <v>45</v>
      </c>
      <c r="H1805" s="11" t="s">
        <v>127</v>
      </c>
      <c r="I1805" s="11" t="s">
        <v>3376</v>
      </c>
      <c r="J1805" s="11">
        <v>21.0</v>
      </c>
      <c r="K1805" s="12">
        <v>41442.0</v>
      </c>
      <c r="L1805" s="11">
        <f t="shared" ref="L1805:L1813" si="193">ROUND(((K1805-B1805)/365)*12,0)</f>
        <v>13</v>
      </c>
      <c r="M1805" s="11">
        <v>607284.0</v>
      </c>
      <c r="N1805" s="11" t="s">
        <v>3377</v>
      </c>
      <c r="P1805" s="11">
        <v>0.0</v>
      </c>
      <c r="Q1805" s="14">
        <v>0.0</v>
      </c>
      <c r="R1805" s="41">
        <v>0.0</v>
      </c>
      <c r="S1805">
        <f t="shared" si="1"/>
        <v>2012</v>
      </c>
      <c r="T1805">
        <f t="shared" si="2"/>
        <v>6</v>
      </c>
      <c r="U1805">
        <f t="shared" si="3"/>
        <v>1</v>
      </c>
      <c r="AG1805" s="15"/>
      <c r="AH1805" s="16"/>
      <c r="AM1805" s="15"/>
      <c r="AN1805" s="16"/>
    </row>
    <row r="1806">
      <c r="A1806" s="13" t="s">
        <v>3378</v>
      </c>
      <c r="B1806" s="10">
        <v>41061.0</v>
      </c>
      <c r="C1806" s="11" t="s">
        <v>156</v>
      </c>
      <c r="D1806" s="11" t="s">
        <v>88</v>
      </c>
      <c r="E1806" s="30" t="s">
        <v>39</v>
      </c>
      <c r="F1806" s="11" t="s">
        <v>64</v>
      </c>
      <c r="G1806" s="30" t="s">
        <v>45</v>
      </c>
      <c r="H1806" s="11" t="s">
        <v>163</v>
      </c>
      <c r="I1806" s="11" t="s">
        <v>140</v>
      </c>
      <c r="J1806" s="11">
        <v>22.0</v>
      </c>
      <c r="K1806" s="12">
        <v>41496.0</v>
      </c>
      <c r="L1806" s="11">
        <f t="shared" si="193"/>
        <v>14</v>
      </c>
      <c r="M1806" s="11">
        <v>543204.0</v>
      </c>
      <c r="N1806" s="11" t="s">
        <v>3379</v>
      </c>
      <c r="P1806" s="11">
        <v>0.0</v>
      </c>
      <c r="Q1806" s="14">
        <v>0.0</v>
      </c>
      <c r="R1806" s="41">
        <v>1.0</v>
      </c>
      <c r="S1806">
        <f t="shared" si="1"/>
        <v>2012</v>
      </c>
      <c r="T1806">
        <f t="shared" si="2"/>
        <v>6</v>
      </c>
      <c r="U1806">
        <f t="shared" si="3"/>
        <v>1</v>
      </c>
      <c r="AG1806" s="15"/>
      <c r="AH1806" s="16"/>
      <c r="AM1806" s="15"/>
      <c r="AN1806" s="16"/>
    </row>
    <row r="1807">
      <c r="A1807" s="13" t="s">
        <v>3380</v>
      </c>
      <c r="B1807" s="10">
        <v>41061.0</v>
      </c>
      <c r="C1807" s="11" t="s">
        <v>76</v>
      </c>
      <c r="D1807" s="11" t="s">
        <v>93</v>
      </c>
      <c r="E1807" s="11" t="s">
        <v>39</v>
      </c>
      <c r="F1807" s="11" t="s">
        <v>64</v>
      </c>
      <c r="G1807" s="11" t="s">
        <v>45</v>
      </c>
      <c r="H1807" s="11" t="s">
        <v>46</v>
      </c>
      <c r="I1807" s="11" t="s">
        <v>127</v>
      </c>
      <c r="J1807" s="11">
        <v>21.0</v>
      </c>
      <c r="K1807" s="12">
        <v>41444.0</v>
      </c>
      <c r="L1807" s="11">
        <f t="shared" si="193"/>
        <v>13</v>
      </c>
      <c r="M1807" s="11">
        <v>573074.0</v>
      </c>
      <c r="N1807" s="11" t="s">
        <v>3381</v>
      </c>
      <c r="O1807" s="13"/>
      <c r="P1807" s="11">
        <v>0.0</v>
      </c>
      <c r="Q1807" s="14">
        <v>0.0</v>
      </c>
      <c r="R1807" s="41">
        <v>1.0</v>
      </c>
      <c r="S1807">
        <f t="shared" si="1"/>
        <v>2012</v>
      </c>
      <c r="T1807">
        <f t="shared" si="2"/>
        <v>6</v>
      </c>
      <c r="U1807">
        <f t="shared" si="3"/>
        <v>1</v>
      </c>
      <c r="AG1807" s="15"/>
      <c r="AH1807" s="16"/>
      <c r="AM1807" s="15"/>
      <c r="AN1807" s="16"/>
    </row>
    <row r="1808">
      <c r="A1808" s="13" t="s">
        <v>1819</v>
      </c>
      <c r="B1808" s="10">
        <v>41054.0</v>
      </c>
      <c r="C1808" s="11" t="s">
        <v>358</v>
      </c>
      <c r="D1808" s="11" t="s">
        <v>38</v>
      </c>
      <c r="E1808" s="30" t="s">
        <v>39</v>
      </c>
      <c r="F1808" s="11" t="s">
        <v>40</v>
      </c>
      <c r="G1808" s="30" t="s">
        <v>45</v>
      </c>
      <c r="H1808" s="11" t="s">
        <v>163</v>
      </c>
      <c r="I1808" s="11" t="s">
        <v>1599</v>
      </c>
      <c r="J1808" s="11">
        <v>26.0</v>
      </c>
      <c r="K1808" s="12">
        <v>41519.0</v>
      </c>
      <c r="L1808" s="11">
        <f t="shared" si="193"/>
        <v>15</v>
      </c>
      <c r="M1808" s="11">
        <v>502028.0</v>
      </c>
      <c r="N1808" s="11">
        <v>1345.0</v>
      </c>
      <c r="O1808" s="13" t="s">
        <v>3309</v>
      </c>
      <c r="P1808" s="11">
        <v>151.0</v>
      </c>
      <c r="Q1808" s="14">
        <v>158.667</v>
      </c>
      <c r="R1808" s="41">
        <v>1.0</v>
      </c>
      <c r="S1808">
        <f t="shared" si="1"/>
        <v>2012</v>
      </c>
      <c r="T1808">
        <f t="shared" si="2"/>
        <v>5</v>
      </c>
      <c r="U1808">
        <f t="shared" si="3"/>
        <v>25</v>
      </c>
      <c r="AG1808" s="15"/>
      <c r="AH1808" s="16"/>
      <c r="AM1808" s="15"/>
      <c r="AN1808" s="16"/>
    </row>
    <row r="1809">
      <c r="A1809" s="13" t="s">
        <v>3059</v>
      </c>
      <c r="B1809" s="10">
        <v>41052.0</v>
      </c>
      <c r="C1809" s="11" t="s">
        <v>175</v>
      </c>
      <c r="D1809" s="11" t="s">
        <v>38</v>
      </c>
      <c r="E1809" s="30" t="s">
        <v>39</v>
      </c>
      <c r="F1809" s="11" t="s">
        <v>64</v>
      </c>
      <c r="G1809" s="30" t="s">
        <v>45</v>
      </c>
      <c r="H1809" s="11" t="s">
        <v>236</v>
      </c>
      <c r="I1809" s="11" t="s">
        <v>237</v>
      </c>
      <c r="J1809" s="11">
        <v>27.0</v>
      </c>
      <c r="K1809" s="12">
        <v>42467.0</v>
      </c>
      <c r="L1809" s="11">
        <f t="shared" si="193"/>
        <v>47</v>
      </c>
      <c r="M1809" s="11">
        <v>458537.0</v>
      </c>
      <c r="N1809" s="11">
        <v>1984.0</v>
      </c>
      <c r="O1809" s="13" t="s">
        <v>3309</v>
      </c>
      <c r="P1809" s="11">
        <v>0.0</v>
      </c>
      <c r="Q1809" s="45">
        <v>0.0</v>
      </c>
      <c r="R1809" s="41">
        <v>0.0</v>
      </c>
      <c r="S1809">
        <f t="shared" si="1"/>
        <v>2012</v>
      </c>
      <c r="T1809">
        <f t="shared" si="2"/>
        <v>5</v>
      </c>
      <c r="U1809">
        <f t="shared" si="3"/>
        <v>23</v>
      </c>
      <c r="AG1809" s="15"/>
      <c r="AH1809" s="16"/>
      <c r="AM1809" s="15"/>
      <c r="AN1809" s="16"/>
    </row>
    <row r="1810">
      <c r="A1810" s="13" t="s">
        <v>3382</v>
      </c>
      <c r="B1810" s="10">
        <v>41044.0</v>
      </c>
      <c r="C1810" s="11" t="s">
        <v>167</v>
      </c>
      <c r="D1810" s="11" t="s">
        <v>93</v>
      </c>
      <c r="E1810" s="30" t="s">
        <v>39</v>
      </c>
      <c r="F1810" s="11" t="s">
        <v>40</v>
      </c>
      <c r="G1810" s="30" t="s">
        <v>45</v>
      </c>
      <c r="H1810" s="11" t="s">
        <v>566</v>
      </c>
      <c r="I1810" s="11" t="s">
        <v>2428</v>
      </c>
      <c r="J1810" s="11">
        <v>21.0</v>
      </c>
      <c r="K1810" s="12">
        <v>41397.0</v>
      </c>
      <c r="L1810" s="11">
        <f t="shared" si="193"/>
        <v>12</v>
      </c>
      <c r="M1810" s="11">
        <v>572781.0</v>
      </c>
      <c r="N1810" s="11" t="s">
        <v>3383</v>
      </c>
      <c r="P1810" s="11">
        <v>0.0</v>
      </c>
      <c r="Q1810" s="14">
        <v>0.0</v>
      </c>
      <c r="R1810" s="41">
        <v>1.0</v>
      </c>
      <c r="S1810">
        <f t="shared" si="1"/>
        <v>2012</v>
      </c>
      <c r="T1810">
        <f t="shared" si="2"/>
        <v>5</v>
      </c>
      <c r="U1810">
        <f t="shared" si="3"/>
        <v>15</v>
      </c>
      <c r="AG1810" s="15"/>
      <c r="AH1810" s="16"/>
      <c r="AM1810" s="15"/>
      <c r="AN1810" s="16"/>
    </row>
    <row r="1811">
      <c r="A1811" s="13" t="s">
        <v>3384</v>
      </c>
      <c r="B1811" s="10">
        <v>41040.0</v>
      </c>
      <c r="C1811" s="11" t="s">
        <v>138</v>
      </c>
      <c r="D1811" s="11" t="s">
        <v>58</v>
      </c>
      <c r="E1811" s="30" t="s">
        <v>39</v>
      </c>
      <c r="F1811" s="11" t="s">
        <v>64</v>
      </c>
      <c r="G1811" s="41" t="s">
        <v>503</v>
      </c>
      <c r="H1811" s="11" t="s">
        <v>3385</v>
      </c>
      <c r="I1811" s="30"/>
      <c r="J1811" s="11">
        <v>31.0</v>
      </c>
      <c r="K1811" s="12">
        <v>41410.0</v>
      </c>
      <c r="L1811" s="11">
        <f t="shared" si="193"/>
        <v>12</v>
      </c>
      <c r="M1811" s="11">
        <v>493159.0</v>
      </c>
      <c r="N1811" s="11">
        <v>13046.0</v>
      </c>
      <c r="P1811" s="11">
        <v>21.0</v>
      </c>
      <c r="Q1811" s="14">
        <v>101.667</v>
      </c>
      <c r="R1811" s="11">
        <v>0.0</v>
      </c>
      <c r="S1811">
        <f t="shared" si="1"/>
        <v>2012</v>
      </c>
      <c r="T1811">
        <f t="shared" si="2"/>
        <v>5</v>
      </c>
      <c r="U1811">
        <f t="shared" si="3"/>
        <v>11</v>
      </c>
      <c r="AG1811" s="15"/>
      <c r="AH1811" s="16"/>
      <c r="AM1811" s="15"/>
      <c r="AN1811" s="16"/>
    </row>
    <row r="1812">
      <c r="A1812" s="13" t="s">
        <v>3386</v>
      </c>
      <c r="B1812" s="10">
        <v>41039.0</v>
      </c>
      <c r="C1812" s="11" t="s">
        <v>55</v>
      </c>
      <c r="D1812" s="11" t="s">
        <v>88</v>
      </c>
      <c r="E1812" s="30" t="s">
        <v>39</v>
      </c>
      <c r="F1812" s="11" t="s">
        <v>40</v>
      </c>
      <c r="G1812" s="30" t="s">
        <v>45</v>
      </c>
      <c r="H1812" s="11" t="s">
        <v>240</v>
      </c>
      <c r="I1812" s="11" t="s">
        <v>619</v>
      </c>
      <c r="J1812" s="11">
        <v>23.0</v>
      </c>
      <c r="K1812" s="12">
        <v>41734.0</v>
      </c>
      <c r="L1812" s="11">
        <f t="shared" si="193"/>
        <v>23</v>
      </c>
      <c r="M1812" s="11">
        <v>592697.0</v>
      </c>
      <c r="N1812" s="11" t="s">
        <v>3387</v>
      </c>
      <c r="P1812" s="11">
        <v>0.0</v>
      </c>
      <c r="Q1812" s="14">
        <v>0.0</v>
      </c>
      <c r="R1812" s="41">
        <v>1.0</v>
      </c>
      <c r="S1812">
        <f t="shared" si="1"/>
        <v>2012</v>
      </c>
      <c r="T1812">
        <f t="shared" si="2"/>
        <v>5</v>
      </c>
      <c r="U1812">
        <f t="shared" si="3"/>
        <v>10</v>
      </c>
      <c r="AG1812" s="15"/>
      <c r="AH1812" s="16"/>
      <c r="AM1812" s="15"/>
      <c r="AN1812" s="16"/>
    </row>
    <row r="1813">
      <c r="A1813" s="13" t="s">
        <v>3184</v>
      </c>
      <c r="B1813" s="10">
        <v>41038.0</v>
      </c>
      <c r="C1813" s="11" t="s">
        <v>126</v>
      </c>
      <c r="D1813" s="11" t="s">
        <v>77</v>
      </c>
      <c r="E1813" s="41" t="s">
        <v>118</v>
      </c>
      <c r="F1813" s="11" t="s">
        <v>40</v>
      </c>
      <c r="G1813" s="11" t="s">
        <v>41</v>
      </c>
      <c r="H1813" s="30"/>
      <c r="I1813" s="30"/>
      <c r="J1813" s="11">
        <v>25.0</v>
      </c>
      <c r="K1813" s="12">
        <v>41732.0</v>
      </c>
      <c r="L1813" s="11">
        <f t="shared" si="193"/>
        <v>23</v>
      </c>
      <c r="M1813" s="11">
        <v>492728.0</v>
      </c>
      <c r="N1813" s="11" t="s">
        <v>3185</v>
      </c>
      <c r="P1813" s="11">
        <v>0.0</v>
      </c>
      <c r="Q1813" s="14">
        <v>0.0</v>
      </c>
      <c r="R1813" s="41">
        <v>0.0</v>
      </c>
      <c r="S1813">
        <f t="shared" si="1"/>
        <v>2012</v>
      </c>
      <c r="T1813">
        <f t="shared" si="2"/>
        <v>5</v>
      </c>
      <c r="U1813">
        <f t="shared" si="3"/>
        <v>9</v>
      </c>
      <c r="AG1813" s="15"/>
      <c r="AH1813" s="16"/>
      <c r="AM1813" s="15"/>
      <c r="AN1813" s="16"/>
    </row>
    <row r="1814">
      <c r="A1814" s="13" t="s">
        <v>3388</v>
      </c>
      <c r="B1814" s="10">
        <v>41033.0</v>
      </c>
      <c r="C1814" s="11" t="s">
        <v>230</v>
      </c>
      <c r="D1814" s="11" t="s">
        <v>38</v>
      </c>
      <c r="E1814" s="30" t="s">
        <v>39</v>
      </c>
      <c r="F1814" s="11" t="s">
        <v>64</v>
      </c>
      <c r="G1814" s="30" t="s">
        <v>45</v>
      </c>
      <c r="H1814" s="11" t="s">
        <v>262</v>
      </c>
      <c r="I1814" s="11" t="s">
        <v>3139</v>
      </c>
      <c r="J1814" s="11">
        <v>35.0</v>
      </c>
      <c r="K1814" s="30"/>
      <c r="L1814" s="30"/>
      <c r="M1814" s="11">
        <v>430941.0</v>
      </c>
      <c r="N1814" s="11">
        <v>6291.0</v>
      </c>
      <c r="O1814" s="13" t="s">
        <v>3309</v>
      </c>
      <c r="P1814" s="11">
        <v>0.0</v>
      </c>
      <c r="Q1814" s="45">
        <v>0.0</v>
      </c>
      <c r="R1814" s="41">
        <v>0.0</v>
      </c>
      <c r="S1814">
        <f t="shared" si="1"/>
        <v>2012</v>
      </c>
      <c r="T1814">
        <f t="shared" si="2"/>
        <v>5</v>
      </c>
      <c r="U1814">
        <f t="shared" si="3"/>
        <v>4</v>
      </c>
      <c r="AG1814" s="15"/>
      <c r="AH1814" s="16"/>
      <c r="AM1814" s="15"/>
      <c r="AN1814" s="16"/>
    </row>
    <row r="1815">
      <c r="A1815" s="13" t="s">
        <v>3389</v>
      </c>
      <c r="B1815" s="10">
        <v>41030.0</v>
      </c>
      <c r="C1815" s="11" t="s">
        <v>44</v>
      </c>
      <c r="D1815" s="11" t="s">
        <v>58</v>
      </c>
      <c r="E1815" s="30" t="s">
        <v>39</v>
      </c>
      <c r="F1815" s="11" t="s">
        <v>40</v>
      </c>
      <c r="G1815" s="41" t="s">
        <v>245</v>
      </c>
      <c r="H1815" s="30"/>
      <c r="I1815" s="30"/>
      <c r="J1815" s="11">
        <v>25.0</v>
      </c>
      <c r="K1815" s="12">
        <v>41451.0</v>
      </c>
      <c r="L1815" s="11">
        <f>ROUND(((K1815-B1815)/365)*12,0)</f>
        <v>14</v>
      </c>
      <c r="M1815" s="11">
        <v>547348.0</v>
      </c>
      <c r="N1815" s="11">
        <v>5177.0</v>
      </c>
      <c r="P1815" s="11">
        <v>47.0</v>
      </c>
      <c r="Q1815" s="14">
        <v>34.0</v>
      </c>
      <c r="R1815" s="11">
        <v>0.0</v>
      </c>
      <c r="S1815">
        <f t="shared" si="1"/>
        <v>2012</v>
      </c>
      <c r="T1815">
        <f t="shared" si="2"/>
        <v>5</v>
      </c>
      <c r="U1815">
        <f t="shared" si="3"/>
        <v>1</v>
      </c>
      <c r="AG1815" s="15"/>
      <c r="AH1815" s="16"/>
      <c r="AM1815" s="15"/>
      <c r="AN1815" s="16"/>
    </row>
    <row r="1816">
      <c r="A1816" s="13" t="s">
        <v>3390</v>
      </c>
      <c r="B1816" s="10">
        <v>41030.0</v>
      </c>
      <c r="C1816" s="11" t="s">
        <v>55</v>
      </c>
      <c r="D1816" s="11" t="s">
        <v>77</v>
      </c>
      <c r="E1816" s="30" t="s">
        <v>39</v>
      </c>
      <c r="F1816" s="11" t="s">
        <v>40</v>
      </c>
      <c r="G1816" s="30" t="s">
        <v>45</v>
      </c>
      <c r="H1816" s="11" t="s">
        <v>73</v>
      </c>
      <c r="I1816" s="11"/>
      <c r="J1816" s="11">
        <v>23.0</v>
      </c>
      <c r="K1816" s="12"/>
      <c r="L1816" s="11"/>
      <c r="M1816" s="11">
        <v>519255.0</v>
      </c>
      <c r="N1816" s="11" t="s">
        <v>3391</v>
      </c>
      <c r="P1816" s="11">
        <v>0.0</v>
      </c>
      <c r="Q1816" s="14">
        <v>0.0</v>
      </c>
      <c r="R1816" s="11">
        <v>0.0</v>
      </c>
      <c r="S1816">
        <f t="shared" si="1"/>
        <v>2012</v>
      </c>
      <c r="T1816">
        <f t="shared" si="2"/>
        <v>5</v>
      </c>
      <c r="U1816">
        <f t="shared" si="3"/>
        <v>1</v>
      </c>
      <c r="AG1816" s="15"/>
      <c r="AH1816" s="16"/>
      <c r="AM1816" s="15"/>
      <c r="AN1816" s="16"/>
    </row>
    <row r="1817">
      <c r="A1817" s="13" t="s">
        <v>3392</v>
      </c>
      <c r="B1817" s="10">
        <v>41030.0</v>
      </c>
      <c r="C1817" s="11" t="s">
        <v>49</v>
      </c>
      <c r="D1817" s="11" t="s">
        <v>38</v>
      </c>
      <c r="E1817" s="30" t="s">
        <v>39</v>
      </c>
      <c r="F1817" s="11" t="s">
        <v>40</v>
      </c>
      <c r="G1817" s="30" t="s">
        <v>45</v>
      </c>
      <c r="H1817" s="11" t="s">
        <v>236</v>
      </c>
      <c r="I1817" s="11" t="s">
        <v>689</v>
      </c>
      <c r="J1817" s="11">
        <v>28.0</v>
      </c>
      <c r="K1817" s="12">
        <v>41368.0</v>
      </c>
      <c r="L1817" s="11">
        <f>ROUND(((K1817-B1817)/365)*12,0)</f>
        <v>11</v>
      </c>
      <c r="M1817" s="11">
        <v>460059.0</v>
      </c>
      <c r="N1817" s="11">
        <v>5203.0</v>
      </c>
      <c r="O1817" s="13" t="s">
        <v>761</v>
      </c>
      <c r="P1817" s="11">
        <v>88.0</v>
      </c>
      <c r="Q1817" s="14">
        <v>460.0</v>
      </c>
      <c r="R1817" s="11">
        <v>0.0</v>
      </c>
      <c r="S1817">
        <f t="shared" si="1"/>
        <v>2012</v>
      </c>
      <c r="T1817">
        <f t="shared" si="2"/>
        <v>5</v>
      </c>
      <c r="U1817">
        <f t="shared" si="3"/>
        <v>1</v>
      </c>
      <c r="V1817" s="13"/>
      <c r="W1817" s="13"/>
      <c r="X1817" s="13"/>
      <c r="Y1817" s="13"/>
      <c r="Z1817" s="17">
        <v>41368.0</v>
      </c>
      <c r="AA1817" s="13"/>
      <c r="AB1817" s="13"/>
      <c r="AC1817" s="13"/>
      <c r="AD1817" s="13"/>
      <c r="AE1817" s="13">
        <v>3.0</v>
      </c>
      <c r="AF1817" s="13">
        <v>3.0</v>
      </c>
      <c r="AG1817" s="50">
        <v>19.667</v>
      </c>
      <c r="AH1817" s="51">
        <v>0.106</v>
      </c>
      <c r="AI1817" s="13">
        <v>61.0</v>
      </c>
      <c r="AJ1817" s="13">
        <v>61.0</v>
      </c>
      <c r="AK1817" s="13">
        <v>29.0</v>
      </c>
      <c r="AL1817" s="13">
        <v>29.0</v>
      </c>
      <c r="AM1817" s="50">
        <v>152.667</v>
      </c>
      <c r="AN1817" s="51">
        <v>0.071</v>
      </c>
      <c r="AO1817" s="13">
        <v>129.0</v>
      </c>
      <c r="AP1817" s="13">
        <v>102.0</v>
      </c>
    </row>
    <row r="1818">
      <c r="A1818" s="13" t="s">
        <v>3393</v>
      </c>
      <c r="B1818" s="10">
        <v>41030.0</v>
      </c>
      <c r="C1818" s="11" t="s">
        <v>150</v>
      </c>
      <c r="D1818" s="11" t="s">
        <v>77</v>
      </c>
      <c r="E1818" s="11" t="s">
        <v>39</v>
      </c>
      <c r="F1818" s="11" t="s">
        <v>40</v>
      </c>
      <c r="G1818" s="11" t="s">
        <v>45</v>
      </c>
      <c r="H1818" s="11" t="s">
        <v>67</v>
      </c>
      <c r="I1818" s="11" t="s">
        <v>1432</v>
      </c>
      <c r="J1818" s="11">
        <v>25.0</v>
      </c>
      <c r="K1818" s="12"/>
      <c r="L1818" s="30"/>
      <c r="M1818" s="11">
        <v>446421.0</v>
      </c>
      <c r="N1818" s="11" t="s">
        <v>3394</v>
      </c>
      <c r="P1818" s="11">
        <v>0.0</v>
      </c>
      <c r="Q1818" s="14">
        <v>0.0</v>
      </c>
      <c r="R1818" s="41">
        <v>0.0</v>
      </c>
      <c r="S1818">
        <f t="shared" si="1"/>
        <v>2012</v>
      </c>
      <c r="T1818">
        <f t="shared" si="2"/>
        <v>5</v>
      </c>
      <c r="U1818">
        <f t="shared" si="3"/>
        <v>1</v>
      </c>
      <c r="AG1818" s="15"/>
      <c r="AH1818" s="16"/>
      <c r="AM1818" s="15"/>
      <c r="AN1818" s="16"/>
    </row>
    <row r="1819">
      <c r="A1819" s="13" t="s">
        <v>3395</v>
      </c>
      <c r="B1819" s="10">
        <v>41030.0</v>
      </c>
      <c r="C1819" s="11" t="s">
        <v>362</v>
      </c>
      <c r="D1819" s="11" t="s">
        <v>38</v>
      </c>
      <c r="E1819" s="30" t="s">
        <v>39</v>
      </c>
      <c r="F1819" s="11" t="s">
        <v>64</v>
      </c>
      <c r="G1819" s="30" t="s">
        <v>45</v>
      </c>
      <c r="H1819" s="11" t="s">
        <v>109</v>
      </c>
      <c r="I1819" s="11" t="s">
        <v>3396</v>
      </c>
      <c r="J1819" s="11">
        <v>35.0</v>
      </c>
      <c r="K1819" s="12">
        <v>41730.0</v>
      </c>
      <c r="L1819" s="11">
        <f t="shared" ref="L1819:L1827" si="194">ROUND(((K1819-B1819)/365)*12,0)</f>
        <v>23</v>
      </c>
      <c r="M1819" s="11">
        <v>346847.0</v>
      </c>
      <c r="N1819" s="11">
        <v>979.0</v>
      </c>
      <c r="O1819" s="13" t="s">
        <v>761</v>
      </c>
      <c r="P1819" s="11">
        <v>109.0</v>
      </c>
      <c r="Q1819" s="14">
        <v>92.333</v>
      </c>
      <c r="R1819" s="11">
        <v>0.0</v>
      </c>
      <c r="S1819">
        <f t="shared" si="1"/>
        <v>2012</v>
      </c>
      <c r="T1819">
        <f t="shared" si="2"/>
        <v>5</v>
      </c>
      <c r="U1819">
        <f t="shared" si="3"/>
        <v>1</v>
      </c>
      <c r="AG1819" s="15"/>
      <c r="AH1819" s="16"/>
      <c r="AM1819" s="15"/>
      <c r="AN1819" s="16"/>
    </row>
    <row r="1820">
      <c r="A1820" s="13" t="s">
        <v>3397</v>
      </c>
      <c r="B1820" s="10">
        <v>41030.0</v>
      </c>
      <c r="C1820" s="11" t="s">
        <v>235</v>
      </c>
      <c r="D1820" s="11" t="s">
        <v>77</v>
      </c>
      <c r="E1820" s="41" t="s">
        <v>104</v>
      </c>
      <c r="F1820" s="11" t="s">
        <v>40</v>
      </c>
      <c r="G1820" s="11" t="s">
        <v>225</v>
      </c>
      <c r="H1820" s="30"/>
      <c r="I1820" s="30"/>
      <c r="J1820" s="11">
        <v>22.0</v>
      </c>
      <c r="K1820" s="12">
        <v>41436.0</v>
      </c>
      <c r="L1820" s="11">
        <f t="shared" si="194"/>
        <v>13</v>
      </c>
      <c r="M1820" s="11">
        <v>543362.0</v>
      </c>
      <c r="N1820" s="11">
        <v>7077.0</v>
      </c>
      <c r="P1820" s="11">
        <v>7.0</v>
      </c>
      <c r="Q1820" s="14">
        <v>13.0</v>
      </c>
      <c r="R1820" s="41">
        <v>1.0</v>
      </c>
      <c r="S1820">
        <f t="shared" si="1"/>
        <v>2012</v>
      </c>
      <c r="T1820">
        <f t="shared" si="2"/>
        <v>5</v>
      </c>
      <c r="U1820">
        <f t="shared" si="3"/>
        <v>1</v>
      </c>
      <c r="AG1820" s="15"/>
      <c r="AH1820" s="16"/>
      <c r="AM1820" s="15"/>
      <c r="AN1820" s="16"/>
    </row>
    <row r="1821">
      <c r="A1821" s="13" t="s">
        <v>3398</v>
      </c>
      <c r="B1821" s="10">
        <v>41026.0</v>
      </c>
      <c r="C1821" s="11" t="s">
        <v>362</v>
      </c>
      <c r="D1821" s="11" t="s">
        <v>88</v>
      </c>
      <c r="E1821" s="11" t="s">
        <v>39</v>
      </c>
      <c r="F1821" s="11" t="s">
        <v>40</v>
      </c>
      <c r="G1821" s="11" t="s">
        <v>53</v>
      </c>
      <c r="H1821" s="11"/>
      <c r="I1821" s="11"/>
      <c r="J1821" s="11">
        <v>24.0</v>
      </c>
      <c r="K1821" s="12">
        <v>41428.0</v>
      </c>
      <c r="L1821" s="11">
        <f t="shared" si="194"/>
        <v>13</v>
      </c>
      <c r="M1821" s="11">
        <v>514981.0</v>
      </c>
      <c r="N1821" s="11">
        <v>6238.0</v>
      </c>
      <c r="P1821" s="11">
        <v>9.0</v>
      </c>
      <c r="Q1821" s="14">
        <v>16.0</v>
      </c>
      <c r="R1821" s="41">
        <v>1.0</v>
      </c>
      <c r="S1821">
        <f t="shared" si="1"/>
        <v>2012</v>
      </c>
      <c r="T1821">
        <f t="shared" si="2"/>
        <v>4</v>
      </c>
      <c r="U1821">
        <f t="shared" si="3"/>
        <v>27</v>
      </c>
      <c r="V1821" s="13"/>
      <c r="W1821" s="13"/>
      <c r="X1821" s="13"/>
      <c r="Y1821" s="13"/>
      <c r="Z1821" s="13"/>
      <c r="AA1821" s="13"/>
      <c r="AB1821" s="13"/>
      <c r="AC1821" s="13"/>
      <c r="AD1821" s="13"/>
      <c r="AE1821" s="13"/>
      <c r="AF1821" s="13"/>
      <c r="AG1821" s="50"/>
      <c r="AH1821" s="51"/>
      <c r="AI1821" s="13"/>
      <c r="AJ1821" s="13"/>
      <c r="AK1821" s="13"/>
      <c r="AL1821" s="13"/>
      <c r="AM1821" s="50"/>
      <c r="AN1821" s="51"/>
      <c r="AO1821" s="13"/>
      <c r="AP1821" s="13"/>
    </row>
    <row r="1822">
      <c r="A1822" s="13" t="s">
        <v>3399</v>
      </c>
      <c r="B1822" s="10">
        <v>41023.0</v>
      </c>
      <c r="C1822" s="11" t="s">
        <v>111</v>
      </c>
      <c r="D1822" s="11" t="s">
        <v>38</v>
      </c>
      <c r="E1822" s="30" t="s">
        <v>39</v>
      </c>
      <c r="F1822" s="11" t="s">
        <v>40</v>
      </c>
      <c r="G1822" s="30" t="s">
        <v>45</v>
      </c>
      <c r="H1822" s="11" t="s">
        <v>182</v>
      </c>
      <c r="I1822" s="11"/>
      <c r="J1822" s="11">
        <v>29.0</v>
      </c>
      <c r="K1822" s="12">
        <v>41427.0</v>
      </c>
      <c r="L1822" s="11">
        <f t="shared" si="194"/>
        <v>13</v>
      </c>
      <c r="M1822" s="11">
        <v>425827.0</v>
      </c>
      <c r="N1822" s="11">
        <v>1667.0</v>
      </c>
      <c r="P1822" s="11">
        <v>18.0</v>
      </c>
      <c r="Q1822" s="45">
        <v>55.0</v>
      </c>
      <c r="R1822" s="41">
        <v>0.0</v>
      </c>
      <c r="S1822">
        <f t="shared" si="1"/>
        <v>2012</v>
      </c>
      <c r="T1822">
        <f t="shared" si="2"/>
        <v>4</v>
      </c>
      <c r="U1822">
        <f t="shared" si="3"/>
        <v>24</v>
      </c>
      <c r="V1822" s="13"/>
      <c r="W1822" s="13"/>
      <c r="X1822" s="13"/>
      <c r="Y1822" s="13"/>
      <c r="Z1822" s="17">
        <v>41370.0</v>
      </c>
      <c r="AA1822" s="13"/>
      <c r="AB1822" s="13"/>
      <c r="AC1822" s="13"/>
      <c r="AD1822" s="13"/>
      <c r="AE1822" s="13">
        <v>30.0</v>
      </c>
      <c r="AF1822" s="13">
        <v>29.0</v>
      </c>
      <c r="AG1822" s="50">
        <v>171.0</v>
      </c>
      <c r="AH1822" s="51">
        <v>0.069</v>
      </c>
      <c r="AI1822" s="13">
        <v>131.0</v>
      </c>
      <c r="AJ1822" s="13">
        <v>118.0</v>
      </c>
      <c r="AK1822" s="13">
        <v>18.0</v>
      </c>
      <c r="AL1822" s="13">
        <v>7.0</v>
      </c>
      <c r="AM1822" s="50">
        <v>55.0</v>
      </c>
      <c r="AN1822" s="51">
        <v>0.02</v>
      </c>
      <c r="AO1822" s="13">
        <v>137.0</v>
      </c>
      <c r="AP1822" s="13">
        <v>131.0</v>
      </c>
    </row>
    <row r="1823">
      <c r="A1823" s="13" t="s">
        <v>3400</v>
      </c>
      <c r="B1823" s="10">
        <v>41018.0</v>
      </c>
      <c r="C1823" s="11" t="s">
        <v>62</v>
      </c>
      <c r="D1823" s="11" t="s">
        <v>38</v>
      </c>
      <c r="E1823" s="30" t="s">
        <v>39</v>
      </c>
      <c r="F1823" s="11" t="s">
        <v>40</v>
      </c>
      <c r="G1823" s="30" t="s">
        <v>45</v>
      </c>
      <c r="H1823" s="11" t="s">
        <v>2291</v>
      </c>
      <c r="I1823" s="11" t="s">
        <v>619</v>
      </c>
      <c r="J1823" s="11">
        <v>30.0</v>
      </c>
      <c r="K1823" s="12">
        <v>41508.0</v>
      </c>
      <c r="L1823" s="11">
        <f t="shared" si="194"/>
        <v>16</v>
      </c>
      <c r="M1823" s="11">
        <v>451216.0</v>
      </c>
      <c r="N1823" s="11">
        <v>6485.0</v>
      </c>
      <c r="O1823" s="13" t="s">
        <v>761</v>
      </c>
      <c r="P1823" s="11">
        <v>79.0</v>
      </c>
      <c r="Q1823" s="45">
        <v>62.0</v>
      </c>
      <c r="R1823" s="11">
        <v>0.0</v>
      </c>
      <c r="S1823">
        <f t="shared" si="1"/>
        <v>2012</v>
      </c>
      <c r="T1823">
        <f t="shared" si="2"/>
        <v>4</v>
      </c>
      <c r="U1823">
        <f t="shared" si="3"/>
        <v>19</v>
      </c>
      <c r="AG1823" s="15"/>
      <c r="AH1823" s="16"/>
      <c r="AM1823" s="15"/>
      <c r="AN1823" s="16"/>
    </row>
    <row r="1824">
      <c r="A1824" s="19" t="s">
        <v>3401</v>
      </c>
      <c r="B1824" s="20">
        <v>41017.0</v>
      </c>
      <c r="C1824" s="21" t="s">
        <v>186</v>
      </c>
      <c r="D1824" s="21" t="s">
        <v>77</v>
      </c>
      <c r="E1824" s="28" t="s">
        <v>39</v>
      </c>
      <c r="F1824" s="21" t="s">
        <v>40</v>
      </c>
      <c r="G1824" s="28" t="s">
        <v>45</v>
      </c>
      <c r="H1824" s="21" t="s">
        <v>67</v>
      </c>
      <c r="I1824" s="21" t="s">
        <v>3402</v>
      </c>
      <c r="J1824" s="21">
        <v>25.0</v>
      </c>
      <c r="K1824" s="22">
        <v>41411.0</v>
      </c>
      <c r="L1824" s="21">
        <f t="shared" si="194"/>
        <v>13</v>
      </c>
      <c r="M1824" s="21">
        <v>502522.0</v>
      </c>
      <c r="N1824" s="21">
        <v>8580.0</v>
      </c>
      <c r="O1824" s="19"/>
      <c r="P1824" s="21">
        <v>82.0</v>
      </c>
      <c r="Q1824" s="23">
        <v>88.333</v>
      </c>
      <c r="R1824" s="21">
        <v>1.0</v>
      </c>
      <c r="S1824" s="33">
        <f t="shared" si="1"/>
        <v>2012</v>
      </c>
      <c r="T1824" s="33">
        <f t="shared" si="2"/>
        <v>4</v>
      </c>
      <c r="U1824" s="33">
        <f t="shared" si="3"/>
        <v>18</v>
      </c>
      <c r="V1824" s="19"/>
      <c r="W1824" s="19"/>
      <c r="X1824" s="19"/>
      <c r="Y1824" s="19"/>
      <c r="Z1824" s="40"/>
      <c r="AA1824" s="19"/>
      <c r="AB1824" s="19"/>
      <c r="AC1824" s="19"/>
      <c r="AD1824" s="19"/>
      <c r="AE1824" s="19"/>
      <c r="AF1824" s="19"/>
      <c r="AG1824" s="26"/>
      <c r="AH1824" s="27"/>
      <c r="AI1824" s="19"/>
      <c r="AJ1824" s="19"/>
      <c r="AK1824" s="19"/>
      <c r="AL1824" s="19"/>
      <c r="AM1824" s="26"/>
      <c r="AN1824" s="27"/>
      <c r="AO1824" s="19"/>
      <c r="AP1824" s="19"/>
    </row>
    <row r="1825">
      <c r="A1825" s="13" t="s">
        <v>3403</v>
      </c>
      <c r="B1825" s="10">
        <v>41016.0</v>
      </c>
      <c r="C1825" s="11" t="s">
        <v>103</v>
      </c>
      <c r="D1825" s="11" t="s">
        <v>38</v>
      </c>
      <c r="E1825" s="30" t="s">
        <v>39</v>
      </c>
      <c r="F1825" s="11" t="s">
        <v>40</v>
      </c>
      <c r="G1825" s="30" t="s">
        <v>45</v>
      </c>
      <c r="H1825" s="11" t="s">
        <v>240</v>
      </c>
      <c r="I1825" s="11" t="s">
        <v>379</v>
      </c>
      <c r="J1825" s="11">
        <v>30.0</v>
      </c>
      <c r="K1825" s="12">
        <v>41525.0</v>
      </c>
      <c r="L1825" s="11">
        <f t="shared" si="194"/>
        <v>17</v>
      </c>
      <c r="M1825" s="11">
        <v>435044.0</v>
      </c>
      <c r="N1825" s="11">
        <v>6176.0</v>
      </c>
      <c r="O1825" s="13" t="s">
        <v>1407</v>
      </c>
      <c r="P1825" s="11">
        <v>30.0</v>
      </c>
      <c r="Q1825" s="14">
        <v>106.667</v>
      </c>
      <c r="R1825" s="11">
        <v>0.0</v>
      </c>
      <c r="S1825">
        <f t="shared" si="1"/>
        <v>2012</v>
      </c>
      <c r="T1825">
        <f t="shared" si="2"/>
        <v>4</v>
      </c>
      <c r="U1825">
        <f t="shared" si="3"/>
        <v>17</v>
      </c>
      <c r="V1825" s="13"/>
      <c r="W1825" s="13"/>
      <c r="X1825" s="13"/>
      <c r="Y1825" s="13"/>
      <c r="Z1825" s="17">
        <v>41469.0</v>
      </c>
      <c r="AA1825" s="13"/>
      <c r="AB1825" s="13"/>
      <c r="AC1825" s="13"/>
      <c r="AD1825" s="13"/>
      <c r="AE1825" s="13">
        <v>23.0</v>
      </c>
      <c r="AF1825" s="13">
        <v>21.0</v>
      </c>
      <c r="AG1825" s="50">
        <v>134.667</v>
      </c>
      <c r="AH1825" s="51">
        <v>0.166</v>
      </c>
      <c r="AI1825" s="13">
        <v>76.0</v>
      </c>
      <c r="AJ1825" s="13">
        <v>86.0</v>
      </c>
      <c r="AK1825" s="13">
        <v>3.0</v>
      </c>
      <c r="AL1825" s="13">
        <v>3.0</v>
      </c>
      <c r="AM1825" s="50">
        <v>15.0</v>
      </c>
      <c r="AN1825" s="51">
        <v>0.035</v>
      </c>
      <c r="AO1825" s="13">
        <v>95.0</v>
      </c>
      <c r="AP1825" s="13">
        <v>146.0</v>
      </c>
    </row>
    <row r="1826">
      <c r="A1826" s="13" t="s">
        <v>3404</v>
      </c>
      <c r="B1826" s="10">
        <v>41011.0</v>
      </c>
      <c r="C1826" s="11" t="s">
        <v>346</v>
      </c>
      <c r="D1826" s="11" t="s">
        <v>38</v>
      </c>
      <c r="E1826" s="30" t="s">
        <v>39</v>
      </c>
      <c r="F1826" s="11" t="s">
        <v>40</v>
      </c>
      <c r="G1826" s="30" t="s">
        <v>45</v>
      </c>
      <c r="H1826" s="11" t="s">
        <v>173</v>
      </c>
      <c r="I1826" s="11" t="s">
        <v>3405</v>
      </c>
      <c r="J1826" s="11">
        <v>26.0</v>
      </c>
      <c r="K1826" s="12">
        <v>41384.0</v>
      </c>
      <c r="L1826" s="11">
        <f t="shared" si="194"/>
        <v>12</v>
      </c>
      <c r="M1826" s="11">
        <v>543409.0</v>
      </c>
      <c r="N1826" s="11">
        <v>8505.0</v>
      </c>
      <c r="O1826" s="13" t="s">
        <v>761</v>
      </c>
      <c r="P1826" s="11">
        <v>94.0</v>
      </c>
      <c r="Q1826" s="14">
        <v>81.333</v>
      </c>
      <c r="R1826" s="11">
        <v>0.0</v>
      </c>
      <c r="S1826">
        <f t="shared" si="1"/>
        <v>2012</v>
      </c>
      <c r="T1826">
        <f t="shared" si="2"/>
        <v>4</v>
      </c>
      <c r="U1826">
        <f t="shared" si="3"/>
        <v>12</v>
      </c>
      <c r="AG1826" s="15"/>
      <c r="AH1826" s="16"/>
      <c r="AM1826" s="15"/>
      <c r="AN1826" s="16"/>
    </row>
    <row r="1827">
      <c r="A1827" s="13" t="s">
        <v>3406</v>
      </c>
      <c r="B1827" s="10">
        <v>41010.0</v>
      </c>
      <c r="C1827" s="11" t="s">
        <v>162</v>
      </c>
      <c r="D1827" s="11" t="s">
        <v>38</v>
      </c>
      <c r="E1827" s="30" t="s">
        <v>39</v>
      </c>
      <c r="F1827" s="11" t="s">
        <v>40</v>
      </c>
      <c r="G1827" s="30" t="s">
        <v>45</v>
      </c>
      <c r="H1827" s="11" t="s">
        <v>67</v>
      </c>
      <c r="I1827" s="11"/>
      <c r="J1827" s="11">
        <v>31.0</v>
      </c>
      <c r="K1827" s="12">
        <v>42100.0</v>
      </c>
      <c r="L1827" s="11">
        <f t="shared" si="194"/>
        <v>36</v>
      </c>
      <c r="M1827" s="11">
        <v>425492.0</v>
      </c>
      <c r="N1827" s="11">
        <v>1852.0</v>
      </c>
      <c r="O1827" s="13" t="s">
        <v>3309</v>
      </c>
      <c r="P1827" s="11">
        <v>191.0</v>
      </c>
      <c r="Q1827" s="14">
        <v>187.0</v>
      </c>
      <c r="R1827" s="41">
        <v>1.0</v>
      </c>
      <c r="S1827">
        <f t="shared" si="1"/>
        <v>2012</v>
      </c>
      <c r="T1827">
        <f t="shared" si="2"/>
        <v>4</v>
      </c>
      <c r="U1827">
        <f t="shared" si="3"/>
        <v>11</v>
      </c>
      <c r="AG1827" s="15"/>
      <c r="AH1827" s="16"/>
      <c r="AM1827" s="15"/>
      <c r="AN1827" s="16"/>
    </row>
    <row r="1828">
      <c r="A1828" s="13" t="s">
        <v>3407</v>
      </c>
      <c r="B1828" s="10">
        <v>41009.0</v>
      </c>
      <c r="C1828" s="11" t="s">
        <v>274</v>
      </c>
      <c r="D1828" s="11" t="s">
        <v>38</v>
      </c>
      <c r="E1828" s="30" t="s">
        <v>39</v>
      </c>
      <c r="F1828" s="11" t="s">
        <v>40</v>
      </c>
      <c r="G1828" s="30" t="s">
        <v>45</v>
      </c>
      <c r="H1828" s="11" t="s">
        <v>119</v>
      </c>
      <c r="I1828" s="11" t="s">
        <v>359</v>
      </c>
      <c r="J1828" s="11">
        <v>28.0</v>
      </c>
      <c r="K1828" s="30"/>
      <c r="L1828" s="30"/>
      <c r="M1828" s="11">
        <v>457733.0</v>
      </c>
      <c r="N1828" s="11">
        <v>9862.0</v>
      </c>
      <c r="O1828" s="13" t="s">
        <v>761</v>
      </c>
      <c r="P1828" s="11">
        <v>0.0</v>
      </c>
      <c r="Q1828" s="45">
        <v>0.0</v>
      </c>
      <c r="R1828" s="41">
        <v>0.0</v>
      </c>
      <c r="S1828">
        <f t="shared" si="1"/>
        <v>2012</v>
      </c>
      <c r="T1828">
        <f t="shared" si="2"/>
        <v>4</v>
      </c>
      <c r="U1828">
        <f t="shared" si="3"/>
        <v>10</v>
      </c>
      <c r="AG1828" s="15"/>
      <c r="AH1828" s="16"/>
      <c r="AM1828" s="15"/>
      <c r="AN1828" s="16"/>
    </row>
    <row r="1829">
      <c r="A1829" s="13" t="s">
        <v>3408</v>
      </c>
      <c r="B1829" s="10">
        <v>41002.0</v>
      </c>
      <c r="C1829" s="11" t="s">
        <v>37</v>
      </c>
      <c r="D1829" s="11" t="s">
        <v>38</v>
      </c>
      <c r="E1829" s="30" t="s">
        <v>39</v>
      </c>
      <c r="F1829" s="11" t="s">
        <v>40</v>
      </c>
      <c r="G1829" s="41" t="s">
        <v>41</v>
      </c>
      <c r="H1829" s="30"/>
      <c r="I1829" s="30"/>
      <c r="J1829" s="11">
        <v>25.0</v>
      </c>
      <c r="K1829" s="30"/>
      <c r="L1829" s="30"/>
      <c r="M1829" s="11">
        <v>469167.0</v>
      </c>
      <c r="N1829" s="11">
        <v>2377.0</v>
      </c>
      <c r="O1829" s="13" t="s">
        <v>761</v>
      </c>
      <c r="P1829" s="11">
        <v>0.0</v>
      </c>
      <c r="Q1829" s="45">
        <v>0.0</v>
      </c>
      <c r="R1829" s="41">
        <v>0.0</v>
      </c>
      <c r="S1829">
        <f t="shared" si="1"/>
        <v>2012</v>
      </c>
      <c r="T1829">
        <f t="shared" si="2"/>
        <v>4</v>
      </c>
      <c r="U1829">
        <f t="shared" si="3"/>
        <v>3</v>
      </c>
      <c r="AG1829" s="15"/>
      <c r="AH1829" s="16"/>
      <c r="AM1829" s="15"/>
      <c r="AN1829" s="16"/>
    </row>
    <row r="1830">
      <c r="A1830" s="13" t="s">
        <v>3409</v>
      </c>
      <c r="B1830" s="10">
        <v>41001.0</v>
      </c>
      <c r="C1830" s="11" t="s">
        <v>358</v>
      </c>
      <c r="D1830" s="11" t="s">
        <v>38</v>
      </c>
      <c r="E1830" s="30" t="s">
        <v>39</v>
      </c>
      <c r="F1830" s="11" t="s">
        <v>40</v>
      </c>
      <c r="G1830" s="41" t="s">
        <v>326</v>
      </c>
      <c r="H1830" s="30"/>
      <c r="I1830" s="30"/>
      <c r="J1830" s="11">
        <v>28.0</v>
      </c>
      <c r="K1830" s="12">
        <v>41462.0</v>
      </c>
      <c r="L1830" s="11">
        <f t="shared" ref="L1830:L1832" si="195">ROUND(((K1830-B1830)/365)*12,0)</f>
        <v>15</v>
      </c>
      <c r="M1830" s="11">
        <v>465657.0</v>
      </c>
      <c r="N1830" s="11">
        <v>6941.0</v>
      </c>
      <c r="O1830" s="13" t="s">
        <v>3309</v>
      </c>
      <c r="P1830" s="11">
        <v>275.0</v>
      </c>
      <c r="Q1830" s="14">
        <v>258.333</v>
      </c>
      <c r="R1830" s="41">
        <v>1.0</v>
      </c>
      <c r="S1830">
        <f t="shared" si="1"/>
        <v>2012</v>
      </c>
      <c r="T1830">
        <f t="shared" si="2"/>
        <v>4</v>
      </c>
      <c r="U1830">
        <f t="shared" si="3"/>
        <v>2</v>
      </c>
      <c r="AG1830" s="15"/>
      <c r="AH1830" s="16"/>
      <c r="AM1830" s="15"/>
      <c r="AN1830" s="16"/>
    </row>
    <row r="1831">
      <c r="A1831" s="13" t="s">
        <v>3410</v>
      </c>
      <c r="B1831" s="10">
        <v>41001.0</v>
      </c>
      <c r="C1831" s="11" t="s">
        <v>83</v>
      </c>
      <c r="D1831" s="11" t="s">
        <v>77</v>
      </c>
      <c r="E1831" s="30" t="s">
        <v>39</v>
      </c>
      <c r="F1831" s="11" t="s">
        <v>40</v>
      </c>
      <c r="G1831" s="30" t="s">
        <v>45</v>
      </c>
      <c r="H1831" s="11" t="s">
        <v>56</v>
      </c>
      <c r="I1831" s="11" t="s">
        <v>640</v>
      </c>
      <c r="J1831" s="11">
        <v>22.0</v>
      </c>
      <c r="K1831" s="12">
        <v>42131.0</v>
      </c>
      <c r="L1831" s="11">
        <f t="shared" si="195"/>
        <v>37</v>
      </c>
      <c r="M1831" s="11">
        <v>543838.0</v>
      </c>
      <c r="N1831" s="11" t="s">
        <v>3411</v>
      </c>
      <c r="P1831" s="11">
        <v>0.0</v>
      </c>
      <c r="Q1831" s="14">
        <v>0.0</v>
      </c>
      <c r="R1831" s="11">
        <v>0.0</v>
      </c>
      <c r="S1831">
        <f t="shared" si="1"/>
        <v>2012</v>
      </c>
      <c r="T1831">
        <f t="shared" si="2"/>
        <v>4</v>
      </c>
      <c r="U1831">
        <f t="shared" si="3"/>
        <v>2</v>
      </c>
      <c r="AG1831" s="15"/>
      <c r="AH1831" s="16"/>
      <c r="AM1831" s="15"/>
      <c r="AN1831" s="16"/>
    </row>
    <row r="1832">
      <c r="A1832" s="13" t="s">
        <v>3412</v>
      </c>
      <c r="B1832" s="10">
        <v>41000.0</v>
      </c>
      <c r="C1832" s="11" t="s">
        <v>116</v>
      </c>
      <c r="D1832" s="11" t="s">
        <v>77</v>
      </c>
      <c r="E1832" s="11" t="s">
        <v>39</v>
      </c>
      <c r="F1832" s="11" t="s">
        <v>40</v>
      </c>
      <c r="G1832" s="11" t="s">
        <v>45</v>
      </c>
      <c r="H1832" s="11" t="s">
        <v>56</v>
      </c>
      <c r="I1832" s="11" t="s">
        <v>1800</v>
      </c>
      <c r="J1832" s="11">
        <v>23.0</v>
      </c>
      <c r="K1832" s="12">
        <v>42134.0</v>
      </c>
      <c r="L1832" s="11">
        <f t="shared" si="195"/>
        <v>37</v>
      </c>
      <c r="M1832" s="11">
        <v>519159.0</v>
      </c>
      <c r="N1832" s="11" t="s">
        <v>3413</v>
      </c>
      <c r="P1832" s="11">
        <v>0.0</v>
      </c>
      <c r="Q1832" s="14">
        <v>0.0</v>
      </c>
      <c r="R1832" s="41">
        <v>1.0</v>
      </c>
      <c r="S1832">
        <f t="shared" si="1"/>
        <v>2012</v>
      </c>
      <c r="T1832">
        <f t="shared" si="2"/>
        <v>4</v>
      </c>
      <c r="U1832">
        <f t="shared" si="3"/>
        <v>1</v>
      </c>
      <c r="AG1832" s="15"/>
      <c r="AH1832" s="16"/>
      <c r="AM1832" s="15"/>
      <c r="AN1832" s="16"/>
    </row>
    <row r="1833">
      <c r="A1833" s="13" t="s">
        <v>3414</v>
      </c>
      <c r="B1833" s="10">
        <v>41000.0</v>
      </c>
      <c r="C1833" s="11" t="s">
        <v>162</v>
      </c>
      <c r="D1833" s="11" t="s">
        <v>213</v>
      </c>
      <c r="E1833" s="30" t="s">
        <v>39</v>
      </c>
      <c r="F1833" s="11" t="s">
        <v>64</v>
      </c>
      <c r="G1833" s="30" t="s">
        <v>45</v>
      </c>
      <c r="H1833" s="11" t="s">
        <v>163</v>
      </c>
      <c r="I1833" s="11"/>
      <c r="J1833" s="11">
        <v>18.0</v>
      </c>
      <c r="K1833" s="12">
        <v>42180.0</v>
      </c>
      <c r="L1833" s="30"/>
      <c r="M1833" s="11">
        <v>621354.0</v>
      </c>
      <c r="N1833" s="11" t="s">
        <v>3415</v>
      </c>
      <c r="P1833" s="11">
        <v>0.0</v>
      </c>
      <c r="Q1833" s="14">
        <v>0.0</v>
      </c>
      <c r="R1833" s="11">
        <v>0.0</v>
      </c>
      <c r="S1833">
        <f t="shared" si="1"/>
        <v>2012</v>
      </c>
      <c r="T1833">
        <f t="shared" si="2"/>
        <v>4</v>
      </c>
      <c r="U1833">
        <f t="shared" si="3"/>
        <v>1</v>
      </c>
      <c r="AG1833" s="15"/>
      <c r="AH1833" s="16"/>
      <c r="AM1833" s="15"/>
      <c r="AN1833" s="16"/>
    </row>
    <row r="1834">
      <c r="A1834" s="13" t="s">
        <v>3416</v>
      </c>
      <c r="B1834" s="10">
        <v>41000.0</v>
      </c>
      <c r="C1834" s="11" t="s">
        <v>52</v>
      </c>
      <c r="D1834" s="11" t="s">
        <v>93</v>
      </c>
      <c r="E1834" s="11" t="s">
        <v>39</v>
      </c>
      <c r="F1834" s="11" t="s">
        <v>40</v>
      </c>
      <c r="G1834" s="11" t="s">
        <v>45</v>
      </c>
      <c r="H1834" s="11" t="s">
        <v>84</v>
      </c>
      <c r="I1834" s="11" t="s">
        <v>140</v>
      </c>
      <c r="J1834" s="11">
        <v>22.0</v>
      </c>
      <c r="K1834" s="30"/>
      <c r="L1834" s="30"/>
      <c r="M1834" s="11">
        <v>542887.0</v>
      </c>
      <c r="N1834" s="11"/>
      <c r="P1834" s="11">
        <v>0.0</v>
      </c>
      <c r="Q1834" s="14">
        <v>0.0</v>
      </c>
      <c r="R1834" s="41">
        <v>0.0</v>
      </c>
      <c r="S1834">
        <f t="shared" si="1"/>
        <v>2012</v>
      </c>
      <c r="T1834">
        <f t="shared" si="2"/>
        <v>4</v>
      </c>
      <c r="U1834">
        <f t="shared" si="3"/>
        <v>1</v>
      </c>
      <c r="AG1834" s="15"/>
      <c r="AH1834" s="16"/>
      <c r="AM1834" s="15"/>
      <c r="AN1834" s="16"/>
    </row>
    <row r="1835">
      <c r="A1835" s="13" t="s">
        <v>3417</v>
      </c>
      <c r="B1835" s="10">
        <v>41000.0</v>
      </c>
      <c r="C1835" s="11" t="s">
        <v>49</v>
      </c>
      <c r="D1835" s="11" t="s">
        <v>58</v>
      </c>
      <c r="E1835" s="30" t="s">
        <v>39</v>
      </c>
      <c r="F1835" s="11" t="s">
        <v>64</v>
      </c>
      <c r="G1835" s="30" t="s">
        <v>45</v>
      </c>
      <c r="H1835" s="11" t="s">
        <v>56</v>
      </c>
      <c r="I1835" s="11" t="s">
        <v>265</v>
      </c>
      <c r="J1835" s="11">
        <v>27.0</v>
      </c>
      <c r="K1835" s="30"/>
      <c r="L1835" s="30"/>
      <c r="M1835" s="11">
        <v>502609.0</v>
      </c>
      <c r="N1835" s="11">
        <v>4552.0</v>
      </c>
      <c r="P1835" s="11">
        <v>0.0</v>
      </c>
      <c r="Q1835" s="14">
        <v>0.0</v>
      </c>
      <c r="R1835" s="41">
        <v>0.0</v>
      </c>
      <c r="S1835">
        <f t="shared" si="1"/>
        <v>2012</v>
      </c>
      <c r="T1835">
        <f t="shared" si="2"/>
        <v>4</v>
      </c>
      <c r="U1835">
        <f t="shared" si="3"/>
        <v>1</v>
      </c>
      <c r="AG1835" s="15"/>
      <c r="AH1835" s="16"/>
      <c r="AM1835" s="15"/>
      <c r="AN1835" s="16"/>
    </row>
    <row r="1836">
      <c r="A1836" s="13" t="s">
        <v>3418</v>
      </c>
      <c r="B1836" s="10">
        <v>41000.0</v>
      </c>
      <c r="C1836" s="11" t="s">
        <v>362</v>
      </c>
      <c r="D1836" s="11" t="s">
        <v>93</v>
      </c>
      <c r="E1836" s="30" t="s">
        <v>39</v>
      </c>
      <c r="F1836" s="11" t="s">
        <v>64</v>
      </c>
      <c r="G1836" s="30" t="s">
        <v>45</v>
      </c>
      <c r="H1836" s="11" t="s">
        <v>163</v>
      </c>
      <c r="I1836" s="11" t="s">
        <v>654</v>
      </c>
      <c r="J1836" s="11">
        <v>20.0</v>
      </c>
      <c r="K1836" s="12">
        <v>41467.0</v>
      </c>
      <c r="L1836" s="11">
        <f>ROUND(((K1836-B1836)/365)*12,0)</f>
        <v>15</v>
      </c>
      <c r="M1836" s="11">
        <v>592462.0</v>
      </c>
      <c r="N1836" s="11" t="s">
        <v>3419</v>
      </c>
      <c r="O1836" s="13" t="s">
        <v>761</v>
      </c>
      <c r="P1836" s="11">
        <v>0.0</v>
      </c>
      <c r="Q1836" s="14">
        <v>0.0</v>
      </c>
      <c r="R1836" s="11">
        <v>0.0</v>
      </c>
      <c r="S1836">
        <f t="shared" si="1"/>
        <v>2012</v>
      </c>
      <c r="T1836">
        <f t="shared" si="2"/>
        <v>4</v>
      </c>
      <c r="U1836">
        <f t="shared" si="3"/>
        <v>1</v>
      </c>
      <c r="AG1836" s="15"/>
      <c r="AH1836" s="16"/>
      <c r="AM1836" s="15"/>
      <c r="AN1836" s="16"/>
    </row>
    <row r="1837">
      <c r="A1837" s="13" t="s">
        <v>3420</v>
      </c>
      <c r="B1837" s="10">
        <v>41000.0</v>
      </c>
      <c r="C1837" s="11" t="s">
        <v>175</v>
      </c>
      <c r="D1837" s="11" t="s">
        <v>93</v>
      </c>
      <c r="E1837" s="30" t="s">
        <v>39</v>
      </c>
      <c r="F1837" s="11" t="s">
        <v>40</v>
      </c>
      <c r="G1837" s="30" t="s">
        <v>45</v>
      </c>
      <c r="H1837" s="11" t="s">
        <v>127</v>
      </c>
      <c r="I1837" s="11" t="s">
        <v>3421</v>
      </c>
      <c r="J1837" s="11">
        <v>20.0</v>
      </c>
      <c r="K1837" s="12">
        <v>41816.0</v>
      </c>
      <c r="L1837" s="30"/>
      <c r="M1837" s="11">
        <v>643240.0</v>
      </c>
      <c r="N1837" s="11" t="s">
        <v>3422</v>
      </c>
      <c r="P1837" s="11">
        <v>0.0</v>
      </c>
      <c r="Q1837" s="14">
        <v>0.0</v>
      </c>
      <c r="R1837" s="11">
        <v>0.0</v>
      </c>
      <c r="S1837">
        <f t="shared" si="1"/>
        <v>2012</v>
      </c>
      <c r="T1837">
        <f t="shared" si="2"/>
        <v>4</v>
      </c>
      <c r="U1837">
        <f t="shared" si="3"/>
        <v>1</v>
      </c>
      <c r="AG1837" s="15"/>
      <c r="AH1837" s="16"/>
      <c r="AM1837" s="15"/>
      <c r="AN1837" s="16"/>
    </row>
    <row r="1838">
      <c r="A1838" s="13" t="s">
        <v>3423</v>
      </c>
      <c r="B1838" s="10">
        <v>41000.0</v>
      </c>
      <c r="C1838" s="11" t="s">
        <v>186</v>
      </c>
      <c r="D1838" s="11" t="s">
        <v>93</v>
      </c>
      <c r="E1838" s="11" t="s">
        <v>39</v>
      </c>
      <c r="F1838" s="11" t="s">
        <v>40</v>
      </c>
      <c r="G1838" s="11" t="s">
        <v>45</v>
      </c>
      <c r="H1838" s="11" t="s">
        <v>182</v>
      </c>
      <c r="I1838" s="11" t="s">
        <v>451</v>
      </c>
      <c r="J1838" s="11">
        <v>20.0</v>
      </c>
      <c r="K1838" s="12">
        <v>41460.0</v>
      </c>
      <c r="L1838" s="11"/>
      <c r="M1838" s="11">
        <v>596140.0</v>
      </c>
      <c r="N1838" s="11" t="s">
        <v>3424</v>
      </c>
      <c r="P1838" s="11">
        <v>0.0</v>
      </c>
      <c r="Q1838" s="14">
        <v>0.0</v>
      </c>
      <c r="R1838" s="41">
        <v>1.0</v>
      </c>
      <c r="S1838">
        <f t="shared" si="1"/>
        <v>2012</v>
      </c>
      <c r="T1838">
        <f t="shared" si="2"/>
        <v>4</v>
      </c>
      <c r="U1838">
        <f t="shared" si="3"/>
        <v>1</v>
      </c>
      <c r="AG1838" s="15"/>
      <c r="AH1838" s="16"/>
      <c r="AM1838" s="15"/>
      <c r="AN1838" s="16"/>
    </row>
    <row r="1839">
      <c r="A1839" s="13" t="s">
        <v>3425</v>
      </c>
      <c r="B1839" s="10">
        <v>40997.0</v>
      </c>
      <c r="C1839" s="11" t="s">
        <v>111</v>
      </c>
      <c r="D1839" s="11" t="s">
        <v>38</v>
      </c>
      <c r="E1839" s="30" t="s">
        <v>39</v>
      </c>
      <c r="F1839" s="11" t="s">
        <v>40</v>
      </c>
      <c r="G1839" s="30" t="s">
        <v>45</v>
      </c>
      <c r="H1839" s="11" t="s">
        <v>67</v>
      </c>
      <c r="I1839" s="11"/>
      <c r="J1839" s="11">
        <v>27.0</v>
      </c>
      <c r="K1839" s="30"/>
      <c r="L1839" s="30"/>
      <c r="M1839" s="11">
        <v>451491.0</v>
      </c>
      <c r="N1839" s="11">
        <v>4699.0</v>
      </c>
      <c r="O1839" s="13" t="s">
        <v>761</v>
      </c>
      <c r="P1839" s="11">
        <v>0.0</v>
      </c>
      <c r="Q1839" s="45">
        <v>0.0</v>
      </c>
      <c r="R1839" s="41">
        <v>0.0</v>
      </c>
      <c r="S1839">
        <f t="shared" si="1"/>
        <v>2012</v>
      </c>
      <c r="T1839">
        <f t="shared" si="2"/>
        <v>3</v>
      </c>
      <c r="U1839">
        <f t="shared" si="3"/>
        <v>29</v>
      </c>
      <c r="AG1839" s="15"/>
      <c r="AH1839" s="16"/>
      <c r="AM1839" s="15"/>
      <c r="AN1839" s="16"/>
    </row>
    <row r="1840">
      <c r="A1840" s="13" t="s">
        <v>3426</v>
      </c>
      <c r="B1840" s="10">
        <v>40995.0</v>
      </c>
      <c r="C1840" s="11" t="s">
        <v>52</v>
      </c>
      <c r="D1840" s="11" t="s">
        <v>38</v>
      </c>
      <c r="E1840" s="30" t="s">
        <v>39</v>
      </c>
      <c r="F1840" s="11" t="s">
        <v>64</v>
      </c>
      <c r="G1840" s="41" t="s">
        <v>53</v>
      </c>
      <c r="H1840" s="30"/>
      <c r="I1840" s="30"/>
      <c r="J1840" s="11">
        <v>27.0</v>
      </c>
      <c r="K1840" s="30"/>
      <c r="L1840" s="30"/>
      <c r="M1840" s="11">
        <v>465065.0</v>
      </c>
      <c r="N1840" s="11">
        <v>7122.0</v>
      </c>
      <c r="O1840" s="13" t="s">
        <v>2059</v>
      </c>
      <c r="P1840" s="11">
        <v>0.0</v>
      </c>
      <c r="Q1840" s="45">
        <v>0.0</v>
      </c>
      <c r="R1840" s="41">
        <v>0.0</v>
      </c>
      <c r="S1840">
        <f t="shared" si="1"/>
        <v>2012</v>
      </c>
      <c r="T1840">
        <f t="shared" si="2"/>
        <v>3</v>
      </c>
      <c r="U1840">
        <f t="shared" si="3"/>
        <v>27</v>
      </c>
      <c r="AG1840" s="15"/>
      <c r="AH1840" s="16"/>
      <c r="AM1840" s="15"/>
      <c r="AN1840" s="16"/>
    </row>
    <row r="1841">
      <c r="A1841" s="13" t="s">
        <v>3427</v>
      </c>
      <c r="B1841" s="10">
        <v>40988.0</v>
      </c>
      <c r="C1841" s="11" t="s">
        <v>116</v>
      </c>
      <c r="D1841" s="11" t="s">
        <v>38</v>
      </c>
      <c r="E1841" s="30" t="s">
        <v>39</v>
      </c>
      <c r="F1841" s="11" t="s">
        <v>40</v>
      </c>
      <c r="G1841" s="41" t="s">
        <v>41</v>
      </c>
      <c r="H1841" s="30"/>
      <c r="I1841" s="30"/>
      <c r="J1841" s="11">
        <v>21.0</v>
      </c>
      <c r="K1841" s="12">
        <v>41888.0</v>
      </c>
      <c r="L1841" s="11">
        <f>ROUND(((K1841-B1841)/365)*12,0)</f>
        <v>30</v>
      </c>
      <c r="M1841" s="11">
        <v>527055.0</v>
      </c>
      <c r="N1841" s="11">
        <v>5498.0</v>
      </c>
      <c r="O1841" s="13" t="s">
        <v>761</v>
      </c>
      <c r="P1841" s="11">
        <v>146.0</v>
      </c>
      <c r="Q1841" s="14">
        <v>134.667</v>
      </c>
      <c r="R1841" s="41">
        <v>1.0</v>
      </c>
      <c r="S1841">
        <f t="shared" si="1"/>
        <v>2012</v>
      </c>
      <c r="T1841">
        <f t="shared" si="2"/>
        <v>3</v>
      </c>
      <c r="U1841">
        <f t="shared" si="3"/>
        <v>20</v>
      </c>
      <c r="AG1841" s="15"/>
      <c r="AH1841" s="16"/>
      <c r="AM1841" s="15"/>
      <c r="AN1841" s="16"/>
    </row>
    <row r="1842">
      <c r="A1842" s="13" t="s">
        <v>3428</v>
      </c>
      <c r="B1842" s="10">
        <v>40977.0</v>
      </c>
      <c r="C1842" s="11" t="s">
        <v>52</v>
      </c>
      <c r="D1842" s="11" t="s">
        <v>213</v>
      </c>
      <c r="E1842" s="30" t="s">
        <v>39</v>
      </c>
      <c r="F1842" s="11" t="s">
        <v>40</v>
      </c>
      <c r="G1842" s="30" t="s">
        <v>45</v>
      </c>
      <c r="H1842" s="11" t="s">
        <v>112</v>
      </c>
      <c r="I1842" s="11" t="s">
        <v>3429</v>
      </c>
      <c r="J1842" s="11">
        <v>18.0</v>
      </c>
      <c r="K1842" s="12">
        <v>41813.0</v>
      </c>
      <c r="L1842" s="30"/>
      <c r="M1842" s="11">
        <v>657209.0</v>
      </c>
      <c r="N1842" s="11">
        <v>16687.0</v>
      </c>
      <c r="O1842" s="13" t="s">
        <v>761</v>
      </c>
      <c r="P1842" s="11">
        <v>0.0</v>
      </c>
      <c r="Q1842" s="14">
        <v>0.0</v>
      </c>
      <c r="R1842" s="41">
        <v>1.0</v>
      </c>
      <c r="S1842">
        <f t="shared" si="1"/>
        <v>2012</v>
      </c>
      <c r="T1842">
        <f t="shared" si="2"/>
        <v>3</v>
      </c>
      <c r="U1842">
        <f t="shared" si="3"/>
        <v>9</v>
      </c>
      <c r="AG1842" s="15"/>
      <c r="AH1842" s="16"/>
      <c r="AM1842" s="15"/>
      <c r="AN1842" s="16"/>
    </row>
    <row r="1843">
      <c r="A1843" s="13" t="s">
        <v>3430</v>
      </c>
      <c r="B1843" s="10">
        <v>40974.0</v>
      </c>
      <c r="C1843" s="11" t="s">
        <v>76</v>
      </c>
      <c r="D1843" s="11" t="s">
        <v>88</v>
      </c>
      <c r="E1843" s="30" t="s">
        <v>39</v>
      </c>
      <c r="F1843" s="11" t="s">
        <v>64</v>
      </c>
      <c r="G1843" s="30" t="s">
        <v>45</v>
      </c>
      <c r="H1843" s="11" t="s">
        <v>317</v>
      </c>
      <c r="I1843" s="11" t="s">
        <v>375</v>
      </c>
      <c r="J1843" s="11">
        <v>23.0</v>
      </c>
      <c r="K1843" s="12">
        <v>41415.0</v>
      </c>
      <c r="L1843" s="11">
        <f>ROUND(((K1843-B1843)/365)*12,0)</f>
        <v>14</v>
      </c>
      <c r="M1843" s="11">
        <v>519301.0</v>
      </c>
      <c r="N1843" s="11">
        <v>11457.0</v>
      </c>
      <c r="O1843" s="13" t="s">
        <v>3309</v>
      </c>
      <c r="P1843" s="11">
        <v>85.0</v>
      </c>
      <c r="Q1843" s="14">
        <v>88.333</v>
      </c>
      <c r="R1843" s="41">
        <v>1.0</v>
      </c>
      <c r="S1843">
        <f t="shared" si="1"/>
        <v>2012</v>
      </c>
      <c r="T1843">
        <f t="shared" si="2"/>
        <v>3</v>
      </c>
      <c r="U1843">
        <f t="shared" si="3"/>
        <v>6</v>
      </c>
      <c r="AG1843" s="15"/>
      <c r="AH1843" s="16"/>
      <c r="AM1843" s="15"/>
      <c r="AN1843" s="16"/>
    </row>
    <row r="1844">
      <c r="A1844" s="13" t="s">
        <v>3431</v>
      </c>
      <c r="B1844" s="10">
        <v>40969.0</v>
      </c>
      <c r="C1844" s="11" t="s">
        <v>76</v>
      </c>
      <c r="D1844" s="11" t="s">
        <v>213</v>
      </c>
      <c r="E1844" s="11" t="s">
        <v>39</v>
      </c>
      <c r="F1844" s="11" t="s">
        <v>64</v>
      </c>
      <c r="G1844" s="11" t="s">
        <v>45</v>
      </c>
      <c r="H1844" s="11" t="s">
        <v>163</v>
      </c>
      <c r="I1844" s="11" t="s">
        <v>864</v>
      </c>
      <c r="J1844" s="11">
        <v>19.0</v>
      </c>
      <c r="K1844" s="12">
        <v>42177.0</v>
      </c>
      <c r="L1844" s="30"/>
      <c r="M1844" s="11">
        <v>608327.0</v>
      </c>
      <c r="N1844" s="11" t="s">
        <v>3432</v>
      </c>
      <c r="P1844" s="11">
        <v>0.0</v>
      </c>
      <c r="Q1844" s="14">
        <v>0.0</v>
      </c>
      <c r="R1844" s="41">
        <v>1.0</v>
      </c>
      <c r="S1844">
        <f t="shared" si="1"/>
        <v>2012</v>
      </c>
      <c r="T1844">
        <f t="shared" si="2"/>
        <v>3</v>
      </c>
      <c r="U1844">
        <f t="shared" si="3"/>
        <v>1</v>
      </c>
      <c r="AG1844" s="15"/>
      <c r="AH1844" s="16"/>
      <c r="AM1844" s="15"/>
      <c r="AN1844" s="16"/>
    </row>
    <row r="1845">
      <c r="A1845" s="13" t="s">
        <v>3433</v>
      </c>
      <c r="B1845" s="10">
        <v>40909.0</v>
      </c>
      <c r="C1845" s="11" t="s">
        <v>116</v>
      </c>
      <c r="D1845" s="11" t="s">
        <v>97</v>
      </c>
      <c r="E1845" s="11" t="s">
        <v>39</v>
      </c>
      <c r="F1845" s="11" t="s">
        <v>64</v>
      </c>
      <c r="G1845" s="11" t="s">
        <v>53</v>
      </c>
      <c r="H1845" s="11"/>
      <c r="I1845" s="11"/>
      <c r="J1845" s="11">
        <v>21.0</v>
      </c>
      <c r="K1845" s="12">
        <v>41733.0</v>
      </c>
      <c r="L1845" s="30"/>
      <c r="M1845" s="11">
        <v>593479.0</v>
      </c>
      <c r="N1845" s="11" t="s">
        <v>3434</v>
      </c>
      <c r="P1845" s="11">
        <v>0.0</v>
      </c>
      <c r="Q1845" s="14">
        <v>0.0</v>
      </c>
      <c r="R1845" s="41">
        <v>1.0</v>
      </c>
      <c r="S1845">
        <f t="shared" si="1"/>
        <v>2012</v>
      </c>
      <c r="T1845">
        <f t="shared" si="2"/>
        <v>1</v>
      </c>
      <c r="U1845">
        <f t="shared" si="3"/>
        <v>1</v>
      </c>
      <c r="AG1845" s="15"/>
      <c r="AH1845" s="16"/>
      <c r="AM1845" s="15"/>
      <c r="AN1845" s="16"/>
    </row>
    <row r="1846">
      <c r="A1846" s="13" t="s">
        <v>3435</v>
      </c>
      <c r="B1846" s="10">
        <v>40909.0</v>
      </c>
      <c r="C1846" s="11" t="s">
        <v>72</v>
      </c>
      <c r="D1846" s="11" t="s">
        <v>77</v>
      </c>
      <c r="E1846" s="30" t="s">
        <v>39</v>
      </c>
      <c r="F1846" s="11" t="s">
        <v>40</v>
      </c>
      <c r="G1846" s="30" t="s">
        <v>45</v>
      </c>
      <c r="H1846" s="11" t="s">
        <v>129</v>
      </c>
      <c r="I1846" s="11"/>
      <c r="J1846" s="11">
        <v>28.0</v>
      </c>
      <c r="K1846" s="12">
        <v>41384.0</v>
      </c>
      <c r="L1846" s="30"/>
      <c r="M1846" s="11">
        <v>446624.0</v>
      </c>
      <c r="N1846" s="11">
        <v>3545.0</v>
      </c>
      <c r="P1846" s="11">
        <v>0.0</v>
      </c>
      <c r="Q1846" s="14">
        <v>0.0</v>
      </c>
      <c r="R1846" s="41">
        <v>0.0</v>
      </c>
      <c r="S1846">
        <f t="shared" si="1"/>
        <v>2012</v>
      </c>
      <c r="T1846">
        <f t="shared" si="2"/>
        <v>1</v>
      </c>
      <c r="U1846">
        <f t="shared" si="3"/>
        <v>1</v>
      </c>
      <c r="AG1846" s="15"/>
      <c r="AH1846" s="16"/>
      <c r="AM1846" s="15"/>
      <c r="AN1846" s="16"/>
    </row>
    <row r="1847">
      <c r="A1847" s="13" t="s">
        <v>3436</v>
      </c>
      <c r="B1847" s="10">
        <v>40909.0</v>
      </c>
      <c r="C1847" s="11" t="s">
        <v>143</v>
      </c>
      <c r="D1847" s="11" t="s">
        <v>93</v>
      </c>
      <c r="E1847" s="11" t="s">
        <v>104</v>
      </c>
      <c r="F1847" s="11" t="s">
        <v>40</v>
      </c>
      <c r="G1847" s="11" t="s">
        <v>45</v>
      </c>
      <c r="H1847" s="11" t="s">
        <v>67</v>
      </c>
      <c r="I1847" s="11" t="s">
        <v>3437</v>
      </c>
      <c r="J1847" s="11">
        <v>18.0</v>
      </c>
      <c r="K1847" s="12">
        <v>42176.0</v>
      </c>
      <c r="L1847" s="30"/>
      <c r="M1847" s="11">
        <v>664874.0</v>
      </c>
      <c r="N1847" s="11">
        <v>18887.0</v>
      </c>
      <c r="P1847" s="11">
        <v>0.0</v>
      </c>
      <c r="Q1847" s="14">
        <v>0.0</v>
      </c>
      <c r="R1847" s="11">
        <v>1.0</v>
      </c>
      <c r="S1847">
        <f t="shared" si="1"/>
        <v>2012</v>
      </c>
      <c r="T1847">
        <f t="shared" si="2"/>
        <v>1</v>
      </c>
      <c r="U1847">
        <f t="shared" si="3"/>
        <v>1</v>
      </c>
      <c r="AG1847" s="15"/>
      <c r="AH1847" s="16"/>
      <c r="AM1847" s="15"/>
      <c r="AN1847" s="16"/>
    </row>
    <row r="1848">
      <c r="A1848" s="13" t="s">
        <v>3278</v>
      </c>
      <c r="B1848" s="10">
        <v>40909.0</v>
      </c>
      <c r="C1848" s="11" t="s">
        <v>162</v>
      </c>
      <c r="D1848" s="11" t="s">
        <v>88</v>
      </c>
      <c r="E1848" s="11" t="s">
        <v>39</v>
      </c>
      <c r="F1848" s="11" t="s">
        <v>64</v>
      </c>
      <c r="G1848" s="11" t="s">
        <v>45</v>
      </c>
      <c r="H1848" s="11" t="s">
        <v>127</v>
      </c>
      <c r="I1848" s="11" t="s">
        <v>3279</v>
      </c>
      <c r="J1848" s="11">
        <v>23.0</v>
      </c>
      <c r="K1848" s="12">
        <v>42104.0</v>
      </c>
      <c r="L1848" s="30"/>
      <c r="M1848" s="11">
        <v>502432.0</v>
      </c>
      <c r="N1848" s="11" t="s">
        <v>3280</v>
      </c>
      <c r="P1848" s="11">
        <v>0.0</v>
      </c>
      <c r="Q1848" s="14">
        <v>0.0</v>
      </c>
      <c r="R1848" s="11">
        <v>0.0</v>
      </c>
      <c r="S1848">
        <f t="shared" si="1"/>
        <v>2012</v>
      </c>
      <c r="T1848">
        <f t="shared" si="2"/>
        <v>1</v>
      </c>
      <c r="U1848">
        <f t="shared" si="3"/>
        <v>1</v>
      </c>
      <c r="AG1848" s="15"/>
      <c r="AH1848" s="16"/>
      <c r="AM1848" s="15"/>
      <c r="AN1848" s="16"/>
    </row>
    <row r="1849">
      <c r="A1849" s="13" t="s">
        <v>3438</v>
      </c>
      <c r="B1849" s="10">
        <v>40909.0</v>
      </c>
      <c r="C1849" s="11" t="s">
        <v>346</v>
      </c>
      <c r="D1849" s="11" t="s">
        <v>93</v>
      </c>
      <c r="E1849" s="11" t="s">
        <v>39</v>
      </c>
      <c r="F1849" s="11" t="s">
        <v>64</v>
      </c>
      <c r="G1849" s="11" t="s">
        <v>45</v>
      </c>
      <c r="H1849" s="11" t="s">
        <v>163</v>
      </c>
      <c r="I1849" s="11" t="s">
        <v>163</v>
      </c>
      <c r="J1849" s="11">
        <v>18.0</v>
      </c>
      <c r="K1849" s="12">
        <v>42494.0</v>
      </c>
      <c r="L1849" s="30"/>
      <c r="M1849" s="11">
        <v>665120.0</v>
      </c>
      <c r="N1849" s="11">
        <v>18607.0</v>
      </c>
      <c r="P1849" s="11">
        <v>0.0</v>
      </c>
      <c r="Q1849" s="14">
        <v>0.0</v>
      </c>
      <c r="R1849" s="11">
        <v>1.0</v>
      </c>
      <c r="S1849">
        <f t="shared" si="1"/>
        <v>2012</v>
      </c>
      <c r="T1849">
        <f t="shared" si="2"/>
        <v>1</v>
      </c>
      <c r="U1849">
        <f t="shared" si="3"/>
        <v>1</v>
      </c>
      <c r="AG1849" s="15"/>
      <c r="AH1849" s="16"/>
      <c r="AM1849" s="15"/>
      <c r="AN1849" s="16"/>
    </row>
    <row r="1850">
      <c r="A1850" s="13" t="s">
        <v>3439</v>
      </c>
      <c r="B1850" s="10">
        <v>40909.0</v>
      </c>
      <c r="C1850" s="11" t="s">
        <v>126</v>
      </c>
      <c r="D1850" s="11" t="s">
        <v>93</v>
      </c>
      <c r="E1850" s="41" t="s">
        <v>118</v>
      </c>
      <c r="F1850" s="11" t="s">
        <v>40</v>
      </c>
      <c r="G1850" s="30" t="s">
        <v>45</v>
      </c>
      <c r="H1850" s="11" t="s">
        <v>133</v>
      </c>
      <c r="I1850" s="11" t="s">
        <v>3440</v>
      </c>
      <c r="J1850" s="11">
        <v>20.0</v>
      </c>
      <c r="K1850" s="12">
        <v>41821.0</v>
      </c>
      <c r="L1850" s="30"/>
      <c r="M1850" s="11">
        <v>657627.0</v>
      </c>
      <c r="N1850" s="11" t="s">
        <v>3441</v>
      </c>
      <c r="P1850" s="11">
        <v>0.0</v>
      </c>
      <c r="Q1850" s="14">
        <v>0.0</v>
      </c>
      <c r="R1850" s="41">
        <v>1.0</v>
      </c>
      <c r="S1850">
        <f t="shared" si="1"/>
        <v>2012</v>
      </c>
      <c r="T1850">
        <f t="shared" si="2"/>
        <v>1</v>
      </c>
      <c r="U1850">
        <f t="shared" si="3"/>
        <v>1</v>
      </c>
      <c r="AG1850" s="15"/>
      <c r="AH1850" s="16"/>
      <c r="AM1850" s="15"/>
      <c r="AN1850" s="16"/>
    </row>
    <row r="1851">
      <c r="A1851" s="13" t="s">
        <v>3442</v>
      </c>
      <c r="B1851" s="10">
        <v>40909.0</v>
      </c>
      <c r="C1851" s="11" t="s">
        <v>126</v>
      </c>
      <c r="D1851" s="11" t="s">
        <v>93</v>
      </c>
      <c r="E1851" s="30" t="s">
        <v>39</v>
      </c>
      <c r="F1851" s="11" t="s">
        <v>40</v>
      </c>
      <c r="G1851" s="30" t="s">
        <v>45</v>
      </c>
      <c r="H1851" s="11" t="s">
        <v>67</v>
      </c>
      <c r="I1851" s="11" t="s">
        <v>3443</v>
      </c>
      <c r="J1851" s="11">
        <v>19.0</v>
      </c>
      <c r="K1851" s="12">
        <v>41816.0</v>
      </c>
      <c r="L1851" s="30"/>
      <c r="M1851" s="11">
        <v>656805.0</v>
      </c>
      <c r="N1851" s="11">
        <v>16468.0</v>
      </c>
      <c r="P1851" s="11">
        <v>0.0</v>
      </c>
      <c r="Q1851" s="14">
        <v>0.0</v>
      </c>
      <c r="R1851" s="41">
        <v>1.0</v>
      </c>
      <c r="S1851">
        <f t="shared" si="1"/>
        <v>2012</v>
      </c>
      <c r="T1851">
        <f t="shared" si="2"/>
        <v>1</v>
      </c>
      <c r="U1851">
        <f t="shared" si="3"/>
        <v>1</v>
      </c>
      <c r="AG1851" s="15"/>
      <c r="AH1851" s="16"/>
      <c r="AM1851" s="15"/>
      <c r="AN1851" s="16"/>
    </row>
    <row r="1852">
      <c r="A1852" s="13" t="s">
        <v>3444</v>
      </c>
      <c r="B1852" s="17">
        <v>40909.0</v>
      </c>
      <c r="C1852" s="11" t="s">
        <v>55</v>
      </c>
      <c r="D1852" s="11" t="s">
        <v>93</v>
      </c>
      <c r="E1852" s="11" t="s">
        <v>270</v>
      </c>
      <c r="F1852" s="11" t="s">
        <v>40</v>
      </c>
      <c r="G1852" s="11" t="s">
        <v>45</v>
      </c>
      <c r="H1852" s="11" t="s">
        <v>74</v>
      </c>
      <c r="I1852" s="11" t="s">
        <v>3445</v>
      </c>
      <c r="J1852" s="11">
        <v>22.0</v>
      </c>
      <c r="K1852" s="12">
        <v>41449.0</v>
      </c>
      <c r="L1852" s="30"/>
      <c r="M1852" s="11">
        <v>644337.0</v>
      </c>
      <c r="N1852" s="11">
        <v>15407.0</v>
      </c>
      <c r="P1852" s="11">
        <v>15.0</v>
      </c>
      <c r="Q1852" s="14">
        <v>25.0</v>
      </c>
      <c r="R1852" s="11">
        <v>1.0</v>
      </c>
      <c r="S1852">
        <f t="shared" si="1"/>
        <v>2012</v>
      </c>
      <c r="T1852">
        <f t="shared" si="2"/>
        <v>1</v>
      </c>
      <c r="U1852">
        <f t="shared" si="3"/>
        <v>1</v>
      </c>
      <c r="AG1852" s="15"/>
      <c r="AH1852" s="16"/>
      <c r="AM1852" s="15"/>
      <c r="AN1852" s="16"/>
    </row>
    <row r="1853">
      <c r="A1853" s="13" t="s">
        <v>3446</v>
      </c>
      <c r="B1853" s="17">
        <v>40909.0</v>
      </c>
      <c r="C1853" s="11" t="s">
        <v>55</v>
      </c>
      <c r="D1853" s="11" t="s">
        <v>213</v>
      </c>
      <c r="E1853" s="11" t="s">
        <v>39</v>
      </c>
      <c r="F1853" s="11" t="s">
        <v>64</v>
      </c>
      <c r="G1853" s="11" t="s">
        <v>45</v>
      </c>
      <c r="H1853" s="11" t="s">
        <v>957</v>
      </c>
      <c r="I1853" s="11" t="s">
        <v>2382</v>
      </c>
      <c r="J1853" s="11">
        <v>18.0</v>
      </c>
      <c r="K1853" s="12">
        <v>42543.0</v>
      </c>
      <c r="L1853" s="30"/>
      <c r="M1853" s="11">
        <v>670375.0</v>
      </c>
      <c r="N1853" s="11" t="s">
        <v>3447</v>
      </c>
      <c r="P1853" s="11">
        <v>0.0</v>
      </c>
      <c r="Q1853" s="14">
        <v>0.0</v>
      </c>
      <c r="R1853" s="41">
        <v>1.0</v>
      </c>
      <c r="S1853">
        <f t="shared" si="1"/>
        <v>2012</v>
      </c>
      <c r="T1853">
        <f t="shared" si="2"/>
        <v>1</v>
      </c>
      <c r="U1853">
        <f t="shared" si="3"/>
        <v>1</v>
      </c>
      <c r="AG1853" s="15"/>
      <c r="AH1853" s="16"/>
      <c r="AM1853" s="15"/>
      <c r="AN1853" s="16"/>
    </row>
    <row r="1854">
      <c r="A1854" s="13" t="s">
        <v>3448</v>
      </c>
      <c r="B1854" s="10">
        <v>40909.0</v>
      </c>
      <c r="C1854" s="11" t="s">
        <v>108</v>
      </c>
      <c r="D1854" s="11" t="s">
        <v>93</v>
      </c>
      <c r="E1854" s="30" t="s">
        <v>39</v>
      </c>
      <c r="F1854" s="11" t="s">
        <v>40</v>
      </c>
      <c r="G1854" s="30" t="s">
        <v>45</v>
      </c>
      <c r="H1854" s="11" t="s">
        <v>84</v>
      </c>
      <c r="I1854" s="11" t="s">
        <v>3449</v>
      </c>
      <c r="J1854" s="11">
        <v>21.0</v>
      </c>
      <c r="K1854" s="12">
        <v>41817.0</v>
      </c>
      <c r="L1854" s="30"/>
      <c r="M1854" s="11">
        <v>643244.0</v>
      </c>
      <c r="N1854" s="11" t="s">
        <v>3450</v>
      </c>
      <c r="P1854" s="11">
        <v>0.0</v>
      </c>
      <c r="Q1854" s="14">
        <v>0.0</v>
      </c>
      <c r="R1854" s="41">
        <v>1.0</v>
      </c>
      <c r="S1854">
        <f t="shared" si="1"/>
        <v>2012</v>
      </c>
      <c r="T1854">
        <f t="shared" si="2"/>
        <v>1</v>
      </c>
      <c r="U1854">
        <f t="shared" si="3"/>
        <v>1</v>
      </c>
      <c r="AG1854" s="15"/>
      <c r="AH1854" s="16"/>
      <c r="AM1854" s="15"/>
      <c r="AN1854" s="16"/>
    </row>
    <row r="1855">
      <c r="A1855" s="13" t="s">
        <v>3451</v>
      </c>
      <c r="B1855" s="10">
        <v>40909.0</v>
      </c>
      <c r="C1855" s="11" t="s">
        <v>274</v>
      </c>
      <c r="D1855" s="11" t="s">
        <v>93</v>
      </c>
      <c r="E1855" s="11" t="s">
        <v>39</v>
      </c>
      <c r="F1855" s="11" t="s">
        <v>40</v>
      </c>
      <c r="G1855" s="11" t="s">
        <v>45</v>
      </c>
      <c r="H1855" s="11" t="s">
        <v>67</v>
      </c>
      <c r="I1855" s="11" t="s">
        <v>3452</v>
      </c>
      <c r="J1855" s="11">
        <v>20.0</v>
      </c>
      <c r="K1855" s="12">
        <v>42180.0</v>
      </c>
      <c r="L1855" s="30"/>
      <c r="M1855" s="11">
        <v>664851.0</v>
      </c>
      <c r="N1855" s="11" t="s">
        <v>3453</v>
      </c>
      <c r="P1855" s="11">
        <v>0.0</v>
      </c>
      <c r="Q1855" s="14">
        <v>0.0</v>
      </c>
      <c r="R1855" s="41">
        <v>1.0</v>
      </c>
      <c r="S1855">
        <f t="shared" si="1"/>
        <v>2012</v>
      </c>
      <c r="T1855">
        <f t="shared" si="2"/>
        <v>1</v>
      </c>
      <c r="U1855">
        <f t="shared" si="3"/>
        <v>1</v>
      </c>
      <c r="AG1855" s="15"/>
      <c r="AH1855" s="16"/>
      <c r="AM1855" s="15"/>
      <c r="AN1855" s="16"/>
    </row>
    <row r="1856">
      <c r="A1856" s="13" t="s">
        <v>3454</v>
      </c>
      <c r="B1856" s="10">
        <v>40909.0</v>
      </c>
      <c r="C1856" s="11" t="s">
        <v>362</v>
      </c>
      <c r="D1856" s="11" t="s">
        <v>221</v>
      </c>
      <c r="E1856" s="41" t="s">
        <v>982</v>
      </c>
      <c r="F1856" s="11" t="s">
        <v>40</v>
      </c>
      <c r="G1856" s="41" t="s">
        <v>53</v>
      </c>
      <c r="H1856" s="30"/>
      <c r="I1856" s="30"/>
      <c r="J1856" s="11">
        <v>18.0</v>
      </c>
      <c r="K1856" s="12">
        <v>41426.0</v>
      </c>
      <c r="L1856" s="30"/>
      <c r="M1856" s="11">
        <v>605893.0</v>
      </c>
      <c r="N1856" s="11" t="s">
        <v>3455</v>
      </c>
      <c r="P1856" s="11">
        <v>0.0</v>
      </c>
      <c r="Q1856" s="14">
        <v>0.0</v>
      </c>
      <c r="R1856" s="11">
        <v>0.0</v>
      </c>
      <c r="S1856">
        <f t="shared" si="1"/>
        <v>2012</v>
      </c>
      <c r="T1856">
        <f t="shared" si="2"/>
        <v>1</v>
      </c>
      <c r="U1856">
        <f t="shared" si="3"/>
        <v>1</v>
      </c>
      <c r="AG1856" s="15"/>
      <c r="AH1856" s="16"/>
      <c r="AM1856" s="15"/>
      <c r="AN1856" s="16"/>
    </row>
    <row r="1857">
      <c r="A1857" s="13" t="s">
        <v>3456</v>
      </c>
      <c r="B1857" s="10">
        <v>40909.0</v>
      </c>
      <c r="C1857" s="11" t="s">
        <v>62</v>
      </c>
      <c r="D1857" s="11" t="s">
        <v>93</v>
      </c>
      <c r="E1857" s="11" t="s">
        <v>39</v>
      </c>
      <c r="F1857" s="11" t="s">
        <v>40</v>
      </c>
      <c r="G1857" s="11" t="s">
        <v>45</v>
      </c>
      <c r="H1857" s="11" t="s">
        <v>67</v>
      </c>
      <c r="I1857" s="11" t="s">
        <v>3457</v>
      </c>
      <c r="J1857" s="11">
        <v>18.0</v>
      </c>
      <c r="K1857" s="12">
        <v>41869.0</v>
      </c>
      <c r="L1857" s="11"/>
      <c r="M1857" s="11">
        <v>607588.0</v>
      </c>
      <c r="N1857" s="11" t="s">
        <v>3458</v>
      </c>
      <c r="O1857" s="10"/>
      <c r="P1857" s="11">
        <v>0.0</v>
      </c>
      <c r="Q1857" s="14">
        <v>0.0</v>
      </c>
      <c r="R1857" s="11">
        <v>1.0</v>
      </c>
      <c r="S1857">
        <f t="shared" si="1"/>
        <v>2012</v>
      </c>
      <c r="T1857">
        <f t="shared" si="2"/>
        <v>1</v>
      </c>
      <c r="U1857">
        <f t="shared" si="3"/>
        <v>1</v>
      </c>
      <c r="AG1857" s="15"/>
      <c r="AH1857" s="16"/>
      <c r="AM1857" s="15"/>
      <c r="AN1857" s="16"/>
    </row>
    <row r="1858">
      <c r="A1858" s="13" t="s">
        <v>3459</v>
      </c>
      <c r="B1858" s="10">
        <v>40909.0</v>
      </c>
      <c r="C1858" s="11" t="s">
        <v>156</v>
      </c>
      <c r="D1858" s="11" t="s">
        <v>93</v>
      </c>
      <c r="E1858" s="11" t="s">
        <v>39</v>
      </c>
      <c r="F1858" s="11" t="s">
        <v>40</v>
      </c>
      <c r="G1858" s="11" t="s">
        <v>45</v>
      </c>
      <c r="H1858" s="11" t="s">
        <v>56</v>
      </c>
      <c r="I1858" s="11" t="s">
        <v>736</v>
      </c>
      <c r="J1858" s="11">
        <v>20.0</v>
      </c>
      <c r="K1858" s="12">
        <v>41822.0</v>
      </c>
      <c r="L1858" s="11"/>
      <c r="M1858" s="11">
        <v>650574.0</v>
      </c>
      <c r="N1858" s="11" t="s">
        <v>3460</v>
      </c>
      <c r="O1858" s="10"/>
      <c r="P1858" s="11">
        <v>0.0</v>
      </c>
      <c r="Q1858" s="14">
        <v>0.0</v>
      </c>
      <c r="R1858" s="11">
        <v>1.0</v>
      </c>
      <c r="S1858">
        <f t="shared" si="1"/>
        <v>2012</v>
      </c>
      <c r="T1858">
        <f t="shared" si="2"/>
        <v>1</v>
      </c>
      <c r="U1858">
        <f t="shared" si="3"/>
        <v>1</v>
      </c>
      <c r="AG1858" s="15"/>
      <c r="AH1858" s="16"/>
      <c r="AM1858" s="15"/>
      <c r="AN1858" s="16"/>
    </row>
    <row r="1859">
      <c r="A1859" s="13" t="s">
        <v>2352</v>
      </c>
      <c r="B1859" s="10">
        <v>40909.0</v>
      </c>
      <c r="C1859" s="11" t="s">
        <v>186</v>
      </c>
      <c r="D1859" s="11" t="s">
        <v>93</v>
      </c>
      <c r="E1859" s="11" t="s">
        <v>39</v>
      </c>
      <c r="F1859" s="11" t="s">
        <v>40</v>
      </c>
      <c r="G1859" s="11" t="s">
        <v>45</v>
      </c>
      <c r="H1859" s="11" t="s">
        <v>566</v>
      </c>
      <c r="I1859" s="11" t="s">
        <v>476</v>
      </c>
      <c r="J1859" s="11">
        <v>19.0</v>
      </c>
      <c r="K1859" s="12">
        <v>41806.0</v>
      </c>
      <c r="L1859" s="11"/>
      <c r="M1859" s="11">
        <v>657710.0</v>
      </c>
      <c r="N1859" s="11" t="s">
        <v>2353</v>
      </c>
      <c r="O1859" s="10"/>
      <c r="P1859" s="11">
        <v>0.0</v>
      </c>
      <c r="Q1859" s="14">
        <v>0.0</v>
      </c>
      <c r="R1859" s="41">
        <v>1.0</v>
      </c>
      <c r="S1859">
        <f t="shared" si="1"/>
        <v>2012</v>
      </c>
      <c r="T1859">
        <f t="shared" si="2"/>
        <v>1</v>
      </c>
      <c r="U1859">
        <f t="shared" si="3"/>
        <v>1</v>
      </c>
      <c r="AG1859" s="15"/>
      <c r="AH1859" s="16"/>
      <c r="AM1859" s="15"/>
      <c r="AN1859" s="16"/>
    </row>
    <row r="1860">
      <c r="A1860" s="13" t="s">
        <v>2321</v>
      </c>
      <c r="B1860" s="10">
        <v>40909.0</v>
      </c>
      <c r="C1860" s="11" t="s">
        <v>76</v>
      </c>
      <c r="D1860" s="11" t="s">
        <v>213</v>
      </c>
      <c r="E1860" s="11" t="s">
        <v>39</v>
      </c>
      <c r="F1860" s="11" t="s">
        <v>40</v>
      </c>
      <c r="G1860" s="11" t="s">
        <v>45</v>
      </c>
      <c r="H1860" s="11" t="s">
        <v>262</v>
      </c>
      <c r="I1860" s="11" t="s">
        <v>262</v>
      </c>
      <c r="J1860" s="11">
        <v>18.0</v>
      </c>
      <c r="K1860" s="12">
        <v>42182.0</v>
      </c>
      <c r="L1860" s="11"/>
      <c r="M1860" s="11">
        <v>622230.0</v>
      </c>
      <c r="N1860" s="11" t="s">
        <v>2322</v>
      </c>
      <c r="O1860" s="10"/>
      <c r="P1860" s="11">
        <v>0.0</v>
      </c>
      <c r="Q1860" s="14">
        <v>0.0</v>
      </c>
      <c r="R1860" s="41">
        <v>1.0</v>
      </c>
      <c r="S1860">
        <f t="shared" si="1"/>
        <v>2012</v>
      </c>
      <c r="T1860">
        <f t="shared" si="2"/>
        <v>1</v>
      </c>
      <c r="U1860">
        <f t="shared" si="3"/>
        <v>1</v>
      </c>
      <c r="AG1860" s="15"/>
      <c r="AH1860" s="16"/>
      <c r="AM1860" s="15"/>
      <c r="AN1860" s="16"/>
    </row>
    <row r="1861">
      <c r="A1861" s="19" t="s">
        <v>3461</v>
      </c>
      <c r="B1861" s="20">
        <v>40879.0</v>
      </c>
      <c r="C1861" s="21" t="s">
        <v>156</v>
      </c>
      <c r="D1861" s="21" t="s">
        <v>93</v>
      </c>
      <c r="E1861" s="21" t="s">
        <v>39</v>
      </c>
      <c r="F1861" s="21" t="s">
        <v>40</v>
      </c>
      <c r="G1861" s="21" t="s">
        <v>45</v>
      </c>
      <c r="H1861" s="21" t="s">
        <v>59</v>
      </c>
      <c r="I1861" s="21" t="s">
        <v>3462</v>
      </c>
      <c r="J1861" s="21">
        <v>19.0</v>
      </c>
      <c r="K1861" s="22">
        <v>41442.0</v>
      </c>
      <c r="L1861" s="19"/>
      <c r="M1861" s="21">
        <v>621289.0</v>
      </c>
      <c r="N1861" s="21">
        <v>15066.0</v>
      </c>
      <c r="O1861" s="35"/>
      <c r="P1861" s="21">
        <v>0.0</v>
      </c>
      <c r="Q1861" s="23">
        <v>0.0</v>
      </c>
      <c r="R1861" s="21">
        <v>1.0</v>
      </c>
      <c r="S1861" s="33">
        <f t="shared" si="1"/>
        <v>2011</v>
      </c>
      <c r="T1861" s="33">
        <f t="shared" si="2"/>
        <v>12</v>
      </c>
      <c r="U1861" s="33">
        <f t="shared" si="3"/>
        <v>2</v>
      </c>
      <c r="V1861" s="24"/>
      <c r="W1861" s="24"/>
      <c r="X1861" s="24"/>
      <c r="Y1861" s="24"/>
      <c r="Z1861" s="24"/>
      <c r="AA1861" s="24"/>
      <c r="AB1861" s="24"/>
      <c r="AC1861" s="24"/>
      <c r="AD1861" s="24"/>
      <c r="AE1861" s="24"/>
      <c r="AF1861" s="24"/>
      <c r="AG1861" s="26"/>
      <c r="AH1861" s="27"/>
      <c r="AI1861" s="24"/>
      <c r="AJ1861" s="24"/>
      <c r="AK1861" s="24"/>
      <c r="AL1861" s="24"/>
      <c r="AM1861" s="26"/>
      <c r="AN1861" s="27"/>
      <c r="AO1861" s="24"/>
      <c r="AP1861" s="24"/>
    </row>
    <row r="1862">
      <c r="A1862" s="13" t="s">
        <v>3463</v>
      </c>
      <c r="B1862" s="10">
        <v>40874.0</v>
      </c>
      <c r="C1862" s="11" t="s">
        <v>44</v>
      </c>
      <c r="D1862" s="11" t="s">
        <v>213</v>
      </c>
      <c r="E1862" s="11" t="s">
        <v>39</v>
      </c>
      <c r="F1862" s="11" t="s">
        <v>3464</v>
      </c>
      <c r="G1862" s="11" t="s">
        <v>45</v>
      </c>
      <c r="H1862" s="11" t="s">
        <v>73</v>
      </c>
      <c r="I1862" s="11" t="s">
        <v>3465</v>
      </c>
      <c r="J1862" s="11">
        <v>17.0</v>
      </c>
      <c r="K1862" s="12">
        <v>42177.0</v>
      </c>
      <c r="L1862" s="11"/>
      <c r="M1862" s="11">
        <v>664147.0</v>
      </c>
      <c r="N1862" s="11" t="s">
        <v>3466</v>
      </c>
      <c r="O1862" s="10"/>
      <c r="P1862" s="11">
        <v>0.0</v>
      </c>
      <c r="Q1862" s="14">
        <v>0.0</v>
      </c>
      <c r="R1862" s="41">
        <v>1.0</v>
      </c>
      <c r="S1862">
        <f t="shared" si="1"/>
        <v>2011</v>
      </c>
      <c r="T1862">
        <f t="shared" si="2"/>
        <v>11</v>
      </c>
      <c r="U1862">
        <f t="shared" si="3"/>
        <v>27</v>
      </c>
      <c r="AG1862" s="15"/>
      <c r="AH1862" s="16"/>
      <c r="AM1862" s="15"/>
      <c r="AN1862" s="16"/>
    </row>
    <row r="1863">
      <c r="A1863" s="13" t="s">
        <v>3467</v>
      </c>
      <c r="B1863" s="10">
        <v>40863.0</v>
      </c>
      <c r="C1863" s="11" t="s">
        <v>192</v>
      </c>
      <c r="D1863" s="11" t="s">
        <v>93</v>
      </c>
      <c r="E1863" s="11" t="s">
        <v>39</v>
      </c>
      <c r="F1863" s="11" t="s">
        <v>40</v>
      </c>
      <c r="G1863" s="11" t="s">
        <v>45</v>
      </c>
      <c r="H1863" s="11" t="s">
        <v>67</v>
      </c>
      <c r="I1863" s="11" t="s">
        <v>3452</v>
      </c>
      <c r="J1863" s="11">
        <v>19.0</v>
      </c>
      <c r="K1863" s="12">
        <v>41863.0</v>
      </c>
      <c r="L1863" s="11"/>
      <c r="M1863" s="11">
        <v>642030.0</v>
      </c>
      <c r="N1863" s="11" t="s">
        <v>3468</v>
      </c>
      <c r="O1863" s="10"/>
      <c r="P1863" s="11">
        <v>0.0</v>
      </c>
      <c r="Q1863" s="14">
        <v>0.0</v>
      </c>
      <c r="R1863" s="11">
        <v>0.0</v>
      </c>
      <c r="S1863">
        <f t="shared" si="1"/>
        <v>2011</v>
      </c>
      <c r="T1863">
        <f t="shared" si="2"/>
        <v>11</v>
      </c>
      <c r="U1863">
        <f t="shared" si="3"/>
        <v>16</v>
      </c>
      <c r="AG1863" s="15"/>
      <c r="AH1863" s="16"/>
      <c r="AM1863" s="15"/>
      <c r="AN1863" s="16"/>
    </row>
    <row r="1864">
      <c r="A1864" s="13" t="s">
        <v>3469</v>
      </c>
      <c r="B1864" s="10">
        <v>40848.0</v>
      </c>
      <c r="C1864" s="11" t="s">
        <v>72</v>
      </c>
      <c r="D1864" s="11" t="s">
        <v>38</v>
      </c>
      <c r="E1864" s="30" t="s">
        <v>39</v>
      </c>
      <c r="F1864" s="11" t="s">
        <v>40</v>
      </c>
      <c r="G1864" s="30" t="s">
        <v>45</v>
      </c>
      <c r="H1864" s="11" t="s">
        <v>56</v>
      </c>
      <c r="I1864" s="11" t="s">
        <v>3470</v>
      </c>
      <c r="J1864" s="11">
        <v>32.0</v>
      </c>
      <c r="K1864" s="12">
        <v>41370.0</v>
      </c>
      <c r="L1864" s="11">
        <f t="shared" ref="L1864:L1869" si="196">ROUND(((K1864-B1864)/365)*12,0)</f>
        <v>17</v>
      </c>
      <c r="M1864" s="11">
        <v>407793.0</v>
      </c>
      <c r="N1864" s="11">
        <v>1507.0</v>
      </c>
      <c r="O1864" s="13" t="s">
        <v>3309</v>
      </c>
      <c r="P1864" s="11">
        <v>153.0</v>
      </c>
      <c r="Q1864" s="14">
        <v>964.333</v>
      </c>
      <c r="R1864" s="41">
        <v>1.0</v>
      </c>
      <c r="S1864">
        <f t="shared" si="1"/>
        <v>2011</v>
      </c>
      <c r="T1864">
        <f t="shared" si="2"/>
        <v>11</v>
      </c>
      <c r="U1864">
        <f t="shared" si="3"/>
        <v>1</v>
      </c>
      <c r="V1864" s="13"/>
      <c r="W1864" s="13"/>
      <c r="X1864" s="13"/>
      <c r="Y1864" s="13"/>
      <c r="Z1864" s="13"/>
      <c r="AA1864" s="13"/>
      <c r="AB1864" s="13"/>
      <c r="AC1864" s="13"/>
      <c r="AD1864" s="13"/>
      <c r="AE1864" s="13">
        <v>28.0</v>
      </c>
      <c r="AF1864" s="13">
        <v>28.0</v>
      </c>
      <c r="AG1864" s="50">
        <v>160.0</v>
      </c>
      <c r="AH1864" s="51">
        <v>0.07</v>
      </c>
      <c r="AI1864" s="13">
        <v>151.0</v>
      </c>
      <c r="AJ1864" s="13">
        <v>118.0</v>
      </c>
      <c r="AK1864" s="13">
        <v>29.0</v>
      </c>
      <c r="AL1864" s="13">
        <v>29.0</v>
      </c>
      <c r="AM1864" s="50">
        <v>189.333</v>
      </c>
      <c r="AN1864" s="51">
        <v>0.156</v>
      </c>
      <c r="AO1864" s="13">
        <v>85.0</v>
      </c>
      <c r="AP1864" s="13">
        <v>99.0</v>
      </c>
    </row>
    <row r="1865">
      <c r="A1865" s="13" t="s">
        <v>3471</v>
      </c>
      <c r="B1865" s="10">
        <v>40817.0</v>
      </c>
      <c r="C1865" s="11" t="s">
        <v>175</v>
      </c>
      <c r="D1865" s="11" t="s">
        <v>709</v>
      </c>
      <c r="E1865" s="11" t="s">
        <v>39</v>
      </c>
      <c r="F1865" s="11" t="s">
        <v>40</v>
      </c>
      <c r="G1865" s="11" t="s">
        <v>53</v>
      </c>
      <c r="H1865" s="30"/>
      <c r="I1865" s="30"/>
      <c r="J1865" s="11">
        <v>23.0</v>
      </c>
      <c r="K1865" s="12">
        <v>41368.0</v>
      </c>
      <c r="L1865" s="11">
        <f t="shared" si="196"/>
        <v>18</v>
      </c>
      <c r="M1865" s="11">
        <v>599998.0</v>
      </c>
      <c r="N1865" s="11">
        <v>12277.0</v>
      </c>
      <c r="O1865" s="13"/>
      <c r="P1865" s="11">
        <v>38.0</v>
      </c>
      <c r="Q1865" s="14">
        <v>43.667</v>
      </c>
      <c r="R1865" s="41">
        <v>1.0</v>
      </c>
      <c r="S1865">
        <f t="shared" si="1"/>
        <v>2011</v>
      </c>
      <c r="T1865">
        <f t="shared" si="2"/>
        <v>10</v>
      </c>
      <c r="U1865">
        <f t="shared" si="3"/>
        <v>1</v>
      </c>
      <c r="AG1865" s="15"/>
      <c r="AH1865" s="16"/>
      <c r="AM1865" s="15"/>
      <c r="AN1865" s="16"/>
    </row>
    <row r="1866">
      <c r="A1866" s="13" t="s">
        <v>3472</v>
      </c>
      <c r="B1866" s="10">
        <v>40800.0</v>
      </c>
      <c r="C1866" s="11" t="s">
        <v>44</v>
      </c>
      <c r="D1866" s="11" t="s">
        <v>38</v>
      </c>
      <c r="E1866" s="30" t="s">
        <v>39</v>
      </c>
      <c r="F1866" s="11" t="s">
        <v>40</v>
      </c>
      <c r="G1866" s="41" t="s">
        <v>53</v>
      </c>
      <c r="H1866" s="30"/>
      <c r="I1866" s="30"/>
      <c r="J1866" s="11">
        <v>24.0</v>
      </c>
      <c r="K1866" s="12">
        <v>41373.0</v>
      </c>
      <c r="L1866" s="11">
        <f t="shared" si="196"/>
        <v>19</v>
      </c>
      <c r="M1866" s="11">
        <v>471911.0</v>
      </c>
      <c r="N1866" s="11">
        <v>6632.0</v>
      </c>
      <c r="O1866" s="13" t="s">
        <v>1407</v>
      </c>
      <c r="P1866" s="11">
        <v>142.0</v>
      </c>
      <c r="Q1866" s="14">
        <v>710.667</v>
      </c>
      <c r="R1866" s="41">
        <v>1.0</v>
      </c>
      <c r="S1866">
        <f t="shared" si="1"/>
        <v>2011</v>
      </c>
      <c r="T1866">
        <f t="shared" si="2"/>
        <v>9</v>
      </c>
      <c r="U1866">
        <f t="shared" si="3"/>
        <v>14</v>
      </c>
      <c r="V1866" s="13"/>
      <c r="W1866" s="13"/>
      <c r="X1866" s="13"/>
      <c r="Y1866" s="13"/>
      <c r="Z1866" s="13"/>
      <c r="AA1866" s="13"/>
      <c r="AB1866" s="13"/>
      <c r="AC1866" s="13"/>
      <c r="AD1866" s="13"/>
      <c r="AE1866" s="13">
        <v>21.0</v>
      </c>
      <c r="AF1866" s="13">
        <v>21.0</v>
      </c>
      <c r="AG1866" s="50">
        <v>124.667</v>
      </c>
      <c r="AH1866" s="51">
        <v>0.084</v>
      </c>
      <c r="AI1866" s="13">
        <v>118.0</v>
      </c>
      <c r="AJ1866" s="13">
        <v>107.0</v>
      </c>
      <c r="AK1866" s="13">
        <v>15.0</v>
      </c>
      <c r="AL1866" s="13">
        <v>7.0</v>
      </c>
      <c r="AM1866" s="50">
        <v>46.667</v>
      </c>
      <c r="AN1866" s="51">
        <v>0.055</v>
      </c>
      <c r="AO1866" s="13">
        <v>174.0</v>
      </c>
      <c r="AP1866" s="13">
        <v>104.0</v>
      </c>
    </row>
    <row r="1867">
      <c r="A1867" s="13" t="s">
        <v>3473</v>
      </c>
      <c r="B1867" s="10">
        <v>40793.0</v>
      </c>
      <c r="C1867" s="11" t="s">
        <v>103</v>
      </c>
      <c r="D1867" s="11" t="s">
        <v>58</v>
      </c>
      <c r="E1867" s="30" t="s">
        <v>39</v>
      </c>
      <c r="F1867" s="11" t="s">
        <v>40</v>
      </c>
      <c r="G1867" s="30" t="s">
        <v>45</v>
      </c>
      <c r="H1867" s="11" t="s">
        <v>412</v>
      </c>
      <c r="I1867" s="11" t="s">
        <v>2744</v>
      </c>
      <c r="J1867" s="11">
        <v>23.0</v>
      </c>
      <c r="K1867" s="12">
        <v>41146.0</v>
      </c>
      <c r="L1867" s="11">
        <f t="shared" si="196"/>
        <v>12</v>
      </c>
      <c r="M1867" s="11">
        <v>502043.0</v>
      </c>
      <c r="N1867" s="11">
        <v>10123.0</v>
      </c>
      <c r="O1867" s="13" t="s">
        <v>1407</v>
      </c>
      <c r="P1867" s="11">
        <v>127.0</v>
      </c>
      <c r="Q1867" s="14">
        <v>730.333</v>
      </c>
      <c r="R1867" s="41">
        <v>1.0</v>
      </c>
      <c r="S1867">
        <f t="shared" si="1"/>
        <v>2011</v>
      </c>
      <c r="T1867">
        <f t="shared" si="2"/>
        <v>9</v>
      </c>
      <c r="U1867">
        <f t="shared" si="3"/>
        <v>7</v>
      </c>
      <c r="AG1867" s="15"/>
      <c r="AH1867" s="16"/>
      <c r="AM1867" s="15"/>
      <c r="AN1867" s="16"/>
    </row>
    <row r="1868">
      <c r="A1868" s="13" t="s">
        <v>2368</v>
      </c>
      <c r="B1868" s="10">
        <v>40793.0</v>
      </c>
      <c r="C1868" s="11" t="s">
        <v>76</v>
      </c>
      <c r="D1868" s="11" t="s">
        <v>97</v>
      </c>
      <c r="E1868" s="30" t="s">
        <v>39</v>
      </c>
      <c r="F1868" s="11" t="s">
        <v>40</v>
      </c>
      <c r="G1868" s="30" t="s">
        <v>45</v>
      </c>
      <c r="H1868" s="11" t="s">
        <v>84</v>
      </c>
      <c r="I1868" s="11" t="s">
        <v>2369</v>
      </c>
      <c r="J1868" s="11">
        <v>22.0</v>
      </c>
      <c r="K1868" s="12">
        <v>41110.0</v>
      </c>
      <c r="L1868" s="11">
        <f t="shared" si="196"/>
        <v>10</v>
      </c>
      <c r="M1868" s="11">
        <v>518863.0</v>
      </c>
      <c r="N1868" s="11">
        <v>10466.0</v>
      </c>
      <c r="P1868" s="11">
        <v>18.0</v>
      </c>
      <c r="Q1868" s="14">
        <v>94.333</v>
      </c>
      <c r="R1868" s="41">
        <v>0.0</v>
      </c>
      <c r="S1868">
        <f t="shared" si="1"/>
        <v>2011</v>
      </c>
      <c r="T1868">
        <f t="shared" si="2"/>
        <v>9</v>
      </c>
      <c r="U1868">
        <f t="shared" si="3"/>
        <v>7</v>
      </c>
      <c r="AG1868" s="15"/>
      <c r="AH1868" s="16"/>
      <c r="AM1868" s="15"/>
      <c r="AN1868" s="16"/>
    </row>
    <row r="1869">
      <c r="A1869" s="13" t="s">
        <v>3474</v>
      </c>
      <c r="B1869" s="10">
        <v>40792.0</v>
      </c>
      <c r="C1869" s="11" t="s">
        <v>101</v>
      </c>
      <c r="D1869" s="11" t="s">
        <v>38</v>
      </c>
      <c r="E1869" s="30" t="s">
        <v>39</v>
      </c>
      <c r="F1869" s="11" t="s">
        <v>40</v>
      </c>
      <c r="G1869" s="41" t="s">
        <v>53</v>
      </c>
      <c r="H1869" s="30"/>
      <c r="I1869" s="30"/>
      <c r="J1869" s="11">
        <v>27.0</v>
      </c>
      <c r="K1869" s="12">
        <v>41367.0</v>
      </c>
      <c r="L1869" s="11">
        <f t="shared" si="196"/>
        <v>19</v>
      </c>
      <c r="M1869" s="11">
        <v>434641.0</v>
      </c>
      <c r="N1869" s="11">
        <v>3265.0</v>
      </c>
      <c r="P1869" s="11">
        <v>114.0</v>
      </c>
      <c r="Q1869" s="45">
        <v>119.0</v>
      </c>
      <c r="R1869" s="41">
        <v>1.0</v>
      </c>
      <c r="S1869">
        <f t="shared" si="1"/>
        <v>2011</v>
      </c>
      <c r="T1869">
        <f t="shared" si="2"/>
        <v>9</v>
      </c>
      <c r="U1869">
        <f t="shared" si="3"/>
        <v>6</v>
      </c>
      <c r="AG1869" s="15"/>
      <c r="AH1869" s="16"/>
      <c r="AM1869" s="15"/>
      <c r="AN1869" s="16"/>
    </row>
    <row r="1870">
      <c r="A1870" s="13" t="s">
        <v>3475</v>
      </c>
      <c r="B1870" s="10">
        <v>40786.0</v>
      </c>
      <c r="C1870" s="11" t="s">
        <v>143</v>
      </c>
      <c r="D1870" s="11" t="s">
        <v>38</v>
      </c>
      <c r="E1870" s="30" t="s">
        <v>39</v>
      </c>
      <c r="F1870" s="11" t="s">
        <v>40</v>
      </c>
      <c r="G1870" s="41" t="s">
        <v>41</v>
      </c>
      <c r="H1870" s="30"/>
      <c r="I1870" s="30"/>
      <c r="J1870" s="11">
        <v>29.0</v>
      </c>
      <c r="K1870" s="30"/>
      <c r="L1870" s="30"/>
      <c r="M1870" s="11">
        <v>430640.0</v>
      </c>
      <c r="N1870" s="11">
        <v>4573.0</v>
      </c>
      <c r="P1870" s="11">
        <v>0.0</v>
      </c>
      <c r="Q1870" s="45">
        <v>0.0</v>
      </c>
      <c r="R1870" s="41">
        <v>0.0</v>
      </c>
      <c r="S1870">
        <f t="shared" si="1"/>
        <v>2011</v>
      </c>
      <c r="T1870">
        <f t="shared" si="2"/>
        <v>8</v>
      </c>
      <c r="U1870">
        <f t="shared" si="3"/>
        <v>31</v>
      </c>
      <c r="AG1870" s="15"/>
      <c r="AH1870" s="16"/>
      <c r="AM1870" s="15"/>
      <c r="AN1870" s="16"/>
    </row>
    <row r="1871">
      <c r="A1871" s="13" t="s">
        <v>3476</v>
      </c>
      <c r="B1871" s="10">
        <v>40767.0</v>
      </c>
      <c r="C1871" s="11" t="s">
        <v>162</v>
      </c>
      <c r="D1871" s="11" t="s">
        <v>38</v>
      </c>
      <c r="E1871" s="41" t="s">
        <v>982</v>
      </c>
      <c r="F1871" s="11" t="s">
        <v>271</v>
      </c>
      <c r="G1871" s="30" t="s">
        <v>45</v>
      </c>
      <c r="H1871" s="11" t="s">
        <v>262</v>
      </c>
      <c r="I1871" s="11" t="s">
        <v>159</v>
      </c>
      <c r="J1871" s="11">
        <v>25.0</v>
      </c>
      <c r="K1871" s="12">
        <v>41004.0</v>
      </c>
      <c r="L1871" s="11">
        <f t="shared" ref="L1871:L1874" si="197">ROUND(((K1871-B1871)/365)*12,0)</f>
        <v>8</v>
      </c>
      <c r="M1871" s="11">
        <v>446359.0</v>
      </c>
      <c r="N1871" s="11">
        <v>2616.0</v>
      </c>
      <c r="O1871" s="13" t="s">
        <v>355</v>
      </c>
      <c r="P1871" s="11">
        <v>732.0</v>
      </c>
      <c r="Q1871" s="14">
        <v>2990.0</v>
      </c>
      <c r="R1871" s="41">
        <v>1.0</v>
      </c>
      <c r="S1871">
        <f t="shared" si="1"/>
        <v>2011</v>
      </c>
      <c r="T1871">
        <f t="shared" si="2"/>
        <v>8</v>
      </c>
      <c r="U1871">
        <f t="shared" si="3"/>
        <v>12</v>
      </c>
      <c r="AG1871" s="15"/>
      <c r="AH1871" s="16"/>
      <c r="AM1871" s="15"/>
      <c r="AN1871" s="16"/>
    </row>
    <row r="1872">
      <c r="A1872" s="13" t="s">
        <v>2011</v>
      </c>
      <c r="B1872" s="10">
        <v>40764.0</v>
      </c>
      <c r="C1872" s="11" t="s">
        <v>126</v>
      </c>
      <c r="D1872" s="11" t="s">
        <v>38</v>
      </c>
      <c r="E1872" s="30" t="s">
        <v>39</v>
      </c>
      <c r="F1872" s="11" t="s">
        <v>40</v>
      </c>
      <c r="G1872" s="41" t="s">
        <v>41</v>
      </c>
      <c r="H1872" s="30"/>
      <c r="I1872" s="30"/>
      <c r="J1872" s="11">
        <v>22.0</v>
      </c>
      <c r="K1872" s="12">
        <v>41143.0</v>
      </c>
      <c r="L1872" s="11">
        <f t="shared" si="197"/>
        <v>12</v>
      </c>
      <c r="M1872" s="11">
        <v>523989.0</v>
      </c>
      <c r="N1872" s="11">
        <v>3862.0</v>
      </c>
      <c r="O1872" s="13" t="s">
        <v>761</v>
      </c>
      <c r="P1872" s="11">
        <v>85.0</v>
      </c>
      <c r="Q1872" s="14">
        <v>360.667</v>
      </c>
      <c r="R1872" s="41">
        <v>1.0</v>
      </c>
      <c r="S1872">
        <f t="shared" si="1"/>
        <v>2011</v>
      </c>
      <c r="T1872">
        <f t="shared" si="2"/>
        <v>8</v>
      </c>
      <c r="U1872">
        <f t="shared" si="3"/>
        <v>9</v>
      </c>
      <c r="V1872" s="13"/>
      <c r="W1872" s="13"/>
      <c r="X1872" s="13"/>
      <c r="Y1872" s="13"/>
      <c r="Z1872" s="17"/>
      <c r="AA1872" s="13"/>
      <c r="AB1872" s="13"/>
      <c r="AC1872" s="13"/>
      <c r="AD1872" s="13"/>
      <c r="AE1872" s="13">
        <v>13.0</v>
      </c>
      <c r="AF1872" s="13">
        <v>10.0</v>
      </c>
      <c r="AG1872" s="50">
        <v>60.667</v>
      </c>
      <c r="AH1872" s="51">
        <v>0.114</v>
      </c>
      <c r="AI1872" s="13">
        <v>102.0</v>
      </c>
      <c r="AJ1872" s="13">
        <v>102.0</v>
      </c>
      <c r="AK1872" s="13">
        <v>1.0</v>
      </c>
      <c r="AL1872" s="13">
        <v>0.0</v>
      </c>
      <c r="AM1872" s="50">
        <v>0.667</v>
      </c>
      <c r="AN1872" s="51">
        <v>-0.5</v>
      </c>
      <c r="AO1872" s="13">
        <v>712.0</v>
      </c>
      <c r="AP1872" s="13">
        <v>311.0</v>
      </c>
    </row>
    <row r="1873">
      <c r="A1873" s="13" t="s">
        <v>3477</v>
      </c>
      <c r="B1873" s="10">
        <v>40760.0</v>
      </c>
      <c r="C1873" s="11" t="s">
        <v>175</v>
      </c>
      <c r="D1873" s="11" t="s">
        <v>38</v>
      </c>
      <c r="E1873" s="11" t="s">
        <v>118</v>
      </c>
      <c r="F1873" s="11" t="s">
        <v>64</v>
      </c>
      <c r="G1873" s="30" t="s">
        <v>45</v>
      </c>
      <c r="H1873" s="11" t="s">
        <v>56</v>
      </c>
      <c r="I1873" s="11" t="s">
        <v>3478</v>
      </c>
      <c r="J1873" s="11">
        <v>32.0</v>
      </c>
      <c r="K1873" s="12">
        <v>41433.0</v>
      </c>
      <c r="L1873" s="11">
        <f t="shared" si="197"/>
        <v>22</v>
      </c>
      <c r="M1873" s="11">
        <v>425547.0</v>
      </c>
      <c r="N1873" s="11">
        <v>1885.0</v>
      </c>
      <c r="O1873" s="13" t="s">
        <v>2884</v>
      </c>
      <c r="P1873" s="11">
        <v>17.0</v>
      </c>
      <c r="Q1873" s="45">
        <v>32.0</v>
      </c>
      <c r="R1873" s="41">
        <v>0.0</v>
      </c>
      <c r="S1873">
        <f t="shared" si="1"/>
        <v>2011</v>
      </c>
      <c r="T1873">
        <f t="shared" si="2"/>
        <v>8</v>
      </c>
      <c r="U1873">
        <f t="shared" si="3"/>
        <v>5</v>
      </c>
      <c r="AG1873" s="15"/>
      <c r="AH1873" s="16"/>
      <c r="AM1873" s="15"/>
      <c r="AN1873" s="16"/>
    </row>
    <row r="1874">
      <c r="A1874" s="13" t="s">
        <v>3479</v>
      </c>
      <c r="B1874" s="10">
        <v>40756.0</v>
      </c>
      <c r="C1874" s="11" t="s">
        <v>116</v>
      </c>
      <c r="D1874" s="11" t="s">
        <v>93</v>
      </c>
      <c r="E1874" s="30" t="s">
        <v>39</v>
      </c>
      <c r="F1874" s="11" t="s">
        <v>40</v>
      </c>
      <c r="G1874" s="30" t="s">
        <v>45</v>
      </c>
      <c r="H1874" s="11" t="s">
        <v>56</v>
      </c>
      <c r="I1874" s="11" t="s">
        <v>379</v>
      </c>
      <c r="J1874" s="11">
        <v>19.0</v>
      </c>
      <c r="K1874" s="12">
        <v>41460.0</v>
      </c>
      <c r="L1874" s="11">
        <f t="shared" si="197"/>
        <v>23</v>
      </c>
      <c r="M1874" s="11">
        <v>592422.0</v>
      </c>
      <c r="N1874" s="11">
        <v>14914.0</v>
      </c>
      <c r="P1874" s="11">
        <v>11.0</v>
      </c>
      <c r="Q1874" s="14">
        <v>12.0</v>
      </c>
      <c r="R1874" s="41">
        <v>1.0</v>
      </c>
      <c r="S1874">
        <f t="shared" si="1"/>
        <v>2011</v>
      </c>
      <c r="T1874">
        <f t="shared" si="2"/>
        <v>8</v>
      </c>
      <c r="U1874">
        <f t="shared" si="3"/>
        <v>1</v>
      </c>
      <c r="AG1874" s="15"/>
      <c r="AH1874" s="16"/>
      <c r="AM1874" s="15"/>
      <c r="AN1874" s="16"/>
    </row>
    <row r="1875">
      <c r="A1875" s="13" t="s">
        <v>3480</v>
      </c>
      <c r="B1875" s="10">
        <v>40756.0</v>
      </c>
      <c r="C1875" s="11" t="s">
        <v>72</v>
      </c>
      <c r="D1875" s="11" t="s">
        <v>93</v>
      </c>
      <c r="E1875" s="11" t="s">
        <v>39</v>
      </c>
      <c r="F1875" s="11" t="s">
        <v>40</v>
      </c>
      <c r="G1875" s="11" t="s">
        <v>45</v>
      </c>
      <c r="H1875" s="11" t="s">
        <v>56</v>
      </c>
      <c r="I1875" s="11" t="s">
        <v>3481</v>
      </c>
      <c r="J1875" s="11">
        <v>22.0</v>
      </c>
      <c r="K1875" s="12">
        <v>41840.0</v>
      </c>
      <c r="L1875" s="11"/>
      <c r="M1875" s="11">
        <v>658792.0</v>
      </c>
      <c r="N1875" s="11">
        <v>16904.0</v>
      </c>
      <c r="O1875" s="13" t="s">
        <v>3482</v>
      </c>
      <c r="P1875" s="11">
        <v>3.0</v>
      </c>
      <c r="Q1875" s="14">
        <v>10.333</v>
      </c>
      <c r="R1875" s="41">
        <v>1.0</v>
      </c>
      <c r="S1875">
        <f t="shared" si="1"/>
        <v>2011</v>
      </c>
      <c r="T1875">
        <f t="shared" si="2"/>
        <v>8</v>
      </c>
      <c r="U1875">
        <f t="shared" si="3"/>
        <v>1</v>
      </c>
      <c r="AG1875" s="15"/>
      <c r="AH1875" s="16"/>
      <c r="AM1875" s="15"/>
      <c r="AN1875" s="16"/>
    </row>
    <row r="1876">
      <c r="A1876" s="13" t="s">
        <v>3483</v>
      </c>
      <c r="B1876" s="10">
        <v>40756.0</v>
      </c>
      <c r="C1876" s="11" t="s">
        <v>52</v>
      </c>
      <c r="D1876" s="11" t="s">
        <v>97</v>
      </c>
      <c r="E1876" s="30" t="s">
        <v>39</v>
      </c>
      <c r="F1876" s="11" t="s">
        <v>40</v>
      </c>
      <c r="G1876" s="41" t="s">
        <v>245</v>
      </c>
      <c r="H1876" s="30"/>
      <c r="I1876" s="30"/>
      <c r="J1876" s="11">
        <v>25.0</v>
      </c>
      <c r="K1876" s="12">
        <v>41114.0</v>
      </c>
      <c r="L1876" s="11">
        <f t="shared" ref="L1876:L1878" si="198">ROUND(((K1876-B1876)/365)*12,0)</f>
        <v>12</v>
      </c>
      <c r="M1876" s="11">
        <v>547568.0</v>
      </c>
      <c r="N1876" s="11">
        <v>5440.0</v>
      </c>
      <c r="P1876" s="11">
        <v>19.0</v>
      </c>
      <c r="Q1876" s="14">
        <v>19.333</v>
      </c>
      <c r="R1876" s="41">
        <v>0.0</v>
      </c>
      <c r="S1876">
        <f t="shared" si="1"/>
        <v>2011</v>
      </c>
      <c r="T1876">
        <f t="shared" si="2"/>
        <v>8</v>
      </c>
      <c r="U1876">
        <f t="shared" si="3"/>
        <v>1</v>
      </c>
      <c r="AG1876" s="15"/>
      <c r="AH1876" s="16"/>
      <c r="AM1876" s="15"/>
      <c r="AN1876" s="16"/>
    </row>
    <row r="1877">
      <c r="A1877" s="13" t="s">
        <v>3217</v>
      </c>
      <c r="B1877" s="10">
        <v>40756.0</v>
      </c>
      <c r="C1877" s="11" t="s">
        <v>126</v>
      </c>
      <c r="D1877" s="11" t="s">
        <v>221</v>
      </c>
      <c r="E1877" s="30" t="s">
        <v>39</v>
      </c>
      <c r="F1877" s="11" t="s">
        <v>40</v>
      </c>
      <c r="G1877" s="30" t="s">
        <v>45</v>
      </c>
      <c r="H1877" s="11" t="s">
        <v>129</v>
      </c>
      <c r="I1877" s="11" t="s">
        <v>2226</v>
      </c>
      <c r="J1877" s="11">
        <v>21.0</v>
      </c>
      <c r="K1877" s="12">
        <v>41806.0</v>
      </c>
      <c r="L1877" s="11">
        <f t="shared" si="198"/>
        <v>35</v>
      </c>
      <c r="M1877" s="11">
        <v>607306.0</v>
      </c>
      <c r="N1877" s="11" t="s">
        <v>3218</v>
      </c>
      <c r="P1877" s="11">
        <v>0.0</v>
      </c>
      <c r="Q1877" s="14">
        <v>0.0</v>
      </c>
      <c r="R1877" s="41">
        <v>0.0</v>
      </c>
      <c r="S1877">
        <f t="shared" si="1"/>
        <v>2011</v>
      </c>
      <c r="T1877">
        <f t="shared" si="2"/>
        <v>8</v>
      </c>
      <c r="U1877">
        <f t="shared" si="3"/>
        <v>1</v>
      </c>
      <c r="AG1877" s="15"/>
      <c r="AH1877" s="16"/>
      <c r="AM1877" s="15"/>
      <c r="AN1877" s="16"/>
    </row>
    <row r="1878">
      <c r="A1878" s="13" t="s">
        <v>3484</v>
      </c>
      <c r="B1878" s="10">
        <v>40756.0</v>
      </c>
      <c r="C1878" s="11" t="s">
        <v>150</v>
      </c>
      <c r="D1878" s="11" t="s">
        <v>221</v>
      </c>
      <c r="E1878" s="11" t="s">
        <v>39</v>
      </c>
      <c r="F1878" s="11" t="s">
        <v>40</v>
      </c>
      <c r="G1878" s="11" t="s">
        <v>45</v>
      </c>
      <c r="H1878" s="11" t="s">
        <v>652</v>
      </c>
      <c r="I1878" s="11"/>
      <c r="J1878" s="11">
        <v>19.0</v>
      </c>
      <c r="K1878" s="12">
        <v>41116.0</v>
      </c>
      <c r="L1878" s="11">
        <f t="shared" si="198"/>
        <v>12</v>
      </c>
      <c r="M1878" s="11">
        <v>595024.0</v>
      </c>
      <c r="N1878" s="11" t="s">
        <v>3485</v>
      </c>
      <c r="P1878" s="11">
        <v>0.0</v>
      </c>
      <c r="Q1878" s="14">
        <v>0.0</v>
      </c>
      <c r="R1878" s="11">
        <v>0.0</v>
      </c>
      <c r="S1878">
        <f t="shared" si="1"/>
        <v>2011</v>
      </c>
      <c r="T1878">
        <f t="shared" si="2"/>
        <v>8</v>
      </c>
      <c r="U1878">
        <f t="shared" si="3"/>
        <v>1</v>
      </c>
      <c r="AG1878" s="15"/>
      <c r="AH1878" s="16"/>
      <c r="AM1878" s="15"/>
      <c r="AN1878" s="16"/>
    </row>
    <row r="1879">
      <c r="A1879" s="13" t="s">
        <v>3486</v>
      </c>
      <c r="B1879" s="10">
        <v>40756.0</v>
      </c>
      <c r="C1879" s="11" t="s">
        <v>362</v>
      </c>
      <c r="D1879" s="11" t="s">
        <v>93</v>
      </c>
      <c r="E1879" s="30" t="s">
        <v>39</v>
      </c>
      <c r="F1879" s="11" t="s">
        <v>40</v>
      </c>
      <c r="G1879" s="30" t="s">
        <v>45</v>
      </c>
      <c r="H1879" s="11" t="s">
        <v>276</v>
      </c>
      <c r="I1879" s="11" t="s">
        <v>3487</v>
      </c>
      <c r="J1879" s="11">
        <v>20.0</v>
      </c>
      <c r="K1879" s="12">
        <v>41806.0</v>
      </c>
      <c r="L1879" s="30"/>
      <c r="M1879" s="11">
        <v>657695.0</v>
      </c>
      <c r="N1879" s="11" t="s">
        <v>3488</v>
      </c>
      <c r="P1879" s="11">
        <v>0.0</v>
      </c>
      <c r="Q1879" s="14">
        <v>0.0</v>
      </c>
      <c r="R1879" s="41">
        <v>1.0</v>
      </c>
      <c r="S1879">
        <f t="shared" si="1"/>
        <v>2011</v>
      </c>
      <c r="T1879">
        <f t="shared" si="2"/>
        <v>8</v>
      </c>
      <c r="U1879">
        <f t="shared" si="3"/>
        <v>1</v>
      </c>
      <c r="AG1879" s="15"/>
      <c r="AH1879" s="16"/>
      <c r="AM1879" s="15"/>
      <c r="AN1879" s="16"/>
    </row>
    <row r="1880">
      <c r="A1880" s="13" t="s">
        <v>3489</v>
      </c>
      <c r="B1880" s="10">
        <v>40746.0</v>
      </c>
      <c r="C1880" s="11" t="s">
        <v>230</v>
      </c>
      <c r="D1880" s="11" t="s">
        <v>38</v>
      </c>
      <c r="E1880" s="30" t="s">
        <v>39</v>
      </c>
      <c r="F1880" s="11" t="s">
        <v>40</v>
      </c>
      <c r="G1880" s="30" t="s">
        <v>45</v>
      </c>
      <c r="H1880" s="11" t="s">
        <v>652</v>
      </c>
      <c r="I1880" s="11" t="s">
        <v>3490</v>
      </c>
      <c r="J1880" s="11">
        <v>29.0</v>
      </c>
      <c r="K1880" s="12">
        <v>41179.0</v>
      </c>
      <c r="L1880" s="11">
        <f t="shared" ref="L1880:L1885" si="199">ROUND(((K1880-B1880)/365)*12,0)</f>
        <v>14</v>
      </c>
      <c r="M1880" s="11">
        <v>430911.0</v>
      </c>
      <c r="N1880" s="11">
        <v>1902.0</v>
      </c>
      <c r="O1880" s="13" t="s">
        <v>3309</v>
      </c>
      <c r="P1880" s="11">
        <v>77.0</v>
      </c>
      <c r="Q1880" s="14">
        <v>71.333</v>
      </c>
      <c r="R1880" s="11">
        <v>0.0</v>
      </c>
      <c r="S1880">
        <f t="shared" si="1"/>
        <v>2011</v>
      </c>
      <c r="T1880">
        <f t="shared" si="2"/>
        <v>7</v>
      </c>
      <c r="U1880">
        <f t="shared" si="3"/>
        <v>22</v>
      </c>
      <c r="AG1880" s="15"/>
      <c r="AH1880" s="16"/>
      <c r="AM1880" s="15"/>
      <c r="AN1880" s="16"/>
    </row>
    <row r="1881">
      <c r="A1881" s="13" t="s">
        <v>3491</v>
      </c>
      <c r="B1881" s="10">
        <v>40739.0</v>
      </c>
      <c r="C1881" s="11" t="s">
        <v>126</v>
      </c>
      <c r="D1881" s="11" t="s">
        <v>58</v>
      </c>
      <c r="E1881" s="30" t="s">
        <v>39</v>
      </c>
      <c r="F1881" s="11" t="s">
        <v>40</v>
      </c>
      <c r="G1881" s="41" t="s">
        <v>53</v>
      </c>
      <c r="H1881" s="30"/>
      <c r="I1881" s="30"/>
      <c r="J1881" s="11">
        <v>25.0</v>
      </c>
      <c r="K1881" s="12">
        <v>41733.0</v>
      </c>
      <c r="L1881" s="11">
        <f t="shared" si="199"/>
        <v>33</v>
      </c>
      <c r="M1881" s="11">
        <v>467856.0</v>
      </c>
      <c r="N1881" s="11">
        <v>2506.0</v>
      </c>
      <c r="P1881" s="11">
        <v>0.0</v>
      </c>
      <c r="Q1881" s="14">
        <v>0.0</v>
      </c>
      <c r="R1881" s="41">
        <v>0.0</v>
      </c>
      <c r="S1881">
        <f t="shared" si="1"/>
        <v>2011</v>
      </c>
      <c r="T1881">
        <f t="shared" si="2"/>
        <v>7</v>
      </c>
      <c r="U1881">
        <f t="shared" si="3"/>
        <v>15</v>
      </c>
      <c r="AG1881" s="15"/>
      <c r="AH1881" s="16"/>
      <c r="AM1881" s="15"/>
      <c r="AN1881" s="16"/>
    </row>
    <row r="1882">
      <c r="A1882" s="13" t="s">
        <v>3492</v>
      </c>
      <c r="B1882" s="10">
        <v>40739.0</v>
      </c>
      <c r="C1882" s="11" t="s">
        <v>235</v>
      </c>
      <c r="D1882" s="11" t="s">
        <v>77</v>
      </c>
      <c r="E1882" s="30" t="s">
        <v>39</v>
      </c>
      <c r="F1882" s="11" t="s">
        <v>40</v>
      </c>
      <c r="G1882" s="30" t="s">
        <v>45</v>
      </c>
      <c r="H1882" s="11" t="s">
        <v>84</v>
      </c>
      <c r="I1882" s="11" t="s">
        <v>864</v>
      </c>
      <c r="J1882" s="11">
        <v>24.0</v>
      </c>
      <c r="K1882" s="12">
        <v>41449.0</v>
      </c>
      <c r="L1882" s="11">
        <f t="shared" si="199"/>
        <v>23</v>
      </c>
      <c r="M1882" s="11">
        <v>518669.0</v>
      </c>
      <c r="N1882" s="11" t="s">
        <v>3493</v>
      </c>
      <c r="P1882" s="11">
        <v>0.0</v>
      </c>
      <c r="Q1882" s="14">
        <v>0.0</v>
      </c>
      <c r="R1882" s="41">
        <v>0.0</v>
      </c>
      <c r="S1882">
        <f t="shared" si="1"/>
        <v>2011</v>
      </c>
      <c r="T1882">
        <f t="shared" si="2"/>
        <v>7</v>
      </c>
      <c r="U1882">
        <f t="shared" si="3"/>
        <v>15</v>
      </c>
      <c r="AG1882" s="15"/>
      <c r="AH1882" s="16"/>
      <c r="AM1882" s="15"/>
      <c r="AN1882" s="16"/>
    </row>
    <row r="1883">
      <c r="A1883" s="13" t="s">
        <v>3494</v>
      </c>
      <c r="B1883" s="10">
        <v>40738.0</v>
      </c>
      <c r="C1883" s="11" t="s">
        <v>274</v>
      </c>
      <c r="D1883" s="11" t="s">
        <v>38</v>
      </c>
      <c r="E1883" s="30" t="s">
        <v>39</v>
      </c>
      <c r="F1883" s="11" t="s">
        <v>64</v>
      </c>
      <c r="G1883" s="30" t="s">
        <v>45</v>
      </c>
      <c r="H1883" s="11" t="s">
        <v>112</v>
      </c>
      <c r="I1883" s="11"/>
      <c r="J1883" s="11">
        <v>23.0</v>
      </c>
      <c r="K1883" s="12">
        <v>41142.0</v>
      </c>
      <c r="L1883" s="11">
        <f t="shared" si="199"/>
        <v>13</v>
      </c>
      <c r="M1883" s="11">
        <v>474463.0</v>
      </c>
      <c r="N1883" s="11">
        <v>8223.0</v>
      </c>
      <c r="O1883" s="13" t="s">
        <v>761</v>
      </c>
      <c r="P1883" s="11">
        <v>78.0</v>
      </c>
      <c r="Q1883" s="14">
        <v>370.0</v>
      </c>
      <c r="R1883" s="41">
        <v>1.0</v>
      </c>
      <c r="S1883">
        <f t="shared" si="1"/>
        <v>2011</v>
      </c>
      <c r="T1883">
        <f t="shared" si="2"/>
        <v>7</v>
      </c>
      <c r="U1883">
        <f t="shared" si="3"/>
        <v>14</v>
      </c>
      <c r="V1883" s="13"/>
      <c r="W1883" s="13"/>
      <c r="X1883" s="13"/>
      <c r="Y1883" s="13"/>
      <c r="Z1883" s="13"/>
      <c r="AA1883" s="13"/>
      <c r="AB1883" s="13"/>
      <c r="AC1883" s="13"/>
      <c r="AD1883" s="13"/>
      <c r="AE1883" s="13">
        <v>13.0</v>
      </c>
      <c r="AF1883" s="13">
        <v>13.0</v>
      </c>
      <c r="AG1883" s="50">
        <v>83.333</v>
      </c>
      <c r="AH1883" s="51">
        <v>0.101</v>
      </c>
      <c r="AI1883" s="13">
        <v>101.0</v>
      </c>
      <c r="AJ1883" s="13">
        <v>99.0</v>
      </c>
      <c r="AK1883" s="13">
        <v>6.0</v>
      </c>
      <c r="AL1883" s="13">
        <v>6.0</v>
      </c>
      <c r="AM1883" s="50">
        <v>35.0</v>
      </c>
      <c r="AN1883" s="51">
        <v>0.131</v>
      </c>
      <c r="AO1883" s="13">
        <v>65.0</v>
      </c>
      <c r="AP1883" s="13">
        <v>66.0</v>
      </c>
    </row>
    <row r="1884">
      <c r="A1884" s="13" t="s">
        <v>3495</v>
      </c>
      <c r="B1884" s="10">
        <v>40736.0</v>
      </c>
      <c r="C1884" s="11" t="s">
        <v>235</v>
      </c>
      <c r="D1884" s="11" t="s">
        <v>97</v>
      </c>
      <c r="E1884" s="30" t="s">
        <v>39</v>
      </c>
      <c r="F1884" s="11" t="s">
        <v>64</v>
      </c>
      <c r="G1884" s="30" t="s">
        <v>45</v>
      </c>
      <c r="H1884" s="11" t="s">
        <v>67</v>
      </c>
      <c r="I1884" s="11" t="s">
        <v>3496</v>
      </c>
      <c r="J1884" s="11">
        <v>22.0</v>
      </c>
      <c r="K1884" s="12">
        <v>41413.0</v>
      </c>
      <c r="L1884" s="11">
        <f t="shared" si="199"/>
        <v>22</v>
      </c>
      <c r="M1884" s="11">
        <v>542879.0</v>
      </c>
      <c r="N1884" s="11" t="s">
        <v>3497</v>
      </c>
      <c r="P1884" s="11">
        <v>0.0</v>
      </c>
      <c r="Q1884" s="14">
        <v>0.0</v>
      </c>
      <c r="R1884" s="41">
        <v>1.0</v>
      </c>
      <c r="S1884">
        <f t="shared" si="1"/>
        <v>2011</v>
      </c>
      <c r="T1884">
        <f t="shared" si="2"/>
        <v>7</v>
      </c>
      <c r="U1884">
        <f t="shared" si="3"/>
        <v>12</v>
      </c>
      <c r="AG1884" s="15"/>
      <c r="AH1884" s="16"/>
      <c r="AM1884" s="15"/>
      <c r="AN1884" s="16"/>
    </row>
    <row r="1885">
      <c r="A1885" s="13" t="s">
        <v>3498</v>
      </c>
      <c r="B1885" s="10">
        <v>40725.0</v>
      </c>
      <c r="C1885" s="11" t="s">
        <v>62</v>
      </c>
      <c r="D1885" s="11" t="s">
        <v>88</v>
      </c>
      <c r="E1885" s="30" t="s">
        <v>39</v>
      </c>
      <c r="F1885" s="11" t="s">
        <v>40</v>
      </c>
      <c r="G1885" s="41" t="s">
        <v>41</v>
      </c>
      <c r="H1885" s="30"/>
      <c r="I1885" s="30"/>
      <c r="J1885" s="11">
        <v>22.0</v>
      </c>
      <c r="K1885" s="12">
        <v>41405.0</v>
      </c>
      <c r="L1885" s="11">
        <f t="shared" si="199"/>
        <v>22</v>
      </c>
      <c r="M1885" s="11">
        <v>503474.0</v>
      </c>
      <c r="N1885" s="11" t="s">
        <v>3499</v>
      </c>
      <c r="P1885" s="11">
        <v>0.0</v>
      </c>
      <c r="Q1885" s="14">
        <v>0.0</v>
      </c>
      <c r="R1885" s="41">
        <v>1.0</v>
      </c>
      <c r="S1885">
        <f t="shared" si="1"/>
        <v>2011</v>
      </c>
      <c r="T1885">
        <f t="shared" si="2"/>
        <v>7</v>
      </c>
      <c r="U1885">
        <f t="shared" si="3"/>
        <v>1</v>
      </c>
      <c r="AG1885" s="15"/>
      <c r="AH1885" s="16"/>
      <c r="AM1885" s="15"/>
      <c r="AN1885" s="16"/>
    </row>
    <row r="1886">
      <c r="A1886" s="13" t="s">
        <v>3500</v>
      </c>
      <c r="B1886" s="10">
        <v>40722.0</v>
      </c>
      <c r="C1886" s="11" t="s">
        <v>108</v>
      </c>
      <c r="D1886" s="11" t="s">
        <v>221</v>
      </c>
      <c r="E1886" s="11" t="s">
        <v>39</v>
      </c>
      <c r="F1886" s="11" t="s">
        <v>40</v>
      </c>
      <c r="G1886" s="11" t="s">
        <v>45</v>
      </c>
      <c r="H1886" s="11" t="s">
        <v>46</v>
      </c>
      <c r="I1886" s="11" t="s">
        <v>3501</v>
      </c>
      <c r="J1886" s="11">
        <v>23.0</v>
      </c>
      <c r="K1886" s="12">
        <v>41078.0</v>
      </c>
      <c r="L1886" s="30"/>
      <c r="M1886" s="11">
        <v>571969.0</v>
      </c>
      <c r="N1886" s="11">
        <v>11580.0</v>
      </c>
      <c r="P1886" s="11">
        <v>3.0</v>
      </c>
      <c r="Q1886" s="14">
        <v>3.0</v>
      </c>
      <c r="R1886" s="41">
        <v>1.0</v>
      </c>
      <c r="S1886">
        <f t="shared" si="1"/>
        <v>2011</v>
      </c>
      <c r="T1886">
        <f t="shared" si="2"/>
        <v>6</v>
      </c>
      <c r="U1886">
        <f t="shared" si="3"/>
        <v>28</v>
      </c>
      <c r="AG1886" s="15"/>
      <c r="AH1886" s="16"/>
      <c r="AM1886" s="15"/>
      <c r="AN1886" s="16"/>
    </row>
    <row r="1887">
      <c r="A1887" s="13" t="s">
        <v>3502</v>
      </c>
      <c r="B1887" s="10">
        <v>40710.0</v>
      </c>
      <c r="C1887" s="11" t="s">
        <v>108</v>
      </c>
      <c r="D1887" s="11" t="s">
        <v>38</v>
      </c>
      <c r="E1887" s="30" t="s">
        <v>39</v>
      </c>
      <c r="F1887" s="11" t="s">
        <v>40</v>
      </c>
      <c r="G1887" s="30" t="s">
        <v>45</v>
      </c>
      <c r="H1887" s="11" t="s">
        <v>133</v>
      </c>
      <c r="I1887" s="11" t="s">
        <v>133</v>
      </c>
      <c r="J1887" s="11">
        <v>25.0</v>
      </c>
      <c r="K1887" s="12">
        <v>41122.0</v>
      </c>
      <c r="L1887" s="11">
        <f t="shared" ref="L1887:L1892" si="200">ROUND(((K1887-B1887)/365)*12,0)</f>
        <v>14</v>
      </c>
      <c r="M1887" s="11">
        <v>501955.0</v>
      </c>
      <c r="N1887" s="11">
        <v>2692.0</v>
      </c>
      <c r="O1887" s="13" t="s">
        <v>761</v>
      </c>
      <c r="P1887" s="11">
        <v>192.0</v>
      </c>
      <c r="Q1887" s="14">
        <v>173.333</v>
      </c>
      <c r="R1887" s="41">
        <v>1.0</v>
      </c>
      <c r="S1887">
        <f t="shared" si="1"/>
        <v>2011</v>
      </c>
      <c r="T1887">
        <f t="shared" si="2"/>
        <v>6</v>
      </c>
      <c r="U1887">
        <f t="shared" si="3"/>
        <v>16</v>
      </c>
      <c r="AG1887" s="15"/>
      <c r="AH1887" s="16"/>
      <c r="AM1887" s="15"/>
      <c r="AN1887" s="16"/>
    </row>
    <row r="1888">
      <c r="A1888" s="13" t="s">
        <v>3503</v>
      </c>
      <c r="B1888" s="10">
        <v>40704.0</v>
      </c>
      <c r="C1888" s="11" t="s">
        <v>72</v>
      </c>
      <c r="D1888" s="11" t="s">
        <v>38</v>
      </c>
      <c r="E1888" s="30" t="s">
        <v>39</v>
      </c>
      <c r="F1888" s="11" t="s">
        <v>40</v>
      </c>
      <c r="G1888" s="41" t="s">
        <v>503</v>
      </c>
      <c r="H1888" s="30"/>
      <c r="I1888" s="30"/>
      <c r="J1888" s="11">
        <v>30.0</v>
      </c>
      <c r="K1888" s="12">
        <v>41069.0</v>
      </c>
      <c r="L1888" s="11">
        <f t="shared" si="200"/>
        <v>12</v>
      </c>
      <c r="M1888" s="11">
        <v>493137.0</v>
      </c>
      <c r="N1888" s="11">
        <v>7775.0</v>
      </c>
      <c r="O1888" s="13" t="s">
        <v>3309</v>
      </c>
      <c r="P1888" s="11">
        <v>52.0</v>
      </c>
      <c r="Q1888" s="14">
        <v>167.667</v>
      </c>
      <c r="R1888" s="41">
        <v>0.0</v>
      </c>
      <c r="S1888">
        <f t="shared" si="1"/>
        <v>2011</v>
      </c>
      <c r="T1888">
        <f t="shared" si="2"/>
        <v>6</v>
      </c>
      <c r="U1888">
        <f t="shared" si="3"/>
        <v>10</v>
      </c>
      <c r="V1888" s="13"/>
      <c r="W1888" s="13"/>
      <c r="X1888" s="13"/>
      <c r="Y1888" s="13"/>
      <c r="Z1888" s="13"/>
      <c r="AA1888" s="13"/>
      <c r="AB1888" s="13"/>
      <c r="AC1888" s="13"/>
      <c r="AD1888" s="13"/>
      <c r="AE1888" s="13">
        <v>8.0</v>
      </c>
      <c r="AF1888" s="13">
        <v>7.0</v>
      </c>
      <c r="AG1888" s="50">
        <v>37.333</v>
      </c>
      <c r="AH1888" s="51">
        <v>0.018</v>
      </c>
      <c r="AI1888" s="13">
        <v>125.0</v>
      </c>
      <c r="AJ1888" s="13">
        <v>124.0</v>
      </c>
      <c r="AK1888" s="13">
        <v>11.0</v>
      </c>
      <c r="AL1888" s="13">
        <v>11.0</v>
      </c>
      <c r="AM1888" s="50">
        <v>45.667</v>
      </c>
      <c r="AN1888" s="51">
        <v>0.098</v>
      </c>
      <c r="AO1888" s="13">
        <v>195.0</v>
      </c>
      <c r="AP1888" s="13">
        <v>146.0</v>
      </c>
    </row>
    <row r="1889">
      <c r="A1889" s="13" t="s">
        <v>3504</v>
      </c>
      <c r="B1889" s="10">
        <v>40703.0</v>
      </c>
      <c r="C1889" s="11" t="s">
        <v>72</v>
      </c>
      <c r="D1889" s="11" t="s">
        <v>38</v>
      </c>
      <c r="E1889" s="30" t="s">
        <v>39</v>
      </c>
      <c r="F1889" s="11" t="s">
        <v>64</v>
      </c>
      <c r="G1889" s="30" t="s">
        <v>45</v>
      </c>
      <c r="H1889" s="11" t="s">
        <v>729</v>
      </c>
      <c r="I1889" s="11" t="s">
        <v>129</v>
      </c>
      <c r="J1889" s="11">
        <v>31.0</v>
      </c>
      <c r="K1889" s="12">
        <v>41028.0</v>
      </c>
      <c r="L1889" s="11">
        <f t="shared" si="200"/>
        <v>11</v>
      </c>
      <c r="M1889" s="11">
        <v>448179.0</v>
      </c>
      <c r="N1889" s="11">
        <v>4806.0</v>
      </c>
      <c r="O1889" s="13" t="s">
        <v>761</v>
      </c>
      <c r="P1889" s="11">
        <v>153.0</v>
      </c>
      <c r="Q1889" s="14">
        <v>338.667</v>
      </c>
      <c r="R1889" s="41">
        <v>1.0</v>
      </c>
      <c r="S1889">
        <f t="shared" si="1"/>
        <v>2011</v>
      </c>
      <c r="T1889">
        <f t="shared" si="2"/>
        <v>6</v>
      </c>
      <c r="U1889">
        <f t="shared" si="3"/>
        <v>9</v>
      </c>
      <c r="AG1889" s="15"/>
      <c r="AH1889" s="16"/>
      <c r="AM1889" s="15"/>
      <c r="AN1889" s="16"/>
    </row>
    <row r="1890">
      <c r="A1890" s="13" t="s">
        <v>3505</v>
      </c>
      <c r="B1890" s="10">
        <v>40697.0</v>
      </c>
      <c r="C1890" s="11" t="s">
        <v>192</v>
      </c>
      <c r="D1890" s="11" t="s">
        <v>38</v>
      </c>
      <c r="E1890" s="30" t="s">
        <v>39</v>
      </c>
      <c r="F1890" s="11" t="s">
        <v>64</v>
      </c>
      <c r="G1890" s="41" t="s">
        <v>326</v>
      </c>
      <c r="H1890" s="30"/>
      <c r="I1890" s="30"/>
      <c r="J1890" s="11">
        <v>30.0</v>
      </c>
      <c r="K1890" s="12">
        <v>41172.0</v>
      </c>
      <c r="L1890" s="11">
        <f t="shared" si="200"/>
        <v>16</v>
      </c>
      <c r="M1890" s="11">
        <v>407822.0</v>
      </c>
      <c r="N1890" s="11">
        <v>2047.0</v>
      </c>
      <c r="O1890" s="13" t="s">
        <v>3309</v>
      </c>
      <c r="P1890" s="11">
        <v>183.0</v>
      </c>
      <c r="Q1890" s="14">
        <v>697.0</v>
      </c>
      <c r="R1890" s="41">
        <v>1.0</v>
      </c>
      <c r="S1890">
        <f t="shared" si="1"/>
        <v>2011</v>
      </c>
      <c r="T1890">
        <f t="shared" si="2"/>
        <v>6</v>
      </c>
      <c r="U1890">
        <f t="shared" si="3"/>
        <v>3</v>
      </c>
      <c r="V1890" s="13"/>
      <c r="W1890" s="13"/>
      <c r="X1890" s="13"/>
      <c r="Y1890" s="13"/>
      <c r="Z1890" s="13"/>
      <c r="AA1890" s="13"/>
      <c r="AB1890" s="13"/>
      <c r="AC1890" s="13"/>
      <c r="AD1890" s="13"/>
      <c r="AE1890" s="13">
        <v>10.0</v>
      </c>
      <c r="AF1890" s="13">
        <v>10.0</v>
      </c>
      <c r="AG1890" s="50">
        <v>59.0</v>
      </c>
      <c r="AH1890" s="51">
        <v>0.122</v>
      </c>
      <c r="AI1890" s="13">
        <v>80.0</v>
      </c>
      <c r="AJ1890" s="13">
        <v>82.0</v>
      </c>
      <c r="AK1890" s="13">
        <v>3.0</v>
      </c>
      <c r="AL1890" s="13">
        <v>3.0</v>
      </c>
      <c r="AM1890" s="50">
        <v>10.667</v>
      </c>
      <c r="AN1890" s="51">
        <v>0.076</v>
      </c>
      <c r="AO1890" s="13">
        <v>201.0</v>
      </c>
      <c r="AP1890" s="13">
        <v>205.0</v>
      </c>
    </row>
    <row r="1891">
      <c r="A1891" s="13" t="s">
        <v>1776</v>
      </c>
      <c r="B1891" s="10">
        <v>40697.0</v>
      </c>
      <c r="C1891" s="11" t="s">
        <v>358</v>
      </c>
      <c r="D1891" s="11" t="s">
        <v>77</v>
      </c>
      <c r="E1891" s="30" t="s">
        <v>39</v>
      </c>
      <c r="F1891" s="11" t="s">
        <v>64</v>
      </c>
      <c r="G1891" s="30" t="s">
        <v>45</v>
      </c>
      <c r="H1891" s="11" t="s">
        <v>67</v>
      </c>
      <c r="I1891" s="11"/>
      <c r="J1891" s="11">
        <v>20.0</v>
      </c>
      <c r="K1891" s="12">
        <v>41501.0</v>
      </c>
      <c r="L1891" s="11">
        <f t="shared" si="200"/>
        <v>26</v>
      </c>
      <c r="M1891" s="11">
        <v>543424.0</v>
      </c>
      <c r="N1891" s="11">
        <v>8493.0</v>
      </c>
      <c r="O1891" s="13" t="s">
        <v>3309</v>
      </c>
      <c r="P1891" s="11">
        <v>24.0</v>
      </c>
      <c r="Q1891" s="14">
        <v>119.667</v>
      </c>
      <c r="R1891" s="41">
        <v>1.0</v>
      </c>
      <c r="S1891">
        <f t="shared" si="1"/>
        <v>2011</v>
      </c>
      <c r="T1891">
        <f t="shared" si="2"/>
        <v>6</v>
      </c>
      <c r="U1891">
        <f t="shared" si="3"/>
        <v>3</v>
      </c>
      <c r="AG1891" s="15"/>
      <c r="AH1891" s="16"/>
      <c r="AM1891" s="15"/>
      <c r="AN1891" s="16"/>
    </row>
    <row r="1892">
      <c r="A1892" s="13" t="s">
        <v>3506</v>
      </c>
      <c r="B1892" s="10">
        <v>40695.0</v>
      </c>
      <c r="C1892" s="11" t="s">
        <v>167</v>
      </c>
      <c r="D1892" s="11" t="s">
        <v>77</v>
      </c>
      <c r="E1892" s="30" t="s">
        <v>39</v>
      </c>
      <c r="F1892" s="11" t="s">
        <v>40</v>
      </c>
      <c r="G1892" s="30" t="s">
        <v>45</v>
      </c>
      <c r="H1892" s="11" t="s">
        <v>59</v>
      </c>
      <c r="I1892" s="11" t="s">
        <v>799</v>
      </c>
      <c r="J1892" s="11">
        <v>22.0</v>
      </c>
      <c r="K1892" s="12">
        <v>41381.0</v>
      </c>
      <c r="L1892" s="11">
        <f t="shared" si="200"/>
        <v>23</v>
      </c>
      <c r="M1892" s="11">
        <v>572257.0</v>
      </c>
      <c r="N1892" s="11" t="s">
        <v>3507</v>
      </c>
      <c r="P1892" s="11">
        <v>0.0</v>
      </c>
      <c r="Q1892" s="14">
        <v>0.0</v>
      </c>
      <c r="R1892" s="41">
        <v>0.0</v>
      </c>
      <c r="S1892">
        <f t="shared" si="1"/>
        <v>2011</v>
      </c>
      <c r="T1892">
        <f t="shared" si="2"/>
        <v>6</v>
      </c>
      <c r="U1892">
        <f t="shared" si="3"/>
        <v>1</v>
      </c>
      <c r="AG1892" s="15"/>
      <c r="AH1892" s="16"/>
      <c r="AM1892" s="15"/>
      <c r="AN1892" s="16"/>
    </row>
    <row r="1893">
      <c r="A1893" s="13" t="s">
        <v>3508</v>
      </c>
      <c r="B1893" s="10">
        <v>40695.0</v>
      </c>
      <c r="C1893" s="11" t="s">
        <v>186</v>
      </c>
      <c r="D1893" s="11" t="s">
        <v>38</v>
      </c>
      <c r="E1893" s="30" t="s">
        <v>39</v>
      </c>
      <c r="F1893" s="11" t="s">
        <v>40</v>
      </c>
      <c r="G1893" s="30" t="s">
        <v>45</v>
      </c>
      <c r="H1893" s="11" t="s">
        <v>182</v>
      </c>
      <c r="I1893" s="11" t="s">
        <v>3509</v>
      </c>
      <c r="J1893" s="11">
        <v>23.0</v>
      </c>
      <c r="K1893" s="30"/>
      <c r="L1893" s="30"/>
      <c r="M1893" s="11">
        <v>474226.0</v>
      </c>
      <c r="N1893" s="11">
        <v>2534.0</v>
      </c>
      <c r="O1893" s="13" t="s">
        <v>761</v>
      </c>
      <c r="P1893" s="11">
        <v>0.0</v>
      </c>
      <c r="Q1893" s="45">
        <v>0.0</v>
      </c>
      <c r="R1893" s="41">
        <v>0.0</v>
      </c>
      <c r="S1893">
        <f t="shared" si="1"/>
        <v>2011</v>
      </c>
      <c r="T1893">
        <f t="shared" si="2"/>
        <v>6</v>
      </c>
      <c r="U1893">
        <f t="shared" si="3"/>
        <v>1</v>
      </c>
      <c r="AG1893" s="15"/>
      <c r="AH1893" s="16"/>
      <c r="AM1893" s="15"/>
      <c r="AN1893" s="16"/>
    </row>
    <row r="1894">
      <c r="A1894" s="13" t="s">
        <v>3510</v>
      </c>
      <c r="B1894" s="10">
        <v>40694.0</v>
      </c>
      <c r="C1894" s="11" t="s">
        <v>150</v>
      </c>
      <c r="D1894" s="11" t="s">
        <v>77</v>
      </c>
      <c r="E1894" s="30" t="s">
        <v>39</v>
      </c>
      <c r="F1894" s="11" t="s">
        <v>40</v>
      </c>
      <c r="G1894" s="11" t="s">
        <v>460</v>
      </c>
      <c r="H1894" s="30"/>
      <c r="I1894" s="30"/>
      <c r="J1894" s="11">
        <v>25.0</v>
      </c>
      <c r="K1894" s="12">
        <v>41033.0</v>
      </c>
      <c r="L1894" s="11">
        <f t="shared" ref="L1894:L1896" si="201">ROUND(((K1894-B1894)/365)*12,0)</f>
        <v>11</v>
      </c>
      <c r="M1894" s="11">
        <v>463752.0</v>
      </c>
      <c r="N1894" s="11" t="s">
        <v>3511</v>
      </c>
      <c r="P1894" s="11">
        <v>0.0</v>
      </c>
      <c r="Q1894" s="14">
        <v>0.0</v>
      </c>
      <c r="R1894" s="41">
        <v>0.0</v>
      </c>
      <c r="S1894">
        <f t="shared" si="1"/>
        <v>2011</v>
      </c>
      <c r="T1894">
        <f t="shared" si="2"/>
        <v>5</v>
      </c>
      <c r="U1894">
        <f t="shared" si="3"/>
        <v>31</v>
      </c>
      <c r="AG1894" s="15"/>
      <c r="AH1894" s="16"/>
      <c r="AM1894" s="15"/>
      <c r="AN1894" s="16"/>
    </row>
    <row r="1895">
      <c r="A1895" s="13" t="s">
        <v>3512</v>
      </c>
      <c r="B1895" s="10">
        <v>40683.0</v>
      </c>
      <c r="C1895" s="11" t="s">
        <v>111</v>
      </c>
      <c r="D1895" s="11" t="s">
        <v>93</v>
      </c>
      <c r="E1895" s="11" t="s">
        <v>39</v>
      </c>
      <c r="F1895" s="11" t="s">
        <v>40</v>
      </c>
      <c r="G1895" s="11" t="s">
        <v>45</v>
      </c>
      <c r="H1895" s="11" t="s">
        <v>67</v>
      </c>
      <c r="I1895" s="11" t="s">
        <v>287</v>
      </c>
      <c r="J1895" s="11">
        <v>21.0</v>
      </c>
      <c r="K1895" s="12">
        <v>41080.0</v>
      </c>
      <c r="L1895" s="11">
        <f t="shared" si="201"/>
        <v>13</v>
      </c>
      <c r="M1895" s="11">
        <v>605477.0</v>
      </c>
      <c r="N1895" s="11">
        <v>13604.0</v>
      </c>
      <c r="P1895" s="11">
        <v>12.0</v>
      </c>
      <c r="Q1895" s="14">
        <v>13.0</v>
      </c>
      <c r="R1895" s="11">
        <v>0.0</v>
      </c>
      <c r="S1895">
        <f t="shared" si="1"/>
        <v>2011</v>
      </c>
      <c r="T1895">
        <f t="shared" si="2"/>
        <v>5</v>
      </c>
      <c r="U1895">
        <f t="shared" si="3"/>
        <v>20</v>
      </c>
      <c r="AG1895" s="15"/>
      <c r="AH1895" s="16"/>
      <c r="AM1895" s="15"/>
      <c r="AN1895" s="16"/>
    </row>
    <row r="1896">
      <c r="A1896" s="13" t="s">
        <v>3513</v>
      </c>
      <c r="B1896" s="10">
        <v>40679.0</v>
      </c>
      <c r="C1896" s="11" t="s">
        <v>49</v>
      </c>
      <c r="D1896" s="11" t="s">
        <v>38</v>
      </c>
      <c r="E1896" s="30" t="s">
        <v>39</v>
      </c>
      <c r="F1896" s="11" t="s">
        <v>40</v>
      </c>
      <c r="G1896" s="41" t="s">
        <v>41</v>
      </c>
      <c r="H1896" s="30"/>
      <c r="I1896" s="30"/>
      <c r="J1896" s="11">
        <v>21.0</v>
      </c>
      <c r="K1896" s="12">
        <v>41159.0</v>
      </c>
      <c r="L1896" s="11">
        <f t="shared" si="201"/>
        <v>16</v>
      </c>
      <c r="M1896" s="11">
        <v>516769.0</v>
      </c>
      <c r="N1896" s="11">
        <v>8476.0</v>
      </c>
      <c r="O1896" s="13" t="s">
        <v>1407</v>
      </c>
      <c r="P1896" s="11">
        <v>80.0</v>
      </c>
      <c r="Q1896" s="14">
        <v>144.333</v>
      </c>
      <c r="R1896" s="11">
        <v>0.0</v>
      </c>
      <c r="S1896">
        <f t="shared" si="1"/>
        <v>2011</v>
      </c>
      <c r="T1896">
        <f t="shared" si="2"/>
        <v>5</v>
      </c>
      <c r="U1896">
        <f t="shared" si="3"/>
        <v>16</v>
      </c>
      <c r="AG1896" s="15"/>
      <c r="AH1896" s="16"/>
      <c r="AM1896" s="15"/>
      <c r="AN1896" s="16"/>
    </row>
    <row r="1897">
      <c r="A1897" s="13" t="s">
        <v>3514</v>
      </c>
      <c r="B1897" s="10">
        <v>40665.0</v>
      </c>
      <c r="C1897" s="11" t="s">
        <v>116</v>
      </c>
      <c r="D1897" s="11" t="s">
        <v>58</v>
      </c>
      <c r="E1897" s="30" t="s">
        <v>39</v>
      </c>
      <c r="F1897" s="11" t="s">
        <v>40</v>
      </c>
      <c r="G1897" s="30" t="s">
        <v>45</v>
      </c>
      <c r="H1897" s="11" t="s">
        <v>56</v>
      </c>
      <c r="I1897" s="11" t="s">
        <v>1800</v>
      </c>
      <c r="J1897" s="11">
        <v>27.0</v>
      </c>
      <c r="K1897" s="12"/>
      <c r="L1897" s="11"/>
      <c r="M1897" s="11">
        <v>447821.0</v>
      </c>
      <c r="N1897" s="11" t="s">
        <v>3515</v>
      </c>
      <c r="P1897" s="11">
        <v>0.0</v>
      </c>
      <c r="Q1897" s="14">
        <v>0.0</v>
      </c>
      <c r="R1897" s="41">
        <v>0.0</v>
      </c>
      <c r="S1897">
        <f t="shared" si="1"/>
        <v>2011</v>
      </c>
      <c r="T1897">
        <f t="shared" si="2"/>
        <v>5</v>
      </c>
      <c r="U1897">
        <f t="shared" si="3"/>
        <v>2</v>
      </c>
      <c r="AG1897" s="15"/>
      <c r="AH1897" s="16"/>
      <c r="AM1897" s="15"/>
      <c r="AN1897" s="16"/>
    </row>
    <row r="1898">
      <c r="A1898" s="13" t="s">
        <v>3516</v>
      </c>
      <c r="B1898" s="10">
        <v>40664.0</v>
      </c>
      <c r="C1898" s="11" t="s">
        <v>346</v>
      </c>
      <c r="D1898" s="11" t="s">
        <v>221</v>
      </c>
      <c r="E1898" s="30" t="s">
        <v>39</v>
      </c>
      <c r="F1898" s="11" t="s">
        <v>40</v>
      </c>
      <c r="G1898" s="30" t="s">
        <v>45</v>
      </c>
      <c r="H1898" s="11" t="s">
        <v>163</v>
      </c>
      <c r="I1898" s="11"/>
      <c r="J1898" s="11">
        <v>19.0</v>
      </c>
      <c r="K1898" s="12">
        <v>41030.0</v>
      </c>
      <c r="L1898" s="11">
        <f>ROUND(((K1898-B1898)/365)*12,0)</f>
        <v>12</v>
      </c>
      <c r="M1898" s="11">
        <v>592135.0</v>
      </c>
      <c r="N1898" s="11">
        <v>13360.0</v>
      </c>
      <c r="P1898" s="11">
        <v>144.0</v>
      </c>
      <c r="Q1898" s="14">
        <v>137.667</v>
      </c>
      <c r="R1898" s="41">
        <v>1.0</v>
      </c>
      <c r="S1898">
        <f t="shared" si="1"/>
        <v>2011</v>
      </c>
      <c r="T1898">
        <f t="shared" si="2"/>
        <v>5</v>
      </c>
      <c r="U1898">
        <f t="shared" si="3"/>
        <v>1</v>
      </c>
      <c r="AG1898" s="15"/>
      <c r="AH1898" s="16"/>
      <c r="AM1898" s="15"/>
      <c r="AN1898" s="16"/>
    </row>
    <row r="1899">
      <c r="A1899" s="13" t="s">
        <v>3517</v>
      </c>
      <c r="B1899" s="10">
        <v>40664.0</v>
      </c>
      <c r="C1899" s="11" t="s">
        <v>108</v>
      </c>
      <c r="D1899" s="11" t="s">
        <v>213</v>
      </c>
      <c r="E1899" s="30" t="s">
        <v>39</v>
      </c>
      <c r="F1899" s="11" t="s">
        <v>64</v>
      </c>
      <c r="G1899" s="30" t="s">
        <v>45</v>
      </c>
      <c r="H1899" s="11" t="s">
        <v>729</v>
      </c>
      <c r="I1899" s="11" t="s">
        <v>349</v>
      </c>
      <c r="J1899" s="11">
        <v>18.0</v>
      </c>
      <c r="K1899" s="12">
        <v>41846.0</v>
      </c>
      <c r="L1899" s="30"/>
      <c r="M1899" s="11">
        <v>595912.0</v>
      </c>
      <c r="N1899" s="11" t="s">
        <v>3518</v>
      </c>
      <c r="P1899" s="11">
        <v>0.0</v>
      </c>
      <c r="Q1899" s="14">
        <v>0.0</v>
      </c>
      <c r="R1899" s="11">
        <v>0.0</v>
      </c>
      <c r="S1899">
        <f t="shared" si="1"/>
        <v>2011</v>
      </c>
      <c r="T1899">
        <f t="shared" si="2"/>
        <v>5</v>
      </c>
      <c r="U1899">
        <f t="shared" si="3"/>
        <v>1</v>
      </c>
      <c r="AG1899" s="15"/>
      <c r="AH1899" s="16"/>
      <c r="AM1899" s="15"/>
      <c r="AN1899" s="16"/>
    </row>
    <row r="1900">
      <c r="A1900" s="13" t="s">
        <v>3519</v>
      </c>
      <c r="B1900" s="10">
        <v>40664.0</v>
      </c>
      <c r="C1900" s="11" t="s">
        <v>62</v>
      </c>
      <c r="D1900" s="11" t="s">
        <v>93</v>
      </c>
      <c r="E1900" s="11" t="s">
        <v>39</v>
      </c>
      <c r="F1900" s="11" t="s">
        <v>64</v>
      </c>
      <c r="G1900" s="11" t="s">
        <v>45</v>
      </c>
      <c r="H1900" s="11" t="s">
        <v>67</v>
      </c>
      <c r="I1900" s="11" t="s">
        <v>3520</v>
      </c>
      <c r="J1900" s="11">
        <v>22.0</v>
      </c>
      <c r="K1900" s="12">
        <v>41102.0</v>
      </c>
      <c r="L1900" s="11">
        <f t="shared" ref="L1900:L1901" si="202">ROUND(((K1900-B1900)/365)*12,0)</f>
        <v>14</v>
      </c>
      <c r="M1900" s="11">
        <v>605350.0</v>
      </c>
      <c r="N1900" s="11" t="s">
        <v>3521</v>
      </c>
      <c r="P1900" s="11">
        <v>0.0</v>
      </c>
      <c r="Q1900" s="14">
        <v>0.0</v>
      </c>
      <c r="R1900" s="41">
        <v>1.0</v>
      </c>
      <c r="S1900">
        <f t="shared" si="1"/>
        <v>2011</v>
      </c>
      <c r="T1900">
        <f t="shared" si="2"/>
        <v>5</v>
      </c>
      <c r="U1900">
        <f t="shared" si="3"/>
        <v>1</v>
      </c>
      <c r="AG1900" s="15"/>
      <c r="AH1900" s="16"/>
      <c r="AM1900" s="15"/>
      <c r="AN1900" s="16"/>
    </row>
    <row r="1901">
      <c r="A1901" s="13" t="s">
        <v>3522</v>
      </c>
      <c r="B1901" s="10">
        <v>40664.0</v>
      </c>
      <c r="C1901" s="11" t="s">
        <v>83</v>
      </c>
      <c r="D1901" s="11" t="s">
        <v>77</v>
      </c>
      <c r="E1901" s="30" t="s">
        <v>39</v>
      </c>
      <c r="F1901" s="11" t="s">
        <v>40</v>
      </c>
      <c r="G1901" s="30" t="s">
        <v>45</v>
      </c>
      <c r="H1901" s="11" t="s">
        <v>236</v>
      </c>
      <c r="I1901" s="11" t="s">
        <v>1105</v>
      </c>
      <c r="J1901" s="11">
        <v>24.0</v>
      </c>
      <c r="K1901" s="12">
        <v>41083.0</v>
      </c>
      <c r="L1901" s="11">
        <f t="shared" si="202"/>
        <v>14</v>
      </c>
      <c r="M1901" s="11">
        <v>543520.0</v>
      </c>
      <c r="N1901" s="11" t="s">
        <v>3523</v>
      </c>
      <c r="P1901" s="11">
        <v>0.0</v>
      </c>
      <c r="Q1901" s="14">
        <v>0.0</v>
      </c>
      <c r="R1901" s="41">
        <v>1.0</v>
      </c>
      <c r="S1901">
        <f t="shared" si="1"/>
        <v>2011</v>
      </c>
      <c r="T1901">
        <f t="shared" si="2"/>
        <v>5</v>
      </c>
      <c r="U1901">
        <f t="shared" si="3"/>
        <v>1</v>
      </c>
      <c r="AG1901" s="15"/>
      <c r="AH1901" s="16"/>
      <c r="AM1901" s="15"/>
      <c r="AN1901" s="16"/>
    </row>
    <row r="1902">
      <c r="A1902" s="13" t="s">
        <v>3524</v>
      </c>
      <c r="B1902" s="10">
        <v>40659.0</v>
      </c>
      <c r="C1902" s="11" t="s">
        <v>55</v>
      </c>
      <c r="D1902" s="11" t="s">
        <v>93</v>
      </c>
      <c r="E1902" s="11" t="s">
        <v>39</v>
      </c>
      <c r="F1902" s="11" t="s">
        <v>40</v>
      </c>
      <c r="G1902" s="11" t="s">
        <v>45</v>
      </c>
      <c r="H1902" s="11" t="s">
        <v>957</v>
      </c>
      <c r="I1902" s="11" t="s">
        <v>3525</v>
      </c>
      <c r="J1902" s="11">
        <v>19.0</v>
      </c>
      <c r="K1902" s="12">
        <v>41448.0</v>
      </c>
      <c r="L1902" s="11"/>
      <c r="M1902" s="11">
        <v>642159.0</v>
      </c>
      <c r="N1902" s="11" t="s">
        <v>3526</v>
      </c>
      <c r="O1902" s="13" t="s">
        <v>1031</v>
      </c>
      <c r="P1902" s="11">
        <v>0.0</v>
      </c>
      <c r="Q1902" s="14">
        <v>0.0</v>
      </c>
      <c r="R1902" s="41">
        <v>1.0</v>
      </c>
      <c r="S1902">
        <f t="shared" si="1"/>
        <v>2011</v>
      </c>
      <c r="T1902">
        <f t="shared" si="2"/>
        <v>4</v>
      </c>
      <c r="U1902">
        <f t="shared" si="3"/>
        <v>26</v>
      </c>
      <c r="AG1902" s="15"/>
      <c r="AH1902" s="16"/>
      <c r="AM1902" s="15"/>
      <c r="AN1902" s="16"/>
    </row>
    <row r="1903">
      <c r="A1903" s="13" t="s">
        <v>3527</v>
      </c>
      <c r="B1903" s="10">
        <v>40640.0</v>
      </c>
      <c r="C1903" s="11" t="s">
        <v>230</v>
      </c>
      <c r="D1903" s="11" t="s">
        <v>77</v>
      </c>
      <c r="E1903" s="11" t="s">
        <v>39</v>
      </c>
      <c r="F1903" s="11" t="s">
        <v>64</v>
      </c>
      <c r="G1903" s="11" t="s">
        <v>45</v>
      </c>
      <c r="H1903" s="11" t="s">
        <v>59</v>
      </c>
      <c r="I1903" s="11"/>
      <c r="J1903" s="11">
        <v>26.0</v>
      </c>
      <c r="K1903" s="12">
        <v>41369.0</v>
      </c>
      <c r="L1903" s="11">
        <f>ROUND(((K1903-B1903)/365)*12,0)</f>
        <v>24</v>
      </c>
      <c r="M1903" s="11">
        <v>502108.0</v>
      </c>
      <c r="N1903" s="11" t="s">
        <v>3528</v>
      </c>
      <c r="P1903" s="11">
        <v>0.0</v>
      </c>
      <c r="Q1903" s="14">
        <v>0.0</v>
      </c>
      <c r="R1903" s="41">
        <v>1.0</v>
      </c>
      <c r="S1903">
        <f t="shared" si="1"/>
        <v>2011</v>
      </c>
      <c r="T1903">
        <f t="shared" si="2"/>
        <v>4</v>
      </c>
      <c r="U1903">
        <f t="shared" si="3"/>
        <v>7</v>
      </c>
      <c r="AG1903" s="15"/>
      <c r="AH1903" s="16"/>
      <c r="AM1903" s="15"/>
      <c r="AN1903" s="16"/>
    </row>
    <row r="1904">
      <c r="A1904" s="13" t="s">
        <v>3529</v>
      </c>
      <c r="B1904" s="10">
        <v>40638.0</v>
      </c>
      <c r="C1904" s="11" t="s">
        <v>108</v>
      </c>
      <c r="D1904" s="11" t="s">
        <v>213</v>
      </c>
      <c r="E1904" s="11" t="s">
        <v>660</v>
      </c>
      <c r="F1904" s="11" t="s">
        <v>40</v>
      </c>
      <c r="G1904" s="11" t="s">
        <v>45</v>
      </c>
      <c r="H1904" s="11" t="s">
        <v>74</v>
      </c>
      <c r="I1904" s="11" t="s">
        <v>3530</v>
      </c>
      <c r="J1904" s="11">
        <v>18.0</v>
      </c>
      <c r="K1904" s="12">
        <v>42178.0</v>
      </c>
      <c r="L1904" s="11"/>
      <c r="M1904" s="11">
        <v>665075.0</v>
      </c>
      <c r="N1904" s="11" t="s">
        <v>3531</v>
      </c>
      <c r="P1904" s="11">
        <v>0.0</v>
      </c>
      <c r="Q1904" s="14">
        <v>0.0</v>
      </c>
      <c r="R1904" s="11">
        <v>1.0</v>
      </c>
      <c r="S1904">
        <f t="shared" si="1"/>
        <v>2011</v>
      </c>
      <c r="T1904">
        <f t="shared" si="2"/>
        <v>4</v>
      </c>
      <c r="U1904">
        <f t="shared" si="3"/>
        <v>5</v>
      </c>
      <c r="AG1904" s="15"/>
      <c r="AH1904" s="16"/>
      <c r="AM1904" s="15"/>
      <c r="AN1904" s="16"/>
    </row>
    <row r="1905">
      <c r="A1905" s="13" t="s">
        <v>2825</v>
      </c>
      <c r="B1905" s="10">
        <v>40634.0</v>
      </c>
      <c r="C1905" s="11" t="s">
        <v>44</v>
      </c>
      <c r="D1905" s="11" t="s">
        <v>93</v>
      </c>
      <c r="E1905" s="11" t="s">
        <v>39</v>
      </c>
      <c r="F1905" s="11" t="s">
        <v>40</v>
      </c>
      <c r="G1905" s="11" t="s">
        <v>45</v>
      </c>
      <c r="H1905" s="11" t="s">
        <v>67</v>
      </c>
      <c r="I1905" s="11" t="s">
        <v>1573</v>
      </c>
      <c r="J1905" s="11">
        <v>21.0</v>
      </c>
      <c r="K1905" s="12">
        <v>41446.0</v>
      </c>
      <c r="L1905" s="11"/>
      <c r="M1905" s="11">
        <v>642121.0</v>
      </c>
      <c r="N1905" s="11">
        <v>15256.0</v>
      </c>
      <c r="P1905" s="11">
        <v>0.0</v>
      </c>
      <c r="Q1905" s="14">
        <v>0.0</v>
      </c>
      <c r="R1905" s="41">
        <v>1.0</v>
      </c>
      <c r="S1905">
        <f t="shared" si="1"/>
        <v>2011</v>
      </c>
      <c r="T1905">
        <f t="shared" si="2"/>
        <v>4</v>
      </c>
      <c r="U1905">
        <f t="shared" si="3"/>
        <v>1</v>
      </c>
      <c r="AG1905" s="15"/>
      <c r="AH1905" s="16"/>
      <c r="AM1905" s="15"/>
      <c r="AN1905" s="16"/>
    </row>
    <row r="1906">
      <c r="A1906" s="13" t="s">
        <v>3532</v>
      </c>
      <c r="B1906" s="10">
        <v>40634.0</v>
      </c>
      <c r="C1906" s="11" t="s">
        <v>103</v>
      </c>
      <c r="D1906" s="11" t="s">
        <v>221</v>
      </c>
      <c r="E1906" s="11" t="s">
        <v>39</v>
      </c>
      <c r="F1906" s="11" t="s">
        <v>40</v>
      </c>
      <c r="G1906" s="11" t="s">
        <v>45</v>
      </c>
      <c r="H1906" s="11" t="s">
        <v>56</v>
      </c>
      <c r="I1906" s="11" t="s">
        <v>136</v>
      </c>
      <c r="J1906" s="11">
        <v>22.0</v>
      </c>
      <c r="K1906" s="12">
        <v>41080.0</v>
      </c>
      <c r="L1906" s="11">
        <f t="shared" ref="L1906:L1907" si="203">ROUND(((K1906-B1906)/365)*12,0)</f>
        <v>15</v>
      </c>
      <c r="M1906" s="11">
        <v>592324.0</v>
      </c>
      <c r="N1906" s="11" t="s">
        <v>3533</v>
      </c>
      <c r="O1906" s="13" t="s">
        <v>3534</v>
      </c>
      <c r="P1906" s="11">
        <v>0.0</v>
      </c>
      <c r="Q1906" s="14">
        <v>0.0</v>
      </c>
      <c r="R1906" s="11">
        <v>0.0</v>
      </c>
      <c r="S1906">
        <f t="shared" si="1"/>
        <v>2011</v>
      </c>
      <c r="T1906">
        <f t="shared" si="2"/>
        <v>4</v>
      </c>
      <c r="U1906">
        <f t="shared" si="3"/>
        <v>1</v>
      </c>
      <c r="AG1906" s="15"/>
      <c r="AH1906" s="16"/>
      <c r="AM1906" s="15"/>
      <c r="AN1906" s="16"/>
    </row>
    <row r="1907">
      <c r="A1907" s="13" t="s">
        <v>3535</v>
      </c>
      <c r="B1907" s="10">
        <v>40610.0</v>
      </c>
      <c r="C1907" s="11" t="s">
        <v>101</v>
      </c>
      <c r="D1907" s="11" t="s">
        <v>77</v>
      </c>
      <c r="E1907" s="30" t="s">
        <v>39</v>
      </c>
      <c r="F1907" s="11" t="s">
        <v>40</v>
      </c>
      <c r="G1907" s="30" t="s">
        <v>45</v>
      </c>
      <c r="H1907" s="11" t="s">
        <v>67</v>
      </c>
      <c r="I1907" s="11" t="s">
        <v>748</v>
      </c>
      <c r="J1907" s="11">
        <v>24.0</v>
      </c>
      <c r="K1907" s="12">
        <v>41004.0</v>
      </c>
      <c r="L1907" s="11">
        <f t="shared" si="203"/>
        <v>13</v>
      </c>
      <c r="M1907" s="11">
        <v>543236.0</v>
      </c>
      <c r="N1907" s="11" t="s">
        <v>3536</v>
      </c>
      <c r="P1907" s="11">
        <v>0.0</v>
      </c>
      <c r="Q1907" s="14">
        <v>0.0</v>
      </c>
      <c r="R1907" s="11">
        <v>0.0</v>
      </c>
      <c r="S1907">
        <f t="shared" si="1"/>
        <v>2011</v>
      </c>
      <c r="T1907">
        <f t="shared" si="2"/>
        <v>3</v>
      </c>
      <c r="U1907">
        <f t="shared" si="3"/>
        <v>8</v>
      </c>
      <c r="AG1907" s="15"/>
      <c r="AH1907" s="16"/>
      <c r="AM1907" s="15"/>
      <c r="AN1907" s="16"/>
    </row>
    <row r="1908">
      <c r="A1908" s="13" t="s">
        <v>3537</v>
      </c>
      <c r="B1908" s="10">
        <v>40604.0</v>
      </c>
      <c r="C1908" s="11" t="s">
        <v>138</v>
      </c>
      <c r="D1908" s="11" t="s">
        <v>38</v>
      </c>
      <c r="E1908" s="30" t="s">
        <v>39</v>
      </c>
      <c r="F1908" s="11" t="s">
        <v>40</v>
      </c>
      <c r="G1908" s="30" t="s">
        <v>45</v>
      </c>
      <c r="H1908" s="11" t="s">
        <v>46</v>
      </c>
      <c r="I1908" s="11" t="s">
        <v>1318</v>
      </c>
      <c r="J1908" s="11">
        <v>28.0</v>
      </c>
      <c r="K1908" s="30"/>
      <c r="L1908" s="30"/>
      <c r="M1908" s="11">
        <v>448592.0</v>
      </c>
      <c r="N1908" s="11">
        <v>7613.0</v>
      </c>
      <c r="O1908" s="13" t="s">
        <v>2896</v>
      </c>
      <c r="P1908" s="11">
        <v>0.0</v>
      </c>
      <c r="Q1908" s="45">
        <v>0.0</v>
      </c>
      <c r="R1908" s="41">
        <v>0.0</v>
      </c>
      <c r="S1908">
        <f t="shared" si="1"/>
        <v>2011</v>
      </c>
      <c r="T1908">
        <f t="shared" si="2"/>
        <v>3</v>
      </c>
      <c r="U1908">
        <f t="shared" si="3"/>
        <v>2</v>
      </c>
      <c r="AG1908" s="15"/>
      <c r="AH1908" s="16"/>
      <c r="AM1908" s="15"/>
      <c r="AN1908" s="16"/>
    </row>
    <row r="1909">
      <c r="A1909" s="13" t="s">
        <v>3538</v>
      </c>
      <c r="B1909" s="10">
        <v>40603.0</v>
      </c>
      <c r="C1909" s="11" t="s">
        <v>126</v>
      </c>
      <c r="D1909" s="11" t="s">
        <v>93</v>
      </c>
      <c r="E1909" s="30" t="s">
        <v>39</v>
      </c>
      <c r="F1909" s="11" t="s">
        <v>64</v>
      </c>
      <c r="G1909" s="30" t="s">
        <v>45</v>
      </c>
      <c r="H1909" s="11" t="s">
        <v>317</v>
      </c>
      <c r="I1909" s="11" t="s">
        <v>208</v>
      </c>
      <c r="J1909" s="11">
        <v>21.0</v>
      </c>
      <c r="K1909" s="12">
        <v>41080.0</v>
      </c>
      <c r="L1909" s="11">
        <f>ROUND(((K1909-B1909)/365)*12,0)</f>
        <v>16</v>
      </c>
      <c r="M1909" s="11">
        <v>543056.0</v>
      </c>
      <c r="N1909" s="11">
        <v>13293.0</v>
      </c>
      <c r="P1909" s="11">
        <v>126.0</v>
      </c>
      <c r="Q1909" s="14">
        <v>119.667</v>
      </c>
      <c r="R1909" s="41">
        <v>1.0</v>
      </c>
      <c r="S1909">
        <f t="shared" si="1"/>
        <v>2011</v>
      </c>
      <c r="T1909">
        <f t="shared" si="2"/>
        <v>3</v>
      </c>
      <c r="U1909">
        <f t="shared" si="3"/>
        <v>1</v>
      </c>
      <c r="AG1909" s="15"/>
      <c r="AH1909" s="16"/>
      <c r="AM1909" s="15"/>
      <c r="AN1909" s="16"/>
    </row>
    <row r="1910">
      <c r="A1910" s="13" t="s">
        <v>1949</v>
      </c>
      <c r="B1910" s="10">
        <v>40603.0</v>
      </c>
      <c r="C1910" s="11" t="s">
        <v>103</v>
      </c>
      <c r="D1910" s="11" t="s">
        <v>93</v>
      </c>
      <c r="E1910" s="30" t="s">
        <v>39</v>
      </c>
      <c r="F1910" s="11" t="s">
        <v>40</v>
      </c>
      <c r="G1910" s="30" t="s">
        <v>45</v>
      </c>
      <c r="H1910" s="11" t="s">
        <v>240</v>
      </c>
      <c r="I1910" s="11" t="s">
        <v>1023</v>
      </c>
      <c r="J1910" s="11">
        <v>19.0</v>
      </c>
      <c r="K1910" s="12">
        <v>41809.0</v>
      </c>
      <c r="L1910" s="30"/>
      <c r="M1910" s="11">
        <v>592492.0</v>
      </c>
      <c r="N1910" s="11" t="s">
        <v>1950</v>
      </c>
      <c r="P1910" s="11">
        <v>0.0</v>
      </c>
      <c r="Q1910" s="14">
        <v>0.0</v>
      </c>
      <c r="R1910" s="41">
        <v>1.0</v>
      </c>
      <c r="S1910">
        <f t="shared" si="1"/>
        <v>2011</v>
      </c>
      <c r="T1910">
        <f t="shared" si="2"/>
        <v>3</v>
      </c>
      <c r="U1910">
        <f t="shared" si="3"/>
        <v>1</v>
      </c>
      <c r="AG1910" s="15"/>
      <c r="AH1910" s="16"/>
      <c r="AM1910" s="15"/>
      <c r="AN1910" s="16"/>
    </row>
    <row r="1911">
      <c r="A1911" s="13" t="s">
        <v>783</v>
      </c>
      <c r="B1911" s="10">
        <v>40603.0</v>
      </c>
      <c r="C1911" s="11" t="s">
        <v>49</v>
      </c>
      <c r="D1911" s="11" t="s">
        <v>213</v>
      </c>
      <c r="E1911" s="11" t="s">
        <v>39</v>
      </c>
      <c r="F1911" s="11" t="s">
        <v>64</v>
      </c>
      <c r="G1911" s="11" t="s">
        <v>45</v>
      </c>
      <c r="H1911" s="11" t="s">
        <v>56</v>
      </c>
      <c r="I1911" s="11" t="s">
        <v>3539</v>
      </c>
      <c r="J1911" s="11">
        <v>19.0</v>
      </c>
      <c r="K1911" s="12">
        <v>41809.0</v>
      </c>
      <c r="L1911" s="11"/>
      <c r="M1911" s="11">
        <v>623364.0</v>
      </c>
      <c r="N1911" s="11">
        <v>16390.0</v>
      </c>
      <c r="P1911" s="11">
        <v>0.0</v>
      </c>
      <c r="Q1911" s="14">
        <v>0.0</v>
      </c>
      <c r="R1911" s="11">
        <v>1.0</v>
      </c>
      <c r="S1911">
        <f t="shared" si="1"/>
        <v>2011</v>
      </c>
      <c r="T1911">
        <f t="shared" si="2"/>
        <v>3</v>
      </c>
      <c r="U1911">
        <f t="shared" si="3"/>
        <v>1</v>
      </c>
      <c r="AG1911" s="15"/>
      <c r="AH1911" s="16"/>
      <c r="AM1911" s="15"/>
      <c r="AN1911" s="16"/>
    </row>
    <row r="1912">
      <c r="A1912" s="13" t="s">
        <v>3540</v>
      </c>
      <c r="B1912" s="10">
        <v>40602.0</v>
      </c>
      <c r="C1912" s="11" t="s">
        <v>83</v>
      </c>
      <c r="D1912" s="11" t="s">
        <v>38</v>
      </c>
      <c r="E1912" s="30" t="s">
        <v>39</v>
      </c>
      <c r="F1912" s="11" t="s">
        <v>40</v>
      </c>
      <c r="G1912" s="30" t="s">
        <v>45</v>
      </c>
      <c r="H1912" s="11" t="s">
        <v>163</v>
      </c>
      <c r="I1912" s="11"/>
      <c r="J1912" s="11">
        <v>29.0</v>
      </c>
      <c r="K1912" s="12">
        <v>41006.0</v>
      </c>
      <c r="L1912" s="11">
        <f>ROUND(((K1912-B1912)/365)*12,0)</f>
        <v>13</v>
      </c>
      <c r="M1912" s="11">
        <v>425794.0</v>
      </c>
      <c r="N1912" s="11">
        <v>2233.0</v>
      </c>
      <c r="O1912" s="13" t="s">
        <v>1332</v>
      </c>
      <c r="P1912" s="11">
        <v>162.0</v>
      </c>
      <c r="Q1912" s="14">
        <v>1017.333</v>
      </c>
      <c r="R1912" s="41">
        <v>1.0</v>
      </c>
      <c r="S1912">
        <f t="shared" si="1"/>
        <v>2011</v>
      </c>
      <c r="T1912">
        <f t="shared" si="2"/>
        <v>2</v>
      </c>
      <c r="U1912">
        <f t="shared" si="3"/>
        <v>28</v>
      </c>
      <c r="V1912" s="13"/>
      <c r="W1912" s="13"/>
      <c r="X1912" s="13"/>
      <c r="Y1912" s="13"/>
      <c r="Z1912" s="13"/>
      <c r="AA1912" s="13"/>
      <c r="AB1912" s="13"/>
      <c r="AC1912" s="13"/>
      <c r="AD1912" s="13"/>
      <c r="AE1912" s="13">
        <v>33.0</v>
      </c>
      <c r="AF1912" s="13">
        <v>33.0</v>
      </c>
      <c r="AG1912" s="50">
        <v>230.333</v>
      </c>
      <c r="AH1912" s="51">
        <v>0.173</v>
      </c>
      <c r="AI1912" s="13">
        <v>62.0</v>
      </c>
      <c r="AJ1912" s="13">
        <v>73.0</v>
      </c>
      <c r="AK1912" s="13">
        <v>32.0</v>
      </c>
      <c r="AL1912" s="13">
        <v>32.0</v>
      </c>
      <c r="AM1912" s="50">
        <v>198.667</v>
      </c>
      <c r="AN1912" s="51">
        <v>0.159</v>
      </c>
      <c r="AO1912" s="13">
        <v>102.0</v>
      </c>
      <c r="AP1912" s="13">
        <v>80.0</v>
      </c>
    </row>
    <row r="1913">
      <c r="A1913" s="13" t="s">
        <v>3541</v>
      </c>
      <c r="B1913" s="10">
        <v>40544.0</v>
      </c>
      <c r="C1913" s="11" t="s">
        <v>101</v>
      </c>
      <c r="D1913" s="11" t="s">
        <v>93</v>
      </c>
      <c r="E1913" s="11" t="s">
        <v>39</v>
      </c>
      <c r="F1913" s="11" t="s">
        <v>64</v>
      </c>
      <c r="G1913" s="11" t="s">
        <v>45</v>
      </c>
      <c r="H1913" s="11" t="s">
        <v>729</v>
      </c>
      <c r="I1913" s="11" t="s">
        <v>3542</v>
      </c>
      <c r="J1913" s="11">
        <v>20.0</v>
      </c>
      <c r="K1913" s="12">
        <v>41458.0</v>
      </c>
      <c r="L1913" s="30"/>
      <c r="M1913" s="11">
        <v>643355.0</v>
      </c>
      <c r="N1913" s="11">
        <v>15293.0</v>
      </c>
      <c r="P1913" s="11">
        <v>24.0</v>
      </c>
      <c r="Q1913" s="14">
        <v>14.667</v>
      </c>
      <c r="R1913" s="11">
        <v>1.0</v>
      </c>
      <c r="S1913">
        <f t="shared" si="1"/>
        <v>2011</v>
      </c>
      <c r="T1913">
        <f t="shared" si="2"/>
        <v>1</v>
      </c>
      <c r="U1913">
        <f t="shared" si="3"/>
        <v>1</v>
      </c>
      <c r="AG1913" s="15"/>
      <c r="AH1913" s="16"/>
      <c r="AM1913" s="15"/>
      <c r="AN1913" s="16"/>
    </row>
    <row r="1914">
      <c r="A1914" s="13" t="s">
        <v>3543</v>
      </c>
      <c r="B1914" s="10">
        <v>40544.0</v>
      </c>
      <c r="C1914" s="11" t="s">
        <v>167</v>
      </c>
      <c r="D1914" s="11" t="s">
        <v>58</v>
      </c>
      <c r="E1914" s="11" t="s">
        <v>39</v>
      </c>
      <c r="F1914" s="11" t="s">
        <v>40</v>
      </c>
      <c r="G1914" s="11" t="s">
        <v>45</v>
      </c>
      <c r="H1914" s="11" t="s">
        <v>73</v>
      </c>
      <c r="I1914" s="11" t="s">
        <v>3544</v>
      </c>
      <c r="J1914" s="11">
        <v>25.0</v>
      </c>
      <c r="K1914" s="12">
        <v>41421.0</v>
      </c>
      <c r="L1914" s="30"/>
      <c r="M1914" s="11">
        <v>489295.0</v>
      </c>
      <c r="N1914" s="11">
        <v>3599.0</v>
      </c>
      <c r="P1914" s="11">
        <v>71.0</v>
      </c>
      <c r="Q1914" s="14">
        <v>63.667</v>
      </c>
      <c r="R1914" s="41">
        <v>1.0</v>
      </c>
      <c r="S1914">
        <f t="shared" si="1"/>
        <v>2011</v>
      </c>
      <c r="T1914">
        <f t="shared" si="2"/>
        <v>1</v>
      </c>
      <c r="U1914">
        <f t="shared" si="3"/>
        <v>1</v>
      </c>
      <c r="AG1914" s="15"/>
      <c r="AH1914" s="16"/>
      <c r="AM1914" s="15"/>
      <c r="AN1914" s="16"/>
    </row>
    <row r="1915">
      <c r="A1915" s="13" t="s">
        <v>3545</v>
      </c>
      <c r="B1915" s="10">
        <v>40544.0</v>
      </c>
      <c r="C1915" s="11" t="s">
        <v>143</v>
      </c>
      <c r="D1915" s="11" t="s">
        <v>93</v>
      </c>
      <c r="E1915" s="11" t="s">
        <v>39</v>
      </c>
      <c r="F1915" s="11" t="s">
        <v>40</v>
      </c>
      <c r="G1915" s="11" t="s">
        <v>45</v>
      </c>
      <c r="H1915" s="11" t="s">
        <v>46</v>
      </c>
      <c r="I1915" s="11" t="s">
        <v>50</v>
      </c>
      <c r="J1915" s="11">
        <v>21.0</v>
      </c>
      <c r="K1915" s="12">
        <v>41086.0</v>
      </c>
      <c r="L1915" s="30"/>
      <c r="M1915" s="11">
        <v>605344.0</v>
      </c>
      <c r="N1915" s="11" t="s">
        <v>3546</v>
      </c>
      <c r="P1915" s="11">
        <v>0.0</v>
      </c>
      <c r="Q1915" s="14">
        <v>0.0</v>
      </c>
      <c r="R1915" s="41">
        <v>1.0</v>
      </c>
      <c r="S1915">
        <f t="shared" si="1"/>
        <v>2011</v>
      </c>
      <c r="T1915">
        <f t="shared" si="2"/>
        <v>1</v>
      </c>
      <c r="U1915">
        <f t="shared" si="3"/>
        <v>1</v>
      </c>
      <c r="AG1915" s="15"/>
      <c r="AH1915" s="16"/>
      <c r="AM1915" s="15"/>
      <c r="AN1915" s="16"/>
    </row>
    <row r="1916">
      <c r="A1916" s="13" t="s">
        <v>3547</v>
      </c>
      <c r="B1916" s="10">
        <v>40544.0</v>
      </c>
      <c r="C1916" s="11" t="s">
        <v>143</v>
      </c>
      <c r="D1916" s="11" t="s">
        <v>221</v>
      </c>
      <c r="E1916" s="30" t="s">
        <v>39</v>
      </c>
      <c r="F1916" s="11" t="s">
        <v>40</v>
      </c>
      <c r="G1916" s="30" t="s">
        <v>45</v>
      </c>
      <c r="H1916" s="11" t="s">
        <v>231</v>
      </c>
      <c r="I1916" s="11" t="s">
        <v>746</v>
      </c>
      <c r="J1916" s="11">
        <v>22.0</v>
      </c>
      <c r="K1916" s="12">
        <v>41079.0</v>
      </c>
      <c r="L1916" s="30"/>
      <c r="M1916" s="11">
        <v>592702.0</v>
      </c>
      <c r="N1916" s="11" t="s">
        <v>3548</v>
      </c>
      <c r="P1916" s="11">
        <v>0.0</v>
      </c>
      <c r="Q1916" s="14">
        <v>0.0</v>
      </c>
      <c r="R1916" s="41">
        <v>0.0</v>
      </c>
      <c r="S1916">
        <f t="shared" si="1"/>
        <v>2011</v>
      </c>
      <c r="T1916">
        <f t="shared" si="2"/>
        <v>1</v>
      </c>
      <c r="U1916">
        <f t="shared" si="3"/>
        <v>1</v>
      </c>
      <c r="AG1916" s="15"/>
      <c r="AH1916" s="16"/>
      <c r="AM1916" s="15"/>
      <c r="AN1916" s="16"/>
    </row>
    <row r="1917">
      <c r="A1917" s="13" t="s">
        <v>3549</v>
      </c>
      <c r="B1917" s="10">
        <v>40544.0</v>
      </c>
      <c r="C1917" s="11" t="s">
        <v>162</v>
      </c>
      <c r="D1917" s="11" t="s">
        <v>213</v>
      </c>
      <c r="E1917" s="30" t="s">
        <v>39</v>
      </c>
      <c r="F1917" s="11" t="s">
        <v>40</v>
      </c>
      <c r="G1917" s="30" t="s">
        <v>45</v>
      </c>
      <c r="H1917" s="11" t="s">
        <v>173</v>
      </c>
      <c r="I1917" s="11"/>
      <c r="J1917" s="11">
        <v>19.0</v>
      </c>
      <c r="K1917" s="12">
        <v>41082.0</v>
      </c>
      <c r="L1917" s="30"/>
      <c r="M1917" s="11">
        <v>592219.0</v>
      </c>
      <c r="N1917" s="11" t="s">
        <v>3550</v>
      </c>
      <c r="P1917" s="11">
        <v>0.0</v>
      </c>
      <c r="Q1917" s="14">
        <v>0.0</v>
      </c>
      <c r="R1917" s="41">
        <v>1.0</v>
      </c>
      <c r="S1917">
        <f t="shared" si="1"/>
        <v>2011</v>
      </c>
      <c r="T1917">
        <f t="shared" si="2"/>
        <v>1</v>
      </c>
      <c r="U1917">
        <f t="shared" si="3"/>
        <v>1</v>
      </c>
      <c r="AG1917" s="15"/>
      <c r="AH1917" s="16"/>
      <c r="AM1917" s="15"/>
      <c r="AN1917" s="16"/>
    </row>
    <row r="1918">
      <c r="A1918" s="13" t="s">
        <v>3551</v>
      </c>
      <c r="B1918" s="10">
        <v>40544.0</v>
      </c>
      <c r="C1918" s="11" t="s">
        <v>192</v>
      </c>
      <c r="D1918" s="11" t="s">
        <v>93</v>
      </c>
      <c r="E1918" s="11" t="s">
        <v>39</v>
      </c>
      <c r="F1918" s="11" t="s">
        <v>40</v>
      </c>
      <c r="G1918" s="11" t="s">
        <v>45</v>
      </c>
      <c r="H1918" s="11" t="s">
        <v>729</v>
      </c>
      <c r="I1918" s="11" t="s">
        <v>276</v>
      </c>
      <c r="J1918" s="11">
        <v>21.0</v>
      </c>
      <c r="K1918" s="12">
        <v>41083.0</v>
      </c>
      <c r="L1918" s="11"/>
      <c r="M1918" s="11">
        <v>623184.0</v>
      </c>
      <c r="N1918" s="11">
        <v>13911.0</v>
      </c>
      <c r="P1918" s="11">
        <v>154.0</v>
      </c>
      <c r="Q1918" s="14">
        <v>142.667</v>
      </c>
      <c r="R1918" s="41">
        <v>1.0</v>
      </c>
      <c r="S1918">
        <f t="shared" si="1"/>
        <v>2011</v>
      </c>
      <c r="T1918">
        <f t="shared" si="2"/>
        <v>1</v>
      </c>
      <c r="U1918">
        <f t="shared" si="3"/>
        <v>1</v>
      </c>
      <c r="AG1918" s="15"/>
      <c r="AH1918" s="16"/>
      <c r="AM1918" s="15"/>
      <c r="AN1918" s="16"/>
    </row>
    <row r="1919">
      <c r="A1919" s="13" t="s">
        <v>3552</v>
      </c>
      <c r="B1919" s="10">
        <v>40544.0</v>
      </c>
      <c r="C1919" s="11" t="s">
        <v>192</v>
      </c>
      <c r="D1919" s="11" t="s">
        <v>93</v>
      </c>
      <c r="E1919" s="11" t="s">
        <v>39</v>
      </c>
      <c r="F1919" s="11" t="s">
        <v>64</v>
      </c>
      <c r="G1919" s="11" t="s">
        <v>45</v>
      </c>
      <c r="H1919" s="11" t="s">
        <v>320</v>
      </c>
      <c r="I1919" s="11" t="s">
        <v>320</v>
      </c>
      <c r="J1919" s="11">
        <v>19.0</v>
      </c>
      <c r="K1919" s="12">
        <v>41815.0</v>
      </c>
      <c r="L1919" s="30"/>
      <c r="M1919" s="11">
        <v>643466.0</v>
      </c>
      <c r="N1919" s="11">
        <v>16532.0</v>
      </c>
      <c r="P1919" s="11">
        <v>0.0</v>
      </c>
      <c r="Q1919" s="14">
        <v>0.0</v>
      </c>
      <c r="R1919" s="41">
        <v>1.0</v>
      </c>
      <c r="S1919">
        <f t="shared" si="1"/>
        <v>2011</v>
      </c>
      <c r="T1919">
        <f t="shared" si="2"/>
        <v>1</v>
      </c>
      <c r="U1919">
        <f t="shared" si="3"/>
        <v>1</v>
      </c>
      <c r="AG1919" s="15"/>
      <c r="AH1919" s="16"/>
      <c r="AM1919" s="15"/>
      <c r="AN1919" s="16"/>
    </row>
    <row r="1920">
      <c r="A1920" s="13" t="s">
        <v>3553</v>
      </c>
      <c r="B1920" s="10">
        <v>40544.0</v>
      </c>
      <c r="C1920" s="11" t="s">
        <v>111</v>
      </c>
      <c r="D1920" s="11" t="s">
        <v>97</v>
      </c>
      <c r="E1920" s="11" t="s">
        <v>39</v>
      </c>
      <c r="F1920" s="11" t="s">
        <v>40</v>
      </c>
      <c r="G1920" s="11" t="s">
        <v>45</v>
      </c>
      <c r="H1920" s="11" t="s">
        <v>127</v>
      </c>
      <c r="I1920" s="11" t="s">
        <v>3554</v>
      </c>
      <c r="J1920" s="11">
        <v>20.0</v>
      </c>
      <c r="K1920" s="12">
        <v>41042.0</v>
      </c>
      <c r="L1920" s="30"/>
      <c r="M1920" s="11">
        <v>594815.0</v>
      </c>
      <c r="N1920" s="11">
        <v>11506.0</v>
      </c>
      <c r="P1920" s="11">
        <v>20.0</v>
      </c>
      <c r="Q1920" s="14">
        <v>20.667</v>
      </c>
      <c r="R1920" s="11">
        <v>1.0</v>
      </c>
      <c r="S1920">
        <f t="shared" si="1"/>
        <v>2011</v>
      </c>
      <c r="T1920">
        <f t="shared" si="2"/>
        <v>1</v>
      </c>
      <c r="U1920">
        <f t="shared" si="3"/>
        <v>1</v>
      </c>
      <c r="AG1920" s="15"/>
      <c r="AH1920" s="16"/>
      <c r="AM1920" s="15"/>
      <c r="AN1920" s="16"/>
    </row>
    <row r="1921">
      <c r="A1921" s="13" t="s">
        <v>3555</v>
      </c>
      <c r="B1921" s="10">
        <v>40544.0</v>
      </c>
      <c r="C1921" s="11" t="s">
        <v>346</v>
      </c>
      <c r="D1921" s="11" t="s">
        <v>221</v>
      </c>
      <c r="E1921" s="30" t="s">
        <v>39</v>
      </c>
      <c r="F1921" s="11" t="s">
        <v>64</v>
      </c>
      <c r="G1921" s="30" t="s">
        <v>45</v>
      </c>
      <c r="H1921" s="11" t="s">
        <v>84</v>
      </c>
      <c r="I1921" s="11" t="s">
        <v>3556</v>
      </c>
      <c r="J1921" s="11">
        <v>23.0</v>
      </c>
      <c r="K1921" s="12">
        <v>41008.0</v>
      </c>
      <c r="L1921" s="30"/>
      <c r="M1921" s="11">
        <v>501958.0</v>
      </c>
      <c r="N1921" s="11" t="s">
        <v>3557</v>
      </c>
      <c r="P1921" s="11">
        <v>0.0</v>
      </c>
      <c r="Q1921" s="14">
        <v>0.0</v>
      </c>
      <c r="R1921" s="11">
        <v>0.0</v>
      </c>
      <c r="S1921">
        <f t="shared" si="1"/>
        <v>2011</v>
      </c>
      <c r="T1921">
        <f t="shared" si="2"/>
        <v>1</v>
      </c>
      <c r="U1921">
        <f t="shared" si="3"/>
        <v>1</v>
      </c>
      <c r="AG1921" s="15"/>
      <c r="AH1921" s="16"/>
      <c r="AM1921" s="15"/>
      <c r="AN1921" s="16"/>
    </row>
    <row r="1922">
      <c r="A1922" s="13" t="s">
        <v>3558</v>
      </c>
      <c r="B1922" s="10">
        <v>40544.0</v>
      </c>
      <c r="C1922" s="11" t="s">
        <v>37</v>
      </c>
      <c r="D1922" s="11" t="s">
        <v>221</v>
      </c>
      <c r="E1922" s="11" t="s">
        <v>39</v>
      </c>
      <c r="F1922" s="11" t="s">
        <v>40</v>
      </c>
      <c r="G1922" s="11" t="s">
        <v>41</v>
      </c>
      <c r="H1922" s="11"/>
      <c r="I1922" s="11"/>
      <c r="J1922" s="11">
        <v>24.0</v>
      </c>
      <c r="K1922" s="12">
        <v>41062.0</v>
      </c>
      <c r="L1922" s="30"/>
      <c r="M1922" s="11">
        <v>491708.0</v>
      </c>
      <c r="N1922" s="11">
        <v>8992.0</v>
      </c>
      <c r="P1922" s="11">
        <v>149.0</v>
      </c>
      <c r="Q1922" s="14">
        <v>155.0</v>
      </c>
      <c r="R1922" s="41">
        <v>1.0</v>
      </c>
      <c r="S1922">
        <f t="shared" si="1"/>
        <v>2011</v>
      </c>
      <c r="T1922">
        <f t="shared" si="2"/>
        <v>1</v>
      </c>
      <c r="U1922">
        <f t="shared" si="3"/>
        <v>1</v>
      </c>
      <c r="AG1922" s="15"/>
      <c r="AH1922" s="16"/>
      <c r="AM1922" s="15"/>
      <c r="AN1922" s="16"/>
    </row>
    <row r="1923">
      <c r="A1923" s="13" t="s">
        <v>3559</v>
      </c>
      <c r="B1923" s="10">
        <v>40544.0</v>
      </c>
      <c r="C1923" s="11" t="s">
        <v>103</v>
      </c>
      <c r="D1923" s="11" t="s">
        <v>93</v>
      </c>
      <c r="E1923" s="11" t="s">
        <v>39</v>
      </c>
      <c r="F1923" s="11" t="s">
        <v>64</v>
      </c>
      <c r="G1923" s="11" t="s">
        <v>45</v>
      </c>
      <c r="H1923" s="11" t="s">
        <v>182</v>
      </c>
      <c r="I1923" s="11" t="s">
        <v>539</v>
      </c>
      <c r="J1923" s="11">
        <v>19.0</v>
      </c>
      <c r="K1923" s="12">
        <v>41508.0</v>
      </c>
      <c r="L1923" s="30"/>
      <c r="M1923" s="11">
        <v>592155.0</v>
      </c>
      <c r="N1923" s="11">
        <v>16061.0</v>
      </c>
      <c r="P1923" s="11">
        <v>0.0</v>
      </c>
      <c r="Q1923" s="14">
        <v>0.0</v>
      </c>
      <c r="R1923" s="41">
        <v>1.0</v>
      </c>
      <c r="S1923">
        <f t="shared" si="1"/>
        <v>2011</v>
      </c>
      <c r="T1923">
        <f t="shared" si="2"/>
        <v>1</v>
      </c>
      <c r="U1923">
        <f t="shared" si="3"/>
        <v>1</v>
      </c>
      <c r="AG1923" s="15"/>
      <c r="AH1923" s="16"/>
      <c r="AM1923" s="15"/>
      <c r="AN1923" s="16"/>
    </row>
    <row r="1924">
      <c r="A1924" s="13" t="s">
        <v>3560</v>
      </c>
      <c r="B1924" s="10">
        <v>40544.0</v>
      </c>
      <c r="C1924" s="11" t="s">
        <v>49</v>
      </c>
      <c r="D1924" s="11" t="s">
        <v>221</v>
      </c>
      <c r="E1924" s="30" t="s">
        <v>39</v>
      </c>
      <c r="F1924" s="11" t="s">
        <v>40</v>
      </c>
      <c r="G1924" s="41" t="s">
        <v>460</v>
      </c>
      <c r="H1924" s="30"/>
      <c r="I1924" s="30"/>
      <c r="J1924" s="11">
        <v>21.0</v>
      </c>
      <c r="K1924" s="30"/>
      <c r="L1924" s="30"/>
      <c r="M1924" s="11">
        <v>573665.0</v>
      </c>
      <c r="N1924" s="11" t="s">
        <v>3561</v>
      </c>
      <c r="P1924" s="11">
        <v>0.0</v>
      </c>
      <c r="Q1924" s="14">
        <v>0.0</v>
      </c>
      <c r="R1924" s="41">
        <v>0.0</v>
      </c>
      <c r="S1924">
        <f t="shared" si="1"/>
        <v>2011</v>
      </c>
      <c r="T1924">
        <f t="shared" si="2"/>
        <v>1</v>
      </c>
      <c r="U1924">
        <f t="shared" si="3"/>
        <v>1</v>
      </c>
      <c r="AG1924" s="15"/>
      <c r="AH1924" s="16"/>
      <c r="AM1924" s="15"/>
      <c r="AN1924" s="16"/>
    </row>
    <row r="1925">
      <c r="A1925" s="13" t="s">
        <v>3562</v>
      </c>
      <c r="B1925" s="10">
        <v>40544.0</v>
      </c>
      <c r="C1925" s="11" t="s">
        <v>108</v>
      </c>
      <c r="D1925" s="11" t="s">
        <v>93</v>
      </c>
      <c r="E1925" s="11" t="s">
        <v>39</v>
      </c>
      <c r="F1925" s="11" t="s">
        <v>40</v>
      </c>
      <c r="G1925" s="11" t="s">
        <v>326</v>
      </c>
      <c r="H1925" s="11"/>
      <c r="I1925" s="11"/>
      <c r="J1925" s="11">
        <v>19.0</v>
      </c>
      <c r="K1925" s="12">
        <v>41081.0</v>
      </c>
      <c r="L1925" s="30"/>
      <c r="M1925" s="11">
        <v>606149.0</v>
      </c>
      <c r="N1925" s="11">
        <v>14986.0</v>
      </c>
      <c r="P1925" s="11">
        <v>16.0</v>
      </c>
      <c r="Q1925" s="14">
        <v>20.333</v>
      </c>
      <c r="R1925" s="11">
        <v>1.0</v>
      </c>
      <c r="S1925">
        <f t="shared" si="1"/>
        <v>2011</v>
      </c>
      <c r="T1925">
        <f t="shared" si="2"/>
        <v>1</v>
      </c>
      <c r="U1925">
        <f t="shared" si="3"/>
        <v>1</v>
      </c>
      <c r="AG1925" s="15"/>
      <c r="AH1925" s="16"/>
      <c r="AM1925" s="15"/>
      <c r="AN1925" s="16"/>
    </row>
    <row r="1926">
      <c r="A1926" s="13" t="s">
        <v>1612</v>
      </c>
      <c r="B1926" s="10">
        <v>40544.0</v>
      </c>
      <c r="C1926" s="11" t="s">
        <v>108</v>
      </c>
      <c r="D1926" s="11" t="s">
        <v>93</v>
      </c>
      <c r="E1926" s="11" t="s">
        <v>39</v>
      </c>
      <c r="F1926" s="11" t="s">
        <v>40</v>
      </c>
      <c r="G1926" s="11" t="s">
        <v>45</v>
      </c>
      <c r="H1926" s="11" t="s">
        <v>67</v>
      </c>
      <c r="I1926" s="11" t="s">
        <v>3563</v>
      </c>
      <c r="J1926" s="11">
        <v>19.0</v>
      </c>
      <c r="K1926" s="12">
        <v>41092.0</v>
      </c>
      <c r="L1926" s="30"/>
      <c r="M1926" s="11">
        <v>621203.0</v>
      </c>
      <c r="N1926" s="11" t="s">
        <v>1614</v>
      </c>
      <c r="P1926" s="11">
        <v>0.0</v>
      </c>
      <c r="Q1926" s="14">
        <v>0.0</v>
      </c>
      <c r="R1926" s="41">
        <v>1.0</v>
      </c>
      <c r="S1926">
        <f t="shared" si="1"/>
        <v>2011</v>
      </c>
      <c r="T1926">
        <f t="shared" si="2"/>
        <v>1</v>
      </c>
      <c r="U1926">
        <f t="shared" si="3"/>
        <v>1</v>
      </c>
      <c r="AG1926" s="15"/>
      <c r="AH1926" s="16"/>
      <c r="AM1926" s="15"/>
      <c r="AN1926" s="16"/>
    </row>
    <row r="1927">
      <c r="A1927" s="13" t="s">
        <v>3564</v>
      </c>
      <c r="B1927" s="10">
        <v>40544.0</v>
      </c>
      <c r="C1927" s="11" t="s">
        <v>108</v>
      </c>
      <c r="D1927" s="11" t="s">
        <v>213</v>
      </c>
      <c r="E1927" s="11" t="s">
        <v>39</v>
      </c>
      <c r="F1927" s="11" t="s">
        <v>40</v>
      </c>
      <c r="G1927" s="11" t="s">
        <v>45</v>
      </c>
      <c r="H1927" s="11" t="s">
        <v>262</v>
      </c>
      <c r="I1927" s="11" t="s">
        <v>78</v>
      </c>
      <c r="J1927" s="11">
        <v>18.0</v>
      </c>
      <c r="K1927" s="12"/>
      <c r="L1927" s="30"/>
      <c r="M1927" s="11">
        <v>606944.0</v>
      </c>
      <c r="N1927" s="11">
        <v>17664.0</v>
      </c>
      <c r="P1927" s="11">
        <v>0.0</v>
      </c>
      <c r="Q1927" s="14">
        <v>0.0</v>
      </c>
      <c r="R1927" s="11">
        <v>1.0</v>
      </c>
      <c r="S1927">
        <f t="shared" si="1"/>
        <v>2011</v>
      </c>
      <c r="T1927">
        <f t="shared" si="2"/>
        <v>1</v>
      </c>
      <c r="U1927">
        <f t="shared" si="3"/>
        <v>1</v>
      </c>
      <c r="AG1927" s="15"/>
      <c r="AH1927" s="16"/>
      <c r="AM1927" s="15"/>
      <c r="AN1927" s="16"/>
    </row>
    <row r="1928">
      <c r="A1928" s="13" t="s">
        <v>3565</v>
      </c>
      <c r="B1928" s="10">
        <v>40544.0</v>
      </c>
      <c r="C1928" s="11" t="s">
        <v>108</v>
      </c>
      <c r="D1928" s="11" t="s">
        <v>213</v>
      </c>
      <c r="E1928" s="11" t="s">
        <v>39</v>
      </c>
      <c r="F1928" s="11" t="s">
        <v>40</v>
      </c>
      <c r="G1928" s="11" t="s">
        <v>45</v>
      </c>
      <c r="H1928" s="11" t="s">
        <v>84</v>
      </c>
      <c r="I1928" s="11" t="s">
        <v>412</v>
      </c>
      <c r="J1928" s="11">
        <v>17.0</v>
      </c>
      <c r="K1928" s="12">
        <v>42196.0</v>
      </c>
      <c r="L1928" s="30"/>
      <c r="M1928" s="11">
        <v>664117.0</v>
      </c>
      <c r="N1928" s="11" t="s">
        <v>3566</v>
      </c>
      <c r="P1928" s="11">
        <v>0.0</v>
      </c>
      <c r="Q1928" s="14">
        <v>0.0</v>
      </c>
      <c r="R1928" s="41">
        <v>1.0</v>
      </c>
      <c r="S1928">
        <f t="shared" si="1"/>
        <v>2011</v>
      </c>
      <c r="T1928">
        <f t="shared" si="2"/>
        <v>1</v>
      </c>
      <c r="U1928">
        <f t="shared" si="3"/>
        <v>1</v>
      </c>
      <c r="AG1928" s="15"/>
      <c r="AH1928" s="16"/>
      <c r="AM1928" s="15"/>
      <c r="AN1928" s="16"/>
    </row>
    <row r="1929">
      <c r="A1929" s="13" t="s">
        <v>3567</v>
      </c>
      <c r="B1929" s="10">
        <v>40544.0</v>
      </c>
      <c r="C1929" s="11" t="s">
        <v>274</v>
      </c>
      <c r="D1929" s="11" t="s">
        <v>58</v>
      </c>
      <c r="E1929" s="30" t="s">
        <v>39</v>
      </c>
      <c r="F1929" s="11" t="s">
        <v>40</v>
      </c>
      <c r="G1929" s="30" t="s">
        <v>45</v>
      </c>
      <c r="H1929" s="11" t="s">
        <v>84</v>
      </c>
      <c r="I1929" s="11"/>
      <c r="J1929" s="11">
        <v>29.0</v>
      </c>
      <c r="K1929" s="12">
        <v>41104.0</v>
      </c>
      <c r="L1929" s="30"/>
      <c r="M1929" s="11">
        <v>425818.0</v>
      </c>
      <c r="N1929" s="11">
        <v>2159.0</v>
      </c>
      <c r="P1929" s="11">
        <v>0.0</v>
      </c>
      <c r="Q1929" s="14">
        <v>0.0</v>
      </c>
      <c r="R1929" s="41">
        <v>0.0</v>
      </c>
      <c r="S1929">
        <f t="shared" si="1"/>
        <v>2011</v>
      </c>
      <c r="T1929">
        <f t="shared" si="2"/>
        <v>1</v>
      </c>
      <c r="U1929">
        <f t="shared" si="3"/>
        <v>1</v>
      </c>
      <c r="AG1929" s="15"/>
      <c r="AH1929" s="16"/>
      <c r="AM1929" s="15"/>
      <c r="AN1929" s="16"/>
    </row>
    <row r="1930">
      <c r="A1930" s="13" t="s">
        <v>3568</v>
      </c>
      <c r="B1930" s="10">
        <v>40544.0</v>
      </c>
      <c r="C1930" s="11" t="s">
        <v>150</v>
      </c>
      <c r="D1930" s="11" t="s">
        <v>58</v>
      </c>
      <c r="E1930" s="30" t="s">
        <v>39</v>
      </c>
      <c r="F1930" s="11" t="s">
        <v>40</v>
      </c>
      <c r="G1930" s="30" t="s">
        <v>45</v>
      </c>
      <c r="H1930" s="11" t="s">
        <v>317</v>
      </c>
      <c r="I1930" s="11" t="s">
        <v>3569</v>
      </c>
      <c r="J1930" s="11">
        <v>30.0</v>
      </c>
      <c r="K1930" s="12">
        <v>41370.0</v>
      </c>
      <c r="L1930" s="30"/>
      <c r="M1930" s="11">
        <v>444382.0</v>
      </c>
      <c r="N1930" s="11">
        <v>5890.0</v>
      </c>
      <c r="P1930" s="11">
        <v>0.0</v>
      </c>
      <c r="Q1930" s="14">
        <v>0.0</v>
      </c>
      <c r="R1930" s="41">
        <v>0.0</v>
      </c>
      <c r="S1930">
        <f t="shared" si="1"/>
        <v>2011</v>
      </c>
      <c r="T1930">
        <f t="shared" si="2"/>
        <v>1</v>
      </c>
      <c r="U1930">
        <f t="shared" si="3"/>
        <v>1</v>
      </c>
      <c r="AG1930" s="15"/>
      <c r="AH1930" s="16"/>
      <c r="AM1930" s="15"/>
      <c r="AN1930" s="16"/>
    </row>
    <row r="1931">
      <c r="A1931" s="13" t="s">
        <v>2726</v>
      </c>
      <c r="B1931" s="10">
        <v>40544.0</v>
      </c>
      <c r="C1931" s="11" t="s">
        <v>362</v>
      </c>
      <c r="D1931" s="11" t="s">
        <v>93</v>
      </c>
      <c r="E1931" s="30" t="s">
        <v>39</v>
      </c>
      <c r="F1931" s="11" t="s">
        <v>40</v>
      </c>
      <c r="G1931" s="30" t="s">
        <v>45</v>
      </c>
      <c r="H1931" s="11" t="s">
        <v>59</v>
      </c>
      <c r="I1931" s="11" t="s">
        <v>2301</v>
      </c>
      <c r="J1931" s="11">
        <v>20.0</v>
      </c>
      <c r="K1931" s="12">
        <v>41443.0</v>
      </c>
      <c r="L1931" s="30"/>
      <c r="M1931" s="11">
        <v>623437.0</v>
      </c>
      <c r="N1931" s="11">
        <v>15145.0</v>
      </c>
      <c r="P1931" s="11">
        <v>0.0</v>
      </c>
      <c r="Q1931" s="14">
        <v>0.0</v>
      </c>
      <c r="R1931" s="41">
        <v>0.0</v>
      </c>
      <c r="S1931">
        <f t="shared" si="1"/>
        <v>2011</v>
      </c>
      <c r="T1931">
        <f t="shared" si="2"/>
        <v>1</v>
      </c>
      <c r="U1931">
        <f t="shared" si="3"/>
        <v>1</v>
      </c>
      <c r="AG1931" s="15"/>
      <c r="AH1931" s="16"/>
      <c r="AM1931" s="15"/>
      <c r="AN1931" s="16"/>
    </row>
    <row r="1932">
      <c r="A1932" s="13" t="s">
        <v>3570</v>
      </c>
      <c r="B1932" s="10">
        <v>40544.0</v>
      </c>
      <c r="C1932" s="11" t="s">
        <v>362</v>
      </c>
      <c r="D1932" s="11" t="s">
        <v>213</v>
      </c>
      <c r="E1932" s="11" t="s">
        <v>39</v>
      </c>
      <c r="F1932" s="11" t="s">
        <v>64</v>
      </c>
      <c r="G1932" s="11" t="s">
        <v>245</v>
      </c>
      <c r="H1932" s="11"/>
      <c r="I1932" s="11"/>
      <c r="J1932" s="11">
        <v>19.0</v>
      </c>
      <c r="K1932" s="12">
        <v>41446.0</v>
      </c>
      <c r="L1932" s="30"/>
      <c r="M1932" s="11">
        <v>623913.0</v>
      </c>
      <c r="N1932" s="11">
        <v>14382.0</v>
      </c>
      <c r="O1932" s="13"/>
      <c r="P1932" s="11">
        <v>22.0</v>
      </c>
      <c r="Q1932" s="14">
        <v>18.667</v>
      </c>
      <c r="R1932" s="41">
        <v>1.0</v>
      </c>
      <c r="S1932">
        <f t="shared" si="1"/>
        <v>2011</v>
      </c>
      <c r="T1932">
        <f t="shared" si="2"/>
        <v>1</v>
      </c>
      <c r="U1932">
        <f t="shared" si="3"/>
        <v>1</v>
      </c>
      <c r="AG1932" s="15"/>
      <c r="AH1932" s="16"/>
      <c r="AM1932" s="15"/>
      <c r="AN1932" s="16"/>
    </row>
    <row r="1933">
      <c r="A1933" s="13" t="s">
        <v>3571</v>
      </c>
      <c r="B1933" s="10">
        <v>40544.0</v>
      </c>
      <c r="C1933" s="11" t="s">
        <v>83</v>
      </c>
      <c r="D1933" s="11" t="s">
        <v>221</v>
      </c>
      <c r="E1933" s="11" t="s">
        <v>39</v>
      </c>
      <c r="F1933" s="11" t="s">
        <v>40</v>
      </c>
      <c r="G1933" s="11" t="s">
        <v>45</v>
      </c>
      <c r="H1933" s="11" t="s">
        <v>84</v>
      </c>
      <c r="I1933" s="11" t="s">
        <v>1856</v>
      </c>
      <c r="J1933" s="11">
        <v>20.0</v>
      </c>
      <c r="K1933" s="12">
        <v>41394.0</v>
      </c>
      <c r="L1933" s="30"/>
      <c r="M1933" s="11">
        <v>572998.0</v>
      </c>
      <c r="N1933" s="11">
        <v>11686.0</v>
      </c>
      <c r="O1933" s="13"/>
      <c r="P1933" s="11">
        <v>5.0</v>
      </c>
      <c r="Q1933" s="14">
        <v>7.333</v>
      </c>
      <c r="R1933" s="11">
        <v>1.0</v>
      </c>
      <c r="S1933">
        <f t="shared" si="1"/>
        <v>2011</v>
      </c>
      <c r="T1933">
        <f t="shared" si="2"/>
        <v>1</v>
      </c>
      <c r="U1933">
        <f t="shared" si="3"/>
        <v>1</v>
      </c>
      <c r="AG1933" s="15"/>
      <c r="AH1933" s="16"/>
      <c r="AM1933" s="15"/>
      <c r="AN1933" s="16"/>
    </row>
    <row r="1934">
      <c r="A1934" s="13" t="s">
        <v>3572</v>
      </c>
      <c r="B1934" s="10">
        <v>40544.0</v>
      </c>
      <c r="C1934" s="11" t="s">
        <v>156</v>
      </c>
      <c r="D1934" s="11" t="s">
        <v>93</v>
      </c>
      <c r="E1934" s="11" t="s">
        <v>39</v>
      </c>
      <c r="F1934" s="11" t="s">
        <v>40</v>
      </c>
      <c r="G1934" s="11" t="s">
        <v>45</v>
      </c>
      <c r="H1934" s="11" t="s">
        <v>262</v>
      </c>
      <c r="I1934" s="11" t="s">
        <v>262</v>
      </c>
      <c r="J1934" s="11">
        <v>21.0</v>
      </c>
      <c r="K1934" s="12">
        <v>41109.0</v>
      </c>
      <c r="L1934" s="30"/>
      <c r="M1934" s="11">
        <v>543677.0</v>
      </c>
      <c r="N1934" s="11">
        <v>14460.0</v>
      </c>
      <c r="O1934" s="13" t="s">
        <v>761</v>
      </c>
      <c r="P1934" s="11">
        <v>0.0</v>
      </c>
      <c r="Q1934" s="14">
        <v>0.0</v>
      </c>
      <c r="R1934" s="41">
        <v>0.0</v>
      </c>
      <c r="S1934">
        <f t="shared" si="1"/>
        <v>2011</v>
      </c>
      <c r="T1934">
        <f t="shared" si="2"/>
        <v>1</v>
      </c>
      <c r="U1934">
        <f t="shared" si="3"/>
        <v>1</v>
      </c>
      <c r="AG1934" s="15"/>
      <c r="AH1934" s="16"/>
      <c r="AM1934" s="15"/>
      <c r="AN1934" s="16"/>
    </row>
    <row r="1935">
      <c r="A1935" s="13" t="s">
        <v>3573</v>
      </c>
      <c r="B1935" s="10">
        <v>40544.0</v>
      </c>
      <c r="C1935" s="11" t="s">
        <v>186</v>
      </c>
      <c r="D1935" s="11" t="s">
        <v>213</v>
      </c>
      <c r="E1935" s="11" t="s">
        <v>39</v>
      </c>
      <c r="F1935" s="11" t="s">
        <v>64</v>
      </c>
      <c r="G1935" s="11" t="s">
        <v>45</v>
      </c>
      <c r="H1935" s="11" t="s">
        <v>56</v>
      </c>
      <c r="I1935" s="11" t="s">
        <v>112</v>
      </c>
      <c r="J1935" s="11">
        <v>18.0</v>
      </c>
      <c r="K1935" s="12">
        <v>42175.0</v>
      </c>
      <c r="L1935" s="30"/>
      <c r="M1935" s="11">
        <v>605179.0</v>
      </c>
      <c r="N1935" s="11" t="s">
        <v>3574</v>
      </c>
      <c r="P1935" s="11">
        <v>0.0</v>
      </c>
      <c r="Q1935" s="14">
        <v>0.0</v>
      </c>
      <c r="R1935" s="41">
        <v>1.0</v>
      </c>
      <c r="S1935">
        <f t="shared" si="1"/>
        <v>2011</v>
      </c>
      <c r="T1935">
        <f t="shared" si="2"/>
        <v>1</v>
      </c>
      <c r="U1935">
        <f t="shared" si="3"/>
        <v>1</v>
      </c>
      <c r="AG1935" s="15"/>
      <c r="AH1935" s="16"/>
      <c r="AM1935" s="15"/>
      <c r="AN1935" s="16"/>
    </row>
    <row r="1936">
      <c r="A1936" s="13" t="s">
        <v>2014</v>
      </c>
      <c r="B1936" s="10">
        <v>40544.0</v>
      </c>
      <c r="C1936" s="11" t="s">
        <v>186</v>
      </c>
      <c r="D1936" s="11" t="s">
        <v>213</v>
      </c>
      <c r="E1936" s="11" t="s">
        <v>39</v>
      </c>
      <c r="F1936" s="11" t="s">
        <v>40</v>
      </c>
      <c r="G1936" s="11" t="s">
        <v>45</v>
      </c>
      <c r="H1936" s="11" t="s">
        <v>74</v>
      </c>
      <c r="I1936" s="11" t="s">
        <v>74</v>
      </c>
      <c r="J1936" s="11">
        <v>17.0</v>
      </c>
      <c r="K1936" s="12">
        <v>42173.0</v>
      </c>
      <c r="L1936" s="30"/>
      <c r="M1936" s="11">
        <v>664126.0</v>
      </c>
      <c r="N1936" s="11">
        <v>17998.0</v>
      </c>
      <c r="P1936" s="11">
        <v>0.0</v>
      </c>
      <c r="Q1936" s="14">
        <v>0.0</v>
      </c>
      <c r="R1936" s="41">
        <v>1.0</v>
      </c>
      <c r="S1936">
        <f t="shared" si="1"/>
        <v>2011</v>
      </c>
      <c r="T1936">
        <f t="shared" si="2"/>
        <v>1</v>
      </c>
      <c r="U1936">
        <f t="shared" si="3"/>
        <v>1</v>
      </c>
      <c r="AG1936" s="15"/>
      <c r="AH1936" s="16"/>
      <c r="AM1936" s="15"/>
      <c r="AN1936" s="16"/>
    </row>
    <row r="1937">
      <c r="A1937" s="13" t="s">
        <v>3575</v>
      </c>
      <c r="B1937" s="10">
        <v>40544.0</v>
      </c>
      <c r="C1937" s="11" t="s">
        <v>235</v>
      </c>
      <c r="D1937" s="11" t="s">
        <v>58</v>
      </c>
      <c r="E1937" s="30" t="s">
        <v>39</v>
      </c>
      <c r="F1937" s="11" t="s">
        <v>40</v>
      </c>
      <c r="G1937" s="30" t="s">
        <v>45</v>
      </c>
      <c r="H1937" s="11" t="s">
        <v>56</v>
      </c>
      <c r="I1937" s="11" t="s">
        <v>56</v>
      </c>
      <c r="J1937" s="11">
        <v>26.0</v>
      </c>
      <c r="K1937" s="12">
        <v>41843.0</v>
      </c>
      <c r="L1937" s="30"/>
      <c r="M1937" s="11">
        <v>453221.0</v>
      </c>
      <c r="N1937" s="11" t="s">
        <v>3576</v>
      </c>
      <c r="P1937" s="11">
        <v>0.0</v>
      </c>
      <c r="Q1937" s="14">
        <v>0.0</v>
      </c>
      <c r="R1937" s="41">
        <v>1.0</v>
      </c>
      <c r="S1937">
        <f t="shared" si="1"/>
        <v>2011</v>
      </c>
      <c r="T1937">
        <f t="shared" si="2"/>
        <v>1</v>
      </c>
      <c r="U1937">
        <f t="shared" si="3"/>
        <v>1</v>
      </c>
      <c r="AG1937" s="15"/>
      <c r="AH1937" s="16"/>
      <c r="AM1937" s="15"/>
      <c r="AN1937" s="16"/>
    </row>
    <row r="1938">
      <c r="A1938" s="13" t="s">
        <v>3577</v>
      </c>
      <c r="B1938" s="10">
        <v>40544.0</v>
      </c>
      <c r="C1938" s="11" t="s">
        <v>235</v>
      </c>
      <c r="D1938" s="11" t="s">
        <v>213</v>
      </c>
      <c r="E1938" s="11" t="s">
        <v>39</v>
      </c>
      <c r="F1938" s="11" t="s">
        <v>64</v>
      </c>
      <c r="G1938" s="11" t="s">
        <v>45</v>
      </c>
      <c r="H1938" s="11" t="s">
        <v>46</v>
      </c>
      <c r="I1938" s="11"/>
      <c r="J1938" s="11">
        <v>18.0</v>
      </c>
      <c r="K1938" s="12">
        <v>41082.0</v>
      </c>
      <c r="L1938" s="11"/>
      <c r="M1938" s="11">
        <v>621373.0</v>
      </c>
      <c r="N1938" s="11" t="s">
        <v>3578</v>
      </c>
      <c r="O1938" s="13"/>
      <c r="P1938" s="11">
        <v>0.0</v>
      </c>
      <c r="Q1938" s="14">
        <v>0.0</v>
      </c>
      <c r="R1938" s="11">
        <v>0.0</v>
      </c>
      <c r="S1938">
        <f t="shared" si="1"/>
        <v>2011</v>
      </c>
      <c r="T1938">
        <f t="shared" si="2"/>
        <v>1</v>
      </c>
      <c r="U1938">
        <f t="shared" si="3"/>
        <v>1</v>
      </c>
      <c r="AG1938" s="15"/>
      <c r="AH1938" s="16"/>
      <c r="AM1938" s="15"/>
      <c r="AN1938" s="16"/>
    </row>
    <row r="1939">
      <c r="A1939" s="13" t="s">
        <v>3579</v>
      </c>
      <c r="B1939" s="10">
        <v>40544.0</v>
      </c>
      <c r="C1939" s="11" t="s">
        <v>76</v>
      </c>
      <c r="D1939" s="11" t="s">
        <v>88</v>
      </c>
      <c r="E1939" s="11" t="s">
        <v>39</v>
      </c>
      <c r="F1939" s="11" t="s">
        <v>40</v>
      </c>
      <c r="G1939" s="11" t="s">
        <v>45</v>
      </c>
      <c r="H1939" s="11" t="s">
        <v>56</v>
      </c>
      <c r="I1939" s="11" t="s">
        <v>120</v>
      </c>
      <c r="J1939" s="11">
        <v>24.0</v>
      </c>
      <c r="K1939" s="12">
        <v>41004.0</v>
      </c>
      <c r="L1939" s="11"/>
      <c r="M1939" s="11">
        <v>571963.0</v>
      </c>
      <c r="N1939" s="11">
        <v>9919.0</v>
      </c>
      <c r="O1939" s="13"/>
      <c r="P1939" s="11">
        <v>7.0</v>
      </c>
      <c r="Q1939" s="14">
        <v>10.0</v>
      </c>
      <c r="R1939" s="41">
        <v>1.0</v>
      </c>
      <c r="S1939">
        <f t="shared" si="1"/>
        <v>2011</v>
      </c>
      <c r="T1939">
        <f t="shared" si="2"/>
        <v>1</v>
      </c>
      <c r="U1939">
        <f t="shared" si="3"/>
        <v>1</v>
      </c>
      <c r="V1939" s="13"/>
      <c r="W1939" s="13"/>
      <c r="X1939" s="13"/>
      <c r="Y1939" s="13"/>
      <c r="Z1939" s="13"/>
      <c r="AA1939" s="13"/>
      <c r="AB1939" s="13"/>
      <c r="AC1939" s="13"/>
      <c r="AD1939" s="13"/>
      <c r="AE1939" s="13"/>
      <c r="AF1939" s="13"/>
      <c r="AG1939" s="50"/>
      <c r="AH1939" s="51"/>
      <c r="AI1939" s="13"/>
      <c r="AJ1939" s="13"/>
      <c r="AK1939" s="13"/>
      <c r="AL1939" s="13"/>
      <c r="AM1939" s="50"/>
      <c r="AN1939" s="51"/>
      <c r="AO1939" s="13"/>
      <c r="AP1939" s="13"/>
    </row>
    <row r="1940">
      <c r="A1940" s="13" t="s">
        <v>3580</v>
      </c>
      <c r="B1940" s="10">
        <v>40544.0</v>
      </c>
      <c r="C1940" s="11" t="s">
        <v>76</v>
      </c>
      <c r="D1940" s="11" t="s">
        <v>213</v>
      </c>
      <c r="E1940" s="11" t="s">
        <v>39</v>
      </c>
      <c r="F1940" s="11" t="s">
        <v>40</v>
      </c>
      <c r="G1940" s="11" t="s">
        <v>45</v>
      </c>
      <c r="H1940" s="11" t="s">
        <v>112</v>
      </c>
      <c r="I1940" s="11" t="s">
        <v>3581</v>
      </c>
      <c r="J1940" s="11">
        <v>18.0</v>
      </c>
      <c r="K1940" s="12">
        <v>42181.0</v>
      </c>
      <c r="L1940" s="11"/>
      <c r="M1940" s="11">
        <v>606983.0</v>
      </c>
      <c r="N1940" s="11">
        <v>17695.0</v>
      </c>
      <c r="O1940" s="13"/>
      <c r="P1940" s="11">
        <v>42.0</v>
      </c>
      <c r="Q1940" s="14">
        <v>39.0</v>
      </c>
      <c r="R1940" s="41">
        <v>1.0</v>
      </c>
      <c r="S1940">
        <f t="shared" si="1"/>
        <v>2011</v>
      </c>
      <c r="T1940">
        <f t="shared" si="2"/>
        <v>1</v>
      </c>
      <c r="U1940">
        <f t="shared" si="3"/>
        <v>1</v>
      </c>
      <c r="V1940" s="13"/>
      <c r="W1940" s="13"/>
      <c r="X1940" s="13"/>
      <c r="Y1940" s="13"/>
      <c r="Z1940" s="13"/>
      <c r="AA1940" s="13"/>
      <c r="AB1940" s="13"/>
      <c r="AC1940" s="13"/>
      <c r="AD1940" s="13"/>
      <c r="AE1940" s="13"/>
      <c r="AF1940" s="13"/>
      <c r="AG1940" s="50"/>
      <c r="AH1940" s="51"/>
      <c r="AI1940" s="13"/>
      <c r="AJ1940" s="13"/>
      <c r="AK1940" s="13"/>
      <c r="AL1940" s="13"/>
      <c r="AM1940" s="50"/>
      <c r="AN1940" s="51"/>
      <c r="AO1940" s="13"/>
      <c r="AP1940" s="13"/>
    </row>
    <row r="1941">
      <c r="A1941" s="13" t="s">
        <v>3582</v>
      </c>
      <c r="B1941" s="10">
        <v>40513.0</v>
      </c>
      <c r="C1941" s="11" t="s">
        <v>150</v>
      </c>
      <c r="D1941" s="11" t="s">
        <v>38</v>
      </c>
      <c r="E1941" s="30" t="s">
        <v>39</v>
      </c>
      <c r="F1941" s="11" t="s">
        <v>64</v>
      </c>
      <c r="G1941" s="30" t="s">
        <v>45</v>
      </c>
      <c r="H1941" s="11" t="s">
        <v>109</v>
      </c>
      <c r="I1941" s="11" t="s">
        <v>3583</v>
      </c>
      <c r="J1941" s="11">
        <v>47.0</v>
      </c>
      <c r="K1941" s="12">
        <v>41006.0</v>
      </c>
      <c r="L1941" s="11">
        <f>ROUND(((K1941-B1941)/365)*12,0)</f>
        <v>16</v>
      </c>
      <c r="M1941" s="11">
        <v>119469.0</v>
      </c>
      <c r="N1941" s="11">
        <v>1091.0</v>
      </c>
      <c r="O1941" s="13" t="s">
        <v>1407</v>
      </c>
      <c r="P1941" s="11">
        <v>10.0</v>
      </c>
      <c r="Q1941" s="14">
        <v>53.667</v>
      </c>
      <c r="R1941" s="41">
        <v>0.0</v>
      </c>
      <c r="S1941">
        <f t="shared" si="1"/>
        <v>2010</v>
      </c>
      <c r="T1941">
        <f t="shared" si="2"/>
        <v>12</v>
      </c>
      <c r="U1941">
        <f t="shared" si="3"/>
        <v>1</v>
      </c>
      <c r="V1941" s="13"/>
      <c r="W1941" s="13"/>
      <c r="X1941" s="13"/>
      <c r="Y1941" s="13"/>
      <c r="Z1941" s="13"/>
      <c r="AA1941" s="13"/>
      <c r="AB1941" s="13"/>
      <c r="AC1941" s="13"/>
      <c r="AD1941" s="13"/>
      <c r="AE1941" s="13">
        <v>19.0</v>
      </c>
      <c r="AF1941" s="13">
        <v>19.0</v>
      </c>
      <c r="AG1941" s="50">
        <v>111.667</v>
      </c>
      <c r="AH1941" s="51">
        <v>0.093</v>
      </c>
      <c r="AI1941" s="13">
        <v>120.0</v>
      </c>
      <c r="AJ1941" s="13">
        <v>122.0</v>
      </c>
      <c r="AK1941" s="13">
        <v>10.0</v>
      </c>
      <c r="AL1941" s="13">
        <v>10.0</v>
      </c>
      <c r="AM1941" s="50">
        <v>53.667</v>
      </c>
      <c r="AN1941" s="51">
        <v>0.071</v>
      </c>
      <c r="AO1941" s="13">
        <v>123.0</v>
      </c>
      <c r="AP1941" s="13">
        <v>132.0</v>
      </c>
    </row>
    <row r="1942">
      <c r="A1942" s="13" t="s">
        <v>3584</v>
      </c>
      <c r="B1942" s="10">
        <v>40483.0</v>
      </c>
      <c r="C1942" s="11" t="s">
        <v>274</v>
      </c>
      <c r="D1942" s="11" t="s">
        <v>213</v>
      </c>
      <c r="E1942" s="30" t="s">
        <v>39</v>
      </c>
      <c r="F1942" s="11" t="s">
        <v>64</v>
      </c>
      <c r="G1942" s="30" t="s">
        <v>45</v>
      </c>
      <c r="H1942" s="11" t="s">
        <v>59</v>
      </c>
      <c r="I1942" s="11" t="s">
        <v>3585</v>
      </c>
      <c r="J1942" s="11">
        <v>22.0</v>
      </c>
      <c r="K1942" s="30"/>
      <c r="L1942" s="30"/>
      <c r="M1942" s="11">
        <v>657698.0</v>
      </c>
      <c r="N1942" s="11"/>
      <c r="P1942" s="11">
        <v>0.0</v>
      </c>
      <c r="Q1942" s="14">
        <v>0.0</v>
      </c>
      <c r="R1942" s="41">
        <v>0.0</v>
      </c>
      <c r="S1942">
        <f t="shared" si="1"/>
        <v>2010</v>
      </c>
      <c r="T1942">
        <f t="shared" si="2"/>
        <v>11</v>
      </c>
      <c r="U1942">
        <f t="shared" si="3"/>
        <v>1</v>
      </c>
      <c r="AG1942" s="15"/>
      <c r="AH1942" s="16"/>
      <c r="AM1942" s="15"/>
      <c r="AN1942" s="16"/>
    </row>
    <row r="1943">
      <c r="A1943" s="13" t="s">
        <v>3586</v>
      </c>
      <c r="B1943" s="10">
        <v>40483.0</v>
      </c>
      <c r="C1943" s="11" t="s">
        <v>235</v>
      </c>
      <c r="D1943" s="11" t="s">
        <v>93</v>
      </c>
      <c r="E1943" s="11" t="s">
        <v>39</v>
      </c>
      <c r="F1943" s="11" t="s">
        <v>40</v>
      </c>
      <c r="G1943" s="11" t="s">
        <v>45</v>
      </c>
      <c r="H1943" s="11" t="s">
        <v>84</v>
      </c>
      <c r="I1943" s="11" t="s">
        <v>173</v>
      </c>
      <c r="J1943" s="11">
        <v>22.0</v>
      </c>
      <c r="K1943" s="12">
        <v>41008.0</v>
      </c>
      <c r="L1943" s="11">
        <f t="shared" ref="L1943:L1953" si="204">ROUND(((K1943-B1943)/365)*12,0)</f>
        <v>17</v>
      </c>
      <c r="M1943" s="11">
        <v>473879.0</v>
      </c>
      <c r="N1943" s="11">
        <v>11710.0</v>
      </c>
      <c r="P1943" s="11">
        <v>241.0</v>
      </c>
      <c r="Q1943" s="14">
        <v>254.0</v>
      </c>
      <c r="R1943" s="41">
        <v>1.0</v>
      </c>
      <c r="S1943">
        <f t="shared" si="1"/>
        <v>2010</v>
      </c>
      <c r="T1943">
        <f t="shared" si="2"/>
        <v>11</v>
      </c>
      <c r="U1943">
        <f t="shared" si="3"/>
        <v>1</v>
      </c>
      <c r="AG1943" s="15"/>
      <c r="AH1943" s="16"/>
      <c r="AM1943" s="15"/>
      <c r="AN1943" s="16"/>
    </row>
    <row r="1944">
      <c r="A1944" s="13" t="s">
        <v>3587</v>
      </c>
      <c r="B1944" s="10">
        <v>40466.0</v>
      </c>
      <c r="C1944" s="11" t="s">
        <v>83</v>
      </c>
      <c r="D1944" s="11" t="s">
        <v>77</v>
      </c>
      <c r="E1944" s="30" t="s">
        <v>39</v>
      </c>
      <c r="F1944" s="11" t="s">
        <v>40</v>
      </c>
      <c r="G1944" s="30" t="s">
        <v>45</v>
      </c>
      <c r="H1944" s="11" t="s">
        <v>67</v>
      </c>
      <c r="I1944" s="11" t="s">
        <v>2891</v>
      </c>
      <c r="J1944" s="11">
        <v>23.0</v>
      </c>
      <c r="K1944" s="12">
        <v>41004.0</v>
      </c>
      <c r="L1944" s="11">
        <f t="shared" si="204"/>
        <v>18</v>
      </c>
      <c r="M1944" s="11">
        <v>543237.0</v>
      </c>
      <c r="N1944" s="11" t="s">
        <v>3588</v>
      </c>
      <c r="P1944" s="11">
        <v>0.0</v>
      </c>
      <c r="Q1944" s="14">
        <v>0.0</v>
      </c>
      <c r="R1944" s="41">
        <v>0.0</v>
      </c>
      <c r="S1944">
        <f t="shared" si="1"/>
        <v>2010</v>
      </c>
      <c r="T1944">
        <f t="shared" si="2"/>
        <v>10</v>
      </c>
      <c r="U1944">
        <f t="shared" si="3"/>
        <v>15</v>
      </c>
      <c r="AG1944" s="15"/>
      <c r="AH1944" s="16"/>
      <c r="AM1944" s="15"/>
      <c r="AN1944" s="16"/>
    </row>
    <row r="1945">
      <c r="A1945" s="13" t="s">
        <v>3589</v>
      </c>
      <c r="B1945" s="10">
        <v>40464.0</v>
      </c>
      <c r="C1945" s="11" t="s">
        <v>76</v>
      </c>
      <c r="D1945" s="11" t="s">
        <v>38</v>
      </c>
      <c r="E1945" s="41" t="s">
        <v>118</v>
      </c>
      <c r="F1945" s="11" t="s">
        <v>40</v>
      </c>
      <c r="G1945" s="30" t="s">
        <v>45</v>
      </c>
      <c r="H1945" s="11" t="s">
        <v>566</v>
      </c>
      <c r="I1945" s="11" t="s">
        <v>566</v>
      </c>
      <c r="J1945" s="11">
        <v>26.0</v>
      </c>
      <c r="K1945" s="12">
        <v>41008.0</v>
      </c>
      <c r="L1945" s="11">
        <f t="shared" si="204"/>
        <v>18</v>
      </c>
      <c r="M1945" s="11">
        <v>452239.0</v>
      </c>
      <c r="N1945" s="11">
        <v>6827.0</v>
      </c>
      <c r="O1945" s="13" t="s">
        <v>2896</v>
      </c>
      <c r="P1945" s="11">
        <v>319.0</v>
      </c>
      <c r="Q1945" s="14">
        <v>933.0</v>
      </c>
      <c r="R1945" s="11">
        <v>0.0</v>
      </c>
      <c r="S1945">
        <f t="shared" si="1"/>
        <v>2010</v>
      </c>
      <c r="T1945">
        <f t="shared" si="2"/>
        <v>10</v>
      </c>
      <c r="U1945">
        <f t="shared" si="3"/>
        <v>13</v>
      </c>
      <c r="AG1945" s="15"/>
      <c r="AH1945" s="16"/>
      <c r="AM1945" s="15"/>
      <c r="AN1945" s="16"/>
    </row>
    <row r="1946">
      <c r="A1946" s="19" t="s">
        <v>573</v>
      </c>
      <c r="B1946" s="20">
        <v>40461.0</v>
      </c>
      <c r="C1946" s="21" t="s">
        <v>49</v>
      </c>
      <c r="D1946" s="21" t="s">
        <v>221</v>
      </c>
      <c r="E1946" s="28" t="s">
        <v>39</v>
      </c>
      <c r="F1946" s="21" t="s">
        <v>40</v>
      </c>
      <c r="G1946" s="28" t="s">
        <v>45</v>
      </c>
      <c r="H1946" s="21" t="s">
        <v>84</v>
      </c>
      <c r="I1946" s="21" t="s">
        <v>574</v>
      </c>
      <c r="J1946" s="21">
        <v>22.0</v>
      </c>
      <c r="K1946" s="22">
        <v>41036.0</v>
      </c>
      <c r="L1946" s="11">
        <f t="shared" si="204"/>
        <v>19</v>
      </c>
      <c r="M1946" s="21">
        <v>594798.0</v>
      </c>
      <c r="N1946" s="21">
        <v>10954.0</v>
      </c>
      <c r="O1946" s="38" t="s">
        <v>1407</v>
      </c>
      <c r="P1946" s="21">
        <v>107.0</v>
      </c>
      <c r="Q1946" s="23">
        <v>680.667</v>
      </c>
      <c r="R1946" s="21">
        <v>1.0</v>
      </c>
      <c r="S1946" s="33">
        <f t="shared" si="1"/>
        <v>2010</v>
      </c>
      <c r="T1946" s="33">
        <f t="shared" si="2"/>
        <v>10</v>
      </c>
      <c r="U1946">
        <f t="shared" si="3"/>
        <v>10</v>
      </c>
      <c r="V1946" s="24"/>
      <c r="W1946" s="24"/>
      <c r="X1946" s="24"/>
      <c r="Y1946" s="24"/>
      <c r="Z1946" s="24"/>
      <c r="AA1946" s="24"/>
      <c r="AB1946" s="24"/>
      <c r="AC1946" s="24"/>
      <c r="AD1946" s="24"/>
      <c r="AE1946" s="24"/>
      <c r="AF1946" s="24"/>
      <c r="AG1946" s="26"/>
      <c r="AH1946" s="27"/>
      <c r="AI1946" s="24"/>
      <c r="AJ1946" s="24"/>
      <c r="AK1946" s="24"/>
      <c r="AL1946" s="24"/>
      <c r="AM1946" s="26"/>
      <c r="AN1946" s="27"/>
      <c r="AO1946" s="24"/>
      <c r="AP1946" s="24"/>
    </row>
    <row r="1947">
      <c r="A1947" s="13" t="s">
        <v>3590</v>
      </c>
      <c r="B1947" s="10">
        <v>40452.0</v>
      </c>
      <c r="C1947" s="11" t="s">
        <v>44</v>
      </c>
      <c r="D1947" s="11" t="s">
        <v>38</v>
      </c>
      <c r="E1947" s="30" t="s">
        <v>39</v>
      </c>
      <c r="F1947" s="11" t="s">
        <v>40</v>
      </c>
      <c r="G1947" s="30" t="s">
        <v>45</v>
      </c>
      <c r="H1947" s="11" t="s">
        <v>67</v>
      </c>
      <c r="I1947" s="11" t="s">
        <v>190</v>
      </c>
      <c r="J1947" s="11">
        <v>26.0</v>
      </c>
      <c r="K1947" s="12">
        <v>41144.0</v>
      </c>
      <c r="L1947" s="11">
        <f t="shared" si="204"/>
        <v>23</v>
      </c>
      <c r="M1947" s="11">
        <v>459932.0</v>
      </c>
      <c r="N1947" s="11">
        <v>559.0</v>
      </c>
      <c r="O1947" s="13" t="s">
        <v>3309</v>
      </c>
      <c r="P1947" s="11">
        <v>62.0</v>
      </c>
      <c r="Q1947" s="14">
        <v>57.667</v>
      </c>
      <c r="R1947" s="41">
        <v>1.0</v>
      </c>
      <c r="S1947">
        <f t="shared" si="1"/>
        <v>2010</v>
      </c>
      <c r="T1947">
        <f t="shared" si="2"/>
        <v>10</v>
      </c>
      <c r="U1947">
        <f t="shared" si="3"/>
        <v>1</v>
      </c>
      <c r="AG1947" s="15"/>
      <c r="AH1947" s="16"/>
      <c r="AM1947" s="15"/>
      <c r="AN1947" s="16"/>
    </row>
    <row r="1948">
      <c r="A1948" s="13" t="s">
        <v>3591</v>
      </c>
      <c r="B1948" s="10">
        <v>40452.0</v>
      </c>
      <c r="C1948" s="11" t="s">
        <v>186</v>
      </c>
      <c r="D1948" s="11" t="s">
        <v>88</v>
      </c>
      <c r="E1948" s="30" t="s">
        <v>39</v>
      </c>
      <c r="F1948" s="11" t="s">
        <v>40</v>
      </c>
      <c r="G1948" s="41" t="s">
        <v>53</v>
      </c>
      <c r="H1948" s="30"/>
      <c r="I1948" s="30"/>
      <c r="J1948" s="11">
        <v>20.0</v>
      </c>
      <c r="K1948" s="12">
        <v>41007.0</v>
      </c>
      <c r="L1948" s="11">
        <f t="shared" si="204"/>
        <v>18</v>
      </c>
      <c r="M1948" s="11">
        <v>521655.0</v>
      </c>
      <c r="N1948" s="11">
        <v>5257.0</v>
      </c>
      <c r="O1948" s="13" t="s">
        <v>42</v>
      </c>
      <c r="P1948" s="11">
        <v>5.0</v>
      </c>
      <c r="Q1948" s="14">
        <v>3.333</v>
      </c>
      <c r="R1948" s="41">
        <v>0.0</v>
      </c>
      <c r="S1948">
        <f t="shared" si="1"/>
        <v>2010</v>
      </c>
      <c r="T1948">
        <f t="shared" si="2"/>
        <v>10</v>
      </c>
      <c r="U1948">
        <f t="shared" si="3"/>
        <v>1</v>
      </c>
      <c r="AG1948" s="15"/>
      <c r="AH1948" s="16"/>
      <c r="AM1948" s="15"/>
      <c r="AN1948" s="16"/>
    </row>
    <row r="1949">
      <c r="A1949" s="13" t="s">
        <v>3592</v>
      </c>
      <c r="B1949" s="10">
        <v>40443.0</v>
      </c>
      <c r="C1949" s="11" t="s">
        <v>52</v>
      </c>
      <c r="D1949" s="11" t="s">
        <v>221</v>
      </c>
      <c r="E1949" s="30" t="s">
        <v>39</v>
      </c>
      <c r="F1949" s="11" t="s">
        <v>40</v>
      </c>
      <c r="G1949" s="30" t="s">
        <v>45</v>
      </c>
      <c r="H1949" s="11" t="s">
        <v>67</v>
      </c>
      <c r="I1949" s="11"/>
      <c r="J1949" s="11">
        <v>18.0</v>
      </c>
      <c r="K1949" s="12">
        <v>41078.0</v>
      </c>
      <c r="L1949" s="11">
        <f t="shared" si="204"/>
        <v>21</v>
      </c>
      <c r="M1949" s="11">
        <v>592826.0</v>
      </c>
      <c r="N1949" s="11">
        <v>11189.0</v>
      </c>
      <c r="O1949" s="13" t="s">
        <v>2059</v>
      </c>
      <c r="P1949" s="11">
        <v>58.0</v>
      </c>
      <c r="Q1949" s="14">
        <v>258.667</v>
      </c>
      <c r="R1949" s="41">
        <v>1.0</v>
      </c>
      <c r="S1949">
        <f t="shared" si="1"/>
        <v>2010</v>
      </c>
      <c r="T1949">
        <f t="shared" si="2"/>
        <v>9</v>
      </c>
      <c r="U1949">
        <f t="shared" si="3"/>
        <v>22</v>
      </c>
      <c r="AG1949" s="15"/>
      <c r="AH1949" s="16"/>
      <c r="AM1949" s="15"/>
      <c r="AN1949" s="16"/>
    </row>
    <row r="1950">
      <c r="A1950" s="13" t="s">
        <v>3593</v>
      </c>
      <c r="B1950" s="10">
        <v>40438.0</v>
      </c>
      <c r="C1950" s="11" t="s">
        <v>186</v>
      </c>
      <c r="D1950" s="11" t="s">
        <v>77</v>
      </c>
      <c r="E1950" s="30" t="s">
        <v>39</v>
      </c>
      <c r="F1950" s="11" t="s">
        <v>40</v>
      </c>
      <c r="G1950" s="30" t="s">
        <v>45</v>
      </c>
      <c r="H1950" s="11" t="s">
        <v>67</v>
      </c>
      <c r="I1950" s="11" t="s">
        <v>487</v>
      </c>
      <c r="J1950" s="11">
        <v>24.0</v>
      </c>
      <c r="K1950" s="12">
        <v>41004.0</v>
      </c>
      <c r="L1950" s="11">
        <f t="shared" si="204"/>
        <v>19</v>
      </c>
      <c r="M1950" s="11">
        <v>519175.0</v>
      </c>
      <c r="N1950" s="11">
        <v>1349.0</v>
      </c>
      <c r="P1950" s="11">
        <v>48.0</v>
      </c>
      <c r="Q1950" s="14">
        <v>55.667</v>
      </c>
      <c r="R1950" s="41">
        <v>0.0</v>
      </c>
      <c r="S1950">
        <f t="shared" si="1"/>
        <v>2010</v>
      </c>
      <c r="T1950">
        <f t="shared" si="2"/>
        <v>9</v>
      </c>
      <c r="U1950">
        <f t="shared" si="3"/>
        <v>17</v>
      </c>
      <c r="AG1950" s="15"/>
      <c r="AH1950" s="16"/>
      <c r="AM1950" s="15"/>
      <c r="AN1950" s="16"/>
    </row>
    <row r="1951">
      <c r="A1951" s="13" t="s">
        <v>3594</v>
      </c>
      <c r="B1951" s="10">
        <v>40429.0</v>
      </c>
      <c r="C1951" s="11" t="s">
        <v>192</v>
      </c>
      <c r="D1951" s="11" t="s">
        <v>38</v>
      </c>
      <c r="E1951" s="30" t="s">
        <v>39</v>
      </c>
      <c r="F1951" s="11" t="s">
        <v>40</v>
      </c>
      <c r="G1951" s="41" t="s">
        <v>1002</v>
      </c>
      <c r="H1951" s="30"/>
      <c r="I1951" s="30"/>
      <c r="J1951" s="11">
        <v>27.0</v>
      </c>
      <c r="K1951" s="12">
        <v>41066.0</v>
      </c>
      <c r="L1951" s="11">
        <f t="shared" si="204"/>
        <v>21</v>
      </c>
      <c r="M1951" s="11">
        <v>466918.0</v>
      </c>
      <c r="N1951" s="11">
        <v>2807.0</v>
      </c>
      <c r="O1951" s="13" t="s">
        <v>603</v>
      </c>
      <c r="P1951" s="11">
        <v>79.0</v>
      </c>
      <c r="Q1951" s="45">
        <v>68.33299999999998</v>
      </c>
      <c r="R1951" s="41">
        <v>0.0</v>
      </c>
      <c r="S1951">
        <f t="shared" si="1"/>
        <v>2010</v>
      </c>
      <c r="T1951">
        <f t="shared" si="2"/>
        <v>9</v>
      </c>
      <c r="U1951">
        <f t="shared" si="3"/>
        <v>8</v>
      </c>
      <c r="AG1951" s="15"/>
      <c r="AH1951" s="16"/>
      <c r="AM1951" s="15"/>
      <c r="AN1951" s="16"/>
    </row>
    <row r="1952">
      <c r="A1952" s="13" t="s">
        <v>3595</v>
      </c>
      <c r="B1952" s="10">
        <v>40424.0</v>
      </c>
      <c r="C1952" s="11" t="s">
        <v>37</v>
      </c>
      <c r="D1952" s="11" t="s">
        <v>38</v>
      </c>
      <c r="E1952" s="41" t="s">
        <v>104</v>
      </c>
      <c r="F1952" s="11" t="s">
        <v>40</v>
      </c>
      <c r="G1952" s="30" t="s">
        <v>45</v>
      </c>
      <c r="H1952" s="11" t="s">
        <v>67</v>
      </c>
      <c r="I1952" s="11" t="s">
        <v>748</v>
      </c>
      <c r="J1952" s="11">
        <v>29.0</v>
      </c>
      <c r="K1952" s="12">
        <v>40791.0</v>
      </c>
      <c r="L1952" s="11">
        <f t="shared" si="204"/>
        <v>12</v>
      </c>
      <c r="M1952" s="11">
        <v>434633.0</v>
      </c>
      <c r="N1952" s="11">
        <v>4756.0</v>
      </c>
      <c r="O1952" s="13" t="s">
        <v>761</v>
      </c>
      <c r="P1952" s="11">
        <v>163.0</v>
      </c>
      <c r="Q1952" s="45">
        <v>484.0</v>
      </c>
      <c r="R1952" s="11">
        <v>0.0</v>
      </c>
      <c r="S1952">
        <f t="shared" si="1"/>
        <v>2010</v>
      </c>
      <c r="T1952">
        <f t="shared" si="2"/>
        <v>9</v>
      </c>
      <c r="U1952">
        <f t="shared" si="3"/>
        <v>3</v>
      </c>
      <c r="AG1952" s="15"/>
      <c r="AH1952" s="16"/>
      <c r="AM1952" s="15"/>
      <c r="AN1952" s="16"/>
    </row>
    <row r="1953">
      <c r="A1953" s="13" t="s">
        <v>3596</v>
      </c>
      <c r="B1953" s="10">
        <v>40424.0</v>
      </c>
      <c r="C1953" s="11" t="s">
        <v>76</v>
      </c>
      <c r="D1953" s="11" t="s">
        <v>38</v>
      </c>
      <c r="E1953" s="30" t="s">
        <v>39</v>
      </c>
      <c r="F1953" s="11" t="s">
        <v>40</v>
      </c>
      <c r="G1953" s="30" t="s">
        <v>45</v>
      </c>
      <c r="H1953" s="11" t="s">
        <v>67</v>
      </c>
      <c r="I1953" s="11" t="s">
        <v>3437</v>
      </c>
      <c r="J1953" s="11">
        <v>21.0</v>
      </c>
      <c r="K1953" s="12">
        <v>40792.0</v>
      </c>
      <c r="L1953" s="11">
        <f t="shared" si="204"/>
        <v>12</v>
      </c>
      <c r="M1953" s="11">
        <v>544931.0</v>
      </c>
      <c r="N1953" s="11">
        <v>10131.0</v>
      </c>
      <c r="O1953" s="13" t="s">
        <v>3309</v>
      </c>
      <c r="P1953" s="11">
        <v>172.0</v>
      </c>
      <c r="Q1953" s="14">
        <v>1031.667</v>
      </c>
      <c r="R1953" s="41">
        <v>1.0</v>
      </c>
      <c r="S1953">
        <f t="shared" si="1"/>
        <v>2010</v>
      </c>
      <c r="T1953">
        <f t="shared" si="2"/>
        <v>9</v>
      </c>
      <c r="U1953">
        <f t="shared" si="3"/>
        <v>3</v>
      </c>
      <c r="V1953" s="13"/>
      <c r="W1953" s="13"/>
      <c r="X1953" s="13"/>
      <c r="Y1953" s="13"/>
      <c r="Z1953" s="13"/>
      <c r="AA1953" s="13"/>
      <c r="AB1953" s="13"/>
      <c r="AC1953" s="13"/>
      <c r="AD1953" s="13"/>
      <c r="AE1953" s="13">
        <v>12.0</v>
      </c>
      <c r="AF1953" s="13">
        <v>12.0</v>
      </c>
      <c r="AG1953" s="50">
        <v>68.0</v>
      </c>
      <c r="AH1953" s="51">
        <v>0.274</v>
      </c>
      <c r="AI1953" s="13">
        <v>72.0</v>
      </c>
      <c r="AJ1953" s="13">
        <v>52.0</v>
      </c>
      <c r="AK1953" s="13">
        <v>5.0</v>
      </c>
      <c r="AL1953" s="13">
        <v>5.0</v>
      </c>
      <c r="AM1953" s="50">
        <v>24.0</v>
      </c>
      <c r="AN1953" s="51">
        <v>0.25</v>
      </c>
      <c r="AO1953" s="13">
        <v>39.0</v>
      </c>
      <c r="AP1953" s="13">
        <v>33.0</v>
      </c>
    </row>
    <row r="1954">
      <c r="A1954" s="13" t="s">
        <v>3597</v>
      </c>
      <c r="B1954" s="10">
        <v>40422.0</v>
      </c>
      <c r="C1954" s="11" t="s">
        <v>162</v>
      </c>
      <c r="D1954" s="11" t="s">
        <v>213</v>
      </c>
      <c r="E1954" s="30" t="s">
        <v>39</v>
      </c>
      <c r="F1954" s="11" t="s">
        <v>40</v>
      </c>
      <c r="G1954" s="41" t="s">
        <v>194</v>
      </c>
      <c r="H1954" s="30"/>
      <c r="I1954" s="30"/>
      <c r="J1954" s="11">
        <v>16.0</v>
      </c>
      <c r="K1954" s="12">
        <v>41081.0</v>
      </c>
      <c r="L1954" s="30"/>
      <c r="M1954" s="11">
        <v>606957.0</v>
      </c>
      <c r="N1954" s="11" t="s">
        <v>3598</v>
      </c>
      <c r="P1954" s="11">
        <v>0.0</v>
      </c>
      <c r="Q1954" s="14">
        <v>0.0</v>
      </c>
      <c r="R1954" s="41">
        <v>0.0</v>
      </c>
      <c r="S1954">
        <f t="shared" si="1"/>
        <v>2010</v>
      </c>
      <c r="T1954">
        <f t="shared" si="2"/>
        <v>9</v>
      </c>
      <c r="U1954">
        <f t="shared" si="3"/>
        <v>1</v>
      </c>
      <c r="AG1954" s="15"/>
      <c r="AH1954" s="16"/>
      <c r="AM1954" s="15"/>
      <c r="AN1954" s="16"/>
    </row>
    <row r="1955">
      <c r="A1955" s="13" t="s">
        <v>3599</v>
      </c>
      <c r="B1955" s="10">
        <v>40422.0</v>
      </c>
      <c r="C1955" s="11" t="s">
        <v>230</v>
      </c>
      <c r="D1955" s="11" t="s">
        <v>38</v>
      </c>
      <c r="E1955" s="30" t="s">
        <v>39</v>
      </c>
      <c r="F1955" s="11" t="s">
        <v>40</v>
      </c>
      <c r="G1955" s="30" t="s">
        <v>45</v>
      </c>
      <c r="H1955" s="11" t="s">
        <v>231</v>
      </c>
      <c r="I1955" s="11" t="s">
        <v>3139</v>
      </c>
      <c r="J1955" s="11">
        <v>26.0</v>
      </c>
      <c r="K1955" s="12">
        <v>40788.0</v>
      </c>
      <c r="L1955" s="11">
        <f>ROUND(((K1955-B1955)/365)*12,0)</f>
        <v>12</v>
      </c>
      <c r="M1955" s="11">
        <v>518875.0</v>
      </c>
      <c r="N1955" s="11">
        <v>7773.0</v>
      </c>
      <c r="O1955" s="13" t="s">
        <v>3309</v>
      </c>
      <c r="P1955" s="11">
        <v>326.0</v>
      </c>
      <c r="Q1955" s="14">
        <v>297.333</v>
      </c>
      <c r="R1955" s="41">
        <v>1.0</v>
      </c>
      <c r="S1955">
        <f t="shared" si="1"/>
        <v>2010</v>
      </c>
      <c r="T1955">
        <f t="shared" si="2"/>
        <v>9</v>
      </c>
      <c r="U1955">
        <f t="shared" si="3"/>
        <v>1</v>
      </c>
      <c r="AG1955" s="15"/>
      <c r="AH1955" s="16"/>
      <c r="AM1955" s="15"/>
      <c r="AN1955" s="16"/>
    </row>
    <row r="1956">
      <c r="A1956" s="13" t="s">
        <v>3600</v>
      </c>
      <c r="B1956" s="10">
        <v>40418.0</v>
      </c>
      <c r="C1956" s="11" t="s">
        <v>143</v>
      </c>
      <c r="D1956" s="11" t="s">
        <v>38</v>
      </c>
      <c r="E1956" s="30" t="s">
        <v>39</v>
      </c>
      <c r="F1956" s="11" t="s">
        <v>64</v>
      </c>
      <c r="G1956" s="30" t="s">
        <v>45</v>
      </c>
      <c r="H1956" s="11" t="s">
        <v>67</v>
      </c>
      <c r="I1956" s="11" t="s">
        <v>3601</v>
      </c>
      <c r="J1956" s="11">
        <v>28.0</v>
      </c>
      <c r="K1956" s="30"/>
      <c r="L1956" s="30"/>
      <c r="M1956" s="11">
        <v>408069.0</v>
      </c>
      <c r="N1956" s="11">
        <v>3158.0</v>
      </c>
      <c r="O1956" s="13" t="s">
        <v>3309</v>
      </c>
      <c r="P1956" s="11">
        <v>0.0</v>
      </c>
      <c r="Q1956" s="45">
        <v>0.0</v>
      </c>
      <c r="R1956" s="41">
        <v>0.0</v>
      </c>
      <c r="S1956">
        <f t="shared" si="1"/>
        <v>2010</v>
      </c>
      <c r="T1956">
        <f t="shared" si="2"/>
        <v>8</v>
      </c>
      <c r="U1956">
        <f t="shared" si="3"/>
        <v>28</v>
      </c>
      <c r="AG1956" s="15"/>
      <c r="AH1956" s="16"/>
      <c r="AM1956" s="15"/>
      <c r="AN1956" s="16"/>
    </row>
    <row r="1957">
      <c r="A1957" s="13" t="s">
        <v>3602</v>
      </c>
      <c r="B1957" s="10">
        <v>40415.0</v>
      </c>
      <c r="C1957" s="11" t="s">
        <v>44</v>
      </c>
      <c r="D1957" s="11" t="s">
        <v>58</v>
      </c>
      <c r="E1957" s="30" t="s">
        <v>39</v>
      </c>
      <c r="F1957" s="11" t="s">
        <v>40</v>
      </c>
      <c r="G1957" s="41" t="s">
        <v>53</v>
      </c>
      <c r="H1957" s="30"/>
      <c r="I1957" s="30"/>
      <c r="J1957" s="11">
        <v>22.0</v>
      </c>
      <c r="K1957" s="12">
        <v>41731.0</v>
      </c>
      <c r="L1957" s="11">
        <f t="shared" ref="L1957:L1963" si="205">ROUND(((K1957-B1957)/365)*12,0)</f>
        <v>43</v>
      </c>
      <c r="M1957" s="11">
        <v>444468.0</v>
      </c>
      <c r="N1957" s="11">
        <v>2391.0</v>
      </c>
      <c r="P1957" s="11">
        <v>296.0</v>
      </c>
      <c r="Q1957" s="14">
        <v>296.333</v>
      </c>
      <c r="R1957" s="41">
        <v>1.0</v>
      </c>
      <c r="S1957">
        <f t="shared" si="1"/>
        <v>2010</v>
      </c>
      <c r="T1957">
        <f t="shared" si="2"/>
        <v>8</v>
      </c>
      <c r="U1957">
        <f t="shared" si="3"/>
        <v>25</v>
      </c>
      <c r="AG1957" s="15"/>
      <c r="AH1957" s="16"/>
      <c r="AM1957" s="15"/>
      <c r="AN1957" s="16"/>
    </row>
    <row r="1958">
      <c r="A1958" s="13" t="s">
        <v>3603</v>
      </c>
      <c r="B1958" s="10">
        <v>40414.0</v>
      </c>
      <c r="C1958" s="11" t="s">
        <v>274</v>
      </c>
      <c r="D1958" s="11" t="s">
        <v>221</v>
      </c>
      <c r="E1958" s="30" t="s">
        <v>39</v>
      </c>
      <c r="F1958" s="11" t="s">
        <v>40</v>
      </c>
      <c r="G1958" s="41" t="s">
        <v>41</v>
      </c>
      <c r="H1958" s="30"/>
      <c r="I1958" s="30"/>
      <c r="J1958" s="11">
        <v>18.0</v>
      </c>
      <c r="K1958" s="12">
        <v>41090.0</v>
      </c>
      <c r="L1958" s="11">
        <f t="shared" si="205"/>
        <v>22</v>
      </c>
      <c r="M1958" s="11">
        <v>573589.0</v>
      </c>
      <c r="N1958" s="11">
        <v>14093.0</v>
      </c>
      <c r="P1958" s="11">
        <v>45.0</v>
      </c>
      <c r="Q1958" s="14">
        <v>59.0</v>
      </c>
      <c r="R1958" s="41">
        <v>1.0</v>
      </c>
      <c r="S1958">
        <f t="shared" si="1"/>
        <v>2010</v>
      </c>
      <c r="T1958">
        <f t="shared" si="2"/>
        <v>8</v>
      </c>
      <c r="U1958">
        <f t="shared" si="3"/>
        <v>24</v>
      </c>
      <c r="AG1958" s="15"/>
      <c r="AH1958" s="16"/>
      <c r="AM1958" s="15"/>
      <c r="AN1958" s="16"/>
    </row>
    <row r="1959">
      <c r="A1959" s="13" t="s">
        <v>3042</v>
      </c>
      <c r="B1959" s="10">
        <v>40408.0</v>
      </c>
      <c r="C1959" s="11" t="s">
        <v>116</v>
      </c>
      <c r="D1959" s="11" t="s">
        <v>38</v>
      </c>
      <c r="E1959" s="30" t="s">
        <v>39</v>
      </c>
      <c r="F1959" s="11" t="s">
        <v>40</v>
      </c>
      <c r="G1959" s="30" t="s">
        <v>45</v>
      </c>
      <c r="H1959" s="11" t="s">
        <v>67</v>
      </c>
      <c r="I1959" s="11" t="s">
        <v>3043</v>
      </c>
      <c r="J1959" s="11">
        <v>24.0</v>
      </c>
      <c r="K1959" s="12">
        <v>40811.0</v>
      </c>
      <c r="L1959" s="11">
        <f t="shared" si="205"/>
        <v>13</v>
      </c>
      <c r="M1959" s="11">
        <v>450665.0</v>
      </c>
      <c r="N1959" s="11">
        <v>9417.0</v>
      </c>
      <c r="O1959" s="13" t="s">
        <v>761</v>
      </c>
      <c r="P1959" s="11">
        <v>84.0</v>
      </c>
      <c r="Q1959" s="45">
        <v>337.3330000000001</v>
      </c>
      <c r="R1959" s="41">
        <v>0.0</v>
      </c>
      <c r="S1959">
        <f t="shared" si="1"/>
        <v>2010</v>
      </c>
      <c r="T1959">
        <f t="shared" si="2"/>
        <v>8</v>
      </c>
      <c r="U1959">
        <f t="shared" si="3"/>
        <v>18</v>
      </c>
      <c r="V1959" s="13"/>
      <c r="W1959" s="13"/>
      <c r="X1959" s="13"/>
      <c r="Y1959" s="13"/>
      <c r="Z1959" s="13"/>
      <c r="AA1959" s="13"/>
      <c r="AB1959" s="13"/>
      <c r="AC1959" s="13"/>
      <c r="AD1959" s="13"/>
      <c r="AE1959" s="13">
        <v>31.0</v>
      </c>
      <c r="AF1959" s="13">
        <v>14.0</v>
      </c>
      <c r="AG1959" s="50">
        <v>107.667</v>
      </c>
      <c r="AH1959" s="51">
        <v>0.142</v>
      </c>
      <c r="AI1959" s="13">
        <v>92.0</v>
      </c>
      <c r="AJ1959" s="13">
        <v>95.0</v>
      </c>
      <c r="AK1959" s="13">
        <v>2.0</v>
      </c>
      <c r="AL1959" s="13">
        <v>0.0</v>
      </c>
      <c r="AM1959" s="50">
        <v>2.333</v>
      </c>
      <c r="AN1959" s="51">
        <v>0.25</v>
      </c>
      <c r="AO1959" s="13">
        <v>0.0</v>
      </c>
      <c r="AP1959" s="13">
        <v>34.0</v>
      </c>
    </row>
    <row r="1960">
      <c r="A1960" s="13" t="s">
        <v>3604</v>
      </c>
      <c r="B1960" s="10">
        <v>40400.0</v>
      </c>
      <c r="C1960" s="11" t="s">
        <v>274</v>
      </c>
      <c r="D1960" s="11" t="s">
        <v>38</v>
      </c>
      <c r="E1960" s="30" t="s">
        <v>39</v>
      </c>
      <c r="F1960" s="11" t="s">
        <v>40</v>
      </c>
      <c r="G1960" s="30" t="s">
        <v>45</v>
      </c>
      <c r="H1960" s="11" t="s">
        <v>240</v>
      </c>
      <c r="I1960" s="11" t="s">
        <v>3605</v>
      </c>
      <c r="J1960" s="11">
        <v>31.0</v>
      </c>
      <c r="K1960" s="12">
        <v>41105.0</v>
      </c>
      <c r="L1960" s="11">
        <f t="shared" si="205"/>
        <v>23</v>
      </c>
      <c r="M1960" s="11">
        <v>282656.0</v>
      </c>
      <c r="N1960" s="11">
        <v>710.0</v>
      </c>
      <c r="O1960" s="13" t="s">
        <v>42</v>
      </c>
      <c r="P1960" s="11">
        <v>9.0</v>
      </c>
      <c r="Q1960" s="45">
        <v>49.333000000000006</v>
      </c>
      <c r="R1960" s="41">
        <v>0.0</v>
      </c>
      <c r="S1960">
        <f t="shared" si="1"/>
        <v>2010</v>
      </c>
      <c r="T1960">
        <f t="shared" si="2"/>
        <v>8</v>
      </c>
      <c r="U1960">
        <f t="shared" si="3"/>
        <v>10</v>
      </c>
      <c r="V1960" s="13"/>
      <c r="W1960" s="13"/>
      <c r="X1960" s="13"/>
      <c r="Y1960" s="13"/>
      <c r="Z1960" s="13"/>
      <c r="AA1960" s="13"/>
      <c r="AB1960" s="13"/>
      <c r="AC1960" s="13"/>
      <c r="AD1960" s="13"/>
      <c r="AE1960" s="13">
        <v>20.0</v>
      </c>
      <c r="AF1960" s="13">
        <v>20.0</v>
      </c>
      <c r="AG1960" s="50">
        <v>119.333</v>
      </c>
      <c r="AH1960" s="51">
        <v>0.08</v>
      </c>
      <c r="AI1960" s="13">
        <v>112.0</v>
      </c>
      <c r="AJ1960" s="13">
        <v>115.0</v>
      </c>
      <c r="AK1960" s="13">
        <v>9.0</v>
      </c>
      <c r="AL1960" s="13">
        <v>9.0</v>
      </c>
      <c r="AM1960" s="50">
        <v>49.333</v>
      </c>
      <c r="AN1960" s="51">
        <v>0.106</v>
      </c>
      <c r="AO1960" s="13">
        <v>88.0</v>
      </c>
      <c r="AP1960" s="13">
        <v>106.0</v>
      </c>
    </row>
    <row r="1961">
      <c r="A1961" s="13" t="s">
        <v>3606</v>
      </c>
      <c r="B1961" s="10">
        <v>40391.0</v>
      </c>
      <c r="C1961" s="11" t="s">
        <v>44</v>
      </c>
      <c r="D1961" s="11" t="s">
        <v>97</v>
      </c>
      <c r="E1961" s="30" t="s">
        <v>39</v>
      </c>
      <c r="F1961" s="11" t="s">
        <v>40</v>
      </c>
      <c r="G1961" s="41" t="s">
        <v>41</v>
      </c>
      <c r="H1961" s="30"/>
      <c r="I1961" s="30"/>
      <c r="J1961" s="11">
        <v>20.0</v>
      </c>
      <c r="K1961" s="12">
        <v>40782.0</v>
      </c>
      <c r="L1961" s="11">
        <f t="shared" si="205"/>
        <v>13</v>
      </c>
      <c r="M1961" s="11">
        <v>517593.0</v>
      </c>
      <c r="N1961" s="11">
        <v>5867.0</v>
      </c>
      <c r="P1961" s="11">
        <v>108.0</v>
      </c>
      <c r="Q1961" s="14">
        <v>587.333</v>
      </c>
      <c r="R1961" s="41">
        <v>1.0</v>
      </c>
      <c r="S1961">
        <f t="shared" si="1"/>
        <v>2010</v>
      </c>
      <c r="T1961">
        <f t="shared" si="2"/>
        <v>8</v>
      </c>
      <c r="U1961">
        <f t="shared" si="3"/>
        <v>1</v>
      </c>
      <c r="AG1961" s="15"/>
      <c r="AH1961" s="16"/>
      <c r="AM1961" s="15"/>
      <c r="AN1961" s="16"/>
    </row>
    <row r="1962">
      <c r="A1962" s="13" t="s">
        <v>3607</v>
      </c>
      <c r="B1962" s="10">
        <v>40389.0</v>
      </c>
      <c r="C1962" s="11" t="s">
        <v>175</v>
      </c>
      <c r="D1962" s="11" t="s">
        <v>38</v>
      </c>
      <c r="E1962" s="41" t="s">
        <v>118</v>
      </c>
      <c r="F1962" s="11" t="s">
        <v>40</v>
      </c>
      <c r="G1962" s="30" t="s">
        <v>45</v>
      </c>
      <c r="H1962" s="11" t="s">
        <v>265</v>
      </c>
      <c r="I1962" s="11" t="s">
        <v>1194</v>
      </c>
      <c r="J1962" s="11">
        <v>23.0</v>
      </c>
      <c r="K1962" s="12">
        <v>40746.0</v>
      </c>
      <c r="L1962" s="11">
        <f t="shared" si="205"/>
        <v>12</v>
      </c>
      <c r="M1962" s="11">
        <v>452035.0</v>
      </c>
      <c r="N1962" s="11">
        <v>49.0</v>
      </c>
      <c r="O1962" s="13" t="s">
        <v>2884</v>
      </c>
      <c r="P1962" s="11">
        <v>191.0</v>
      </c>
      <c r="Q1962" s="14">
        <v>641.0</v>
      </c>
      <c r="R1962" s="11">
        <v>0.0</v>
      </c>
      <c r="S1962">
        <f t="shared" si="1"/>
        <v>2010</v>
      </c>
      <c r="T1962">
        <f t="shared" si="2"/>
        <v>7</v>
      </c>
      <c r="U1962">
        <f t="shared" si="3"/>
        <v>30</v>
      </c>
      <c r="AG1962" s="15"/>
      <c r="AH1962" s="16"/>
      <c r="AM1962" s="15"/>
      <c r="AN1962" s="16"/>
    </row>
    <row r="1963">
      <c r="A1963" s="13" t="s">
        <v>3608</v>
      </c>
      <c r="B1963" s="10">
        <v>40372.0</v>
      </c>
      <c r="C1963" s="11" t="s">
        <v>44</v>
      </c>
      <c r="D1963" s="11" t="s">
        <v>213</v>
      </c>
      <c r="E1963" s="30" t="s">
        <v>39</v>
      </c>
      <c r="F1963" s="11" t="s">
        <v>40</v>
      </c>
      <c r="G1963" s="30" t="s">
        <v>45</v>
      </c>
      <c r="H1963" s="11" t="s">
        <v>59</v>
      </c>
      <c r="I1963" s="11"/>
      <c r="J1963" s="11">
        <v>18.0</v>
      </c>
      <c r="K1963" s="12">
        <v>40733.0</v>
      </c>
      <c r="L1963" s="11">
        <f t="shared" si="205"/>
        <v>12</v>
      </c>
      <c r="M1963" s="11">
        <v>592125.0</v>
      </c>
      <c r="N1963" s="11" t="s">
        <v>3609</v>
      </c>
      <c r="P1963" s="11">
        <v>0.0</v>
      </c>
      <c r="Q1963" s="14">
        <v>0.0</v>
      </c>
      <c r="R1963" s="41">
        <v>1.0</v>
      </c>
      <c r="S1963">
        <f t="shared" si="1"/>
        <v>2010</v>
      </c>
      <c r="T1963">
        <f t="shared" si="2"/>
        <v>7</v>
      </c>
      <c r="U1963">
        <f t="shared" si="3"/>
        <v>13</v>
      </c>
      <c r="AG1963" s="15"/>
      <c r="AH1963" s="16"/>
      <c r="AM1963" s="15"/>
      <c r="AN1963" s="16"/>
    </row>
    <row r="1964">
      <c r="A1964" s="13" t="s">
        <v>3610</v>
      </c>
      <c r="B1964" s="10">
        <v>40368.0</v>
      </c>
      <c r="C1964" s="11" t="s">
        <v>116</v>
      </c>
      <c r="D1964" s="11" t="s">
        <v>77</v>
      </c>
      <c r="E1964" s="11" t="s">
        <v>39</v>
      </c>
      <c r="F1964" s="11" t="s">
        <v>40</v>
      </c>
      <c r="G1964" s="11" t="s">
        <v>45</v>
      </c>
      <c r="H1964" s="11" t="s">
        <v>127</v>
      </c>
      <c r="I1964" s="11" t="s">
        <v>3611</v>
      </c>
      <c r="J1964" s="11">
        <v>24.0</v>
      </c>
      <c r="K1964" s="12">
        <v>40544.0</v>
      </c>
      <c r="L1964" s="11"/>
      <c r="M1964" s="11">
        <v>518519.0</v>
      </c>
      <c r="N1964" s="11" t="s">
        <v>3612</v>
      </c>
      <c r="O1964" s="13" t="s">
        <v>761</v>
      </c>
      <c r="P1964" s="11">
        <v>0.0</v>
      </c>
      <c r="Q1964" s="14">
        <v>0.0</v>
      </c>
      <c r="R1964" s="41">
        <v>0.0</v>
      </c>
      <c r="S1964">
        <f t="shared" si="1"/>
        <v>2010</v>
      </c>
      <c r="T1964">
        <f t="shared" si="2"/>
        <v>7</v>
      </c>
      <c r="U1964">
        <f t="shared" si="3"/>
        <v>9</v>
      </c>
      <c r="AG1964" s="15"/>
      <c r="AH1964" s="16"/>
      <c r="AM1964" s="15"/>
      <c r="AN1964" s="16"/>
    </row>
    <row r="1965">
      <c r="A1965" s="13" t="s">
        <v>3613</v>
      </c>
      <c r="B1965" s="10">
        <v>40360.0</v>
      </c>
      <c r="C1965" s="11" t="s">
        <v>101</v>
      </c>
      <c r="D1965" s="11" t="s">
        <v>93</v>
      </c>
      <c r="E1965" s="11" t="s">
        <v>39</v>
      </c>
      <c r="F1965" s="11" t="s">
        <v>40</v>
      </c>
      <c r="G1965" s="11" t="s">
        <v>45</v>
      </c>
      <c r="H1965" s="11" t="s">
        <v>109</v>
      </c>
      <c r="I1965" s="11" t="s">
        <v>2467</v>
      </c>
      <c r="J1965" s="11">
        <v>21.0</v>
      </c>
      <c r="K1965" s="12">
        <v>41074.0</v>
      </c>
      <c r="L1965" s="11"/>
      <c r="M1965" s="11">
        <v>592310.0</v>
      </c>
      <c r="N1965" s="11" t="s">
        <v>3614</v>
      </c>
      <c r="P1965" s="11">
        <v>0.0</v>
      </c>
      <c r="Q1965" s="14">
        <v>0.0</v>
      </c>
      <c r="R1965" s="41">
        <v>1.0</v>
      </c>
      <c r="S1965">
        <f t="shared" si="1"/>
        <v>2010</v>
      </c>
      <c r="T1965">
        <f t="shared" si="2"/>
        <v>7</v>
      </c>
      <c r="U1965">
        <f t="shared" si="3"/>
        <v>1</v>
      </c>
      <c r="AG1965" s="15"/>
      <c r="AH1965" s="16"/>
      <c r="AM1965" s="15"/>
      <c r="AN1965" s="16"/>
    </row>
    <row r="1966">
      <c r="A1966" s="13" t="s">
        <v>3615</v>
      </c>
      <c r="B1966" s="10">
        <v>40360.0</v>
      </c>
      <c r="C1966" s="11" t="s">
        <v>162</v>
      </c>
      <c r="D1966" s="11" t="s">
        <v>97</v>
      </c>
      <c r="E1966" s="11" t="s">
        <v>39</v>
      </c>
      <c r="F1966" s="11" t="s">
        <v>40</v>
      </c>
      <c r="G1966" s="11" t="s">
        <v>45</v>
      </c>
      <c r="H1966" s="11" t="s">
        <v>182</v>
      </c>
      <c r="I1966" s="11" t="s">
        <v>182</v>
      </c>
      <c r="J1966" s="11">
        <v>22.0</v>
      </c>
      <c r="K1966" s="12">
        <v>40731.0</v>
      </c>
      <c r="L1966" s="11">
        <f t="shared" ref="L1966:L1967" si="206">ROUND(((K1966-B1966)/365)*12,0)</f>
        <v>12</v>
      </c>
      <c r="M1966" s="11">
        <v>572024.0</v>
      </c>
      <c r="N1966" s="11" t="s">
        <v>3616</v>
      </c>
      <c r="P1966" s="11">
        <v>0.0</v>
      </c>
      <c r="Q1966" s="14">
        <v>0.0</v>
      </c>
      <c r="R1966" s="41">
        <v>0.0</v>
      </c>
      <c r="S1966">
        <f t="shared" si="1"/>
        <v>2010</v>
      </c>
      <c r="T1966">
        <f t="shared" si="2"/>
        <v>7</v>
      </c>
      <c r="U1966">
        <f t="shared" si="3"/>
        <v>1</v>
      </c>
      <c r="AG1966" s="15"/>
      <c r="AH1966" s="16"/>
      <c r="AM1966" s="15"/>
      <c r="AN1966" s="16"/>
    </row>
    <row r="1967">
      <c r="A1967" s="13" t="s">
        <v>3617</v>
      </c>
      <c r="B1967" s="10">
        <v>40360.0</v>
      </c>
      <c r="C1967" s="11" t="s">
        <v>83</v>
      </c>
      <c r="D1967" s="11" t="s">
        <v>77</v>
      </c>
      <c r="E1967" s="41" t="s">
        <v>118</v>
      </c>
      <c r="F1967" s="11" t="s">
        <v>64</v>
      </c>
      <c r="G1967" s="30" t="s">
        <v>45</v>
      </c>
      <c r="H1967" s="11" t="s">
        <v>243</v>
      </c>
      <c r="I1967" s="11" t="s">
        <v>775</v>
      </c>
      <c r="J1967" s="11">
        <v>25.0</v>
      </c>
      <c r="K1967" s="12">
        <v>40642.0</v>
      </c>
      <c r="L1967" s="11">
        <f t="shared" si="206"/>
        <v>9</v>
      </c>
      <c r="M1967" s="11">
        <v>501966.0</v>
      </c>
      <c r="N1967" s="11" t="s">
        <v>3618</v>
      </c>
      <c r="P1967" s="11">
        <v>0.0</v>
      </c>
      <c r="Q1967" s="14">
        <v>0.0</v>
      </c>
      <c r="R1967" s="41">
        <v>0.0</v>
      </c>
      <c r="S1967">
        <f t="shared" si="1"/>
        <v>2010</v>
      </c>
      <c r="T1967">
        <f t="shared" si="2"/>
        <v>7</v>
      </c>
      <c r="U1967">
        <f t="shared" si="3"/>
        <v>1</v>
      </c>
      <c r="AG1967" s="15"/>
      <c r="AH1967" s="16"/>
      <c r="AM1967" s="15"/>
      <c r="AN1967" s="16"/>
    </row>
    <row r="1968">
      <c r="A1968" s="13" t="s">
        <v>3619</v>
      </c>
      <c r="B1968" s="10">
        <v>40333.0</v>
      </c>
      <c r="C1968" s="11" t="s">
        <v>116</v>
      </c>
      <c r="D1968" s="11" t="s">
        <v>58</v>
      </c>
      <c r="E1968" s="11" t="s">
        <v>39</v>
      </c>
      <c r="F1968" s="11" t="s">
        <v>40</v>
      </c>
      <c r="G1968" s="11" t="s">
        <v>45</v>
      </c>
      <c r="H1968" s="11" t="s">
        <v>265</v>
      </c>
      <c r="I1968" s="11"/>
      <c r="J1968" s="11">
        <v>24.0</v>
      </c>
      <c r="K1968" s="12"/>
      <c r="L1968" s="11"/>
      <c r="M1968" s="11">
        <v>444970.0</v>
      </c>
      <c r="N1968" s="11">
        <v>7734.0</v>
      </c>
      <c r="O1968" s="13" t="s">
        <v>761</v>
      </c>
      <c r="P1968" s="11">
        <v>0.0</v>
      </c>
      <c r="Q1968" s="14">
        <v>0.0</v>
      </c>
      <c r="R1968" s="41">
        <v>0.0</v>
      </c>
      <c r="S1968">
        <f t="shared" si="1"/>
        <v>2010</v>
      </c>
      <c r="T1968">
        <f t="shared" si="2"/>
        <v>6</v>
      </c>
      <c r="U1968">
        <f t="shared" si="3"/>
        <v>4</v>
      </c>
      <c r="AG1968" s="15"/>
      <c r="AH1968" s="16"/>
      <c r="AM1968" s="15"/>
      <c r="AN1968" s="16"/>
    </row>
    <row r="1969">
      <c r="A1969" s="13" t="s">
        <v>3620</v>
      </c>
      <c r="B1969" s="10">
        <v>40333.0</v>
      </c>
      <c r="C1969" s="11" t="s">
        <v>362</v>
      </c>
      <c r="D1969" s="11" t="s">
        <v>58</v>
      </c>
      <c r="E1969" s="30" t="s">
        <v>39</v>
      </c>
      <c r="F1969" s="11" t="s">
        <v>64</v>
      </c>
      <c r="G1969" s="30" t="s">
        <v>45</v>
      </c>
      <c r="H1969" s="11" t="s">
        <v>317</v>
      </c>
      <c r="I1969" s="11" t="s">
        <v>3621</v>
      </c>
      <c r="J1969" s="11">
        <v>25.0</v>
      </c>
      <c r="K1969" s="12">
        <v>40715.0</v>
      </c>
      <c r="L1969" s="11">
        <f t="shared" ref="L1969:L1972" si="207">ROUND(((K1969-B1969)/365)*12,0)</f>
        <v>13</v>
      </c>
      <c r="M1969" s="11">
        <v>453264.0</v>
      </c>
      <c r="N1969" s="11">
        <v>4741.0</v>
      </c>
      <c r="P1969" s="11">
        <v>86.0</v>
      </c>
      <c r="Q1969" s="14">
        <v>52.667</v>
      </c>
      <c r="R1969" s="11">
        <v>0.0</v>
      </c>
      <c r="S1969">
        <f t="shared" si="1"/>
        <v>2010</v>
      </c>
      <c r="T1969">
        <f t="shared" si="2"/>
        <v>6</v>
      </c>
      <c r="U1969">
        <f t="shared" si="3"/>
        <v>4</v>
      </c>
      <c r="AG1969" s="15"/>
      <c r="AH1969" s="16"/>
      <c r="AM1969" s="15"/>
      <c r="AN1969" s="16"/>
    </row>
    <row r="1970">
      <c r="A1970" s="13" t="s">
        <v>3622</v>
      </c>
      <c r="B1970" s="10">
        <v>40330.0</v>
      </c>
      <c r="C1970" s="11" t="s">
        <v>235</v>
      </c>
      <c r="D1970" s="11" t="s">
        <v>97</v>
      </c>
      <c r="E1970" s="11" t="s">
        <v>39</v>
      </c>
      <c r="F1970" s="11" t="s">
        <v>40</v>
      </c>
      <c r="G1970" s="11" t="s">
        <v>45</v>
      </c>
      <c r="H1970" s="11" t="s">
        <v>222</v>
      </c>
      <c r="I1970" s="11"/>
      <c r="J1970" s="11">
        <v>20.0</v>
      </c>
      <c r="K1970" s="12">
        <v>40716.0</v>
      </c>
      <c r="L1970" s="11">
        <f t="shared" si="207"/>
        <v>13</v>
      </c>
      <c r="M1970" s="11">
        <v>542884.0</v>
      </c>
      <c r="N1970" s="11">
        <v>7119.0</v>
      </c>
      <c r="O1970" s="13"/>
      <c r="P1970" s="11">
        <v>1.0</v>
      </c>
      <c r="Q1970" s="14">
        <v>2.0</v>
      </c>
      <c r="R1970" s="41">
        <v>1.0</v>
      </c>
      <c r="S1970">
        <f t="shared" si="1"/>
        <v>2010</v>
      </c>
      <c r="T1970">
        <f t="shared" si="2"/>
        <v>6</v>
      </c>
      <c r="U1970">
        <f t="shared" si="3"/>
        <v>1</v>
      </c>
      <c r="AG1970" s="15"/>
      <c r="AH1970" s="16"/>
      <c r="AM1970" s="15"/>
      <c r="AN1970" s="16"/>
    </row>
    <row r="1971">
      <c r="A1971" s="13" t="s">
        <v>3623</v>
      </c>
      <c r="B1971" s="10">
        <v>40326.0</v>
      </c>
      <c r="C1971" s="11" t="s">
        <v>111</v>
      </c>
      <c r="D1971" s="11" t="s">
        <v>38</v>
      </c>
      <c r="E1971" s="30" t="s">
        <v>39</v>
      </c>
      <c r="F1971" s="11" t="s">
        <v>40</v>
      </c>
      <c r="G1971" s="30" t="s">
        <v>45</v>
      </c>
      <c r="H1971" s="11" t="s">
        <v>84</v>
      </c>
      <c r="I1971" s="11"/>
      <c r="J1971" s="11">
        <v>28.0</v>
      </c>
      <c r="K1971" s="12">
        <v>41489.0</v>
      </c>
      <c r="L1971" s="11">
        <f t="shared" si="207"/>
        <v>38</v>
      </c>
      <c r="M1971" s="11">
        <v>435261.0</v>
      </c>
      <c r="N1971" s="11">
        <v>3193.0</v>
      </c>
      <c r="O1971" s="13" t="s">
        <v>3309</v>
      </c>
      <c r="P1971" s="11">
        <v>16.0</v>
      </c>
      <c r="Q1971" s="14">
        <v>28.667</v>
      </c>
      <c r="R1971" s="41">
        <v>0.0</v>
      </c>
      <c r="S1971">
        <f t="shared" si="1"/>
        <v>2010</v>
      </c>
      <c r="T1971">
        <f t="shared" si="2"/>
        <v>5</v>
      </c>
      <c r="U1971">
        <f t="shared" si="3"/>
        <v>28</v>
      </c>
      <c r="AG1971" s="15"/>
      <c r="AH1971" s="16"/>
      <c r="AM1971" s="15"/>
      <c r="AN1971" s="16"/>
    </row>
    <row r="1972">
      <c r="A1972" s="13" t="s">
        <v>3624</v>
      </c>
      <c r="B1972" s="10">
        <v>40324.0</v>
      </c>
      <c r="C1972" s="11" t="s">
        <v>274</v>
      </c>
      <c r="D1972" s="11" t="s">
        <v>77</v>
      </c>
      <c r="E1972" s="30" t="s">
        <v>39</v>
      </c>
      <c r="F1972" s="11" t="s">
        <v>40</v>
      </c>
      <c r="G1972" s="41" t="s">
        <v>326</v>
      </c>
      <c r="H1972" s="30"/>
      <c r="I1972" s="30"/>
      <c r="J1972" s="11">
        <v>21.0</v>
      </c>
      <c r="K1972" s="12">
        <v>41048.0</v>
      </c>
      <c r="L1972" s="11">
        <f t="shared" si="207"/>
        <v>24</v>
      </c>
      <c r="M1972" s="11">
        <v>504186.0</v>
      </c>
      <c r="N1972" s="11">
        <v>5595.0</v>
      </c>
      <c r="P1972" s="11">
        <v>21.0</v>
      </c>
      <c r="Q1972" s="14">
        <v>29.0</v>
      </c>
      <c r="R1972" s="41">
        <v>1.0</v>
      </c>
      <c r="S1972">
        <f t="shared" si="1"/>
        <v>2010</v>
      </c>
      <c r="T1972">
        <f t="shared" si="2"/>
        <v>5</v>
      </c>
      <c r="U1972">
        <f t="shared" si="3"/>
        <v>26</v>
      </c>
      <c r="AG1972" s="15"/>
      <c r="AH1972" s="16"/>
      <c r="AM1972" s="15"/>
      <c r="AN1972" s="16"/>
    </row>
    <row r="1973">
      <c r="A1973" s="13" t="s">
        <v>3625</v>
      </c>
      <c r="B1973" s="10">
        <v>40323.0</v>
      </c>
      <c r="C1973" s="11" t="s">
        <v>150</v>
      </c>
      <c r="D1973" s="11" t="s">
        <v>38</v>
      </c>
      <c r="E1973" s="41" t="s">
        <v>104</v>
      </c>
      <c r="F1973" s="11" t="s">
        <v>40</v>
      </c>
      <c r="G1973" s="30" t="s">
        <v>45</v>
      </c>
      <c r="H1973" s="11" t="s">
        <v>3626</v>
      </c>
      <c r="I1973" s="11" t="s">
        <v>1519</v>
      </c>
      <c r="J1973" s="11">
        <v>37.0</v>
      </c>
      <c r="K1973" s="30"/>
      <c r="L1973" s="30"/>
      <c r="M1973" s="11">
        <v>400120.0</v>
      </c>
      <c r="N1973" s="11">
        <v>7243.0</v>
      </c>
      <c r="O1973" s="13" t="s">
        <v>2896</v>
      </c>
      <c r="P1973" s="11">
        <v>0.0</v>
      </c>
      <c r="Q1973" s="45">
        <v>0.0</v>
      </c>
      <c r="R1973" s="41">
        <v>0.0</v>
      </c>
      <c r="S1973">
        <f t="shared" si="1"/>
        <v>2010</v>
      </c>
      <c r="T1973">
        <f t="shared" si="2"/>
        <v>5</v>
      </c>
      <c r="U1973">
        <f t="shared" si="3"/>
        <v>25</v>
      </c>
      <c r="AG1973" s="15"/>
      <c r="AH1973" s="16"/>
      <c r="AM1973" s="15"/>
      <c r="AN1973" s="16"/>
    </row>
    <row r="1974">
      <c r="A1974" s="13" t="s">
        <v>3627</v>
      </c>
      <c r="B1974" s="10">
        <v>40319.0</v>
      </c>
      <c r="C1974" s="11" t="s">
        <v>162</v>
      </c>
      <c r="D1974" s="11" t="s">
        <v>58</v>
      </c>
      <c r="E1974" s="30" t="s">
        <v>39</v>
      </c>
      <c r="F1974" s="11" t="s">
        <v>40</v>
      </c>
      <c r="G1974" s="30" t="s">
        <v>45</v>
      </c>
      <c r="H1974" s="11" t="s">
        <v>67</v>
      </c>
      <c r="I1974" s="11" t="s">
        <v>3628</v>
      </c>
      <c r="J1974" s="11">
        <v>32.0</v>
      </c>
      <c r="K1974" s="12">
        <v>40687.0</v>
      </c>
      <c r="L1974" s="11">
        <f t="shared" ref="L1974:L1975" si="208">ROUND(((K1974-B1974)/365)*12,0)</f>
        <v>12</v>
      </c>
      <c r="M1974" s="11">
        <v>430680.0</v>
      </c>
      <c r="N1974" s="11">
        <v>2163.0</v>
      </c>
      <c r="P1974" s="11">
        <v>0.0</v>
      </c>
      <c r="Q1974" s="14">
        <v>0.0</v>
      </c>
      <c r="R1974" s="41">
        <v>0.0</v>
      </c>
      <c r="S1974">
        <f t="shared" si="1"/>
        <v>2010</v>
      </c>
      <c r="T1974">
        <f t="shared" si="2"/>
        <v>5</v>
      </c>
      <c r="U1974">
        <f t="shared" si="3"/>
        <v>21</v>
      </c>
      <c r="AG1974" s="15"/>
      <c r="AH1974" s="16"/>
      <c r="AM1974" s="15"/>
      <c r="AN1974" s="16"/>
    </row>
    <row r="1975">
      <c r="A1975" s="13" t="s">
        <v>3629</v>
      </c>
      <c r="B1975" s="10">
        <v>40316.0</v>
      </c>
      <c r="C1975" s="11" t="s">
        <v>49</v>
      </c>
      <c r="D1975" s="11" t="s">
        <v>213</v>
      </c>
      <c r="E1975" s="30" t="s">
        <v>39</v>
      </c>
      <c r="F1975" s="11" t="s">
        <v>64</v>
      </c>
      <c r="G1975" s="30" t="s">
        <v>45</v>
      </c>
      <c r="H1975" s="11" t="s">
        <v>59</v>
      </c>
      <c r="I1975" s="11"/>
      <c r="J1975" s="11">
        <v>19.0</v>
      </c>
      <c r="K1975" s="12">
        <v>41080.0</v>
      </c>
      <c r="L1975" s="11">
        <f t="shared" si="208"/>
        <v>25</v>
      </c>
      <c r="M1975" s="11">
        <v>571927.0</v>
      </c>
      <c r="N1975" s="11">
        <v>13361.0</v>
      </c>
      <c r="O1975" s="13" t="s">
        <v>1407</v>
      </c>
      <c r="P1975" s="11">
        <v>41.0</v>
      </c>
      <c r="Q1975" s="14">
        <v>234.667</v>
      </c>
      <c r="R1975" s="41">
        <v>1.0</v>
      </c>
      <c r="S1975">
        <f t="shared" si="1"/>
        <v>2010</v>
      </c>
      <c r="T1975">
        <f t="shared" si="2"/>
        <v>5</v>
      </c>
      <c r="U1975">
        <f t="shared" si="3"/>
        <v>18</v>
      </c>
      <c r="AG1975" s="15"/>
      <c r="AH1975" s="16"/>
      <c r="AM1975" s="15"/>
      <c r="AN1975" s="16"/>
    </row>
    <row r="1976">
      <c r="A1976" s="13" t="s">
        <v>3630</v>
      </c>
      <c r="B1976" s="10">
        <v>40309.0</v>
      </c>
      <c r="C1976" s="11" t="s">
        <v>138</v>
      </c>
      <c r="D1976" s="11" t="s">
        <v>77</v>
      </c>
      <c r="E1976" s="30" t="s">
        <v>39</v>
      </c>
      <c r="F1976" s="11" t="s">
        <v>40</v>
      </c>
      <c r="G1976" s="41" t="s">
        <v>41</v>
      </c>
      <c r="H1976" s="30"/>
      <c r="I1976" s="30"/>
      <c r="J1976" s="11">
        <v>25.0</v>
      </c>
      <c r="K1976" s="12"/>
      <c r="L1976" s="11"/>
      <c r="M1976" s="11">
        <v>489759.0</v>
      </c>
      <c r="N1976" s="11" t="s">
        <v>3631</v>
      </c>
      <c r="P1976" s="11">
        <v>0.0</v>
      </c>
      <c r="Q1976" s="14">
        <v>0.0</v>
      </c>
      <c r="R1976" s="11">
        <v>0.0</v>
      </c>
      <c r="S1976">
        <f t="shared" si="1"/>
        <v>2010</v>
      </c>
      <c r="T1976">
        <f t="shared" si="2"/>
        <v>5</v>
      </c>
      <c r="U1976">
        <f t="shared" si="3"/>
        <v>11</v>
      </c>
      <c r="AG1976" s="15"/>
      <c r="AH1976" s="16"/>
      <c r="AM1976" s="15"/>
      <c r="AN1976" s="16"/>
    </row>
    <row r="1977">
      <c r="A1977" s="13" t="s">
        <v>3632</v>
      </c>
      <c r="B1977" s="10">
        <v>40299.0</v>
      </c>
      <c r="C1977" s="11" t="s">
        <v>162</v>
      </c>
      <c r="D1977" s="11" t="s">
        <v>93</v>
      </c>
      <c r="E1977" s="11" t="s">
        <v>39</v>
      </c>
      <c r="F1977" s="11" t="s">
        <v>40</v>
      </c>
      <c r="G1977" s="11" t="s">
        <v>45</v>
      </c>
      <c r="H1977" s="11" t="s">
        <v>3633</v>
      </c>
      <c r="I1977" s="11" t="s">
        <v>3634</v>
      </c>
      <c r="J1977" s="11">
        <v>21.0</v>
      </c>
      <c r="K1977" s="12">
        <v>41447.0</v>
      </c>
      <c r="L1977" s="11"/>
      <c r="M1977" s="11">
        <v>643550.0</v>
      </c>
      <c r="N1977" s="11">
        <v>15301.0</v>
      </c>
      <c r="O1977" s="13" t="s">
        <v>1332</v>
      </c>
      <c r="P1977" s="11">
        <v>2.0</v>
      </c>
      <c r="Q1977" s="14">
        <v>2.333</v>
      </c>
      <c r="R1977" s="41">
        <v>1.0</v>
      </c>
      <c r="S1977">
        <f t="shared" si="1"/>
        <v>2010</v>
      </c>
      <c r="T1977">
        <f t="shared" si="2"/>
        <v>5</v>
      </c>
      <c r="U1977">
        <f t="shared" si="3"/>
        <v>1</v>
      </c>
      <c r="AG1977" s="15"/>
      <c r="AH1977" s="16"/>
      <c r="AM1977" s="15"/>
      <c r="AN1977" s="16"/>
    </row>
    <row r="1978">
      <c r="A1978" s="13" t="s">
        <v>3635</v>
      </c>
      <c r="B1978" s="10">
        <v>40296.0</v>
      </c>
      <c r="C1978" s="11" t="s">
        <v>143</v>
      </c>
      <c r="D1978" s="11" t="s">
        <v>58</v>
      </c>
      <c r="E1978" s="11" t="s">
        <v>39</v>
      </c>
      <c r="F1978" s="11" t="s">
        <v>40</v>
      </c>
      <c r="G1978" s="11" t="s">
        <v>45</v>
      </c>
      <c r="H1978" s="11" t="s">
        <v>139</v>
      </c>
      <c r="I1978" s="11" t="s">
        <v>948</v>
      </c>
      <c r="J1978" s="11">
        <v>27.0</v>
      </c>
      <c r="K1978" s="12">
        <v>40717.0</v>
      </c>
      <c r="L1978" s="11">
        <f t="shared" ref="L1978:L1980" si="209">ROUND(((K1978-B1978)/365)*12,0)</f>
        <v>14</v>
      </c>
      <c r="M1978" s="11">
        <v>455090.0</v>
      </c>
      <c r="N1978" s="11">
        <v>7487.0</v>
      </c>
      <c r="P1978" s="11">
        <v>1.0</v>
      </c>
      <c r="Q1978" s="14">
        <v>0.667</v>
      </c>
      <c r="R1978" s="41">
        <v>0.0</v>
      </c>
      <c r="S1978">
        <f t="shared" si="1"/>
        <v>2010</v>
      </c>
      <c r="T1978">
        <f t="shared" si="2"/>
        <v>4</v>
      </c>
      <c r="U1978">
        <f t="shared" si="3"/>
        <v>28</v>
      </c>
      <c r="AG1978" s="15"/>
      <c r="AH1978" s="16"/>
      <c r="AM1978" s="15"/>
      <c r="AN1978" s="16"/>
    </row>
    <row r="1979">
      <c r="A1979" s="13" t="s">
        <v>3636</v>
      </c>
      <c r="B1979" s="10">
        <v>40288.0</v>
      </c>
      <c r="C1979" s="11" t="s">
        <v>108</v>
      </c>
      <c r="D1979" s="11" t="s">
        <v>77</v>
      </c>
      <c r="E1979" s="30" t="s">
        <v>39</v>
      </c>
      <c r="F1979" s="11" t="s">
        <v>40</v>
      </c>
      <c r="G1979" s="30" t="s">
        <v>45</v>
      </c>
      <c r="H1979" s="11" t="s">
        <v>84</v>
      </c>
      <c r="I1979" s="11"/>
      <c r="J1979" s="11">
        <v>25.0</v>
      </c>
      <c r="K1979" s="12">
        <v>40790.0</v>
      </c>
      <c r="L1979" s="11">
        <f t="shared" si="209"/>
        <v>17</v>
      </c>
      <c r="M1979" s="11">
        <v>451600.0</v>
      </c>
      <c r="N1979" s="11">
        <v>4067.0</v>
      </c>
      <c r="P1979" s="11">
        <v>13.0</v>
      </c>
      <c r="Q1979" s="14">
        <v>12.667</v>
      </c>
      <c r="R1979" s="41">
        <v>0.0</v>
      </c>
      <c r="S1979">
        <f t="shared" si="1"/>
        <v>2010</v>
      </c>
      <c r="T1979">
        <f t="shared" si="2"/>
        <v>4</v>
      </c>
      <c r="U1979">
        <f t="shared" si="3"/>
        <v>20</v>
      </c>
      <c r="AG1979" s="15"/>
      <c r="AH1979" s="16"/>
      <c r="AM1979" s="15"/>
      <c r="AN1979" s="16"/>
    </row>
    <row r="1980">
      <c r="A1980" s="13" t="s">
        <v>3637</v>
      </c>
      <c r="B1980" s="10">
        <v>40283.0</v>
      </c>
      <c r="C1980" s="11" t="s">
        <v>150</v>
      </c>
      <c r="D1980" s="11" t="s">
        <v>93</v>
      </c>
      <c r="E1980" s="11" t="s">
        <v>39</v>
      </c>
      <c r="F1980" s="11" t="s">
        <v>40</v>
      </c>
      <c r="G1980" s="11" t="s">
        <v>45</v>
      </c>
      <c r="H1980" s="11" t="s">
        <v>258</v>
      </c>
      <c r="I1980" s="11" t="s">
        <v>133</v>
      </c>
      <c r="J1980" s="11">
        <v>22.0</v>
      </c>
      <c r="K1980" s="12">
        <v>40712.0</v>
      </c>
      <c r="L1980" s="11">
        <f t="shared" si="209"/>
        <v>14</v>
      </c>
      <c r="M1980" s="11">
        <v>571988.0</v>
      </c>
      <c r="N1980" s="11" t="s">
        <v>3638</v>
      </c>
      <c r="O1980" s="13"/>
      <c r="P1980" s="11">
        <v>0.0</v>
      </c>
      <c r="Q1980" s="14">
        <v>0.0</v>
      </c>
      <c r="R1980" s="11">
        <v>0.0</v>
      </c>
      <c r="S1980">
        <f t="shared" si="1"/>
        <v>2010</v>
      </c>
      <c r="T1980">
        <f t="shared" si="2"/>
        <v>4</v>
      </c>
      <c r="U1980">
        <f t="shared" si="3"/>
        <v>15</v>
      </c>
      <c r="AG1980" s="15"/>
      <c r="AH1980" s="16"/>
      <c r="AM1980" s="15"/>
      <c r="AN1980" s="16"/>
    </row>
    <row r="1981">
      <c r="A1981" s="13" t="s">
        <v>3573</v>
      </c>
      <c r="B1981" s="10">
        <v>40280.0</v>
      </c>
      <c r="C1981" s="11" t="s">
        <v>186</v>
      </c>
      <c r="D1981" s="11" t="s">
        <v>213</v>
      </c>
      <c r="E1981" s="11" t="s">
        <v>39</v>
      </c>
      <c r="F1981" s="11" t="s">
        <v>64</v>
      </c>
      <c r="G1981" s="11" t="s">
        <v>45</v>
      </c>
      <c r="H1981" s="11" t="s">
        <v>56</v>
      </c>
      <c r="I1981" s="11" t="s">
        <v>112</v>
      </c>
      <c r="J1981" s="11">
        <v>17.0</v>
      </c>
      <c r="K1981" s="12"/>
      <c r="L1981" s="11"/>
      <c r="M1981" s="11">
        <v>605179.0</v>
      </c>
      <c r="N1981" s="11" t="s">
        <v>3574</v>
      </c>
      <c r="O1981" s="13"/>
      <c r="P1981" s="11">
        <v>0.0</v>
      </c>
      <c r="Q1981" s="14">
        <v>0.0</v>
      </c>
      <c r="R1981" s="41">
        <v>0.0</v>
      </c>
      <c r="S1981">
        <f t="shared" si="1"/>
        <v>2010</v>
      </c>
      <c r="T1981">
        <f t="shared" si="2"/>
        <v>4</v>
      </c>
      <c r="U1981">
        <f t="shared" si="3"/>
        <v>12</v>
      </c>
      <c r="AG1981" s="15"/>
      <c r="AH1981" s="16"/>
      <c r="AM1981" s="15"/>
      <c r="AN1981" s="16"/>
    </row>
    <row r="1982">
      <c r="A1982" s="13" t="s">
        <v>2088</v>
      </c>
      <c r="B1982" s="10">
        <v>40276.0</v>
      </c>
      <c r="C1982" s="11" t="s">
        <v>55</v>
      </c>
      <c r="D1982" s="11" t="s">
        <v>77</v>
      </c>
      <c r="E1982" s="11" t="s">
        <v>39</v>
      </c>
      <c r="F1982" s="11" t="s">
        <v>40</v>
      </c>
      <c r="G1982" s="11" t="s">
        <v>45</v>
      </c>
      <c r="H1982" s="11" t="s">
        <v>127</v>
      </c>
      <c r="I1982" s="11" t="s">
        <v>127</v>
      </c>
      <c r="J1982" s="11">
        <v>24.0</v>
      </c>
      <c r="K1982" s="12">
        <v>40682.0</v>
      </c>
      <c r="L1982" s="11">
        <f t="shared" ref="L1982:L1985" si="210">ROUND(((K1982-B1982)/365)*12,0)</f>
        <v>13</v>
      </c>
      <c r="M1982" s="11">
        <v>543942.0</v>
      </c>
      <c r="N1982" s="11">
        <v>8532.0</v>
      </c>
      <c r="O1982" s="13"/>
      <c r="P1982" s="11">
        <v>71.0</v>
      </c>
      <c r="Q1982" s="14">
        <v>68.0</v>
      </c>
      <c r="R1982" s="11">
        <v>0.0</v>
      </c>
      <c r="S1982">
        <f t="shared" si="1"/>
        <v>2010</v>
      </c>
      <c r="T1982">
        <f t="shared" si="2"/>
        <v>4</v>
      </c>
      <c r="U1982">
        <f t="shared" si="3"/>
        <v>8</v>
      </c>
      <c r="AG1982" s="15"/>
      <c r="AH1982" s="16"/>
      <c r="AM1982" s="15"/>
      <c r="AN1982" s="16"/>
    </row>
    <row r="1983">
      <c r="A1983" s="13" t="s">
        <v>3639</v>
      </c>
      <c r="B1983" s="10">
        <v>40274.0</v>
      </c>
      <c r="C1983" s="11" t="s">
        <v>72</v>
      </c>
      <c r="D1983" s="11" t="s">
        <v>38</v>
      </c>
      <c r="E1983" s="30" t="s">
        <v>39</v>
      </c>
      <c r="F1983" s="11" t="s">
        <v>40</v>
      </c>
      <c r="G1983" s="41" t="s">
        <v>503</v>
      </c>
      <c r="H1983" s="30"/>
      <c r="I1983" s="30"/>
      <c r="J1983" s="11">
        <v>24.0</v>
      </c>
      <c r="K1983" s="12">
        <v>40799.0</v>
      </c>
      <c r="L1983" s="11">
        <f t="shared" si="210"/>
        <v>17</v>
      </c>
      <c r="M1983" s="11">
        <v>547749.0</v>
      </c>
      <c r="N1983" s="11">
        <v>4079.0</v>
      </c>
      <c r="O1983" s="13" t="s">
        <v>761</v>
      </c>
      <c r="P1983" s="11">
        <v>244.0</v>
      </c>
      <c r="Q1983" s="14">
        <v>232.0</v>
      </c>
      <c r="R1983" s="11">
        <v>0.0</v>
      </c>
      <c r="S1983">
        <f t="shared" si="1"/>
        <v>2010</v>
      </c>
      <c r="T1983">
        <f t="shared" si="2"/>
        <v>4</v>
      </c>
      <c r="U1983">
        <f t="shared" si="3"/>
        <v>6</v>
      </c>
      <c r="AG1983" s="15"/>
      <c r="AH1983" s="16"/>
      <c r="AM1983" s="15"/>
      <c r="AN1983" s="16"/>
    </row>
    <row r="1984">
      <c r="A1984" s="13" t="s">
        <v>3640</v>
      </c>
      <c r="B1984" s="10">
        <v>40269.0</v>
      </c>
      <c r="C1984" s="11" t="s">
        <v>62</v>
      </c>
      <c r="D1984" s="11" t="s">
        <v>93</v>
      </c>
      <c r="E1984" s="11" t="s">
        <v>39</v>
      </c>
      <c r="F1984" s="11" t="s">
        <v>40</v>
      </c>
      <c r="G1984" s="11" t="s">
        <v>45</v>
      </c>
      <c r="H1984" s="11" t="s">
        <v>67</v>
      </c>
      <c r="I1984" s="11" t="s">
        <v>119</v>
      </c>
      <c r="J1984" s="11">
        <v>22.0</v>
      </c>
      <c r="K1984" s="12">
        <v>40678.0</v>
      </c>
      <c r="L1984" s="11">
        <f t="shared" si="210"/>
        <v>13</v>
      </c>
      <c r="M1984" s="11">
        <v>594762.0</v>
      </c>
      <c r="N1984" s="11">
        <v>11867.0</v>
      </c>
      <c r="P1984" s="11">
        <v>7.0</v>
      </c>
      <c r="Q1984" s="14">
        <v>6.333</v>
      </c>
      <c r="R1984" s="11">
        <v>0.0</v>
      </c>
      <c r="S1984">
        <f t="shared" si="1"/>
        <v>2010</v>
      </c>
      <c r="T1984">
        <f t="shared" si="2"/>
        <v>4</v>
      </c>
      <c r="U1984">
        <f t="shared" si="3"/>
        <v>1</v>
      </c>
      <c r="AG1984" s="15"/>
      <c r="AH1984" s="16"/>
      <c r="AM1984" s="15"/>
      <c r="AN1984" s="16"/>
    </row>
    <row r="1985">
      <c r="A1985" s="13" t="s">
        <v>3641</v>
      </c>
      <c r="B1985" s="10">
        <v>40269.0</v>
      </c>
      <c r="C1985" s="11" t="s">
        <v>76</v>
      </c>
      <c r="D1985" s="11" t="s">
        <v>97</v>
      </c>
      <c r="E1985" s="30" t="s">
        <v>39</v>
      </c>
      <c r="F1985" s="11" t="s">
        <v>40</v>
      </c>
      <c r="G1985" s="41" t="s">
        <v>41</v>
      </c>
      <c r="H1985" s="30"/>
      <c r="I1985" s="30"/>
      <c r="J1985" s="11">
        <v>22.0</v>
      </c>
      <c r="K1985" s="12">
        <v>41006.0</v>
      </c>
      <c r="L1985" s="11">
        <f t="shared" si="210"/>
        <v>24</v>
      </c>
      <c r="M1985" s="11">
        <v>462089.0</v>
      </c>
      <c r="N1985" s="11">
        <v>6127.0</v>
      </c>
      <c r="P1985" s="11">
        <v>18.0</v>
      </c>
      <c r="Q1985" s="14">
        <v>13.667</v>
      </c>
      <c r="R1985" s="41">
        <v>1.0</v>
      </c>
      <c r="S1985">
        <f t="shared" si="1"/>
        <v>2010</v>
      </c>
      <c r="T1985">
        <f t="shared" si="2"/>
        <v>4</v>
      </c>
      <c r="U1985">
        <f t="shared" si="3"/>
        <v>1</v>
      </c>
      <c r="AG1985" s="15"/>
      <c r="AH1985" s="16"/>
      <c r="AM1985" s="15"/>
      <c r="AN1985" s="16"/>
    </row>
    <row r="1986">
      <c r="A1986" s="13" t="s">
        <v>3642</v>
      </c>
      <c r="B1986" s="10">
        <v>40268.0</v>
      </c>
      <c r="C1986" s="11" t="s">
        <v>346</v>
      </c>
      <c r="D1986" s="11" t="s">
        <v>93</v>
      </c>
      <c r="E1986" s="30" t="s">
        <v>39</v>
      </c>
      <c r="F1986" s="11" t="s">
        <v>40</v>
      </c>
      <c r="G1986" s="30" t="s">
        <v>45</v>
      </c>
      <c r="H1986" s="11" t="s">
        <v>957</v>
      </c>
      <c r="I1986" s="11" t="s">
        <v>344</v>
      </c>
      <c r="J1986" s="11">
        <v>20.0</v>
      </c>
      <c r="K1986" s="12">
        <v>41436.0</v>
      </c>
      <c r="L1986" s="30"/>
      <c r="M1986" s="11">
        <v>642838.0</v>
      </c>
      <c r="N1986" s="11" t="s">
        <v>3643</v>
      </c>
      <c r="P1986" s="11">
        <v>0.0</v>
      </c>
      <c r="Q1986" s="14">
        <v>0.0</v>
      </c>
      <c r="R1986" s="41">
        <v>1.0</v>
      </c>
      <c r="S1986">
        <f t="shared" si="1"/>
        <v>2010</v>
      </c>
      <c r="T1986">
        <f t="shared" si="2"/>
        <v>3</v>
      </c>
      <c r="U1986">
        <f t="shared" si="3"/>
        <v>31</v>
      </c>
      <c r="AG1986" s="15"/>
      <c r="AH1986" s="16"/>
      <c r="AM1986" s="15"/>
      <c r="AN1986" s="16"/>
    </row>
    <row r="1987">
      <c r="A1987" s="13" t="s">
        <v>3644</v>
      </c>
      <c r="B1987" s="10">
        <v>40268.0</v>
      </c>
      <c r="C1987" s="11" t="s">
        <v>346</v>
      </c>
      <c r="D1987" s="11" t="s">
        <v>213</v>
      </c>
      <c r="E1987" s="30" t="s">
        <v>39</v>
      </c>
      <c r="F1987" s="11" t="s">
        <v>40</v>
      </c>
      <c r="G1987" s="30" t="s">
        <v>45</v>
      </c>
      <c r="H1987" s="11" t="s">
        <v>182</v>
      </c>
      <c r="I1987" s="11" t="s">
        <v>3645</v>
      </c>
      <c r="J1987" s="11">
        <v>18.0</v>
      </c>
      <c r="K1987" s="12">
        <v>41470.0</v>
      </c>
      <c r="L1987" s="30"/>
      <c r="M1987" s="11">
        <v>622260.0</v>
      </c>
      <c r="N1987" s="11" t="s">
        <v>3646</v>
      </c>
      <c r="P1987" s="11">
        <v>0.0</v>
      </c>
      <c r="Q1987" s="14">
        <v>0.0</v>
      </c>
      <c r="R1987" s="11">
        <v>0.0</v>
      </c>
      <c r="S1987">
        <f t="shared" si="1"/>
        <v>2010</v>
      </c>
      <c r="T1987">
        <f t="shared" si="2"/>
        <v>3</v>
      </c>
      <c r="U1987">
        <f t="shared" si="3"/>
        <v>31</v>
      </c>
      <c r="AG1987" s="15"/>
      <c r="AH1987" s="16"/>
      <c r="AM1987" s="15"/>
      <c r="AN1987" s="16"/>
    </row>
    <row r="1988">
      <c r="A1988" s="13" t="s">
        <v>3647</v>
      </c>
      <c r="B1988" s="10">
        <v>40267.0</v>
      </c>
      <c r="C1988" s="11" t="s">
        <v>358</v>
      </c>
      <c r="D1988" s="11" t="s">
        <v>77</v>
      </c>
      <c r="E1988" s="11" t="s">
        <v>982</v>
      </c>
      <c r="F1988" s="11" t="s">
        <v>40</v>
      </c>
      <c r="G1988" s="11" t="s">
        <v>45</v>
      </c>
      <c r="H1988" s="11" t="s">
        <v>109</v>
      </c>
      <c r="I1988" s="11"/>
      <c r="J1988" s="11">
        <v>23.0</v>
      </c>
      <c r="K1988" s="12">
        <v>40640.0</v>
      </c>
      <c r="L1988" s="11">
        <f>ROUND(((K1988-B1988)/365)*12,0)</f>
        <v>12</v>
      </c>
      <c r="M1988" s="11">
        <v>488703.0</v>
      </c>
      <c r="N1988" s="11">
        <v>9958.0</v>
      </c>
      <c r="P1988" s="11">
        <v>165.0</v>
      </c>
      <c r="Q1988" s="14">
        <v>404.0</v>
      </c>
      <c r="R1988" s="11">
        <v>0.0</v>
      </c>
      <c r="S1988">
        <f t="shared" si="1"/>
        <v>2010</v>
      </c>
      <c r="T1988">
        <f t="shared" si="2"/>
        <v>3</v>
      </c>
      <c r="U1988">
        <f t="shared" si="3"/>
        <v>30</v>
      </c>
      <c r="AG1988" s="15"/>
      <c r="AH1988" s="16"/>
      <c r="AM1988" s="15"/>
      <c r="AN1988" s="16"/>
    </row>
    <row r="1989">
      <c r="A1989" s="13" t="s">
        <v>3648</v>
      </c>
      <c r="B1989" s="10">
        <v>40267.0</v>
      </c>
      <c r="C1989" s="11" t="s">
        <v>274</v>
      </c>
      <c r="D1989" s="11" t="s">
        <v>38</v>
      </c>
      <c r="E1989" s="30" t="s">
        <v>39</v>
      </c>
      <c r="F1989" s="11" t="s">
        <v>40</v>
      </c>
      <c r="G1989" s="30" t="s">
        <v>45</v>
      </c>
      <c r="H1989" s="11" t="s">
        <v>56</v>
      </c>
      <c r="I1989" s="11" t="s">
        <v>317</v>
      </c>
      <c r="J1989" s="11">
        <v>25.0</v>
      </c>
      <c r="K1989" s="12"/>
      <c r="L1989" s="11"/>
      <c r="M1989" s="11">
        <v>459974.0</v>
      </c>
      <c r="N1989" s="11">
        <v>3355.0</v>
      </c>
      <c r="P1989" s="11">
        <v>0.0</v>
      </c>
      <c r="Q1989" s="14">
        <v>0.0</v>
      </c>
      <c r="R1989" s="41">
        <v>0.0</v>
      </c>
      <c r="S1989">
        <f t="shared" si="1"/>
        <v>2010</v>
      </c>
      <c r="T1989">
        <f t="shared" si="2"/>
        <v>3</v>
      </c>
      <c r="U1989">
        <f t="shared" si="3"/>
        <v>30</v>
      </c>
      <c r="AG1989" s="15"/>
      <c r="AH1989" s="16"/>
      <c r="AM1989" s="15"/>
      <c r="AN1989" s="16"/>
    </row>
    <row r="1990">
      <c r="A1990" s="13" t="s">
        <v>2725</v>
      </c>
      <c r="B1990" s="10">
        <v>40263.0</v>
      </c>
      <c r="C1990" s="11" t="s">
        <v>103</v>
      </c>
      <c r="D1990" s="11" t="s">
        <v>38</v>
      </c>
      <c r="E1990" s="30" t="s">
        <v>39</v>
      </c>
      <c r="F1990" s="11" t="s">
        <v>40</v>
      </c>
      <c r="G1990" s="30" t="s">
        <v>45</v>
      </c>
      <c r="H1990" s="11" t="s">
        <v>59</v>
      </c>
      <c r="I1990" s="11" t="s">
        <v>2305</v>
      </c>
      <c r="J1990" s="11">
        <v>35.0</v>
      </c>
      <c r="K1990" s="12">
        <v>40636.0</v>
      </c>
      <c r="L1990" s="11">
        <f t="shared" ref="L1990:L1992" si="211">ROUND(((K1990-B1990)/365)*12,0)</f>
        <v>12</v>
      </c>
      <c r="M1990" s="11">
        <v>150274.0</v>
      </c>
      <c r="N1990" s="11">
        <v>1122.0</v>
      </c>
      <c r="O1990" s="13" t="s">
        <v>1407</v>
      </c>
      <c r="P1990" s="11">
        <v>244.0</v>
      </c>
      <c r="Q1990" s="14">
        <v>232.667</v>
      </c>
      <c r="R1990" s="11">
        <v>0.0</v>
      </c>
      <c r="S1990">
        <f t="shared" si="1"/>
        <v>2010</v>
      </c>
      <c r="T1990">
        <f t="shared" si="2"/>
        <v>3</v>
      </c>
      <c r="U1990">
        <f t="shared" si="3"/>
        <v>26</v>
      </c>
      <c r="AG1990" s="15"/>
      <c r="AH1990" s="16"/>
      <c r="AM1990" s="15"/>
      <c r="AN1990" s="16"/>
    </row>
    <row r="1991">
      <c r="A1991" s="13" t="s">
        <v>1369</v>
      </c>
      <c r="B1991" s="10">
        <v>40247.0</v>
      </c>
      <c r="C1991" s="11" t="s">
        <v>83</v>
      </c>
      <c r="D1991" s="11" t="s">
        <v>77</v>
      </c>
      <c r="E1991" s="30" t="s">
        <v>39</v>
      </c>
      <c r="F1991" s="11" t="s">
        <v>64</v>
      </c>
      <c r="G1991" s="30" t="s">
        <v>45</v>
      </c>
      <c r="H1991" s="11" t="s">
        <v>56</v>
      </c>
      <c r="I1991" s="11" t="s">
        <v>1370</v>
      </c>
      <c r="J1991" s="11">
        <v>23.0</v>
      </c>
      <c r="K1991" s="12">
        <v>40670.0</v>
      </c>
      <c r="L1991" s="11">
        <f t="shared" si="211"/>
        <v>14</v>
      </c>
      <c r="M1991" s="11">
        <v>518693.0</v>
      </c>
      <c r="N1991" s="11">
        <v>6832.0</v>
      </c>
      <c r="P1991" s="11">
        <v>200.0</v>
      </c>
      <c r="Q1991" s="14">
        <v>176.333</v>
      </c>
      <c r="R1991" s="41">
        <v>1.0</v>
      </c>
      <c r="S1991">
        <f t="shared" si="1"/>
        <v>2010</v>
      </c>
      <c r="T1991">
        <f t="shared" si="2"/>
        <v>3</v>
      </c>
      <c r="U1991">
        <f t="shared" si="3"/>
        <v>10</v>
      </c>
      <c r="AG1991" s="15"/>
      <c r="AH1991" s="16"/>
      <c r="AM1991" s="15"/>
      <c r="AN1991" s="16"/>
    </row>
    <row r="1992">
      <c r="A1992" s="13" t="s">
        <v>3649</v>
      </c>
      <c r="B1992" s="10">
        <v>40240.0</v>
      </c>
      <c r="C1992" s="11" t="s">
        <v>186</v>
      </c>
      <c r="D1992" s="11" t="s">
        <v>77</v>
      </c>
      <c r="E1992" s="30" t="s">
        <v>39</v>
      </c>
      <c r="F1992" s="11" t="s">
        <v>40</v>
      </c>
      <c r="G1992" s="41" t="s">
        <v>53</v>
      </c>
      <c r="H1992" s="30"/>
      <c r="I1992" s="30"/>
      <c r="J1992" s="11">
        <v>22.0</v>
      </c>
      <c r="K1992" s="12">
        <v>40641.0</v>
      </c>
      <c r="L1992" s="11">
        <f t="shared" si="211"/>
        <v>13</v>
      </c>
      <c r="M1992" s="11">
        <v>452326.0</v>
      </c>
      <c r="N1992" s="11" t="s">
        <v>3650</v>
      </c>
      <c r="P1992" s="11">
        <v>0.0</v>
      </c>
      <c r="Q1992" s="14">
        <v>0.0</v>
      </c>
      <c r="R1992" s="41">
        <v>0.0</v>
      </c>
      <c r="S1992">
        <f t="shared" si="1"/>
        <v>2010</v>
      </c>
      <c r="T1992">
        <f t="shared" si="2"/>
        <v>3</v>
      </c>
      <c r="U1992">
        <f t="shared" si="3"/>
        <v>3</v>
      </c>
      <c r="AG1992" s="15"/>
      <c r="AH1992" s="16"/>
      <c r="AM1992" s="15"/>
      <c r="AN1992" s="16"/>
    </row>
    <row r="1993">
      <c r="A1993" s="13" t="s">
        <v>3651</v>
      </c>
      <c r="B1993" s="10">
        <v>40238.0</v>
      </c>
      <c r="C1993" s="11" t="s">
        <v>126</v>
      </c>
      <c r="D1993" s="11" t="s">
        <v>213</v>
      </c>
      <c r="E1993" s="11" t="s">
        <v>39</v>
      </c>
      <c r="F1993" s="11" t="s">
        <v>40</v>
      </c>
      <c r="G1993" s="11" t="s">
        <v>45</v>
      </c>
      <c r="H1993" s="11" t="s">
        <v>84</v>
      </c>
      <c r="I1993" s="11" t="s">
        <v>3652</v>
      </c>
      <c r="J1993" s="11">
        <v>18.0</v>
      </c>
      <c r="K1993" s="12">
        <v>42180.0</v>
      </c>
      <c r="L1993" s="11"/>
      <c r="M1993" s="11">
        <v>592575.0</v>
      </c>
      <c r="N1993" s="11" t="s">
        <v>3653</v>
      </c>
      <c r="P1993" s="11">
        <v>0.0</v>
      </c>
      <c r="Q1993" s="14">
        <v>0.0</v>
      </c>
      <c r="R1993" s="11">
        <v>0.0</v>
      </c>
      <c r="S1993">
        <f t="shared" si="1"/>
        <v>2010</v>
      </c>
      <c r="T1993">
        <f t="shared" si="2"/>
        <v>3</v>
      </c>
      <c r="U1993">
        <f t="shared" si="3"/>
        <v>1</v>
      </c>
      <c r="AG1993" s="15"/>
      <c r="AH1993" s="16"/>
      <c r="AM1993" s="15"/>
      <c r="AN1993" s="16"/>
    </row>
    <row r="1994">
      <c r="A1994" s="13" t="s">
        <v>3495</v>
      </c>
      <c r="B1994" s="10">
        <v>40238.0</v>
      </c>
      <c r="C1994" s="11" t="s">
        <v>235</v>
      </c>
      <c r="D1994" s="11" t="s">
        <v>97</v>
      </c>
      <c r="E1994" s="30" t="s">
        <v>39</v>
      </c>
      <c r="F1994" s="11" t="s">
        <v>64</v>
      </c>
      <c r="G1994" s="30" t="s">
        <v>45</v>
      </c>
      <c r="H1994" s="11" t="s">
        <v>67</v>
      </c>
      <c r="I1994" s="11" t="s">
        <v>3496</v>
      </c>
      <c r="J1994" s="11">
        <v>21.0</v>
      </c>
      <c r="K1994" s="12">
        <v>40685.0</v>
      </c>
      <c r="L1994" s="11">
        <f t="shared" ref="L1994:L1996" si="212">ROUND(((K1994-B1994)/365)*12,0)</f>
        <v>15</v>
      </c>
      <c r="M1994" s="11">
        <v>542879.0</v>
      </c>
      <c r="N1994" s="11" t="s">
        <v>3497</v>
      </c>
      <c r="P1994" s="11">
        <v>0.0</v>
      </c>
      <c r="Q1994" s="14">
        <v>0.0</v>
      </c>
      <c r="R1994" s="41">
        <v>0.0</v>
      </c>
      <c r="S1994">
        <f t="shared" si="1"/>
        <v>2010</v>
      </c>
      <c r="T1994">
        <f t="shared" si="2"/>
        <v>3</v>
      </c>
      <c r="U1994">
        <f t="shared" si="3"/>
        <v>1</v>
      </c>
      <c r="AG1994" s="15"/>
      <c r="AH1994" s="16"/>
      <c r="AM1994" s="15"/>
      <c r="AN1994" s="16"/>
    </row>
    <row r="1995">
      <c r="A1995" s="13" t="s">
        <v>3654</v>
      </c>
      <c r="B1995" s="10">
        <v>40238.0</v>
      </c>
      <c r="C1995" s="11" t="s">
        <v>235</v>
      </c>
      <c r="D1995" s="11" t="s">
        <v>88</v>
      </c>
      <c r="E1995" s="11" t="s">
        <v>39</v>
      </c>
      <c r="F1995" s="11" t="s">
        <v>40</v>
      </c>
      <c r="G1995" s="11" t="s">
        <v>45</v>
      </c>
      <c r="H1995" s="11" t="s">
        <v>67</v>
      </c>
      <c r="I1995" s="11" t="s">
        <v>2572</v>
      </c>
      <c r="J1995" s="11">
        <v>21.0</v>
      </c>
      <c r="K1995" s="12">
        <v>41082.0</v>
      </c>
      <c r="L1995" s="11">
        <f t="shared" si="212"/>
        <v>28</v>
      </c>
      <c r="M1995" s="11">
        <v>519393.0</v>
      </c>
      <c r="N1995" s="11">
        <v>8004.0</v>
      </c>
      <c r="O1995" s="13"/>
      <c r="P1995" s="11">
        <v>0.0</v>
      </c>
      <c r="Q1995" s="14">
        <v>0.0</v>
      </c>
      <c r="R1995" s="41">
        <v>1.0</v>
      </c>
      <c r="S1995">
        <f t="shared" si="1"/>
        <v>2010</v>
      </c>
      <c r="T1995">
        <f t="shared" si="2"/>
        <v>3</v>
      </c>
      <c r="U1995">
        <f t="shared" si="3"/>
        <v>1</v>
      </c>
      <c r="AG1995" s="15"/>
      <c r="AH1995" s="16"/>
      <c r="AM1995" s="15"/>
      <c r="AN1995" s="16"/>
    </row>
    <row r="1996">
      <c r="A1996" s="13" t="s">
        <v>3655</v>
      </c>
      <c r="B1996" s="10">
        <v>40211.0</v>
      </c>
      <c r="C1996" s="11" t="s">
        <v>346</v>
      </c>
      <c r="D1996" s="11" t="s">
        <v>38</v>
      </c>
      <c r="E1996" s="30" t="s">
        <v>39</v>
      </c>
      <c r="F1996" s="11" t="s">
        <v>40</v>
      </c>
      <c r="G1996" s="41" t="s">
        <v>41</v>
      </c>
      <c r="H1996" s="30"/>
      <c r="I1996" s="30"/>
      <c r="J1996" s="11">
        <v>26.0</v>
      </c>
      <c r="K1996" s="12">
        <v>40678.0</v>
      </c>
      <c r="L1996" s="11">
        <f t="shared" si="212"/>
        <v>15</v>
      </c>
      <c r="M1996" s="11">
        <v>461766.0</v>
      </c>
      <c r="N1996" s="11">
        <v>4722.0</v>
      </c>
      <c r="O1996" s="13" t="s">
        <v>355</v>
      </c>
      <c r="P1996" s="11">
        <v>119.0</v>
      </c>
      <c r="Q1996" s="45">
        <v>114.0</v>
      </c>
      <c r="R1996" s="41">
        <v>0.0</v>
      </c>
      <c r="S1996">
        <f t="shared" si="1"/>
        <v>2010</v>
      </c>
      <c r="T1996">
        <f t="shared" si="2"/>
        <v>2</v>
      </c>
      <c r="U1996">
        <f t="shared" si="3"/>
        <v>2</v>
      </c>
      <c r="AG1996" s="15"/>
      <c r="AH1996" s="16"/>
      <c r="AM1996" s="15"/>
      <c r="AN1996" s="16"/>
    </row>
    <row r="1997">
      <c r="A1997" s="13" t="s">
        <v>3656</v>
      </c>
      <c r="B1997" s="10">
        <v>40179.0</v>
      </c>
      <c r="C1997" s="11" t="s">
        <v>101</v>
      </c>
      <c r="D1997" s="11" t="s">
        <v>58</v>
      </c>
      <c r="E1997" s="30" t="s">
        <v>39</v>
      </c>
      <c r="F1997" s="11" t="s">
        <v>64</v>
      </c>
      <c r="G1997" s="30" t="s">
        <v>45</v>
      </c>
      <c r="H1997" s="11" t="s">
        <v>73</v>
      </c>
      <c r="I1997" s="11" t="s">
        <v>3657</v>
      </c>
      <c r="J1997" s="11">
        <v>26.0</v>
      </c>
      <c r="K1997" s="12">
        <v>41050.0</v>
      </c>
      <c r="L1997" s="30"/>
      <c r="M1997" s="11">
        <v>501826.0</v>
      </c>
      <c r="N1997" s="11">
        <v>8577.0</v>
      </c>
      <c r="P1997" s="11">
        <v>0.0</v>
      </c>
      <c r="Q1997" s="14">
        <v>0.0</v>
      </c>
      <c r="R1997" s="41">
        <v>0.0</v>
      </c>
      <c r="S1997">
        <f t="shared" si="1"/>
        <v>2010</v>
      </c>
      <c r="T1997">
        <f t="shared" si="2"/>
        <v>1</v>
      </c>
      <c r="U1997">
        <f t="shared" si="3"/>
        <v>1</v>
      </c>
      <c r="AG1997" s="15"/>
      <c r="AH1997" s="16"/>
      <c r="AM1997" s="15"/>
      <c r="AN1997" s="16"/>
    </row>
    <row r="1998">
      <c r="A1998" s="13" t="s">
        <v>3610</v>
      </c>
      <c r="B1998" s="10">
        <v>40179.0</v>
      </c>
      <c r="C1998" s="11" t="s">
        <v>116</v>
      </c>
      <c r="D1998" s="11" t="s">
        <v>77</v>
      </c>
      <c r="E1998" s="30" t="s">
        <v>39</v>
      </c>
      <c r="F1998" s="11" t="s">
        <v>40</v>
      </c>
      <c r="G1998" s="30" t="s">
        <v>45</v>
      </c>
      <c r="H1998" s="11" t="s">
        <v>163</v>
      </c>
      <c r="I1998" s="11" t="s">
        <v>3658</v>
      </c>
      <c r="J1998" s="11">
        <v>24.0</v>
      </c>
      <c r="K1998" s="12">
        <v>40750.0</v>
      </c>
      <c r="L1998" s="30"/>
      <c r="M1998" s="11">
        <v>518519.0</v>
      </c>
      <c r="N1998" s="11" t="s">
        <v>3612</v>
      </c>
      <c r="P1998" s="11">
        <v>0.0</v>
      </c>
      <c r="Q1998" s="14">
        <v>0.0</v>
      </c>
      <c r="R1998" s="41">
        <v>0.0</v>
      </c>
      <c r="S1998">
        <f t="shared" si="1"/>
        <v>2010</v>
      </c>
      <c r="T1998">
        <f t="shared" si="2"/>
        <v>1</v>
      </c>
      <c r="U1998">
        <f t="shared" si="3"/>
        <v>1</v>
      </c>
      <c r="AG1998" s="15"/>
      <c r="AH1998" s="16"/>
      <c r="AM1998" s="15"/>
      <c r="AN1998" s="16"/>
    </row>
    <row r="1999">
      <c r="A1999" s="13" t="s">
        <v>3659</v>
      </c>
      <c r="B1999" s="10">
        <v>40179.0</v>
      </c>
      <c r="C1999" s="11" t="s">
        <v>72</v>
      </c>
      <c r="D1999" s="11" t="s">
        <v>88</v>
      </c>
      <c r="E1999" s="30" t="s">
        <v>39</v>
      </c>
      <c r="F1999" s="11" t="s">
        <v>40</v>
      </c>
      <c r="G1999" s="41" t="s">
        <v>53</v>
      </c>
      <c r="H1999" s="30"/>
      <c r="I1999" s="30"/>
      <c r="J1999" s="11">
        <v>21.0</v>
      </c>
      <c r="K1999" s="12"/>
      <c r="L1999" s="30"/>
      <c r="M1999" s="11">
        <v>501595.0</v>
      </c>
      <c r="N1999" s="11" t="s">
        <v>3660</v>
      </c>
      <c r="P1999" s="11">
        <v>0.0</v>
      </c>
      <c r="Q1999" s="14">
        <v>0.0</v>
      </c>
      <c r="R1999" s="41">
        <v>0.0</v>
      </c>
      <c r="S1999">
        <f t="shared" si="1"/>
        <v>2010</v>
      </c>
      <c r="T1999">
        <f t="shared" si="2"/>
        <v>1</v>
      </c>
      <c r="U1999">
        <f t="shared" si="3"/>
        <v>1</v>
      </c>
      <c r="AG1999" s="15"/>
      <c r="AH1999" s="16"/>
      <c r="AM1999" s="15"/>
      <c r="AN1999" s="16"/>
    </row>
    <row r="2000">
      <c r="A2000" s="13" t="s">
        <v>3661</v>
      </c>
      <c r="B2000" s="10">
        <v>40179.0</v>
      </c>
      <c r="C2000" s="11" t="s">
        <v>72</v>
      </c>
      <c r="D2000" s="11" t="s">
        <v>221</v>
      </c>
      <c r="E2000" s="30" t="s">
        <v>39</v>
      </c>
      <c r="F2000" s="11" t="s">
        <v>40</v>
      </c>
      <c r="G2000" s="41" t="s">
        <v>153</v>
      </c>
      <c r="H2000" s="30"/>
      <c r="I2000" s="30"/>
      <c r="J2000" s="11">
        <v>20.0</v>
      </c>
      <c r="K2000" s="12">
        <v>40714.0</v>
      </c>
      <c r="L2000" s="30"/>
      <c r="M2000" s="11">
        <v>544516.0</v>
      </c>
      <c r="N2000" s="11" t="s">
        <v>3662</v>
      </c>
      <c r="P2000" s="11">
        <v>0.0</v>
      </c>
      <c r="Q2000" s="14">
        <v>0.0</v>
      </c>
      <c r="R2000" s="41">
        <v>0.0</v>
      </c>
      <c r="S2000">
        <f t="shared" si="1"/>
        <v>2010</v>
      </c>
      <c r="T2000">
        <f t="shared" si="2"/>
        <v>1</v>
      </c>
      <c r="U2000">
        <f t="shared" si="3"/>
        <v>1</v>
      </c>
      <c r="AG2000" s="15"/>
      <c r="AH2000" s="16"/>
      <c r="AM2000" s="15"/>
      <c r="AN2000" s="16"/>
    </row>
    <row r="2001">
      <c r="A2001" s="13" t="s">
        <v>3663</v>
      </c>
      <c r="B2001" s="10">
        <v>40179.0</v>
      </c>
      <c r="C2001" s="11" t="s">
        <v>44</v>
      </c>
      <c r="D2001" s="11" t="s">
        <v>221</v>
      </c>
      <c r="E2001" s="11" t="s">
        <v>39</v>
      </c>
      <c r="F2001" s="11" t="s">
        <v>40</v>
      </c>
      <c r="G2001" s="11" t="s">
        <v>225</v>
      </c>
      <c r="H2001" s="11"/>
      <c r="I2001" s="11"/>
      <c r="J2001" s="11">
        <v>20.0</v>
      </c>
      <c r="K2001" s="12">
        <v>40711.0</v>
      </c>
      <c r="L2001" s="30"/>
      <c r="M2001" s="11">
        <v>571572.0</v>
      </c>
      <c r="N2001" s="11">
        <v>4920.0</v>
      </c>
      <c r="P2001" s="11">
        <v>11.0</v>
      </c>
      <c r="Q2001" s="14">
        <v>10.0</v>
      </c>
      <c r="R2001" s="41">
        <v>1.0</v>
      </c>
      <c r="S2001">
        <f t="shared" si="1"/>
        <v>2010</v>
      </c>
      <c r="T2001">
        <f t="shared" si="2"/>
        <v>1</v>
      </c>
      <c r="U2001">
        <f t="shared" si="3"/>
        <v>1</v>
      </c>
      <c r="AG2001" s="15"/>
      <c r="AH2001" s="16"/>
      <c r="AM2001" s="15"/>
      <c r="AN2001" s="16"/>
    </row>
    <row r="2002">
      <c r="A2002" s="13" t="s">
        <v>3664</v>
      </c>
      <c r="B2002" s="10">
        <v>40179.0</v>
      </c>
      <c r="C2002" s="11" t="s">
        <v>111</v>
      </c>
      <c r="D2002" s="11" t="s">
        <v>88</v>
      </c>
      <c r="E2002" s="30" t="s">
        <v>39</v>
      </c>
      <c r="F2002" s="11" t="s">
        <v>40</v>
      </c>
      <c r="G2002" s="30" t="s">
        <v>45</v>
      </c>
      <c r="H2002" s="11" t="s">
        <v>67</v>
      </c>
      <c r="I2002" s="11" t="s">
        <v>925</v>
      </c>
      <c r="J2002" s="11">
        <v>22.0</v>
      </c>
      <c r="K2002" s="12">
        <v>40641.0</v>
      </c>
      <c r="L2002" s="30"/>
      <c r="M2002" s="11">
        <v>571965.0</v>
      </c>
      <c r="N2002" s="11" t="s">
        <v>3665</v>
      </c>
      <c r="P2002" s="11">
        <v>0.0</v>
      </c>
      <c r="Q2002" s="14">
        <v>0.0</v>
      </c>
      <c r="R2002" s="41">
        <v>0.0</v>
      </c>
      <c r="S2002">
        <f t="shared" si="1"/>
        <v>2010</v>
      </c>
      <c r="T2002">
        <f t="shared" si="2"/>
        <v>1</v>
      </c>
      <c r="U2002">
        <f t="shared" si="3"/>
        <v>1</v>
      </c>
      <c r="AG2002" s="15"/>
      <c r="AH2002" s="16"/>
      <c r="AM2002" s="15"/>
      <c r="AN2002" s="16"/>
    </row>
    <row r="2003">
      <c r="A2003" s="13" t="s">
        <v>3666</v>
      </c>
      <c r="B2003" s="10">
        <v>40179.0</v>
      </c>
      <c r="C2003" s="11" t="s">
        <v>111</v>
      </c>
      <c r="D2003" s="11" t="s">
        <v>93</v>
      </c>
      <c r="E2003" s="11" t="s">
        <v>39</v>
      </c>
      <c r="F2003" s="11" t="s">
        <v>40</v>
      </c>
      <c r="G2003" s="11" t="s">
        <v>45</v>
      </c>
      <c r="H2003" s="11" t="s">
        <v>56</v>
      </c>
      <c r="I2003" s="11" t="s">
        <v>1800</v>
      </c>
      <c r="J2003" s="11">
        <v>20.0</v>
      </c>
      <c r="K2003" s="12">
        <v>40749.0</v>
      </c>
      <c r="L2003" s="30"/>
      <c r="M2003" s="11">
        <v>543040.0</v>
      </c>
      <c r="N2003" s="11" t="s">
        <v>3667</v>
      </c>
      <c r="P2003" s="11">
        <v>0.0</v>
      </c>
      <c r="Q2003" s="14">
        <v>0.0</v>
      </c>
      <c r="R2003" s="11">
        <v>1.0</v>
      </c>
      <c r="S2003">
        <f t="shared" si="1"/>
        <v>2010</v>
      </c>
      <c r="T2003">
        <f t="shared" si="2"/>
        <v>1</v>
      </c>
      <c r="U2003">
        <f t="shared" si="3"/>
        <v>1</v>
      </c>
      <c r="AG2003" s="15"/>
      <c r="AH2003" s="16"/>
      <c r="AM2003" s="15"/>
      <c r="AN2003" s="16"/>
    </row>
    <row r="2004">
      <c r="A2004" s="13" t="s">
        <v>3668</v>
      </c>
      <c r="B2004" s="10">
        <v>40179.0</v>
      </c>
      <c r="C2004" s="11" t="s">
        <v>358</v>
      </c>
      <c r="D2004" s="11" t="s">
        <v>213</v>
      </c>
      <c r="E2004" s="11" t="s">
        <v>39</v>
      </c>
      <c r="F2004" s="11" t="s">
        <v>40</v>
      </c>
      <c r="G2004" s="11" t="s">
        <v>45</v>
      </c>
      <c r="H2004" s="11" t="s">
        <v>243</v>
      </c>
      <c r="I2004" s="11" t="s">
        <v>1538</v>
      </c>
      <c r="J2004" s="11">
        <v>17.0</v>
      </c>
      <c r="K2004" s="12">
        <v>42178.0</v>
      </c>
      <c r="L2004" s="30"/>
      <c r="M2004" s="11">
        <v>664829.0</v>
      </c>
      <c r="N2004" s="11" t="s">
        <v>3669</v>
      </c>
      <c r="P2004" s="11">
        <v>0.0</v>
      </c>
      <c r="Q2004" s="14">
        <v>0.0</v>
      </c>
      <c r="R2004" s="41">
        <v>1.0</v>
      </c>
      <c r="S2004">
        <f t="shared" si="1"/>
        <v>2010</v>
      </c>
      <c r="T2004">
        <f t="shared" si="2"/>
        <v>1</v>
      </c>
      <c r="U2004">
        <f t="shared" si="3"/>
        <v>1</v>
      </c>
      <c r="AG2004" s="15"/>
      <c r="AH2004" s="16"/>
      <c r="AM2004" s="15"/>
      <c r="AN2004" s="16"/>
    </row>
    <row r="2005">
      <c r="A2005" s="13" t="s">
        <v>3670</v>
      </c>
      <c r="B2005" s="10">
        <v>40179.0</v>
      </c>
      <c r="C2005" s="11" t="s">
        <v>346</v>
      </c>
      <c r="D2005" s="11" t="s">
        <v>58</v>
      </c>
      <c r="E2005" s="41" t="s">
        <v>982</v>
      </c>
      <c r="F2005" s="11" t="s">
        <v>40</v>
      </c>
      <c r="G2005" s="30" t="s">
        <v>45</v>
      </c>
      <c r="H2005" s="11" t="s">
        <v>84</v>
      </c>
      <c r="I2005" s="11"/>
      <c r="J2005" s="11">
        <v>24.0</v>
      </c>
      <c r="K2005" s="12">
        <v>41005.0</v>
      </c>
      <c r="L2005" s="30"/>
      <c r="M2005" s="11">
        <v>461871.0</v>
      </c>
      <c r="N2005" s="11" t="s">
        <v>3671</v>
      </c>
      <c r="P2005" s="11">
        <v>0.0</v>
      </c>
      <c r="Q2005" s="14">
        <v>0.0</v>
      </c>
      <c r="R2005" s="11">
        <v>0.0</v>
      </c>
      <c r="S2005">
        <f t="shared" si="1"/>
        <v>2010</v>
      </c>
      <c r="T2005">
        <f t="shared" si="2"/>
        <v>1</v>
      </c>
      <c r="U2005">
        <f t="shared" si="3"/>
        <v>1</v>
      </c>
      <c r="AG2005" s="15"/>
      <c r="AH2005" s="16"/>
      <c r="AM2005" s="15"/>
      <c r="AN2005" s="16"/>
    </row>
    <row r="2006">
      <c r="A2006" s="13" t="s">
        <v>3672</v>
      </c>
      <c r="B2006" s="10">
        <v>40179.0</v>
      </c>
      <c r="C2006" s="11" t="s">
        <v>37</v>
      </c>
      <c r="D2006" s="11" t="s">
        <v>58</v>
      </c>
      <c r="E2006" s="30" t="s">
        <v>39</v>
      </c>
      <c r="F2006" s="11" t="s">
        <v>64</v>
      </c>
      <c r="G2006" s="30" t="s">
        <v>45</v>
      </c>
      <c r="H2006" s="11" t="s">
        <v>84</v>
      </c>
      <c r="I2006" s="11" t="s">
        <v>391</v>
      </c>
      <c r="J2006" s="11">
        <v>26.0</v>
      </c>
      <c r="K2006" s="30"/>
      <c r="L2006" s="30"/>
      <c r="M2006" s="11">
        <v>491220.0</v>
      </c>
      <c r="N2006" s="11">
        <v>4656.0</v>
      </c>
      <c r="P2006" s="11">
        <v>0.0</v>
      </c>
      <c r="Q2006" s="14">
        <v>0.0</v>
      </c>
      <c r="R2006" s="41">
        <v>0.0</v>
      </c>
      <c r="S2006">
        <f t="shared" si="1"/>
        <v>2010</v>
      </c>
      <c r="T2006">
        <f t="shared" si="2"/>
        <v>1</v>
      </c>
      <c r="U2006">
        <f t="shared" si="3"/>
        <v>1</v>
      </c>
      <c r="AG2006" s="15"/>
      <c r="AH2006" s="16"/>
      <c r="AM2006" s="15"/>
      <c r="AN2006" s="16"/>
    </row>
    <row r="2007">
      <c r="A2007" s="13" t="s">
        <v>3673</v>
      </c>
      <c r="B2007" s="10">
        <v>40179.0</v>
      </c>
      <c r="C2007" s="11" t="s">
        <v>103</v>
      </c>
      <c r="D2007" s="11" t="s">
        <v>221</v>
      </c>
      <c r="E2007" s="30" t="s">
        <v>39</v>
      </c>
      <c r="F2007" s="11" t="s">
        <v>64</v>
      </c>
      <c r="G2007" s="30" t="s">
        <v>45</v>
      </c>
      <c r="H2007" s="11" t="s">
        <v>236</v>
      </c>
      <c r="I2007" s="11" t="s">
        <v>412</v>
      </c>
      <c r="J2007" s="11">
        <v>22.0</v>
      </c>
      <c r="K2007" s="12">
        <v>40715.0</v>
      </c>
      <c r="L2007" s="30"/>
      <c r="M2007" s="11">
        <v>571472.0</v>
      </c>
      <c r="N2007" s="11" t="s">
        <v>3674</v>
      </c>
      <c r="P2007" s="11">
        <v>0.0</v>
      </c>
      <c r="Q2007" s="14">
        <v>0.0</v>
      </c>
      <c r="R2007" s="41">
        <v>0.0</v>
      </c>
      <c r="S2007">
        <f t="shared" si="1"/>
        <v>2010</v>
      </c>
      <c r="T2007">
        <f t="shared" si="2"/>
        <v>1</v>
      </c>
      <c r="U2007">
        <f t="shared" si="3"/>
        <v>1</v>
      </c>
      <c r="AG2007" s="15"/>
      <c r="AH2007" s="16"/>
      <c r="AM2007" s="15"/>
      <c r="AN2007" s="16"/>
    </row>
    <row r="2008">
      <c r="A2008" s="13" t="s">
        <v>3675</v>
      </c>
      <c r="B2008" s="10">
        <v>40179.0</v>
      </c>
      <c r="C2008" s="11" t="s">
        <v>49</v>
      </c>
      <c r="D2008" s="11" t="s">
        <v>213</v>
      </c>
      <c r="E2008" s="11" t="s">
        <v>2062</v>
      </c>
      <c r="F2008" s="11" t="s">
        <v>40</v>
      </c>
      <c r="G2008" s="11" t="s">
        <v>45</v>
      </c>
      <c r="H2008" s="11" t="s">
        <v>84</v>
      </c>
      <c r="I2008" s="11" t="s">
        <v>3676</v>
      </c>
      <c r="J2008" s="11">
        <v>18.0</v>
      </c>
      <c r="K2008" s="12">
        <v>41810.0</v>
      </c>
      <c r="L2008" s="30"/>
      <c r="M2008" s="11">
        <v>657579.0</v>
      </c>
      <c r="N2008" s="11" t="s">
        <v>3677</v>
      </c>
      <c r="P2008" s="11">
        <v>0.0</v>
      </c>
      <c r="Q2008" s="14">
        <v>0.0</v>
      </c>
      <c r="R2008" s="11">
        <v>0.0</v>
      </c>
      <c r="S2008">
        <f t="shared" si="1"/>
        <v>2010</v>
      </c>
      <c r="T2008">
        <f t="shared" si="2"/>
        <v>1</v>
      </c>
      <c r="U2008">
        <f t="shared" si="3"/>
        <v>1</v>
      </c>
      <c r="AG2008" s="15"/>
      <c r="AH2008" s="16"/>
      <c r="AM2008" s="15"/>
      <c r="AN2008" s="16"/>
    </row>
    <row r="2009">
      <c r="A2009" s="13" t="s">
        <v>3678</v>
      </c>
      <c r="B2009" s="10">
        <v>40179.0</v>
      </c>
      <c r="C2009" s="11" t="s">
        <v>274</v>
      </c>
      <c r="D2009" s="11" t="s">
        <v>88</v>
      </c>
      <c r="E2009" s="30" t="s">
        <v>39</v>
      </c>
      <c r="F2009" s="11" t="s">
        <v>64</v>
      </c>
      <c r="G2009" s="41" t="s">
        <v>41</v>
      </c>
      <c r="H2009" s="30"/>
      <c r="I2009" s="30"/>
      <c r="J2009" s="11">
        <v>22.0</v>
      </c>
      <c r="K2009" s="12"/>
      <c r="L2009" s="30"/>
      <c r="M2009" s="11">
        <v>501507.0</v>
      </c>
      <c r="N2009" s="11" t="s">
        <v>3679</v>
      </c>
      <c r="P2009" s="11">
        <v>0.0</v>
      </c>
      <c r="Q2009" s="14">
        <v>0.0</v>
      </c>
      <c r="R2009" s="41">
        <v>0.0</v>
      </c>
      <c r="S2009">
        <f t="shared" si="1"/>
        <v>2010</v>
      </c>
      <c r="T2009">
        <f t="shared" si="2"/>
        <v>1</v>
      </c>
      <c r="U2009">
        <f t="shared" si="3"/>
        <v>1</v>
      </c>
      <c r="AG2009" s="15"/>
      <c r="AH2009" s="16"/>
      <c r="AM2009" s="15"/>
      <c r="AN2009" s="16"/>
    </row>
    <row r="2010">
      <c r="A2010" s="13" t="s">
        <v>3001</v>
      </c>
      <c r="B2010" s="10">
        <v>40179.0</v>
      </c>
      <c r="C2010" s="11" t="s">
        <v>274</v>
      </c>
      <c r="D2010" s="11" t="s">
        <v>77</v>
      </c>
      <c r="E2010" s="30" t="s">
        <v>39</v>
      </c>
      <c r="F2010" s="11" t="s">
        <v>64</v>
      </c>
      <c r="G2010" s="41" t="s">
        <v>41</v>
      </c>
      <c r="H2010" s="30"/>
      <c r="I2010" s="30"/>
      <c r="J2010" s="11">
        <v>24.0</v>
      </c>
      <c r="K2010" s="12">
        <v>41005.0</v>
      </c>
      <c r="L2010" s="30"/>
      <c r="M2010" s="11">
        <v>471896.0</v>
      </c>
      <c r="N2010" s="11">
        <v>6616.0</v>
      </c>
      <c r="P2010" s="11">
        <v>34.0</v>
      </c>
      <c r="Q2010" s="14">
        <v>33.667</v>
      </c>
      <c r="R2010" s="41">
        <v>0.0</v>
      </c>
      <c r="S2010">
        <f t="shared" si="1"/>
        <v>2010</v>
      </c>
      <c r="T2010">
        <f t="shared" si="2"/>
        <v>1</v>
      </c>
      <c r="U2010">
        <f t="shared" si="3"/>
        <v>1</v>
      </c>
      <c r="AG2010" s="15"/>
      <c r="AH2010" s="16"/>
      <c r="AM2010" s="15"/>
      <c r="AN2010" s="16"/>
    </row>
    <row r="2011">
      <c r="A2011" s="13" t="s">
        <v>3680</v>
      </c>
      <c r="B2011" s="10">
        <v>40179.0</v>
      </c>
      <c r="C2011" s="11" t="s">
        <v>274</v>
      </c>
      <c r="D2011" s="11" t="s">
        <v>93</v>
      </c>
      <c r="E2011" s="11" t="s">
        <v>39</v>
      </c>
      <c r="F2011" s="11" t="s">
        <v>40</v>
      </c>
      <c r="G2011" s="11" t="s">
        <v>45</v>
      </c>
      <c r="H2011" s="11" t="s">
        <v>243</v>
      </c>
      <c r="I2011" s="11" t="s">
        <v>637</v>
      </c>
      <c r="J2011" s="11">
        <v>19.0</v>
      </c>
      <c r="K2011" s="12">
        <v>41848.0</v>
      </c>
      <c r="L2011" s="30"/>
      <c r="M2011" s="11">
        <v>659070.0</v>
      </c>
      <c r="N2011" s="11" t="s">
        <v>3681</v>
      </c>
      <c r="O2011" s="13" t="s">
        <v>761</v>
      </c>
      <c r="P2011" s="11">
        <v>0.0</v>
      </c>
      <c r="Q2011" s="14">
        <v>0.0</v>
      </c>
      <c r="R2011" s="41">
        <v>1.0</v>
      </c>
      <c r="S2011">
        <f t="shared" si="1"/>
        <v>2010</v>
      </c>
      <c r="T2011">
        <f t="shared" si="2"/>
        <v>1</v>
      </c>
      <c r="U2011">
        <f t="shared" si="3"/>
        <v>1</v>
      </c>
      <c r="AG2011" s="15"/>
      <c r="AH2011" s="16"/>
      <c r="AM2011" s="15"/>
      <c r="AN2011" s="16"/>
    </row>
    <row r="2012">
      <c r="A2012" s="13" t="s">
        <v>3682</v>
      </c>
      <c r="B2012" s="10">
        <v>40179.0</v>
      </c>
      <c r="C2012" s="11" t="s">
        <v>230</v>
      </c>
      <c r="D2012" s="11" t="s">
        <v>77</v>
      </c>
      <c r="E2012" s="11" t="s">
        <v>39</v>
      </c>
      <c r="F2012" s="11" t="s">
        <v>40</v>
      </c>
      <c r="G2012" s="11" t="s">
        <v>53</v>
      </c>
      <c r="H2012" s="30"/>
      <c r="I2012" s="30"/>
      <c r="J2012" s="11">
        <v>25.0</v>
      </c>
      <c r="K2012" s="12">
        <v>41079.0</v>
      </c>
      <c r="L2012" s="30"/>
      <c r="M2012" s="11">
        <v>493564.0</v>
      </c>
      <c r="N2012" s="11" t="s">
        <v>3683</v>
      </c>
      <c r="P2012" s="11">
        <v>0.0</v>
      </c>
      <c r="Q2012" s="14">
        <v>0.0</v>
      </c>
      <c r="R2012" s="41">
        <v>0.0</v>
      </c>
      <c r="S2012">
        <f t="shared" si="1"/>
        <v>2010</v>
      </c>
      <c r="T2012">
        <f t="shared" si="2"/>
        <v>1</v>
      </c>
      <c r="U2012">
        <f t="shared" si="3"/>
        <v>1</v>
      </c>
      <c r="AG2012" s="15"/>
      <c r="AH2012" s="16"/>
      <c r="AM2012" s="15"/>
      <c r="AN2012" s="16"/>
    </row>
    <row r="2013">
      <c r="A2013" s="13" t="s">
        <v>3684</v>
      </c>
      <c r="B2013" s="10">
        <v>40179.0</v>
      </c>
      <c r="C2013" s="11" t="s">
        <v>230</v>
      </c>
      <c r="D2013" s="11" t="s">
        <v>221</v>
      </c>
      <c r="E2013" s="30" t="s">
        <v>39</v>
      </c>
      <c r="F2013" s="11" t="s">
        <v>40</v>
      </c>
      <c r="G2013" s="41" t="s">
        <v>1659</v>
      </c>
      <c r="H2013" s="30"/>
      <c r="I2013" s="30"/>
      <c r="J2013" s="11">
        <v>18.0</v>
      </c>
      <c r="K2013" s="12">
        <v>40719.0</v>
      </c>
      <c r="L2013" s="30"/>
      <c r="M2013" s="11">
        <v>553890.0</v>
      </c>
      <c r="N2013" s="11" t="s">
        <v>3685</v>
      </c>
      <c r="P2013" s="11">
        <v>0.0</v>
      </c>
      <c r="Q2013" s="14">
        <v>0.0</v>
      </c>
      <c r="R2013" s="41">
        <v>0.0</v>
      </c>
      <c r="S2013">
        <f t="shared" si="1"/>
        <v>2010</v>
      </c>
      <c r="T2013">
        <f t="shared" si="2"/>
        <v>1</v>
      </c>
      <c r="U2013">
        <f t="shared" si="3"/>
        <v>1</v>
      </c>
      <c r="AG2013" s="15"/>
      <c r="AH2013" s="16"/>
      <c r="AM2013" s="15"/>
      <c r="AN2013" s="16"/>
    </row>
    <row r="2014">
      <c r="A2014" s="13" t="s">
        <v>3686</v>
      </c>
      <c r="B2014" s="10">
        <v>40179.0</v>
      </c>
      <c r="C2014" s="11" t="s">
        <v>62</v>
      </c>
      <c r="D2014" s="11" t="s">
        <v>93</v>
      </c>
      <c r="E2014" s="11" t="s">
        <v>39</v>
      </c>
      <c r="F2014" s="11" t="s">
        <v>40</v>
      </c>
      <c r="G2014" s="11" t="s">
        <v>45</v>
      </c>
      <c r="H2014" s="11" t="s">
        <v>67</v>
      </c>
      <c r="I2014" s="11" t="s">
        <v>2765</v>
      </c>
      <c r="J2014" s="11">
        <v>20.0</v>
      </c>
      <c r="K2014" s="12">
        <v>41008.0</v>
      </c>
      <c r="L2014" s="30"/>
      <c r="M2014" s="11">
        <v>110206.0</v>
      </c>
      <c r="N2014" s="11">
        <v>13194.0</v>
      </c>
      <c r="P2014" s="11">
        <v>104.0</v>
      </c>
      <c r="Q2014" s="14">
        <v>187.333</v>
      </c>
      <c r="R2014" s="41">
        <v>1.0</v>
      </c>
      <c r="S2014">
        <f t="shared" si="1"/>
        <v>2010</v>
      </c>
      <c r="T2014">
        <f t="shared" si="2"/>
        <v>1</v>
      </c>
      <c r="U2014">
        <f t="shared" si="3"/>
        <v>1</v>
      </c>
      <c r="AG2014" s="15"/>
      <c r="AH2014" s="16"/>
      <c r="AM2014" s="15"/>
      <c r="AN2014" s="16"/>
    </row>
    <row r="2015">
      <c r="A2015" s="13" t="s">
        <v>3687</v>
      </c>
      <c r="B2015" s="10">
        <v>40179.0</v>
      </c>
      <c r="C2015" s="11" t="s">
        <v>62</v>
      </c>
      <c r="D2015" s="11" t="s">
        <v>93</v>
      </c>
      <c r="E2015" s="11" t="s">
        <v>39</v>
      </c>
      <c r="F2015" s="11" t="s">
        <v>64</v>
      </c>
      <c r="G2015" s="11" t="s">
        <v>45</v>
      </c>
      <c r="H2015" s="11" t="s">
        <v>546</v>
      </c>
      <c r="I2015" s="11" t="s">
        <v>179</v>
      </c>
      <c r="J2015" s="11">
        <v>21.0</v>
      </c>
      <c r="K2015" s="12">
        <v>41005.0</v>
      </c>
      <c r="L2015" s="30"/>
      <c r="M2015" s="11">
        <v>592612.0</v>
      </c>
      <c r="N2015" s="11">
        <v>11528.0</v>
      </c>
      <c r="P2015" s="11">
        <v>148.0</v>
      </c>
      <c r="Q2015" s="14">
        <v>108.333</v>
      </c>
      <c r="R2015" s="41">
        <v>1.0</v>
      </c>
      <c r="S2015">
        <f t="shared" si="1"/>
        <v>2010</v>
      </c>
      <c r="T2015">
        <f t="shared" si="2"/>
        <v>1</v>
      </c>
      <c r="U2015">
        <f t="shared" si="3"/>
        <v>1</v>
      </c>
      <c r="AG2015" s="15"/>
      <c r="AH2015" s="16"/>
      <c r="AM2015" s="15"/>
      <c r="AN2015" s="16"/>
    </row>
    <row r="2016">
      <c r="A2016" s="13" t="s">
        <v>3688</v>
      </c>
      <c r="B2016" s="10">
        <v>40179.0</v>
      </c>
      <c r="C2016" s="11" t="s">
        <v>62</v>
      </c>
      <c r="D2016" s="11" t="s">
        <v>221</v>
      </c>
      <c r="E2016" s="11" t="s">
        <v>118</v>
      </c>
      <c r="F2016" s="11" t="s">
        <v>64</v>
      </c>
      <c r="G2016" s="11" t="s">
        <v>45</v>
      </c>
      <c r="H2016" s="11" t="s">
        <v>109</v>
      </c>
      <c r="I2016" s="11"/>
      <c r="J2016" s="11">
        <v>19.0</v>
      </c>
      <c r="K2016" s="12">
        <v>40714.0</v>
      </c>
      <c r="L2016" s="30"/>
      <c r="M2016" s="11">
        <v>571483.0</v>
      </c>
      <c r="N2016" s="11" t="s">
        <v>3689</v>
      </c>
      <c r="P2016" s="11">
        <v>0.0</v>
      </c>
      <c r="Q2016" s="14">
        <v>0.0</v>
      </c>
      <c r="R2016" s="41">
        <v>0.0</v>
      </c>
      <c r="S2016">
        <f t="shared" si="1"/>
        <v>2010</v>
      </c>
      <c r="T2016">
        <f t="shared" si="2"/>
        <v>1</v>
      </c>
      <c r="U2016">
        <f t="shared" si="3"/>
        <v>1</v>
      </c>
      <c r="AG2016" s="15"/>
      <c r="AH2016" s="16"/>
      <c r="AM2016" s="15"/>
      <c r="AN2016" s="16"/>
    </row>
    <row r="2017">
      <c r="A2017" s="13" t="s">
        <v>3690</v>
      </c>
      <c r="B2017" s="10">
        <v>40179.0</v>
      </c>
      <c r="C2017" s="11" t="s">
        <v>156</v>
      </c>
      <c r="D2017" s="11" t="s">
        <v>93</v>
      </c>
      <c r="E2017" s="11" t="s">
        <v>39</v>
      </c>
      <c r="F2017" s="11" t="s">
        <v>40</v>
      </c>
      <c r="G2017" s="11" t="s">
        <v>45</v>
      </c>
      <c r="H2017" s="11" t="s">
        <v>276</v>
      </c>
      <c r="I2017" s="11" t="s">
        <v>47</v>
      </c>
      <c r="J2017" s="11">
        <v>20.0</v>
      </c>
      <c r="K2017" s="12">
        <v>41079.0</v>
      </c>
      <c r="L2017" s="30"/>
      <c r="M2017" s="11">
        <v>534910.0</v>
      </c>
      <c r="N2017" s="11">
        <v>13287.0</v>
      </c>
      <c r="O2017" s="13" t="s">
        <v>761</v>
      </c>
      <c r="P2017" s="11">
        <v>53.0</v>
      </c>
      <c r="Q2017" s="14">
        <v>286.0</v>
      </c>
      <c r="R2017" s="41">
        <v>1.0</v>
      </c>
      <c r="S2017">
        <f t="shared" si="1"/>
        <v>2010</v>
      </c>
      <c r="T2017">
        <f t="shared" si="2"/>
        <v>1</v>
      </c>
      <c r="U2017">
        <f t="shared" si="3"/>
        <v>1</v>
      </c>
      <c r="AG2017" s="15"/>
      <c r="AH2017" s="16"/>
      <c r="AM2017" s="15"/>
      <c r="AN2017" s="16"/>
    </row>
    <row r="2018">
      <c r="A2018" s="13" t="s">
        <v>3691</v>
      </c>
      <c r="B2018" s="10">
        <v>40179.0</v>
      </c>
      <c r="C2018" s="11" t="s">
        <v>186</v>
      </c>
      <c r="D2018" s="11" t="s">
        <v>77</v>
      </c>
      <c r="E2018" s="11" t="s">
        <v>39</v>
      </c>
      <c r="F2018" s="11" t="s">
        <v>40</v>
      </c>
      <c r="G2018" s="11" t="s">
        <v>45</v>
      </c>
      <c r="H2018" s="11" t="s">
        <v>84</v>
      </c>
      <c r="I2018" s="11" t="s">
        <v>3692</v>
      </c>
      <c r="J2018" s="11">
        <v>25.0</v>
      </c>
      <c r="K2018" s="12"/>
      <c r="L2018" s="30"/>
      <c r="M2018" s="11">
        <v>518922.0</v>
      </c>
      <c r="N2018" s="11" t="s">
        <v>3693</v>
      </c>
      <c r="P2018" s="11">
        <v>0.0</v>
      </c>
      <c r="Q2018" s="14">
        <v>0.0</v>
      </c>
      <c r="R2018" s="41">
        <v>0.0</v>
      </c>
      <c r="S2018">
        <f t="shared" si="1"/>
        <v>2010</v>
      </c>
      <c r="T2018">
        <f t="shared" si="2"/>
        <v>1</v>
      </c>
      <c r="U2018">
        <f t="shared" si="3"/>
        <v>1</v>
      </c>
      <c r="AG2018" s="15"/>
      <c r="AH2018" s="16"/>
      <c r="AM2018" s="15"/>
      <c r="AN2018" s="16"/>
    </row>
    <row r="2019">
      <c r="A2019" s="13" t="s">
        <v>3694</v>
      </c>
      <c r="B2019" s="10">
        <v>40179.0</v>
      </c>
      <c r="C2019" s="11" t="s">
        <v>186</v>
      </c>
      <c r="D2019" s="11" t="s">
        <v>221</v>
      </c>
      <c r="E2019" s="41" t="s">
        <v>104</v>
      </c>
      <c r="F2019" s="11" t="s">
        <v>40</v>
      </c>
      <c r="G2019" s="11" t="s">
        <v>53</v>
      </c>
      <c r="H2019" s="30"/>
      <c r="I2019" s="30"/>
      <c r="J2019" s="11">
        <v>19.0</v>
      </c>
      <c r="K2019" s="12">
        <v>40350.0</v>
      </c>
      <c r="L2019" s="30"/>
      <c r="M2019" s="11">
        <v>542513.0</v>
      </c>
      <c r="N2019" s="11">
        <v>10067.0</v>
      </c>
      <c r="P2019" s="11">
        <v>99.0</v>
      </c>
      <c r="Q2019" s="14">
        <v>236.0</v>
      </c>
      <c r="R2019" s="41">
        <v>1.0</v>
      </c>
      <c r="S2019">
        <f t="shared" si="1"/>
        <v>2010</v>
      </c>
      <c r="T2019">
        <f t="shared" si="2"/>
        <v>1</v>
      </c>
      <c r="U2019">
        <f t="shared" si="3"/>
        <v>1</v>
      </c>
      <c r="AG2019" s="15"/>
      <c r="AH2019" s="16"/>
      <c r="AM2019" s="15"/>
      <c r="AN2019" s="16"/>
    </row>
    <row r="2020">
      <c r="A2020" s="13" t="s">
        <v>3695</v>
      </c>
      <c r="B2020" s="10">
        <v>40179.0</v>
      </c>
      <c r="C2020" s="11" t="s">
        <v>76</v>
      </c>
      <c r="D2020" s="11" t="s">
        <v>97</v>
      </c>
      <c r="E2020" s="30" t="s">
        <v>39</v>
      </c>
      <c r="F2020" s="11" t="s">
        <v>64</v>
      </c>
      <c r="G2020" s="30" t="s">
        <v>45</v>
      </c>
      <c r="H2020" s="11" t="s">
        <v>729</v>
      </c>
      <c r="I2020" s="11" t="s">
        <v>616</v>
      </c>
      <c r="J2020" s="11">
        <v>21.0</v>
      </c>
      <c r="K2020" s="12">
        <v>41462.0</v>
      </c>
      <c r="L2020" s="30"/>
      <c r="M2020" s="11">
        <v>519009.0</v>
      </c>
      <c r="N2020" s="11" t="s">
        <v>3696</v>
      </c>
      <c r="P2020" s="11">
        <v>0.0</v>
      </c>
      <c r="Q2020" s="14">
        <v>0.0</v>
      </c>
      <c r="R2020" s="41">
        <v>0.0</v>
      </c>
      <c r="S2020">
        <f t="shared" si="1"/>
        <v>2010</v>
      </c>
      <c r="T2020">
        <f t="shared" si="2"/>
        <v>1</v>
      </c>
      <c r="U2020">
        <f t="shared" si="3"/>
        <v>1</v>
      </c>
      <c r="AG2020" s="15"/>
      <c r="AH2020" s="16"/>
      <c r="AM2020" s="15"/>
      <c r="AN2020" s="16"/>
    </row>
    <row r="2021">
      <c r="A2021" s="13" t="s">
        <v>3037</v>
      </c>
      <c r="B2021" s="10">
        <v>40114.0</v>
      </c>
      <c r="C2021" s="11" t="s">
        <v>101</v>
      </c>
      <c r="D2021" s="11" t="s">
        <v>77</v>
      </c>
      <c r="E2021" s="30" t="s">
        <v>39</v>
      </c>
      <c r="F2021" s="11" t="s">
        <v>40</v>
      </c>
      <c r="G2021" s="30" t="s">
        <v>45</v>
      </c>
      <c r="H2021" s="11" t="s">
        <v>412</v>
      </c>
      <c r="I2021" s="11"/>
      <c r="J2021" s="11">
        <v>20.0</v>
      </c>
      <c r="K2021" s="12">
        <v>40644.0</v>
      </c>
      <c r="L2021" s="11">
        <f>ROUND(((K2021-B2021)/365)*12,0)</f>
        <v>17</v>
      </c>
      <c r="M2021" s="11">
        <v>519105.0</v>
      </c>
      <c r="N2021" s="11">
        <v>4913.0</v>
      </c>
      <c r="O2021" s="13" t="s">
        <v>761</v>
      </c>
      <c r="P2021" s="11">
        <v>62.0</v>
      </c>
      <c r="Q2021" s="14">
        <v>384.0</v>
      </c>
      <c r="R2021" s="41">
        <v>0.0</v>
      </c>
      <c r="S2021">
        <f t="shared" si="1"/>
        <v>2009</v>
      </c>
      <c r="T2021">
        <f t="shared" si="2"/>
        <v>10</v>
      </c>
      <c r="U2021">
        <f t="shared" si="3"/>
        <v>28</v>
      </c>
      <c r="AG2021" s="15"/>
      <c r="AH2021" s="16"/>
      <c r="AM2021" s="15"/>
      <c r="AN2021" s="16"/>
    </row>
    <row r="2022">
      <c r="A2022" s="13" t="s">
        <v>3697</v>
      </c>
      <c r="B2022" s="10">
        <v>40078.0</v>
      </c>
      <c r="C2022" s="11" t="s">
        <v>138</v>
      </c>
      <c r="D2022" s="11" t="s">
        <v>58</v>
      </c>
      <c r="E2022" s="30" t="s">
        <v>39</v>
      </c>
      <c r="F2022" s="11" t="s">
        <v>64</v>
      </c>
      <c r="G2022" s="30" t="s">
        <v>45</v>
      </c>
      <c r="H2022" s="11" t="s">
        <v>46</v>
      </c>
      <c r="I2022" s="11" t="s">
        <v>46</v>
      </c>
      <c r="J2022" s="11">
        <v>23.0</v>
      </c>
      <c r="K2022" s="12"/>
      <c r="L2022" s="11"/>
      <c r="M2022" s="11">
        <v>518910.0</v>
      </c>
      <c r="N2022" s="11" t="s">
        <v>3698</v>
      </c>
      <c r="P2022" s="11">
        <v>0.0</v>
      </c>
      <c r="Q2022" s="14">
        <v>0.0</v>
      </c>
      <c r="R2022" s="41">
        <v>0.0</v>
      </c>
      <c r="S2022">
        <f t="shared" si="1"/>
        <v>2009</v>
      </c>
      <c r="T2022">
        <f t="shared" si="2"/>
        <v>9</v>
      </c>
      <c r="U2022">
        <f t="shared" si="3"/>
        <v>22</v>
      </c>
      <c r="AG2022" s="15"/>
      <c r="AH2022" s="16"/>
      <c r="AM2022" s="15"/>
      <c r="AN2022" s="16"/>
    </row>
    <row r="2023">
      <c r="A2023" s="13" t="s">
        <v>3699</v>
      </c>
      <c r="B2023" s="10">
        <v>40078.0</v>
      </c>
      <c r="C2023" s="11" t="s">
        <v>192</v>
      </c>
      <c r="D2023" s="11" t="s">
        <v>97</v>
      </c>
      <c r="E2023" s="11" t="s">
        <v>39</v>
      </c>
      <c r="F2023" s="11" t="s">
        <v>40</v>
      </c>
      <c r="G2023" s="11" t="s">
        <v>45</v>
      </c>
      <c r="H2023" s="11" t="s">
        <v>112</v>
      </c>
      <c r="I2023" s="11"/>
      <c r="J2023" s="11">
        <v>20.0</v>
      </c>
      <c r="K2023" s="12">
        <v>40382.0</v>
      </c>
      <c r="L2023" s="11">
        <f t="shared" ref="L2023:L2025" si="213">ROUND(((K2023-B2023)/365)*12,0)</f>
        <v>10</v>
      </c>
      <c r="M2023" s="11">
        <v>518691.0</v>
      </c>
      <c r="N2023" s="11" t="s">
        <v>3700</v>
      </c>
      <c r="P2023" s="11">
        <v>0.0</v>
      </c>
      <c r="Q2023" s="14">
        <v>0.0</v>
      </c>
      <c r="R2023" s="41">
        <v>1.0</v>
      </c>
      <c r="S2023">
        <f t="shared" si="1"/>
        <v>2009</v>
      </c>
      <c r="T2023">
        <f t="shared" si="2"/>
        <v>9</v>
      </c>
      <c r="U2023">
        <f t="shared" si="3"/>
        <v>22</v>
      </c>
      <c r="AG2023" s="15"/>
      <c r="AH2023" s="16"/>
      <c r="AM2023" s="15"/>
      <c r="AN2023" s="16"/>
    </row>
    <row r="2024">
      <c r="A2024" s="13" t="s">
        <v>3701</v>
      </c>
      <c r="B2024" s="10">
        <v>40057.0</v>
      </c>
      <c r="C2024" s="11" t="s">
        <v>167</v>
      </c>
      <c r="D2024" s="11" t="s">
        <v>97</v>
      </c>
      <c r="E2024" s="30" t="s">
        <v>39</v>
      </c>
      <c r="F2024" s="11" t="s">
        <v>40</v>
      </c>
      <c r="G2024" s="30" t="s">
        <v>45</v>
      </c>
      <c r="H2024" s="11" t="s">
        <v>67</v>
      </c>
      <c r="I2024" s="11" t="s">
        <v>3702</v>
      </c>
      <c r="J2024" s="11">
        <v>21.0</v>
      </c>
      <c r="K2024" s="12">
        <v>40391.0</v>
      </c>
      <c r="L2024" s="11">
        <f t="shared" si="213"/>
        <v>11</v>
      </c>
      <c r="M2024" s="11">
        <v>502281.0</v>
      </c>
      <c r="N2024" s="11">
        <v>4002.0</v>
      </c>
      <c r="P2024" s="11">
        <v>2.0</v>
      </c>
      <c r="Q2024" s="14">
        <v>1.333</v>
      </c>
      <c r="R2024" s="11">
        <v>0.0</v>
      </c>
      <c r="S2024">
        <f t="shared" si="1"/>
        <v>2009</v>
      </c>
      <c r="T2024">
        <f t="shared" si="2"/>
        <v>9</v>
      </c>
      <c r="U2024">
        <f t="shared" si="3"/>
        <v>1</v>
      </c>
      <c r="AG2024" s="15"/>
      <c r="AH2024" s="16"/>
      <c r="AM2024" s="15"/>
      <c r="AN2024" s="16"/>
    </row>
    <row r="2025">
      <c r="A2025" s="13" t="s">
        <v>3703</v>
      </c>
      <c r="B2025" s="10">
        <v>40057.0</v>
      </c>
      <c r="C2025" s="11" t="s">
        <v>156</v>
      </c>
      <c r="D2025" s="11" t="s">
        <v>38</v>
      </c>
      <c r="E2025" s="30" t="s">
        <v>39</v>
      </c>
      <c r="F2025" s="11" t="s">
        <v>40</v>
      </c>
      <c r="G2025" s="30" t="s">
        <v>45</v>
      </c>
      <c r="H2025" s="11" t="s">
        <v>73</v>
      </c>
      <c r="I2025" s="11" t="s">
        <v>3704</v>
      </c>
      <c r="J2025" s="11">
        <v>36.0</v>
      </c>
      <c r="K2025" s="12">
        <v>40644.0</v>
      </c>
      <c r="L2025" s="11">
        <f t="shared" si="213"/>
        <v>19</v>
      </c>
      <c r="M2025" s="11">
        <v>116414.0</v>
      </c>
      <c r="N2025" s="11">
        <v>1158.0</v>
      </c>
      <c r="O2025" s="13" t="s">
        <v>1332</v>
      </c>
      <c r="P2025" s="11">
        <v>103.0</v>
      </c>
      <c r="Q2025" s="14">
        <v>92.333</v>
      </c>
      <c r="R2025" s="11">
        <v>0.0</v>
      </c>
      <c r="S2025">
        <f t="shared" si="1"/>
        <v>2009</v>
      </c>
      <c r="T2025">
        <f t="shared" si="2"/>
        <v>9</v>
      </c>
      <c r="U2025">
        <f t="shared" si="3"/>
        <v>1</v>
      </c>
      <c r="AG2025" s="15"/>
      <c r="AH2025" s="16"/>
      <c r="AM2025" s="15"/>
      <c r="AN2025" s="16"/>
    </row>
    <row r="2026">
      <c r="A2026" s="13" t="s">
        <v>3705</v>
      </c>
      <c r="B2026" s="10">
        <v>40044.0</v>
      </c>
      <c r="C2026" s="11" t="s">
        <v>116</v>
      </c>
      <c r="D2026" s="11" t="s">
        <v>93</v>
      </c>
      <c r="E2026" s="30" t="s">
        <v>39</v>
      </c>
      <c r="F2026" s="11" t="s">
        <v>40</v>
      </c>
      <c r="G2026" s="30" t="s">
        <v>45</v>
      </c>
      <c r="H2026" s="11" t="s">
        <v>262</v>
      </c>
      <c r="I2026" s="11" t="s">
        <v>140</v>
      </c>
      <c r="J2026" s="11">
        <v>21.0</v>
      </c>
      <c r="K2026" s="12">
        <v>40730.0</v>
      </c>
      <c r="L2026" s="30"/>
      <c r="M2026" s="11">
        <v>571876.0</v>
      </c>
      <c r="N2026" s="11" t="s">
        <v>3706</v>
      </c>
      <c r="P2026" s="11">
        <v>0.0</v>
      </c>
      <c r="Q2026" s="14">
        <v>0.0</v>
      </c>
      <c r="R2026" s="41">
        <v>1.0</v>
      </c>
      <c r="S2026">
        <f t="shared" si="1"/>
        <v>2009</v>
      </c>
      <c r="T2026">
        <f t="shared" si="2"/>
        <v>8</v>
      </c>
      <c r="U2026">
        <f t="shared" si="3"/>
        <v>19</v>
      </c>
      <c r="AG2026" s="15"/>
      <c r="AH2026" s="16"/>
      <c r="AM2026" s="15"/>
      <c r="AN2026" s="16"/>
    </row>
    <row r="2027">
      <c r="A2027" s="13" t="s">
        <v>3707</v>
      </c>
      <c r="B2027" s="10">
        <v>40044.0</v>
      </c>
      <c r="C2027" s="11" t="s">
        <v>76</v>
      </c>
      <c r="D2027" s="11" t="s">
        <v>38</v>
      </c>
      <c r="E2027" s="30" t="s">
        <v>39</v>
      </c>
      <c r="F2027" s="11" t="s">
        <v>40</v>
      </c>
      <c r="G2027" s="30" t="s">
        <v>45</v>
      </c>
      <c r="H2027" s="11" t="s">
        <v>957</v>
      </c>
      <c r="I2027" s="11" t="s">
        <v>957</v>
      </c>
      <c r="J2027" s="11">
        <v>23.0</v>
      </c>
      <c r="K2027" s="12">
        <v>40416.0</v>
      </c>
      <c r="L2027" s="11">
        <f t="shared" ref="L2027:L2029" si="214">ROUND(((K2027-B2027)/365)*12,0)</f>
        <v>12</v>
      </c>
      <c r="M2027" s="11">
        <v>519455.0</v>
      </c>
      <c r="N2027" s="11">
        <v>4505.0</v>
      </c>
      <c r="O2027" s="13" t="s">
        <v>3309</v>
      </c>
      <c r="P2027" s="11">
        <v>210.0</v>
      </c>
      <c r="Q2027" s="14">
        <v>1268.0</v>
      </c>
      <c r="R2027" s="41">
        <v>1.0</v>
      </c>
      <c r="S2027">
        <f t="shared" si="1"/>
        <v>2009</v>
      </c>
      <c r="T2027">
        <f t="shared" si="2"/>
        <v>8</v>
      </c>
      <c r="U2027">
        <f t="shared" si="3"/>
        <v>19</v>
      </c>
      <c r="V2027" s="13"/>
      <c r="W2027" s="13"/>
      <c r="X2027" s="13"/>
      <c r="Y2027" s="13"/>
      <c r="Z2027" s="13"/>
      <c r="AA2027" s="13"/>
      <c r="AB2027" s="13"/>
      <c r="AC2027" s="13"/>
      <c r="AD2027" s="13"/>
      <c r="AE2027" s="13">
        <v>16.0</v>
      </c>
      <c r="AF2027" s="13">
        <v>16.0</v>
      </c>
      <c r="AG2027" s="50">
        <v>91.333</v>
      </c>
      <c r="AH2027" s="51">
        <v>0.161</v>
      </c>
      <c r="AI2027" s="13">
        <v>110.0</v>
      </c>
      <c r="AJ2027" s="13">
        <v>84.0</v>
      </c>
      <c r="AK2027" s="13">
        <v>7.0</v>
      </c>
      <c r="AL2027" s="13">
        <v>7.0</v>
      </c>
      <c r="AM2027" s="50">
        <v>31.0</v>
      </c>
      <c r="AN2027" s="51">
        <v>0.126</v>
      </c>
      <c r="AO2027" s="13">
        <v>123.0</v>
      </c>
      <c r="AP2027" s="13">
        <v>146.0</v>
      </c>
    </row>
    <row r="2028">
      <c r="A2028" s="13" t="s">
        <v>2015</v>
      </c>
      <c r="B2028" s="10">
        <v>40028.0</v>
      </c>
      <c r="C2028" s="11" t="s">
        <v>162</v>
      </c>
      <c r="D2028" s="11" t="s">
        <v>38</v>
      </c>
      <c r="E2028" s="30" t="s">
        <v>39</v>
      </c>
      <c r="F2028" s="11" t="s">
        <v>40</v>
      </c>
      <c r="G2028" s="41" t="s">
        <v>41</v>
      </c>
      <c r="H2028" s="30"/>
      <c r="I2028" s="30"/>
      <c r="J2028" s="11">
        <v>25.0</v>
      </c>
      <c r="K2028" s="12">
        <v>40376.0</v>
      </c>
      <c r="L2028" s="11">
        <f t="shared" si="214"/>
        <v>11</v>
      </c>
      <c r="M2028" s="11">
        <v>450172.0</v>
      </c>
      <c r="N2028" s="11">
        <v>3990.0</v>
      </c>
      <c r="O2028" s="13" t="s">
        <v>355</v>
      </c>
      <c r="P2028" s="11">
        <v>214.0</v>
      </c>
      <c r="Q2028" s="14">
        <v>1199.0</v>
      </c>
      <c r="R2028" s="41">
        <v>1.0</v>
      </c>
      <c r="S2028">
        <f t="shared" si="1"/>
        <v>2009</v>
      </c>
      <c r="T2028">
        <f t="shared" si="2"/>
        <v>8</v>
      </c>
      <c r="U2028">
        <f t="shared" si="3"/>
        <v>3</v>
      </c>
      <c r="V2028" s="13"/>
      <c r="W2028" s="13"/>
      <c r="X2028" s="13"/>
      <c r="Y2028" s="13"/>
      <c r="Z2028" s="13"/>
      <c r="AA2028" s="13"/>
      <c r="AB2028" s="13"/>
      <c r="AC2028" s="13"/>
      <c r="AD2028" s="13"/>
      <c r="AE2028" s="13">
        <v>9.0</v>
      </c>
      <c r="AF2028" s="13">
        <v>9.0</v>
      </c>
      <c r="AG2028" s="50">
        <v>49.667</v>
      </c>
      <c r="AH2028" s="51">
        <v>0.069</v>
      </c>
      <c r="AI2028" s="13">
        <v>102.0</v>
      </c>
      <c r="AJ2028" s="13">
        <v>115.0</v>
      </c>
      <c r="AK2028" s="13">
        <v>12.0</v>
      </c>
      <c r="AL2028" s="13">
        <v>12.0</v>
      </c>
      <c r="AM2028" s="50">
        <v>62.667</v>
      </c>
      <c r="AN2028" s="51">
        <v>0.116</v>
      </c>
      <c r="AO2028" s="13">
        <v>105.0</v>
      </c>
      <c r="AP2028" s="13">
        <v>97.0</v>
      </c>
    </row>
    <row r="2029">
      <c r="A2029" s="13" t="s">
        <v>3708</v>
      </c>
      <c r="B2029" s="10">
        <v>40026.0</v>
      </c>
      <c r="C2029" s="11" t="s">
        <v>138</v>
      </c>
      <c r="D2029" s="11" t="s">
        <v>213</v>
      </c>
      <c r="E2029" s="30" t="s">
        <v>39</v>
      </c>
      <c r="F2029" s="11" t="s">
        <v>64</v>
      </c>
      <c r="G2029" s="30" t="s">
        <v>45</v>
      </c>
      <c r="H2029" s="11" t="s">
        <v>67</v>
      </c>
      <c r="I2029" s="11"/>
      <c r="J2029" s="11">
        <v>18.0</v>
      </c>
      <c r="K2029" s="12">
        <v>40351.0</v>
      </c>
      <c r="L2029" s="11">
        <f t="shared" si="214"/>
        <v>11</v>
      </c>
      <c r="M2029" s="11">
        <v>572718.0</v>
      </c>
      <c r="N2029" s="11" t="s">
        <v>3709</v>
      </c>
      <c r="P2029" s="11">
        <v>0.0</v>
      </c>
      <c r="Q2029" s="14">
        <v>0.0</v>
      </c>
      <c r="R2029" s="41">
        <v>1.0</v>
      </c>
      <c r="S2029">
        <f t="shared" si="1"/>
        <v>2009</v>
      </c>
      <c r="T2029">
        <f t="shared" si="2"/>
        <v>8</v>
      </c>
      <c r="U2029">
        <f t="shared" si="3"/>
        <v>1</v>
      </c>
      <c r="AG2029" s="15"/>
      <c r="AH2029" s="16"/>
      <c r="AM2029" s="15"/>
      <c r="AN2029" s="16"/>
    </row>
    <row r="2030">
      <c r="A2030" s="13" t="s">
        <v>3710</v>
      </c>
      <c r="B2030" s="10">
        <v>40026.0</v>
      </c>
      <c r="C2030" s="11" t="s">
        <v>37</v>
      </c>
      <c r="D2030" s="11" t="s">
        <v>93</v>
      </c>
      <c r="E2030" s="11" t="s">
        <v>39</v>
      </c>
      <c r="F2030" s="11" t="s">
        <v>64</v>
      </c>
      <c r="G2030" s="11" t="s">
        <v>45</v>
      </c>
      <c r="H2030" s="11" t="s">
        <v>67</v>
      </c>
      <c r="I2030" s="11" t="s">
        <v>3154</v>
      </c>
      <c r="J2030" s="11">
        <v>18.0</v>
      </c>
      <c r="K2030" s="12">
        <v>40721.0</v>
      </c>
      <c r="L2030" s="11"/>
      <c r="M2030" s="11">
        <v>572280.0</v>
      </c>
      <c r="N2030" s="11" t="s">
        <v>3711</v>
      </c>
      <c r="P2030" s="11">
        <v>0.0</v>
      </c>
      <c r="Q2030" s="14">
        <v>0.0</v>
      </c>
      <c r="R2030" s="41">
        <v>0.0</v>
      </c>
      <c r="S2030">
        <f t="shared" si="1"/>
        <v>2009</v>
      </c>
      <c r="T2030">
        <f t="shared" si="2"/>
        <v>8</v>
      </c>
      <c r="U2030">
        <f t="shared" si="3"/>
        <v>1</v>
      </c>
      <c r="AG2030" s="15"/>
      <c r="AH2030" s="16"/>
      <c r="AM2030" s="15"/>
      <c r="AN2030" s="16"/>
    </row>
    <row r="2031">
      <c r="A2031" s="13" t="s">
        <v>3712</v>
      </c>
      <c r="B2031" s="10">
        <v>40025.0</v>
      </c>
      <c r="C2031" s="11" t="s">
        <v>108</v>
      </c>
      <c r="D2031" s="11" t="s">
        <v>97</v>
      </c>
      <c r="E2031" s="30" t="s">
        <v>39</v>
      </c>
      <c r="F2031" s="11" t="s">
        <v>40</v>
      </c>
      <c r="G2031" s="30" t="s">
        <v>45</v>
      </c>
      <c r="H2031" s="11" t="s">
        <v>56</v>
      </c>
      <c r="I2031" s="11"/>
      <c r="J2031" s="11">
        <v>19.0</v>
      </c>
      <c r="K2031" s="12">
        <v>40360.0</v>
      </c>
      <c r="L2031" s="11">
        <f>ROUND(((K2031-B2031)/365)*12,0)</f>
        <v>11</v>
      </c>
      <c r="M2031" s="11">
        <v>543493.0</v>
      </c>
      <c r="N2031" s="11">
        <v>5364.0</v>
      </c>
      <c r="P2031" s="11">
        <v>3.0</v>
      </c>
      <c r="Q2031" s="14">
        <v>12.0</v>
      </c>
      <c r="R2031" s="41">
        <v>1.0</v>
      </c>
      <c r="S2031">
        <f t="shared" si="1"/>
        <v>2009</v>
      </c>
      <c r="T2031">
        <f t="shared" si="2"/>
        <v>7</v>
      </c>
      <c r="U2031">
        <f t="shared" si="3"/>
        <v>31</v>
      </c>
      <c r="AG2031" s="15"/>
      <c r="AH2031" s="16"/>
      <c r="AM2031" s="15"/>
      <c r="AN2031" s="16"/>
    </row>
    <row r="2032">
      <c r="A2032" s="13" t="s">
        <v>3713</v>
      </c>
      <c r="B2032" s="10">
        <v>40023.0</v>
      </c>
      <c r="C2032" s="11" t="s">
        <v>362</v>
      </c>
      <c r="D2032" s="11" t="s">
        <v>213</v>
      </c>
      <c r="E2032" s="30" t="s">
        <v>39</v>
      </c>
      <c r="F2032" s="11" t="s">
        <v>40</v>
      </c>
      <c r="G2032" s="30" t="s">
        <v>45</v>
      </c>
      <c r="H2032" s="11" t="s">
        <v>182</v>
      </c>
      <c r="I2032" s="11" t="s">
        <v>2478</v>
      </c>
      <c r="J2032" s="11">
        <v>17.0</v>
      </c>
      <c r="K2032" s="12">
        <v>41089.0</v>
      </c>
      <c r="L2032" s="30"/>
      <c r="M2032" s="11">
        <v>592716.0</v>
      </c>
      <c r="N2032" s="11">
        <v>13339.0</v>
      </c>
      <c r="P2032" s="11">
        <v>1.0</v>
      </c>
      <c r="Q2032" s="14">
        <v>4.667</v>
      </c>
      <c r="R2032" s="41">
        <v>1.0</v>
      </c>
      <c r="S2032">
        <f t="shared" si="1"/>
        <v>2009</v>
      </c>
      <c r="T2032">
        <f t="shared" si="2"/>
        <v>7</v>
      </c>
      <c r="U2032">
        <f t="shared" si="3"/>
        <v>29</v>
      </c>
      <c r="AG2032" s="15"/>
      <c r="AH2032" s="16"/>
      <c r="AM2032" s="15"/>
      <c r="AN2032" s="16"/>
    </row>
    <row r="2033">
      <c r="A2033" s="13" t="s">
        <v>3714</v>
      </c>
      <c r="B2033" s="10">
        <v>40008.0</v>
      </c>
      <c r="C2033" s="11" t="s">
        <v>192</v>
      </c>
      <c r="D2033" s="11" t="s">
        <v>58</v>
      </c>
      <c r="E2033" s="30" t="s">
        <v>39</v>
      </c>
      <c r="F2033" s="11" t="s">
        <v>40</v>
      </c>
      <c r="G2033" s="30" t="s">
        <v>45</v>
      </c>
      <c r="H2033" s="11" t="s">
        <v>67</v>
      </c>
      <c r="I2033" s="11" t="s">
        <v>3715</v>
      </c>
      <c r="J2033" s="11">
        <v>25.0</v>
      </c>
      <c r="K2033" s="12">
        <v>40680.0</v>
      </c>
      <c r="L2033" s="11">
        <f>ROUND(((K2033-B2033)/365)*12,0)</f>
        <v>22</v>
      </c>
      <c r="M2033" s="11">
        <v>458919.0</v>
      </c>
      <c r="N2033" s="11">
        <v>7169.0</v>
      </c>
      <c r="P2033" s="11">
        <v>203.0</v>
      </c>
      <c r="Q2033" s="14">
        <v>198.333</v>
      </c>
      <c r="R2033" s="11">
        <v>0.0</v>
      </c>
      <c r="S2033">
        <f t="shared" si="1"/>
        <v>2009</v>
      </c>
      <c r="T2033">
        <f t="shared" si="2"/>
        <v>7</v>
      </c>
      <c r="U2033">
        <f t="shared" si="3"/>
        <v>14</v>
      </c>
      <c r="AG2033" s="15"/>
      <c r="AH2033" s="16"/>
      <c r="AM2033" s="15"/>
      <c r="AN2033" s="16"/>
    </row>
    <row r="2034">
      <c r="A2034" s="13" t="s">
        <v>3716</v>
      </c>
      <c r="B2034" s="10">
        <v>40008.0</v>
      </c>
      <c r="C2034" s="11" t="s">
        <v>362</v>
      </c>
      <c r="D2034" s="11" t="s">
        <v>38</v>
      </c>
      <c r="E2034" s="30" t="s">
        <v>39</v>
      </c>
      <c r="F2034" s="11" t="s">
        <v>40</v>
      </c>
      <c r="G2034" s="30" t="s">
        <v>45</v>
      </c>
      <c r="H2034" s="11" t="s">
        <v>222</v>
      </c>
      <c r="I2034" s="11" t="s">
        <v>222</v>
      </c>
      <c r="J2034" s="11">
        <v>31.0</v>
      </c>
      <c r="K2034" s="30"/>
      <c r="L2034" s="30"/>
      <c r="M2034" s="11">
        <v>407884.0</v>
      </c>
      <c r="N2034" s="11">
        <v>1527.0</v>
      </c>
      <c r="O2034" s="13" t="s">
        <v>761</v>
      </c>
      <c r="P2034" s="11">
        <v>0.0</v>
      </c>
      <c r="Q2034" s="45">
        <v>0.0</v>
      </c>
      <c r="R2034" s="41">
        <v>0.0</v>
      </c>
      <c r="S2034">
        <f t="shared" si="1"/>
        <v>2009</v>
      </c>
      <c r="T2034">
        <f t="shared" si="2"/>
        <v>7</v>
      </c>
      <c r="U2034">
        <f t="shared" si="3"/>
        <v>14</v>
      </c>
      <c r="AG2034" s="15"/>
      <c r="AH2034" s="16"/>
      <c r="AM2034" s="15"/>
      <c r="AN2034" s="16"/>
    </row>
    <row r="2035">
      <c r="A2035" s="19" t="s">
        <v>3717</v>
      </c>
      <c r="B2035" s="20">
        <v>40002.0</v>
      </c>
      <c r="C2035" s="21" t="s">
        <v>192</v>
      </c>
      <c r="D2035" s="21" t="s">
        <v>709</v>
      </c>
      <c r="E2035" s="21" t="s">
        <v>39</v>
      </c>
      <c r="F2035" s="21" t="s">
        <v>40</v>
      </c>
      <c r="G2035" s="28" t="s">
        <v>45</v>
      </c>
      <c r="H2035" s="21" t="s">
        <v>240</v>
      </c>
      <c r="I2035" s="21" t="s">
        <v>619</v>
      </c>
      <c r="J2035" s="21">
        <v>24.0</v>
      </c>
      <c r="K2035" s="22">
        <v>40669.0</v>
      </c>
      <c r="L2035" s="21"/>
      <c r="M2035" s="21">
        <v>501789.0</v>
      </c>
      <c r="N2035" s="21">
        <v>3192.0</v>
      </c>
      <c r="O2035" s="19"/>
      <c r="P2035" s="21">
        <v>290.0</v>
      </c>
      <c r="Q2035" s="23">
        <v>279.667</v>
      </c>
      <c r="R2035" s="21">
        <v>1.0</v>
      </c>
      <c r="S2035" s="33">
        <f t="shared" si="1"/>
        <v>2009</v>
      </c>
      <c r="T2035" s="33">
        <f t="shared" si="2"/>
        <v>7</v>
      </c>
      <c r="U2035" s="33">
        <f t="shared" si="3"/>
        <v>8</v>
      </c>
      <c r="V2035" s="24"/>
      <c r="W2035" s="24"/>
      <c r="X2035" s="24"/>
      <c r="Y2035" s="24"/>
      <c r="Z2035" s="24"/>
      <c r="AA2035" s="24"/>
      <c r="AB2035" s="24"/>
      <c r="AC2035" s="24"/>
      <c r="AD2035" s="24"/>
      <c r="AE2035" s="24"/>
      <c r="AF2035" s="24"/>
      <c r="AG2035" s="26"/>
      <c r="AH2035" s="27"/>
      <c r="AI2035" s="24"/>
      <c r="AJ2035" s="24"/>
      <c r="AK2035" s="24"/>
      <c r="AL2035" s="24"/>
      <c r="AM2035" s="26"/>
      <c r="AN2035" s="27"/>
      <c r="AO2035" s="24"/>
      <c r="AP2035" s="24"/>
    </row>
    <row r="2036">
      <c r="A2036" s="13" t="s">
        <v>3718</v>
      </c>
      <c r="B2036" s="10">
        <v>40001.0</v>
      </c>
      <c r="C2036" s="11" t="s">
        <v>358</v>
      </c>
      <c r="D2036" s="11" t="s">
        <v>38</v>
      </c>
      <c r="E2036" s="41" t="s">
        <v>2062</v>
      </c>
      <c r="F2036" s="11" t="s">
        <v>40</v>
      </c>
      <c r="G2036" s="30" t="s">
        <v>45</v>
      </c>
      <c r="H2036" s="11" t="s">
        <v>59</v>
      </c>
      <c r="I2036" s="11" t="s">
        <v>1519</v>
      </c>
      <c r="J2036" s="11">
        <v>28.0</v>
      </c>
      <c r="K2036" s="12">
        <v>40276.0</v>
      </c>
      <c r="L2036" s="11">
        <f t="shared" ref="L2036:L2038" si="215">ROUND(((K2036-B2036)/365)*12,0)</f>
        <v>9</v>
      </c>
      <c r="M2036" s="11">
        <v>449107.0</v>
      </c>
      <c r="N2036" s="11">
        <v>5986.0</v>
      </c>
      <c r="O2036" s="13" t="s">
        <v>3309</v>
      </c>
      <c r="P2036" s="11">
        <v>777.0</v>
      </c>
      <c r="Q2036" s="14">
        <v>2666.0</v>
      </c>
      <c r="R2036" s="41">
        <v>1.0</v>
      </c>
      <c r="S2036">
        <f t="shared" si="1"/>
        <v>2009</v>
      </c>
      <c r="T2036">
        <f t="shared" si="2"/>
        <v>7</v>
      </c>
      <c r="U2036">
        <f t="shared" si="3"/>
        <v>7</v>
      </c>
      <c r="AG2036" s="15"/>
      <c r="AH2036" s="16"/>
      <c r="AM2036" s="15"/>
      <c r="AN2036" s="16"/>
    </row>
    <row r="2037">
      <c r="A2037" s="13" t="s">
        <v>3719</v>
      </c>
      <c r="B2037" s="10">
        <v>40001.0</v>
      </c>
      <c r="C2037" s="11" t="s">
        <v>108</v>
      </c>
      <c r="D2037" s="11" t="s">
        <v>58</v>
      </c>
      <c r="E2037" s="11" t="s">
        <v>39</v>
      </c>
      <c r="F2037" s="11" t="s">
        <v>40</v>
      </c>
      <c r="G2037" s="11" t="s">
        <v>45</v>
      </c>
      <c r="H2037" s="11" t="s">
        <v>73</v>
      </c>
      <c r="I2037" s="11" t="s">
        <v>583</v>
      </c>
      <c r="J2037" s="11">
        <v>24.0</v>
      </c>
      <c r="K2037" s="12">
        <v>40423.0</v>
      </c>
      <c r="L2037" s="11">
        <f t="shared" si="215"/>
        <v>14</v>
      </c>
      <c r="M2037" s="11">
        <v>502004.0</v>
      </c>
      <c r="N2037" s="11">
        <v>9486.0</v>
      </c>
      <c r="O2037" s="13" t="s">
        <v>1407</v>
      </c>
      <c r="P2037" s="11">
        <v>322.0</v>
      </c>
      <c r="Q2037" s="14">
        <v>330.333</v>
      </c>
      <c r="R2037" s="41">
        <v>1.0</v>
      </c>
      <c r="S2037">
        <f t="shared" si="1"/>
        <v>2009</v>
      </c>
      <c r="T2037">
        <f t="shared" si="2"/>
        <v>7</v>
      </c>
      <c r="U2037">
        <f t="shared" si="3"/>
        <v>7</v>
      </c>
      <c r="AG2037" s="15"/>
      <c r="AH2037" s="16"/>
      <c r="AM2037" s="15"/>
      <c r="AN2037" s="16"/>
    </row>
    <row r="2038">
      <c r="A2038" s="13" t="s">
        <v>3720</v>
      </c>
      <c r="B2038" s="10">
        <v>39996.0</v>
      </c>
      <c r="C2038" s="11" t="s">
        <v>167</v>
      </c>
      <c r="D2038" s="11" t="s">
        <v>38</v>
      </c>
      <c r="E2038" s="30" t="s">
        <v>39</v>
      </c>
      <c r="F2038" s="11" t="s">
        <v>64</v>
      </c>
      <c r="G2038" s="30" t="s">
        <v>45</v>
      </c>
      <c r="H2038" s="11" t="s">
        <v>73</v>
      </c>
      <c r="I2038" s="11" t="s">
        <v>1154</v>
      </c>
      <c r="J2038" s="11">
        <v>29.0</v>
      </c>
      <c r="K2038" s="12">
        <v>41415.0</v>
      </c>
      <c r="L2038" s="11">
        <f t="shared" si="215"/>
        <v>47</v>
      </c>
      <c r="M2038" s="11">
        <v>425840.0</v>
      </c>
      <c r="N2038" s="11">
        <v>1797.0</v>
      </c>
      <c r="O2038" s="13" t="s">
        <v>355</v>
      </c>
      <c r="P2038" s="11">
        <v>199.0</v>
      </c>
      <c r="Q2038" s="14">
        <v>187.0</v>
      </c>
      <c r="R2038" s="41">
        <v>1.0</v>
      </c>
      <c r="S2038">
        <f t="shared" si="1"/>
        <v>2009</v>
      </c>
      <c r="T2038">
        <f t="shared" si="2"/>
        <v>7</v>
      </c>
      <c r="U2038">
        <f t="shared" si="3"/>
        <v>2</v>
      </c>
      <c r="AG2038" s="15"/>
      <c r="AH2038" s="16"/>
      <c r="AM2038" s="15"/>
      <c r="AN2038" s="16"/>
    </row>
    <row r="2039">
      <c r="A2039" s="13" t="s">
        <v>3721</v>
      </c>
      <c r="B2039" s="10">
        <v>39995.0</v>
      </c>
      <c r="C2039" s="11" t="s">
        <v>72</v>
      </c>
      <c r="D2039" s="11" t="s">
        <v>213</v>
      </c>
      <c r="E2039" s="11" t="s">
        <v>39</v>
      </c>
      <c r="F2039" s="11" t="s">
        <v>40</v>
      </c>
      <c r="G2039" s="11" t="s">
        <v>45</v>
      </c>
      <c r="H2039" s="11" t="s">
        <v>231</v>
      </c>
      <c r="I2039" s="11" t="s">
        <v>231</v>
      </c>
      <c r="J2039" s="11">
        <v>16.0</v>
      </c>
      <c r="K2039" s="12">
        <v>41814.0</v>
      </c>
      <c r="L2039" s="11"/>
      <c r="M2039" s="11">
        <v>605469.0</v>
      </c>
      <c r="N2039" s="11">
        <v>16166.0</v>
      </c>
      <c r="O2039" s="13" t="s">
        <v>355</v>
      </c>
      <c r="P2039" s="11">
        <v>0.0</v>
      </c>
      <c r="Q2039" s="14">
        <v>0.0</v>
      </c>
      <c r="R2039" s="11">
        <v>1.0</v>
      </c>
      <c r="S2039">
        <f t="shared" si="1"/>
        <v>2009</v>
      </c>
      <c r="T2039">
        <f t="shared" si="2"/>
        <v>7</v>
      </c>
      <c r="U2039">
        <f t="shared" si="3"/>
        <v>1</v>
      </c>
      <c r="AG2039" s="15"/>
      <c r="AH2039" s="16"/>
      <c r="AM2039" s="15"/>
      <c r="AN2039" s="16"/>
    </row>
    <row r="2040">
      <c r="A2040" s="13" t="s">
        <v>3722</v>
      </c>
      <c r="B2040" s="10">
        <v>39995.0</v>
      </c>
      <c r="C2040" s="11" t="s">
        <v>167</v>
      </c>
      <c r="D2040" s="11" t="s">
        <v>88</v>
      </c>
      <c r="E2040" s="11" t="s">
        <v>39</v>
      </c>
      <c r="F2040" s="11" t="s">
        <v>40</v>
      </c>
      <c r="G2040" s="11" t="s">
        <v>45</v>
      </c>
      <c r="H2040" s="11" t="s">
        <v>73</v>
      </c>
      <c r="I2040" s="11"/>
      <c r="J2040" s="11">
        <v>25.0</v>
      </c>
      <c r="K2040" s="12"/>
      <c r="L2040" s="11"/>
      <c r="M2040" s="11">
        <v>459336.0</v>
      </c>
      <c r="N2040" s="11">
        <v>4865.0</v>
      </c>
      <c r="O2040" s="13"/>
      <c r="P2040" s="11">
        <v>0.0</v>
      </c>
      <c r="Q2040" s="14">
        <v>0.0</v>
      </c>
      <c r="R2040" s="41">
        <v>0.0</v>
      </c>
      <c r="S2040">
        <f t="shared" si="1"/>
        <v>2009</v>
      </c>
      <c r="T2040">
        <f t="shared" si="2"/>
        <v>7</v>
      </c>
      <c r="U2040">
        <f t="shared" si="3"/>
        <v>1</v>
      </c>
      <c r="AG2040" s="15"/>
      <c r="AH2040" s="16"/>
      <c r="AM2040" s="15"/>
      <c r="AN2040" s="16"/>
    </row>
    <row r="2041">
      <c r="A2041" s="13" t="s">
        <v>3723</v>
      </c>
      <c r="B2041" s="10">
        <v>39995.0</v>
      </c>
      <c r="C2041" s="11" t="s">
        <v>108</v>
      </c>
      <c r="D2041" s="11" t="s">
        <v>38</v>
      </c>
      <c r="E2041" s="41" t="s">
        <v>660</v>
      </c>
      <c r="F2041" s="11" t="s">
        <v>40</v>
      </c>
      <c r="G2041" s="30" t="s">
        <v>45</v>
      </c>
      <c r="H2041" s="11" t="s">
        <v>67</v>
      </c>
      <c r="I2041" s="11" t="s">
        <v>748</v>
      </c>
      <c r="J2041" s="11">
        <v>30.0</v>
      </c>
      <c r="K2041" s="12">
        <v>40275.0</v>
      </c>
      <c r="L2041" s="11">
        <f t="shared" ref="L2041:L2047" si="216">ROUND(((K2041-B2041)/365)*12,0)</f>
        <v>9</v>
      </c>
      <c r="M2041" s="11">
        <v>294558.0</v>
      </c>
      <c r="N2041" s="11">
        <v>1658.0</v>
      </c>
      <c r="O2041" s="13" t="s">
        <v>3309</v>
      </c>
      <c r="P2041" s="11">
        <v>282.0</v>
      </c>
      <c r="Q2041" s="45">
        <v>778.0</v>
      </c>
      <c r="R2041" s="41">
        <v>0.0</v>
      </c>
      <c r="S2041">
        <f t="shared" si="1"/>
        <v>2009</v>
      </c>
      <c r="T2041">
        <f t="shared" si="2"/>
        <v>7</v>
      </c>
      <c r="U2041">
        <f t="shared" si="3"/>
        <v>1</v>
      </c>
      <c r="AG2041" s="15"/>
      <c r="AH2041" s="16"/>
      <c r="AM2041" s="15"/>
      <c r="AN2041" s="16"/>
    </row>
    <row r="2042">
      <c r="A2042" s="13" t="s">
        <v>3724</v>
      </c>
      <c r="B2042" s="10">
        <v>39994.0</v>
      </c>
      <c r="C2042" s="11" t="s">
        <v>358</v>
      </c>
      <c r="D2042" s="11" t="s">
        <v>97</v>
      </c>
      <c r="E2042" s="30" t="s">
        <v>39</v>
      </c>
      <c r="F2042" s="11" t="s">
        <v>40</v>
      </c>
      <c r="G2042" s="30" t="s">
        <v>45</v>
      </c>
      <c r="H2042" s="11" t="s">
        <v>67</v>
      </c>
      <c r="I2042" s="11"/>
      <c r="J2042" s="11">
        <v>23.0</v>
      </c>
      <c r="K2042" s="12">
        <v>40344.0</v>
      </c>
      <c r="L2042" s="11">
        <f t="shared" si="216"/>
        <v>12</v>
      </c>
      <c r="M2042" s="11">
        <v>451572.0</v>
      </c>
      <c r="N2042" s="11" t="s">
        <v>3725</v>
      </c>
      <c r="P2042" s="11">
        <v>0.0</v>
      </c>
      <c r="Q2042" s="14">
        <v>0.0</v>
      </c>
      <c r="R2042" s="41">
        <v>0.0</v>
      </c>
      <c r="S2042">
        <f t="shared" si="1"/>
        <v>2009</v>
      </c>
      <c r="T2042">
        <f t="shared" si="2"/>
        <v>6</v>
      </c>
      <c r="U2042">
        <f t="shared" si="3"/>
        <v>30</v>
      </c>
      <c r="AG2042" s="15"/>
      <c r="AH2042" s="16"/>
      <c r="AM2042" s="15"/>
      <c r="AN2042" s="16"/>
    </row>
    <row r="2043">
      <c r="A2043" s="13" t="s">
        <v>3726</v>
      </c>
      <c r="B2043" s="10">
        <v>39994.0</v>
      </c>
      <c r="C2043" s="11" t="s">
        <v>274</v>
      </c>
      <c r="D2043" s="11" t="s">
        <v>38</v>
      </c>
      <c r="E2043" s="30" t="s">
        <v>39</v>
      </c>
      <c r="F2043" s="11" t="s">
        <v>64</v>
      </c>
      <c r="G2043" s="30" t="s">
        <v>45</v>
      </c>
      <c r="H2043" s="11" t="s">
        <v>74</v>
      </c>
      <c r="I2043" s="11" t="s">
        <v>3727</v>
      </c>
      <c r="J2043" s="11">
        <v>24.0</v>
      </c>
      <c r="K2043" s="12">
        <v>40686.0</v>
      </c>
      <c r="L2043" s="11">
        <f t="shared" si="216"/>
        <v>23</v>
      </c>
      <c r="M2043" s="11">
        <v>489189.0</v>
      </c>
      <c r="N2043" s="11">
        <v>4004.0</v>
      </c>
      <c r="O2043" s="13" t="s">
        <v>761</v>
      </c>
      <c r="P2043" s="11">
        <v>141.0</v>
      </c>
      <c r="Q2043" s="45">
        <v>181.33299999999997</v>
      </c>
      <c r="R2043" s="11">
        <v>0.0</v>
      </c>
      <c r="S2043">
        <f t="shared" si="1"/>
        <v>2009</v>
      </c>
      <c r="T2043">
        <f t="shared" si="2"/>
        <v>6</v>
      </c>
      <c r="U2043">
        <f t="shared" si="3"/>
        <v>30</v>
      </c>
      <c r="AG2043" s="15"/>
      <c r="AH2043" s="16"/>
      <c r="AM2043" s="15"/>
      <c r="AN2043" s="16"/>
    </row>
    <row r="2044">
      <c r="A2044" s="13" t="s">
        <v>3728</v>
      </c>
      <c r="B2044" s="10">
        <v>39994.0</v>
      </c>
      <c r="C2044" s="11" t="s">
        <v>175</v>
      </c>
      <c r="D2044" s="11" t="s">
        <v>38</v>
      </c>
      <c r="E2044" s="30" t="s">
        <v>39</v>
      </c>
      <c r="F2044" s="11" t="s">
        <v>40</v>
      </c>
      <c r="G2044" s="41" t="s">
        <v>194</v>
      </c>
      <c r="H2044" s="30"/>
      <c r="I2044" s="30"/>
      <c r="J2044" s="11">
        <v>28.0</v>
      </c>
      <c r="K2044" s="12">
        <v>40430.0</v>
      </c>
      <c r="L2044" s="11">
        <f t="shared" si="216"/>
        <v>14</v>
      </c>
      <c r="M2044" s="11">
        <v>429718.0</v>
      </c>
      <c r="N2044" s="11">
        <v>1882.0</v>
      </c>
      <c r="O2044" s="13" t="s">
        <v>761</v>
      </c>
      <c r="P2044" s="11">
        <v>5.0</v>
      </c>
      <c r="Q2044" s="14">
        <v>23.667</v>
      </c>
      <c r="R2044" s="41">
        <v>0.0</v>
      </c>
      <c r="S2044">
        <f t="shared" si="1"/>
        <v>2009</v>
      </c>
      <c r="T2044">
        <f t="shared" si="2"/>
        <v>6</v>
      </c>
      <c r="U2044">
        <f t="shared" si="3"/>
        <v>30</v>
      </c>
      <c r="V2044" s="13"/>
      <c r="W2044" s="13"/>
      <c r="X2044" s="13"/>
      <c r="Y2044" s="13"/>
      <c r="Z2044" s="13"/>
      <c r="AA2044" s="13"/>
      <c r="AB2044" s="13"/>
      <c r="AC2044" s="13"/>
      <c r="AD2044" s="13"/>
      <c r="AE2044" s="13">
        <v>3.0</v>
      </c>
      <c r="AF2044" s="13">
        <v>3.0</v>
      </c>
      <c r="AG2044" s="50">
        <v>12.0</v>
      </c>
      <c r="AH2044" s="51">
        <v>0.071</v>
      </c>
      <c r="AI2044" s="13">
        <v>137.0</v>
      </c>
      <c r="AJ2044" s="13">
        <v>98.0</v>
      </c>
      <c r="AK2044" s="13">
        <v>4.0</v>
      </c>
      <c r="AL2044" s="13">
        <v>4.0</v>
      </c>
      <c r="AM2044" s="50">
        <v>20.667</v>
      </c>
      <c r="AN2044" s="51">
        <v>0.11</v>
      </c>
      <c r="AO2044" s="13">
        <v>63.0</v>
      </c>
      <c r="AP2044" s="13">
        <v>73.0</v>
      </c>
    </row>
    <row r="2045">
      <c r="A2045" s="13" t="s">
        <v>3729</v>
      </c>
      <c r="B2045" s="10">
        <v>39988.0</v>
      </c>
      <c r="C2045" s="11" t="s">
        <v>230</v>
      </c>
      <c r="D2045" s="11" t="s">
        <v>709</v>
      </c>
      <c r="E2045" s="30" t="s">
        <v>39</v>
      </c>
      <c r="F2045" s="11" t="s">
        <v>40</v>
      </c>
      <c r="G2045" s="30" t="s">
        <v>45</v>
      </c>
      <c r="H2045" s="11" t="s">
        <v>1848</v>
      </c>
      <c r="I2045" s="11" t="s">
        <v>616</v>
      </c>
      <c r="J2045" s="11">
        <v>23.0</v>
      </c>
      <c r="K2045" s="12">
        <v>40362.0</v>
      </c>
      <c r="L2045" s="11">
        <f t="shared" si="216"/>
        <v>12</v>
      </c>
      <c r="M2045" s="11">
        <v>457660.0</v>
      </c>
      <c r="N2045" s="11" t="s">
        <v>3730</v>
      </c>
      <c r="P2045" s="11">
        <v>0.0</v>
      </c>
      <c r="Q2045" s="14">
        <v>0.0</v>
      </c>
      <c r="R2045" s="41">
        <v>0.0</v>
      </c>
      <c r="S2045">
        <f t="shared" si="1"/>
        <v>2009</v>
      </c>
      <c r="T2045">
        <f t="shared" si="2"/>
        <v>6</v>
      </c>
      <c r="U2045">
        <f t="shared" si="3"/>
        <v>24</v>
      </c>
      <c r="AG2045" s="15"/>
      <c r="AH2045" s="16"/>
      <c r="AM2045" s="15"/>
      <c r="AN2045" s="16"/>
    </row>
    <row r="2046">
      <c r="A2046" s="13" t="s">
        <v>3731</v>
      </c>
      <c r="B2046" s="10">
        <v>39981.0</v>
      </c>
      <c r="C2046" s="11" t="s">
        <v>192</v>
      </c>
      <c r="D2046" s="11" t="s">
        <v>38</v>
      </c>
      <c r="E2046" s="30" t="s">
        <v>39</v>
      </c>
      <c r="F2046" s="11" t="s">
        <v>40</v>
      </c>
      <c r="G2046" s="30" t="s">
        <v>45</v>
      </c>
      <c r="H2046" s="11" t="s">
        <v>109</v>
      </c>
      <c r="I2046" s="11"/>
      <c r="J2046" s="11">
        <v>27.0</v>
      </c>
      <c r="K2046" s="12">
        <v>40383.0</v>
      </c>
      <c r="L2046" s="11">
        <f t="shared" si="216"/>
        <v>13</v>
      </c>
      <c r="M2046" s="11">
        <v>430587.0</v>
      </c>
      <c r="N2046" s="11">
        <v>2168.0</v>
      </c>
      <c r="O2046" s="13" t="s">
        <v>603</v>
      </c>
      <c r="P2046" s="11">
        <v>32.0</v>
      </c>
      <c r="Q2046" s="45">
        <v>38.0</v>
      </c>
      <c r="R2046" s="41">
        <v>0.0</v>
      </c>
      <c r="S2046">
        <f t="shared" si="1"/>
        <v>2009</v>
      </c>
      <c r="T2046">
        <f t="shared" si="2"/>
        <v>6</v>
      </c>
      <c r="U2046">
        <f t="shared" si="3"/>
        <v>17</v>
      </c>
      <c r="AG2046" s="15"/>
      <c r="AH2046" s="16"/>
      <c r="AM2046" s="15"/>
      <c r="AN2046" s="16"/>
    </row>
    <row r="2047">
      <c r="A2047" s="13" t="s">
        <v>3703</v>
      </c>
      <c r="B2047" s="10">
        <v>39980.0</v>
      </c>
      <c r="C2047" s="11" t="s">
        <v>156</v>
      </c>
      <c r="D2047" s="11" t="s">
        <v>38</v>
      </c>
      <c r="E2047" s="30" t="s">
        <v>39</v>
      </c>
      <c r="F2047" s="11" t="s">
        <v>40</v>
      </c>
      <c r="G2047" s="30" t="s">
        <v>45</v>
      </c>
      <c r="H2047" s="11" t="s">
        <v>73</v>
      </c>
      <c r="I2047" s="11" t="s">
        <v>3704</v>
      </c>
      <c r="J2047" s="11">
        <v>36.0</v>
      </c>
      <c r="K2047" s="12">
        <v>40644.0</v>
      </c>
      <c r="L2047" s="11">
        <f t="shared" si="216"/>
        <v>22</v>
      </c>
      <c r="M2047" s="11">
        <v>116414.0</v>
      </c>
      <c r="N2047" s="11">
        <v>1158.0</v>
      </c>
      <c r="O2047" s="13" t="s">
        <v>1332</v>
      </c>
      <c r="P2047" s="11">
        <v>0.0</v>
      </c>
      <c r="Q2047" s="14">
        <v>0.0</v>
      </c>
      <c r="R2047" s="41">
        <v>0.0</v>
      </c>
      <c r="S2047">
        <f t="shared" si="1"/>
        <v>2009</v>
      </c>
      <c r="T2047">
        <f t="shared" si="2"/>
        <v>6</v>
      </c>
      <c r="U2047">
        <f t="shared" si="3"/>
        <v>16</v>
      </c>
      <c r="AG2047" s="15"/>
      <c r="AH2047" s="16"/>
      <c r="AM2047" s="15"/>
      <c r="AN2047" s="16"/>
    </row>
    <row r="2048">
      <c r="A2048" s="13" t="s">
        <v>3732</v>
      </c>
      <c r="B2048" s="10">
        <v>39976.0</v>
      </c>
      <c r="C2048" s="11" t="s">
        <v>44</v>
      </c>
      <c r="D2048" s="11" t="s">
        <v>38</v>
      </c>
      <c r="E2048" s="30" t="s">
        <v>39</v>
      </c>
      <c r="F2048" s="11" t="s">
        <v>40</v>
      </c>
      <c r="G2048" s="30" t="s">
        <v>45</v>
      </c>
      <c r="H2048" s="11" t="s">
        <v>67</v>
      </c>
      <c r="I2048" s="11" t="s">
        <v>287</v>
      </c>
      <c r="J2048" s="11">
        <v>27.0</v>
      </c>
      <c r="K2048" s="30"/>
      <c r="L2048" s="30"/>
      <c r="M2048" s="11">
        <v>435039.0</v>
      </c>
      <c r="N2048" s="11">
        <v>7105.0</v>
      </c>
      <c r="O2048" s="13" t="s">
        <v>3309</v>
      </c>
      <c r="P2048" s="11">
        <v>0.0</v>
      </c>
      <c r="Q2048" s="45">
        <v>0.0</v>
      </c>
      <c r="R2048" s="41">
        <v>0.0</v>
      </c>
      <c r="S2048">
        <f t="shared" si="1"/>
        <v>2009</v>
      </c>
      <c r="T2048">
        <f t="shared" si="2"/>
        <v>6</v>
      </c>
      <c r="U2048">
        <f t="shared" si="3"/>
        <v>12</v>
      </c>
      <c r="AG2048" s="15"/>
      <c r="AH2048" s="16"/>
      <c r="AM2048" s="15"/>
      <c r="AN2048" s="16"/>
    </row>
    <row r="2049">
      <c r="A2049" s="13" t="s">
        <v>3733</v>
      </c>
      <c r="B2049" s="10">
        <v>39976.0</v>
      </c>
      <c r="C2049" s="11" t="s">
        <v>235</v>
      </c>
      <c r="D2049" s="11" t="s">
        <v>38</v>
      </c>
      <c r="E2049" s="30" t="s">
        <v>39</v>
      </c>
      <c r="F2049" s="11" t="s">
        <v>40</v>
      </c>
      <c r="G2049" s="30" t="s">
        <v>45</v>
      </c>
      <c r="H2049" s="11" t="s">
        <v>84</v>
      </c>
      <c r="I2049" s="11" t="s">
        <v>517</v>
      </c>
      <c r="J2049" s="11">
        <v>24.0</v>
      </c>
      <c r="K2049" s="12">
        <v>40342.0</v>
      </c>
      <c r="L2049" s="11">
        <f t="shared" ref="L2049:L2050" si="217">ROUND(((K2049-B2049)/365)*12,0)</f>
        <v>12</v>
      </c>
      <c r="M2049" s="11">
        <v>446209.0</v>
      </c>
      <c r="N2049" s="11">
        <v>3688.0</v>
      </c>
      <c r="O2049" s="13" t="s">
        <v>761</v>
      </c>
      <c r="P2049" s="11">
        <v>37.0</v>
      </c>
      <c r="Q2049" s="14">
        <v>121.667</v>
      </c>
      <c r="R2049" s="41">
        <v>0.0</v>
      </c>
      <c r="S2049">
        <f t="shared" si="1"/>
        <v>2009</v>
      </c>
      <c r="T2049">
        <f t="shared" si="2"/>
        <v>6</v>
      </c>
      <c r="U2049">
        <f t="shared" si="3"/>
        <v>12</v>
      </c>
      <c r="V2049" s="13"/>
      <c r="W2049" s="13"/>
      <c r="X2049" s="13"/>
      <c r="Y2049" s="13"/>
      <c r="Z2049" s="13"/>
      <c r="AA2049" s="13"/>
      <c r="AB2049" s="13"/>
      <c r="AC2049" s="13"/>
      <c r="AD2049" s="13"/>
      <c r="AE2049" s="13">
        <v>2.0</v>
      </c>
      <c r="AF2049" s="13">
        <v>2.0</v>
      </c>
      <c r="AG2049" s="50">
        <v>9.0</v>
      </c>
      <c r="AH2049" s="51">
        <v>0.167</v>
      </c>
      <c r="AI2049" s="13">
        <v>201.0</v>
      </c>
      <c r="AJ2049" s="13">
        <v>173.0</v>
      </c>
      <c r="AK2049" s="13">
        <v>9.0</v>
      </c>
      <c r="AL2049" s="13">
        <v>9.0</v>
      </c>
      <c r="AM2049" s="50">
        <v>46.667</v>
      </c>
      <c r="AN2049" s="51">
        <v>0.005</v>
      </c>
      <c r="AO2049" s="13">
        <v>139.0</v>
      </c>
      <c r="AP2049" s="13">
        <v>129.0</v>
      </c>
    </row>
    <row r="2050">
      <c r="A2050" s="13" t="s">
        <v>3734</v>
      </c>
      <c r="B2050" s="10">
        <v>39973.0</v>
      </c>
      <c r="C2050" s="11" t="s">
        <v>101</v>
      </c>
      <c r="D2050" s="11" t="s">
        <v>93</v>
      </c>
      <c r="E2050" s="30" t="s">
        <v>39</v>
      </c>
      <c r="F2050" s="11" t="s">
        <v>64</v>
      </c>
      <c r="G2050" s="30" t="s">
        <v>45</v>
      </c>
      <c r="H2050" s="11" t="s">
        <v>236</v>
      </c>
      <c r="I2050" s="11" t="s">
        <v>479</v>
      </c>
      <c r="J2050" s="11">
        <v>19.0</v>
      </c>
      <c r="K2050" s="12">
        <v>40783.0</v>
      </c>
      <c r="L2050" s="11">
        <f t="shared" si="217"/>
        <v>27</v>
      </c>
      <c r="M2050" s="11">
        <v>605177.0</v>
      </c>
      <c r="N2050" s="11">
        <v>12988.0</v>
      </c>
      <c r="P2050" s="11">
        <v>172.0</v>
      </c>
      <c r="Q2050" s="14">
        <v>163.0</v>
      </c>
      <c r="R2050" s="41">
        <v>1.0</v>
      </c>
      <c r="S2050">
        <f t="shared" si="1"/>
        <v>2009</v>
      </c>
      <c r="T2050">
        <f t="shared" si="2"/>
        <v>6</v>
      </c>
      <c r="U2050">
        <f t="shared" si="3"/>
        <v>9</v>
      </c>
      <c r="AG2050" s="15"/>
      <c r="AH2050" s="16"/>
      <c r="AM2050" s="15"/>
      <c r="AN2050" s="16"/>
    </row>
    <row r="2051">
      <c r="A2051" s="13" t="s">
        <v>3735</v>
      </c>
      <c r="B2051" s="10">
        <v>39973.0</v>
      </c>
      <c r="C2051" s="11" t="s">
        <v>274</v>
      </c>
      <c r="D2051" s="11" t="s">
        <v>38</v>
      </c>
      <c r="E2051" s="30" t="s">
        <v>39</v>
      </c>
      <c r="F2051" s="11" t="s">
        <v>40</v>
      </c>
      <c r="G2051" s="30" t="s">
        <v>45</v>
      </c>
      <c r="H2051" s="11" t="s">
        <v>67</v>
      </c>
      <c r="I2051" s="11" t="s">
        <v>375</v>
      </c>
      <c r="J2051" s="11">
        <v>32.0</v>
      </c>
      <c r="K2051" s="30"/>
      <c r="L2051" s="30"/>
      <c r="M2051" s="11">
        <v>435500.0</v>
      </c>
      <c r="N2051" s="11">
        <v>2656.0</v>
      </c>
      <c r="O2051" s="13" t="s">
        <v>3309</v>
      </c>
      <c r="P2051" s="11">
        <v>0.0</v>
      </c>
      <c r="Q2051" s="45">
        <v>0.0</v>
      </c>
      <c r="R2051" s="41">
        <v>0.0</v>
      </c>
      <c r="S2051">
        <f t="shared" si="1"/>
        <v>2009</v>
      </c>
      <c r="T2051">
        <f t="shared" si="2"/>
        <v>6</v>
      </c>
      <c r="U2051">
        <f t="shared" si="3"/>
        <v>9</v>
      </c>
      <c r="AG2051" s="15"/>
      <c r="AH2051" s="16"/>
      <c r="AM2051" s="15"/>
      <c r="AN2051" s="16"/>
    </row>
    <row r="2052">
      <c r="A2052" s="13" t="s">
        <v>3736</v>
      </c>
      <c r="B2052" s="10">
        <v>39969.0</v>
      </c>
      <c r="C2052" s="11" t="s">
        <v>111</v>
      </c>
      <c r="D2052" s="11" t="s">
        <v>77</v>
      </c>
      <c r="E2052" s="30" t="s">
        <v>39</v>
      </c>
      <c r="F2052" s="11" t="s">
        <v>64</v>
      </c>
      <c r="G2052" s="30" t="s">
        <v>45</v>
      </c>
      <c r="H2052" s="11" t="s">
        <v>129</v>
      </c>
      <c r="I2052" s="11" t="s">
        <v>3737</v>
      </c>
      <c r="J2052" s="11">
        <v>23.0</v>
      </c>
      <c r="K2052" s="12">
        <v>40278.0</v>
      </c>
      <c r="L2052" s="11">
        <f t="shared" ref="L2052:L2054" si="218">ROUND(((K2052-B2052)/365)*12,0)</f>
        <v>10</v>
      </c>
      <c r="M2052" s="11">
        <v>502102.0</v>
      </c>
      <c r="N2052" s="11">
        <v>3124.0</v>
      </c>
      <c r="P2052" s="11">
        <v>43.0</v>
      </c>
      <c r="Q2052" s="14">
        <v>78.0</v>
      </c>
      <c r="R2052" s="11">
        <v>0.0</v>
      </c>
      <c r="S2052">
        <f t="shared" si="1"/>
        <v>2009</v>
      </c>
      <c r="T2052">
        <f t="shared" si="2"/>
        <v>6</v>
      </c>
      <c r="U2052">
        <f t="shared" si="3"/>
        <v>5</v>
      </c>
      <c r="AG2052" s="15"/>
      <c r="AH2052" s="16"/>
      <c r="AM2052" s="15"/>
      <c r="AN2052" s="16"/>
    </row>
    <row r="2053">
      <c r="A2053" s="13" t="s">
        <v>3738</v>
      </c>
      <c r="B2053" s="10">
        <v>39966.0</v>
      </c>
      <c r="C2053" s="11" t="s">
        <v>55</v>
      </c>
      <c r="D2053" s="11" t="s">
        <v>38</v>
      </c>
      <c r="E2053" s="30" t="s">
        <v>39</v>
      </c>
      <c r="F2053" s="11" t="s">
        <v>40</v>
      </c>
      <c r="G2053" s="30" t="s">
        <v>45</v>
      </c>
      <c r="H2053" s="11" t="s">
        <v>182</v>
      </c>
      <c r="I2053" s="11" t="s">
        <v>3739</v>
      </c>
      <c r="J2053" s="11">
        <v>32.0</v>
      </c>
      <c r="K2053" s="12">
        <v>40338.0</v>
      </c>
      <c r="L2053" s="11">
        <f t="shared" si="218"/>
        <v>12</v>
      </c>
      <c r="M2053" s="11">
        <v>228594.0</v>
      </c>
      <c r="N2053" s="11">
        <v>402.0</v>
      </c>
      <c r="O2053" s="13" t="s">
        <v>3309</v>
      </c>
      <c r="P2053" s="11">
        <v>23.0</v>
      </c>
      <c r="Q2053" s="45">
        <v>23.333000000000006</v>
      </c>
      <c r="R2053" s="41">
        <v>0.0</v>
      </c>
      <c r="S2053">
        <f t="shared" si="1"/>
        <v>2009</v>
      </c>
      <c r="T2053">
        <f t="shared" si="2"/>
        <v>6</v>
      </c>
      <c r="U2053">
        <f t="shared" si="3"/>
        <v>2</v>
      </c>
      <c r="AG2053" s="15"/>
      <c r="AH2053" s="16"/>
      <c r="AM2053" s="15"/>
      <c r="AN2053" s="16"/>
    </row>
    <row r="2054">
      <c r="A2054" s="13" t="s">
        <v>3740</v>
      </c>
      <c r="B2054" s="10">
        <v>39965.0</v>
      </c>
      <c r="C2054" s="11" t="s">
        <v>167</v>
      </c>
      <c r="D2054" s="11" t="s">
        <v>93</v>
      </c>
      <c r="E2054" s="30" t="s">
        <v>39</v>
      </c>
      <c r="F2054" s="11" t="s">
        <v>40</v>
      </c>
      <c r="G2054" s="30" t="s">
        <v>45</v>
      </c>
      <c r="H2054" s="11" t="s">
        <v>112</v>
      </c>
      <c r="I2054" s="11" t="s">
        <v>3741</v>
      </c>
      <c r="J2054" s="11">
        <v>20.0</v>
      </c>
      <c r="K2054" s="12">
        <v>40382.0</v>
      </c>
      <c r="L2054" s="11">
        <f t="shared" si="218"/>
        <v>14</v>
      </c>
      <c r="M2054" s="11">
        <v>542923.0</v>
      </c>
      <c r="N2054" s="11">
        <v>11471.0</v>
      </c>
      <c r="P2054" s="11">
        <v>5.0</v>
      </c>
      <c r="Q2054" s="14">
        <v>19.333</v>
      </c>
      <c r="R2054" s="41">
        <v>1.0</v>
      </c>
      <c r="S2054">
        <f t="shared" si="1"/>
        <v>2009</v>
      </c>
      <c r="T2054">
        <f t="shared" si="2"/>
        <v>6</v>
      </c>
      <c r="U2054">
        <f t="shared" si="3"/>
        <v>1</v>
      </c>
      <c r="AG2054" s="15"/>
      <c r="AH2054" s="16"/>
      <c r="AM2054" s="15"/>
      <c r="AN2054" s="16"/>
    </row>
    <row r="2055">
      <c r="A2055" s="13" t="s">
        <v>3742</v>
      </c>
      <c r="B2055" s="10">
        <v>39965.0</v>
      </c>
      <c r="C2055" s="11" t="s">
        <v>126</v>
      </c>
      <c r="D2055" s="11" t="s">
        <v>93</v>
      </c>
      <c r="E2055" s="11" t="s">
        <v>39</v>
      </c>
      <c r="F2055" s="11" t="s">
        <v>40</v>
      </c>
      <c r="G2055" s="11" t="s">
        <v>45</v>
      </c>
      <c r="H2055" s="11" t="s">
        <v>236</v>
      </c>
      <c r="I2055" s="11" t="s">
        <v>3743</v>
      </c>
      <c r="J2055" s="11">
        <v>21.0</v>
      </c>
      <c r="K2055" s="12">
        <v>40400.0</v>
      </c>
      <c r="L2055" s="11"/>
      <c r="M2055" s="11">
        <v>595312.0</v>
      </c>
      <c r="N2055" s="11" t="s">
        <v>3744</v>
      </c>
      <c r="P2055" s="11">
        <v>0.0</v>
      </c>
      <c r="Q2055" s="14">
        <v>0.0</v>
      </c>
      <c r="R2055" s="41">
        <v>0.0</v>
      </c>
      <c r="S2055">
        <f t="shared" si="1"/>
        <v>2009</v>
      </c>
      <c r="T2055">
        <f t="shared" si="2"/>
        <v>6</v>
      </c>
      <c r="U2055">
        <f t="shared" si="3"/>
        <v>1</v>
      </c>
      <c r="AG2055" s="15"/>
      <c r="AH2055" s="16"/>
      <c r="AM2055" s="15"/>
      <c r="AN2055" s="16"/>
    </row>
    <row r="2056">
      <c r="A2056" s="13" t="s">
        <v>3745</v>
      </c>
      <c r="B2056" s="10">
        <v>39958.0</v>
      </c>
      <c r="C2056" s="11" t="s">
        <v>83</v>
      </c>
      <c r="D2056" s="11" t="s">
        <v>77</v>
      </c>
      <c r="E2056" s="30" t="s">
        <v>39</v>
      </c>
      <c r="F2056" s="11" t="s">
        <v>40</v>
      </c>
      <c r="G2056" s="30" t="s">
        <v>45</v>
      </c>
      <c r="H2056" s="11" t="s">
        <v>67</v>
      </c>
      <c r="I2056" s="11" t="s">
        <v>3746</v>
      </c>
      <c r="J2056" s="11">
        <v>24.0</v>
      </c>
      <c r="K2056" s="12">
        <v>40308.0</v>
      </c>
      <c r="L2056" s="11">
        <f t="shared" ref="L2056:L2058" si="219">ROUND(((K2056-B2056)/365)*12,0)</f>
        <v>12</v>
      </c>
      <c r="M2056" s="11">
        <v>489153.0</v>
      </c>
      <c r="N2056" s="11" t="s">
        <v>3747</v>
      </c>
      <c r="P2056" s="11">
        <v>0.0</v>
      </c>
      <c r="Q2056" s="14">
        <v>0.0</v>
      </c>
      <c r="R2056" s="41">
        <v>0.0</v>
      </c>
      <c r="S2056">
        <f t="shared" si="1"/>
        <v>2009</v>
      </c>
      <c r="T2056">
        <f t="shared" si="2"/>
        <v>5</v>
      </c>
      <c r="U2056">
        <f t="shared" si="3"/>
        <v>25</v>
      </c>
      <c r="AG2056" s="15"/>
      <c r="AH2056" s="16"/>
      <c r="AM2056" s="15"/>
      <c r="AN2056" s="16"/>
    </row>
    <row r="2057">
      <c r="A2057" s="13" t="s">
        <v>3748</v>
      </c>
      <c r="B2057" s="10">
        <v>39952.0</v>
      </c>
      <c r="C2057" s="11" t="s">
        <v>162</v>
      </c>
      <c r="D2057" s="11" t="s">
        <v>38</v>
      </c>
      <c r="E2057" s="30" t="s">
        <v>39</v>
      </c>
      <c r="F2057" s="11" t="s">
        <v>64</v>
      </c>
      <c r="G2057" s="30" t="s">
        <v>45</v>
      </c>
      <c r="H2057" s="11" t="s">
        <v>46</v>
      </c>
      <c r="I2057" s="11" t="s">
        <v>913</v>
      </c>
      <c r="J2057" s="11">
        <v>26.0</v>
      </c>
      <c r="K2057" s="12">
        <v>40357.0</v>
      </c>
      <c r="L2057" s="11">
        <f t="shared" si="219"/>
        <v>13</v>
      </c>
      <c r="M2057" s="11">
        <v>435538.0</v>
      </c>
      <c r="N2057" s="11">
        <v>8538.0</v>
      </c>
      <c r="O2057" s="13" t="s">
        <v>355</v>
      </c>
      <c r="P2057" s="11">
        <v>128.0</v>
      </c>
      <c r="Q2057" s="45">
        <v>85.33299999999998</v>
      </c>
      <c r="R2057" s="41">
        <v>0.0</v>
      </c>
      <c r="S2057">
        <f t="shared" si="1"/>
        <v>2009</v>
      </c>
      <c r="T2057">
        <f t="shared" si="2"/>
        <v>5</v>
      </c>
      <c r="U2057">
        <f t="shared" si="3"/>
        <v>19</v>
      </c>
      <c r="AG2057" s="15"/>
      <c r="AH2057" s="16"/>
      <c r="AM2057" s="15"/>
      <c r="AN2057" s="16"/>
    </row>
    <row r="2058">
      <c r="A2058" s="13" t="s">
        <v>3749</v>
      </c>
      <c r="B2058" s="10">
        <v>39945.0</v>
      </c>
      <c r="C2058" s="11" t="s">
        <v>126</v>
      </c>
      <c r="D2058" s="11" t="s">
        <v>38</v>
      </c>
      <c r="E2058" s="30" t="s">
        <v>39</v>
      </c>
      <c r="F2058" s="11" t="s">
        <v>40</v>
      </c>
      <c r="G2058" s="30" t="s">
        <v>45</v>
      </c>
      <c r="H2058" s="11" t="s">
        <v>84</v>
      </c>
      <c r="I2058" s="11" t="s">
        <v>391</v>
      </c>
      <c r="J2058" s="11">
        <v>32.0</v>
      </c>
      <c r="K2058" s="12">
        <v>40424.0</v>
      </c>
      <c r="L2058" s="11">
        <f t="shared" si="219"/>
        <v>16</v>
      </c>
      <c r="M2058" s="11">
        <v>429984.0</v>
      </c>
      <c r="N2058" s="11">
        <v>1911.0</v>
      </c>
      <c r="O2058" s="13" t="s">
        <v>761</v>
      </c>
      <c r="P2058" s="11">
        <v>45.0</v>
      </c>
      <c r="Q2058" s="45">
        <v>46.0</v>
      </c>
      <c r="R2058" s="41">
        <v>0.0</v>
      </c>
      <c r="S2058">
        <f t="shared" si="1"/>
        <v>2009</v>
      </c>
      <c r="T2058">
        <f t="shared" si="2"/>
        <v>5</v>
      </c>
      <c r="U2058">
        <f t="shared" si="3"/>
        <v>12</v>
      </c>
      <c r="AG2058" s="15"/>
      <c r="AH2058" s="16"/>
      <c r="AM2058" s="15"/>
      <c r="AN2058" s="16"/>
    </row>
    <row r="2059">
      <c r="A2059" s="13" t="s">
        <v>3750</v>
      </c>
      <c r="B2059" s="10">
        <v>39945.0</v>
      </c>
      <c r="C2059" s="11" t="s">
        <v>362</v>
      </c>
      <c r="D2059" s="11" t="s">
        <v>58</v>
      </c>
      <c r="E2059" s="30" t="s">
        <v>39</v>
      </c>
      <c r="F2059" s="11" t="s">
        <v>40</v>
      </c>
      <c r="G2059" s="30" t="s">
        <v>45</v>
      </c>
      <c r="H2059" s="11" t="s">
        <v>163</v>
      </c>
      <c r="I2059" s="11"/>
      <c r="J2059" s="11">
        <v>25.0</v>
      </c>
      <c r="K2059" s="12"/>
      <c r="L2059" s="11"/>
      <c r="M2059" s="11">
        <v>444864.0</v>
      </c>
      <c r="N2059" s="11">
        <v>6292.0</v>
      </c>
      <c r="O2059" s="13" t="s">
        <v>761</v>
      </c>
      <c r="P2059" s="11">
        <v>0.0</v>
      </c>
      <c r="Q2059" s="14">
        <v>0.0</v>
      </c>
      <c r="R2059" s="41">
        <v>0.0</v>
      </c>
      <c r="S2059">
        <f t="shared" si="1"/>
        <v>2009</v>
      </c>
      <c r="T2059">
        <f t="shared" si="2"/>
        <v>5</v>
      </c>
      <c r="U2059">
        <f t="shared" si="3"/>
        <v>12</v>
      </c>
      <c r="AG2059" s="15"/>
      <c r="AH2059" s="16"/>
      <c r="AM2059" s="15"/>
      <c r="AN2059" s="16"/>
    </row>
    <row r="2060">
      <c r="A2060" s="13" t="s">
        <v>3751</v>
      </c>
      <c r="B2060" s="10">
        <v>39938.0</v>
      </c>
      <c r="C2060" s="11" t="s">
        <v>138</v>
      </c>
      <c r="D2060" s="11" t="s">
        <v>38</v>
      </c>
      <c r="E2060" s="30" t="s">
        <v>39</v>
      </c>
      <c r="F2060" s="11" t="s">
        <v>40</v>
      </c>
      <c r="G2060" s="41" t="s">
        <v>41</v>
      </c>
      <c r="H2060" s="30"/>
      <c r="I2060" s="30"/>
      <c r="J2060" s="11">
        <v>28.0</v>
      </c>
      <c r="K2060" s="12">
        <v>40295.0</v>
      </c>
      <c r="L2060" s="11">
        <f t="shared" ref="L2060:L2063" si="220">ROUND(((K2060-B2060)/365)*12,0)</f>
        <v>12</v>
      </c>
      <c r="M2060" s="11">
        <v>430580.0</v>
      </c>
      <c r="N2060" s="11">
        <v>2155.0</v>
      </c>
      <c r="O2060" s="13" t="s">
        <v>761</v>
      </c>
      <c r="P2060" s="11">
        <v>249.0</v>
      </c>
      <c r="Q2060" s="14">
        <v>755.667</v>
      </c>
      <c r="R2060" s="41">
        <v>1.0</v>
      </c>
      <c r="S2060">
        <f t="shared" si="1"/>
        <v>2009</v>
      </c>
      <c r="T2060">
        <f t="shared" si="2"/>
        <v>5</v>
      </c>
      <c r="U2060">
        <f t="shared" si="3"/>
        <v>5</v>
      </c>
      <c r="V2060" s="13"/>
      <c r="W2060" s="13"/>
      <c r="X2060" s="13"/>
      <c r="Y2060" s="13"/>
      <c r="Z2060" s="13"/>
      <c r="AA2060" s="13"/>
      <c r="AB2060" s="13"/>
      <c r="AC2060" s="13"/>
      <c r="AD2060" s="13"/>
      <c r="AE2060" s="13">
        <v>2.0</v>
      </c>
      <c r="AF2060" s="13">
        <v>2.0</v>
      </c>
      <c r="AG2060" s="50">
        <v>6.333</v>
      </c>
      <c r="AH2060" s="51">
        <v>0.036</v>
      </c>
      <c r="AI2060" s="13">
        <v>218.0</v>
      </c>
      <c r="AJ2060" s="13">
        <v>292.0</v>
      </c>
      <c r="AK2060" s="13">
        <v>49.0</v>
      </c>
      <c r="AL2060" s="13">
        <v>0.0</v>
      </c>
      <c r="AM2060" s="50">
        <v>49.333</v>
      </c>
      <c r="AN2060" s="51">
        <v>0.068</v>
      </c>
      <c r="AO2060" s="13">
        <v>116.0</v>
      </c>
      <c r="AP2060" s="13">
        <v>132.0</v>
      </c>
    </row>
    <row r="2061">
      <c r="A2061" s="13" t="s">
        <v>3508</v>
      </c>
      <c r="B2061" s="10">
        <v>39933.0</v>
      </c>
      <c r="C2061" s="11" t="s">
        <v>346</v>
      </c>
      <c r="D2061" s="11" t="s">
        <v>88</v>
      </c>
      <c r="E2061" s="30" t="s">
        <v>39</v>
      </c>
      <c r="F2061" s="11" t="s">
        <v>40</v>
      </c>
      <c r="G2061" s="30" t="s">
        <v>45</v>
      </c>
      <c r="H2061" s="11" t="s">
        <v>182</v>
      </c>
      <c r="I2061" s="11" t="s">
        <v>3509</v>
      </c>
      <c r="J2061" s="11">
        <v>21.0</v>
      </c>
      <c r="K2061" s="12">
        <v>40635.0</v>
      </c>
      <c r="L2061" s="11">
        <f t="shared" si="220"/>
        <v>23</v>
      </c>
      <c r="M2061" s="11">
        <v>474226.0</v>
      </c>
      <c r="N2061" s="11">
        <v>2534.0</v>
      </c>
      <c r="P2061" s="11">
        <v>4.0</v>
      </c>
      <c r="Q2061" s="14">
        <v>5.333</v>
      </c>
      <c r="R2061" s="41">
        <v>0.0</v>
      </c>
      <c r="S2061">
        <f t="shared" si="1"/>
        <v>2009</v>
      </c>
      <c r="T2061">
        <f t="shared" si="2"/>
        <v>4</v>
      </c>
      <c r="U2061">
        <f t="shared" si="3"/>
        <v>30</v>
      </c>
      <c r="AG2061" s="15"/>
      <c r="AH2061" s="16"/>
      <c r="AM2061" s="15"/>
      <c r="AN2061" s="16"/>
    </row>
    <row r="2062">
      <c r="A2062" s="13" t="s">
        <v>3407</v>
      </c>
      <c r="B2062" s="10">
        <v>39924.0</v>
      </c>
      <c r="C2062" s="11" t="s">
        <v>274</v>
      </c>
      <c r="D2062" s="11" t="s">
        <v>38</v>
      </c>
      <c r="E2062" s="30" t="s">
        <v>39</v>
      </c>
      <c r="F2062" s="11" t="s">
        <v>40</v>
      </c>
      <c r="G2062" s="30" t="s">
        <v>45</v>
      </c>
      <c r="H2062" s="11" t="s">
        <v>119</v>
      </c>
      <c r="I2062" s="11" t="s">
        <v>359</v>
      </c>
      <c r="J2062" s="11">
        <v>25.0</v>
      </c>
      <c r="K2062" s="12">
        <v>40684.0</v>
      </c>
      <c r="L2062" s="11">
        <f t="shared" si="220"/>
        <v>25</v>
      </c>
      <c r="M2062" s="11">
        <v>457733.0</v>
      </c>
      <c r="N2062" s="11">
        <v>9862.0</v>
      </c>
      <c r="O2062" s="13" t="s">
        <v>761</v>
      </c>
      <c r="P2062" s="11">
        <v>26.0</v>
      </c>
      <c r="Q2062" s="45">
        <v>23.0</v>
      </c>
      <c r="R2062" s="41">
        <v>0.0</v>
      </c>
      <c r="S2062">
        <f t="shared" si="1"/>
        <v>2009</v>
      </c>
      <c r="T2062">
        <f t="shared" si="2"/>
        <v>4</v>
      </c>
      <c r="U2062">
        <f t="shared" si="3"/>
        <v>21</v>
      </c>
      <c r="AG2062" s="15"/>
      <c r="AH2062" s="16"/>
      <c r="AM2062" s="15"/>
      <c r="AN2062" s="16"/>
    </row>
    <row r="2063">
      <c r="A2063" s="13" t="s">
        <v>3752</v>
      </c>
      <c r="B2063" s="10">
        <v>39922.0</v>
      </c>
      <c r="C2063" s="11" t="s">
        <v>150</v>
      </c>
      <c r="D2063" s="11" t="s">
        <v>58</v>
      </c>
      <c r="E2063" s="11" t="s">
        <v>39</v>
      </c>
      <c r="F2063" s="11" t="s">
        <v>40</v>
      </c>
      <c r="G2063" s="11" t="s">
        <v>45</v>
      </c>
      <c r="H2063" s="11" t="s">
        <v>67</v>
      </c>
      <c r="I2063" s="30"/>
      <c r="J2063" s="11">
        <v>29.0</v>
      </c>
      <c r="K2063" s="12">
        <v>40318.0</v>
      </c>
      <c r="L2063" s="11">
        <f t="shared" si="220"/>
        <v>13</v>
      </c>
      <c r="M2063" s="11">
        <v>407795.0</v>
      </c>
      <c r="N2063" s="11">
        <v>85.0</v>
      </c>
      <c r="P2063" s="11">
        <v>0.0</v>
      </c>
      <c r="Q2063" s="14">
        <v>0.0</v>
      </c>
      <c r="R2063" s="41">
        <v>0.0</v>
      </c>
      <c r="S2063">
        <f t="shared" si="1"/>
        <v>2009</v>
      </c>
      <c r="T2063">
        <f t="shared" si="2"/>
        <v>4</v>
      </c>
      <c r="U2063">
        <f t="shared" si="3"/>
        <v>19</v>
      </c>
      <c r="AG2063" s="15"/>
      <c r="AH2063" s="16"/>
      <c r="AM2063" s="15"/>
      <c r="AN2063" s="16"/>
    </row>
    <row r="2064">
      <c r="A2064" s="13" t="s">
        <v>3753</v>
      </c>
      <c r="B2064" s="10">
        <v>39904.0</v>
      </c>
      <c r="C2064" s="11" t="s">
        <v>52</v>
      </c>
      <c r="D2064" s="11" t="s">
        <v>38</v>
      </c>
      <c r="E2064" s="30" t="s">
        <v>39</v>
      </c>
      <c r="F2064" s="11" t="s">
        <v>40</v>
      </c>
      <c r="G2064" s="41" t="s">
        <v>326</v>
      </c>
      <c r="H2064" s="30"/>
      <c r="I2064" s="30"/>
      <c r="J2064" s="11">
        <v>27.0</v>
      </c>
      <c r="K2064" s="30"/>
      <c r="L2064" s="30"/>
      <c r="M2064" s="11">
        <v>425629.0</v>
      </c>
      <c r="N2064" s="11">
        <v>1654.0</v>
      </c>
      <c r="P2064" s="11">
        <v>0.0</v>
      </c>
      <c r="Q2064" s="45">
        <v>0.0</v>
      </c>
      <c r="R2064" s="41">
        <v>0.0</v>
      </c>
      <c r="S2064">
        <f t="shared" si="1"/>
        <v>2009</v>
      </c>
      <c r="T2064">
        <f t="shared" si="2"/>
        <v>4</v>
      </c>
      <c r="U2064">
        <f t="shared" si="3"/>
        <v>1</v>
      </c>
      <c r="AG2064" s="15"/>
      <c r="AH2064" s="16"/>
      <c r="AM2064" s="15"/>
      <c r="AN2064" s="16"/>
    </row>
    <row r="2065">
      <c r="A2065" s="13" t="s">
        <v>3754</v>
      </c>
      <c r="B2065" s="10">
        <v>39904.0</v>
      </c>
      <c r="C2065" s="11" t="s">
        <v>37</v>
      </c>
      <c r="D2065" s="11" t="s">
        <v>58</v>
      </c>
      <c r="E2065" s="30" t="s">
        <v>39</v>
      </c>
      <c r="F2065" s="11" t="s">
        <v>40</v>
      </c>
      <c r="G2065" s="30" t="s">
        <v>45</v>
      </c>
      <c r="H2065" s="11" t="s">
        <v>243</v>
      </c>
      <c r="I2065" s="11" t="s">
        <v>3755</v>
      </c>
      <c r="J2065" s="11">
        <v>29.0</v>
      </c>
      <c r="K2065" s="30"/>
      <c r="L2065" s="30"/>
      <c r="M2065" s="11">
        <v>446447.0</v>
      </c>
      <c r="N2065" s="11" t="s">
        <v>3756</v>
      </c>
      <c r="P2065" s="11">
        <v>0.0</v>
      </c>
      <c r="Q2065" s="14">
        <v>0.0</v>
      </c>
      <c r="R2065" s="41">
        <v>0.0</v>
      </c>
      <c r="S2065">
        <f t="shared" si="1"/>
        <v>2009</v>
      </c>
      <c r="T2065">
        <f t="shared" si="2"/>
        <v>4</v>
      </c>
      <c r="U2065">
        <f t="shared" si="3"/>
        <v>1</v>
      </c>
      <c r="AG2065" s="15"/>
      <c r="AH2065" s="16"/>
      <c r="AM2065" s="15"/>
      <c r="AN2065" s="16"/>
    </row>
    <row r="2066">
      <c r="A2066" s="13" t="s">
        <v>3757</v>
      </c>
      <c r="B2066" s="10">
        <v>39896.0</v>
      </c>
      <c r="C2066" s="11" t="s">
        <v>138</v>
      </c>
      <c r="D2066" s="11" t="s">
        <v>213</v>
      </c>
      <c r="E2066" s="11" t="s">
        <v>39</v>
      </c>
      <c r="F2066" s="11" t="s">
        <v>64</v>
      </c>
      <c r="G2066" s="11" t="s">
        <v>45</v>
      </c>
      <c r="H2066" s="11" t="s">
        <v>56</v>
      </c>
      <c r="I2066" s="11"/>
      <c r="J2066" s="11">
        <v>18.0</v>
      </c>
      <c r="K2066" s="12">
        <v>40392.0</v>
      </c>
      <c r="L2066" s="11"/>
      <c r="M2066" s="11">
        <v>571567.0</v>
      </c>
      <c r="N2066" s="11" t="s">
        <v>3758</v>
      </c>
      <c r="P2066" s="11">
        <v>0.0</v>
      </c>
      <c r="Q2066" s="14">
        <v>0.0</v>
      </c>
      <c r="R2066" s="41">
        <v>0.0</v>
      </c>
      <c r="S2066">
        <f t="shared" si="1"/>
        <v>2009</v>
      </c>
      <c r="T2066">
        <f t="shared" si="2"/>
        <v>3</v>
      </c>
      <c r="U2066">
        <f t="shared" si="3"/>
        <v>24</v>
      </c>
      <c r="AG2066" s="15"/>
      <c r="AH2066" s="16"/>
      <c r="AM2066" s="15"/>
      <c r="AN2066" s="16"/>
    </row>
    <row r="2067">
      <c r="A2067" s="13" t="s">
        <v>3759</v>
      </c>
      <c r="B2067" s="10">
        <v>39892.0</v>
      </c>
      <c r="C2067" s="11" t="s">
        <v>83</v>
      </c>
      <c r="D2067" s="11" t="s">
        <v>58</v>
      </c>
      <c r="E2067" s="30" t="s">
        <v>39</v>
      </c>
      <c r="F2067" s="11" t="s">
        <v>40</v>
      </c>
      <c r="G2067" s="30" t="s">
        <v>45</v>
      </c>
      <c r="H2067" s="11" t="s">
        <v>84</v>
      </c>
      <c r="I2067" s="11" t="s">
        <v>3760</v>
      </c>
      <c r="J2067" s="11">
        <v>26.0</v>
      </c>
      <c r="K2067" s="12">
        <v>40276.0</v>
      </c>
      <c r="L2067" s="11">
        <f>ROUND(((K2067-B2067)/365)*12,0)</f>
        <v>13</v>
      </c>
      <c r="M2067" s="11">
        <v>450312.0</v>
      </c>
      <c r="N2067" s="11">
        <v>8045.0</v>
      </c>
      <c r="P2067" s="11">
        <v>4.0</v>
      </c>
      <c r="Q2067" s="14">
        <v>2.0</v>
      </c>
      <c r="R2067" s="41">
        <v>0.0</v>
      </c>
      <c r="S2067">
        <f t="shared" si="1"/>
        <v>2009</v>
      </c>
      <c r="T2067">
        <f t="shared" si="2"/>
        <v>3</v>
      </c>
      <c r="U2067">
        <f t="shared" si="3"/>
        <v>20</v>
      </c>
      <c r="AG2067" s="15"/>
      <c r="AH2067" s="16"/>
      <c r="AM2067" s="15"/>
      <c r="AN2067" s="16"/>
    </row>
    <row r="2068">
      <c r="A2068" s="13" t="s">
        <v>3761</v>
      </c>
      <c r="B2068" s="10">
        <v>39887.0</v>
      </c>
      <c r="C2068" s="11" t="s">
        <v>55</v>
      </c>
      <c r="D2068" s="11" t="s">
        <v>77</v>
      </c>
      <c r="E2068" s="30" t="s">
        <v>39</v>
      </c>
      <c r="F2068" s="11" t="s">
        <v>64</v>
      </c>
      <c r="G2068" s="30" t="s">
        <v>45</v>
      </c>
      <c r="H2068" s="11" t="s">
        <v>159</v>
      </c>
      <c r="I2068" s="11" t="s">
        <v>379</v>
      </c>
      <c r="J2068" s="11">
        <v>25.0</v>
      </c>
      <c r="K2068" s="12"/>
      <c r="L2068" s="11"/>
      <c r="M2068" s="11">
        <v>453067.0</v>
      </c>
      <c r="N2068" s="11" t="s">
        <v>3762</v>
      </c>
      <c r="P2068" s="11">
        <v>0.0</v>
      </c>
      <c r="Q2068" s="14">
        <v>0.0</v>
      </c>
      <c r="R2068" s="41">
        <v>0.0</v>
      </c>
      <c r="S2068">
        <f t="shared" si="1"/>
        <v>2009</v>
      </c>
      <c r="T2068">
        <f t="shared" si="2"/>
        <v>3</v>
      </c>
      <c r="U2068">
        <f t="shared" si="3"/>
        <v>15</v>
      </c>
      <c r="AG2068" s="15"/>
      <c r="AH2068" s="16"/>
      <c r="AM2068" s="15"/>
      <c r="AN2068" s="16"/>
    </row>
    <row r="2069">
      <c r="A2069" s="13" t="s">
        <v>3763</v>
      </c>
      <c r="B2069" s="10">
        <v>39880.0</v>
      </c>
      <c r="C2069" s="11" t="s">
        <v>346</v>
      </c>
      <c r="D2069" s="11" t="s">
        <v>93</v>
      </c>
      <c r="E2069" s="30" t="s">
        <v>39</v>
      </c>
      <c r="F2069" s="11" t="s">
        <v>40</v>
      </c>
      <c r="G2069" s="11" t="s">
        <v>326</v>
      </c>
      <c r="H2069" s="11"/>
      <c r="I2069" s="11"/>
      <c r="J2069" s="11">
        <v>25.0</v>
      </c>
      <c r="K2069" s="12">
        <v>40330.0</v>
      </c>
      <c r="L2069" s="11">
        <f t="shared" ref="L2069:L2070" si="221">ROUND(((K2069-B2069)/365)*12,0)</f>
        <v>15</v>
      </c>
      <c r="M2069" s="11">
        <v>456068.0</v>
      </c>
      <c r="N2069" s="11">
        <v>7024.0</v>
      </c>
      <c r="P2069" s="11">
        <v>152.0</v>
      </c>
      <c r="Q2069" s="14">
        <v>871.333</v>
      </c>
      <c r="R2069" s="41">
        <v>1.0</v>
      </c>
      <c r="S2069">
        <f t="shared" si="1"/>
        <v>2009</v>
      </c>
      <c r="T2069">
        <f t="shared" si="2"/>
        <v>3</v>
      </c>
      <c r="U2069">
        <f t="shared" si="3"/>
        <v>8</v>
      </c>
      <c r="AG2069" s="15"/>
      <c r="AH2069" s="16"/>
      <c r="AM2069" s="15"/>
      <c r="AN2069" s="16"/>
    </row>
    <row r="2070">
      <c r="A2070" s="13" t="s">
        <v>3764</v>
      </c>
      <c r="B2070" s="10">
        <v>39876.0</v>
      </c>
      <c r="C2070" s="11" t="s">
        <v>230</v>
      </c>
      <c r="D2070" s="11" t="s">
        <v>38</v>
      </c>
      <c r="E2070" s="30" t="s">
        <v>39</v>
      </c>
      <c r="F2070" s="11" t="s">
        <v>64</v>
      </c>
      <c r="G2070" s="30" t="s">
        <v>45</v>
      </c>
      <c r="H2070" s="11" t="s">
        <v>236</v>
      </c>
      <c r="I2070" s="11"/>
      <c r="J2070" s="11">
        <v>23.0</v>
      </c>
      <c r="K2070" s="12">
        <v>41833.0</v>
      </c>
      <c r="L2070" s="11">
        <f t="shared" si="221"/>
        <v>64</v>
      </c>
      <c r="M2070" s="11">
        <v>456387.0</v>
      </c>
      <c r="N2070" s="11">
        <v>6336.0</v>
      </c>
      <c r="O2070" s="13" t="s">
        <v>3309</v>
      </c>
      <c r="P2070" s="11">
        <v>6.0</v>
      </c>
      <c r="Q2070" s="45">
        <v>7.332999999999998</v>
      </c>
      <c r="R2070" s="11">
        <v>1.0</v>
      </c>
      <c r="S2070">
        <f t="shared" si="1"/>
        <v>2009</v>
      </c>
      <c r="T2070">
        <f t="shared" si="2"/>
        <v>3</v>
      </c>
      <c r="U2070">
        <f t="shared" si="3"/>
        <v>4</v>
      </c>
      <c r="AG2070" s="15"/>
      <c r="AH2070" s="16"/>
      <c r="AM2070" s="15"/>
      <c r="AN2070" s="16"/>
    </row>
    <row r="2071">
      <c r="A2071" s="13" t="s">
        <v>3765</v>
      </c>
      <c r="B2071" s="10">
        <v>39875.0</v>
      </c>
      <c r="C2071" s="11" t="s">
        <v>62</v>
      </c>
      <c r="D2071" s="11" t="s">
        <v>58</v>
      </c>
      <c r="E2071" s="11" t="s">
        <v>104</v>
      </c>
      <c r="F2071" s="11" t="s">
        <v>40</v>
      </c>
      <c r="G2071" s="11" t="s">
        <v>45</v>
      </c>
      <c r="H2071" s="11" t="s">
        <v>67</v>
      </c>
      <c r="I2071" s="11" t="s">
        <v>3766</v>
      </c>
      <c r="J2071" s="11">
        <v>27.0</v>
      </c>
      <c r="K2071" s="12"/>
      <c r="L2071" s="11"/>
      <c r="M2071" s="11">
        <v>430925.0</v>
      </c>
      <c r="N2071" s="11" t="s">
        <v>3767</v>
      </c>
      <c r="P2071" s="11">
        <v>0.0</v>
      </c>
      <c r="Q2071" s="14">
        <v>0.0</v>
      </c>
      <c r="R2071" s="41">
        <v>0.0</v>
      </c>
      <c r="S2071">
        <f t="shared" si="1"/>
        <v>2009</v>
      </c>
      <c r="T2071">
        <f t="shared" si="2"/>
        <v>3</v>
      </c>
      <c r="U2071">
        <f t="shared" si="3"/>
        <v>3</v>
      </c>
      <c r="AG2071" s="15"/>
      <c r="AH2071" s="16"/>
      <c r="AM2071" s="15"/>
      <c r="AN2071" s="16"/>
    </row>
    <row r="2072">
      <c r="A2072" s="13" t="s">
        <v>3768</v>
      </c>
      <c r="B2072" s="10">
        <v>39815.0</v>
      </c>
      <c r="C2072" s="11" t="s">
        <v>162</v>
      </c>
      <c r="D2072" s="11" t="s">
        <v>221</v>
      </c>
      <c r="E2072" s="30" t="s">
        <v>39</v>
      </c>
      <c r="F2072" s="11" t="s">
        <v>40</v>
      </c>
      <c r="G2072" s="30" t="s">
        <v>45</v>
      </c>
      <c r="H2072" s="11" t="s">
        <v>163</v>
      </c>
      <c r="I2072" s="11" t="s">
        <v>359</v>
      </c>
      <c r="J2072" s="11">
        <v>22.0</v>
      </c>
      <c r="K2072" s="12">
        <v>40353.0</v>
      </c>
      <c r="L2072" s="11">
        <f>ROUND(((K2072-B2072)/365)*12,0)</f>
        <v>18</v>
      </c>
      <c r="M2072" s="11">
        <v>543778.0</v>
      </c>
      <c r="N2072" s="11" t="s">
        <v>3769</v>
      </c>
      <c r="P2072" s="11">
        <v>0.0</v>
      </c>
      <c r="Q2072" s="14">
        <v>0.0</v>
      </c>
      <c r="R2072" s="41">
        <v>0.0</v>
      </c>
      <c r="S2072">
        <f t="shared" si="1"/>
        <v>2009</v>
      </c>
      <c r="T2072">
        <f t="shared" si="2"/>
        <v>1</v>
      </c>
      <c r="U2072">
        <f t="shared" si="3"/>
        <v>2</v>
      </c>
      <c r="AG2072" s="15"/>
      <c r="AH2072" s="16"/>
      <c r="AM2072" s="15"/>
      <c r="AN2072" s="16"/>
    </row>
    <row r="2073">
      <c r="A2073" s="13" t="s">
        <v>3770</v>
      </c>
      <c r="B2073" s="10">
        <v>39814.0</v>
      </c>
      <c r="C2073" s="11" t="s">
        <v>101</v>
      </c>
      <c r="D2073" s="11" t="s">
        <v>77</v>
      </c>
      <c r="E2073" s="41" t="s">
        <v>104</v>
      </c>
      <c r="F2073" s="11" t="s">
        <v>40</v>
      </c>
      <c r="G2073" s="30" t="s">
        <v>45</v>
      </c>
      <c r="H2073" s="11" t="s">
        <v>56</v>
      </c>
      <c r="I2073" s="11" t="s">
        <v>1533</v>
      </c>
      <c r="J2073" s="11">
        <v>26.0</v>
      </c>
      <c r="K2073" s="12">
        <v>40640.0</v>
      </c>
      <c r="L2073" s="30"/>
      <c r="M2073" s="11">
        <v>446404.0</v>
      </c>
      <c r="N2073" s="11" t="s">
        <v>3771</v>
      </c>
      <c r="P2073" s="11">
        <v>0.0</v>
      </c>
      <c r="Q2073" s="14">
        <v>0.0</v>
      </c>
      <c r="R2073" s="41">
        <v>0.0</v>
      </c>
      <c r="S2073">
        <f t="shared" si="1"/>
        <v>2009</v>
      </c>
      <c r="T2073">
        <f t="shared" si="2"/>
        <v>1</v>
      </c>
      <c r="U2073">
        <f t="shared" si="3"/>
        <v>1</v>
      </c>
      <c r="AG2073" s="15"/>
      <c r="AH2073" s="16"/>
      <c r="AM2073" s="15"/>
      <c r="AN2073" s="16"/>
    </row>
    <row r="2074">
      <c r="A2074" s="13" t="s">
        <v>3772</v>
      </c>
      <c r="B2074" s="10">
        <v>39814.0</v>
      </c>
      <c r="C2074" s="11" t="s">
        <v>116</v>
      </c>
      <c r="D2074" s="11" t="s">
        <v>213</v>
      </c>
      <c r="E2074" s="30" t="s">
        <v>39</v>
      </c>
      <c r="F2074" s="11" t="s">
        <v>64</v>
      </c>
      <c r="G2074" s="30" t="s">
        <v>45</v>
      </c>
      <c r="H2074" s="11" t="s">
        <v>127</v>
      </c>
      <c r="I2074" s="11" t="s">
        <v>163</v>
      </c>
      <c r="J2074" s="11">
        <v>18.0</v>
      </c>
      <c r="K2074" s="12">
        <v>41085.0</v>
      </c>
      <c r="L2074" s="30"/>
      <c r="M2074" s="11">
        <v>622072.0</v>
      </c>
      <c r="N2074" s="11">
        <v>13781.0</v>
      </c>
      <c r="P2074" s="11">
        <v>139.0</v>
      </c>
      <c r="Q2074" s="14">
        <v>651.667</v>
      </c>
      <c r="R2074" s="41">
        <v>1.0</v>
      </c>
      <c r="S2074">
        <f t="shared" si="1"/>
        <v>2009</v>
      </c>
      <c r="T2074">
        <f t="shared" si="2"/>
        <v>1</v>
      </c>
      <c r="U2074">
        <f t="shared" si="3"/>
        <v>1</v>
      </c>
      <c r="AG2074" s="15"/>
      <c r="AH2074" s="16"/>
      <c r="AM2074" s="15"/>
      <c r="AN2074" s="16"/>
    </row>
    <row r="2075">
      <c r="A2075" s="13" t="s">
        <v>3773</v>
      </c>
      <c r="B2075" s="10">
        <v>39814.0</v>
      </c>
      <c r="C2075" s="11" t="s">
        <v>116</v>
      </c>
      <c r="D2075" s="11" t="s">
        <v>213</v>
      </c>
      <c r="E2075" s="11" t="s">
        <v>39</v>
      </c>
      <c r="F2075" s="11" t="s">
        <v>64</v>
      </c>
      <c r="G2075" s="11" t="s">
        <v>45</v>
      </c>
      <c r="H2075" s="11" t="s">
        <v>236</v>
      </c>
      <c r="I2075" s="11" t="s">
        <v>304</v>
      </c>
      <c r="J2075" s="11">
        <v>18.0</v>
      </c>
      <c r="K2075" s="12">
        <v>41450.0</v>
      </c>
      <c r="L2075" s="30"/>
      <c r="M2075" s="11">
        <v>621408.0</v>
      </c>
      <c r="N2075" s="11">
        <v>15089.0</v>
      </c>
      <c r="O2075" s="13" t="s">
        <v>355</v>
      </c>
      <c r="P2075" s="11">
        <v>35.0</v>
      </c>
      <c r="Q2075" s="14">
        <v>26.667</v>
      </c>
      <c r="R2075" s="41">
        <v>1.0</v>
      </c>
      <c r="S2075">
        <f t="shared" si="1"/>
        <v>2009</v>
      </c>
      <c r="T2075">
        <f t="shared" si="2"/>
        <v>1</v>
      </c>
      <c r="U2075">
        <f t="shared" si="3"/>
        <v>1</v>
      </c>
      <c r="AG2075" s="15"/>
      <c r="AH2075" s="16"/>
      <c r="AM2075" s="15"/>
      <c r="AN2075" s="16"/>
    </row>
    <row r="2076">
      <c r="A2076" s="13" t="s">
        <v>3774</v>
      </c>
      <c r="B2076" s="10">
        <v>39814.0</v>
      </c>
      <c r="C2076" s="11" t="s">
        <v>162</v>
      </c>
      <c r="D2076" s="11" t="s">
        <v>97</v>
      </c>
      <c r="E2076" s="30" t="s">
        <v>39</v>
      </c>
      <c r="F2076" s="11" t="s">
        <v>40</v>
      </c>
      <c r="G2076" s="41" t="s">
        <v>194</v>
      </c>
      <c r="H2076" s="30"/>
      <c r="I2076" s="30"/>
      <c r="J2076" s="11">
        <v>19.0</v>
      </c>
      <c r="K2076" s="12">
        <v>40708.0</v>
      </c>
      <c r="L2076" s="30"/>
      <c r="M2076" s="11">
        <v>518952.0</v>
      </c>
      <c r="N2076" s="11" t="s">
        <v>3775</v>
      </c>
      <c r="P2076" s="11">
        <v>0.0</v>
      </c>
      <c r="Q2076" s="14">
        <v>0.0</v>
      </c>
      <c r="R2076" s="41">
        <v>1.0</v>
      </c>
      <c r="S2076">
        <f t="shared" si="1"/>
        <v>2009</v>
      </c>
      <c r="T2076">
        <f t="shared" si="2"/>
        <v>1</v>
      </c>
      <c r="U2076">
        <f t="shared" si="3"/>
        <v>1</v>
      </c>
      <c r="AG2076" s="15"/>
      <c r="AH2076" s="16"/>
      <c r="AM2076" s="15"/>
      <c r="AN2076" s="16"/>
    </row>
    <row r="2077">
      <c r="A2077" s="13" t="s">
        <v>3776</v>
      </c>
      <c r="B2077" s="10">
        <v>39814.0</v>
      </c>
      <c r="C2077" s="11" t="s">
        <v>162</v>
      </c>
      <c r="D2077" s="11" t="s">
        <v>77</v>
      </c>
      <c r="E2077" s="30" t="s">
        <v>39</v>
      </c>
      <c r="F2077" s="11" t="s">
        <v>40</v>
      </c>
      <c r="G2077" s="41" t="s">
        <v>194</v>
      </c>
      <c r="H2077" s="30"/>
      <c r="I2077" s="30"/>
      <c r="J2077" s="11">
        <v>25.0</v>
      </c>
      <c r="K2077" s="12">
        <v>40370.0</v>
      </c>
      <c r="L2077" s="30"/>
      <c r="M2077" s="11">
        <v>460070.0</v>
      </c>
      <c r="N2077" s="11" t="s">
        <v>3777</v>
      </c>
      <c r="P2077" s="11">
        <v>0.0</v>
      </c>
      <c r="Q2077" s="14">
        <v>0.0</v>
      </c>
      <c r="R2077" s="41">
        <v>0.0</v>
      </c>
      <c r="S2077">
        <f t="shared" si="1"/>
        <v>2009</v>
      </c>
      <c r="T2077">
        <f t="shared" si="2"/>
        <v>1</v>
      </c>
      <c r="U2077">
        <f t="shared" si="3"/>
        <v>1</v>
      </c>
      <c r="AG2077" s="15"/>
      <c r="AH2077" s="16"/>
      <c r="AM2077" s="15"/>
      <c r="AN2077" s="16"/>
    </row>
    <row r="2078">
      <c r="A2078" s="13" t="s">
        <v>3778</v>
      </c>
      <c r="B2078" s="10">
        <v>39814.0</v>
      </c>
      <c r="C2078" s="11" t="s">
        <v>111</v>
      </c>
      <c r="D2078" s="11" t="s">
        <v>93</v>
      </c>
      <c r="E2078" s="41" t="s">
        <v>104</v>
      </c>
      <c r="F2078" s="11" t="s">
        <v>40</v>
      </c>
      <c r="G2078" s="30" t="s">
        <v>45</v>
      </c>
      <c r="H2078" s="11" t="s">
        <v>276</v>
      </c>
      <c r="I2078" s="11" t="s">
        <v>140</v>
      </c>
      <c r="J2078" s="11">
        <v>20.0</v>
      </c>
      <c r="K2078" s="12">
        <v>40727.0</v>
      </c>
      <c r="L2078" s="30"/>
      <c r="M2078" s="11">
        <v>592200.0</v>
      </c>
      <c r="N2078" s="11">
        <v>12510.0</v>
      </c>
      <c r="P2078" s="11">
        <v>161.0</v>
      </c>
      <c r="Q2078" s="14">
        <v>466.0</v>
      </c>
      <c r="R2078" s="41">
        <v>1.0</v>
      </c>
      <c r="S2078">
        <f t="shared" si="1"/>
        <v>2009</v>
      </c>
      <c r="T2078">
        <f t="shared" si="2"/>
        <v>1</v>
      </c>
      <c r="U2078">
        <f t="shared" si="3"/>
        <v>1</v>
      </c>
      <c r="AG2078" s="15"/>
      <c r="AH2078" s="16"/>
      <c r="AM2078" s="15"/>
      <c r="AN2078" s="16"/>
    </row>
    <row r="2079">
      <c r="A2079" s="13" t="s">
        <v>3779</v>
      </c>
      <c r="B2079" s="10">
        <v>39814.0</v>
      </c>
      <c r="C2079" s="11" t="s">
        <v>111</v>
      </c>
      <c r="D2079" s="11" t="s">
        <v>93</v>
      </c>
      <c r="E2079" s="11" t="s">
        <v>39</v>
      </c>
      <c r="F2079" s="11" t="s">
        <v>40</v>
      </c>
      <c r="G2079" s="11" t="s">
        <v>45</v>
      </c>
      <c r="H2079" s="11" t="s">
        <v>317</v>
      </c>
      <c r="I2079" s="11" t="s">
        <v>3780</v>
      </c>
      <c r="J2079" s="11">
        <v>19.0</v>
      </c>
      <c r="K2079" s="12">
        <v>40714.0</v>
      </c>
      <c r="L2079" s="30"/>
      <c r="M2079" s="11">
        <v>572080.0</v>
      </c>
      <c r="N2079" s="11" t="s">
        <v>3781</v>
      </c>
      <c r="P2079" s="11">
        <v>0.0</v>
      </c>
      <c r="Q2079" s="14">
        <v>0.0</v>
      </c>
      <c r="R2079" s="11">
        <v>1.0</v>
      </c>
      <c r="S2079">
        <f t="shared" si="1"/>
        <v>2009</v>
      </c>
      <c r="T2079">
        <f t="shared" si="2"/>
        <v>1</v>
      </c>
      <c r="U2079">
        <f t="shared" si="3"/>
        <v>1</v>
      </c>
      <c r="AG2079" s="15"/>
      <c r="AH2079" s="16"/>
      <c r="AM2079" s="15"/>
      <c r="AN2079" s="16"/>
    </row>
    <row r="2080">
      <c r="A2080" s="13" t="s">
        <v>3782</v>
      </c>
      <c r="B2080" s="10">
        <v>39814.0</v>
      </c>
      <c r="C2080" s="11" t="s">
        <v>52</v>
      </c>
      <c r="D2080" s="11" t="s">
        <v>221</v>
      </c>
      <c r="E2080" s="11" t="s">
        <v>39</v>
      </c>
      <c r="F2080" s="11" t="s">
        <v>40</v>
      </c>
      <c r="G2080" s="11" t="s">
        <v>2232</v>
      </c>
      <c r="H2080" s="11"/>
      <c r="I2080" s="11"/>
      <c r="J2080" s="11">
        <v>20.0</v>
      </c>
      <c r="K2080" s="12">
        <v>40351.0</v>
      </c>
      <c r="L2080" s="30"/>
      <c r="M2080" s="11">
        <v>500765.0</v>
      </c>
      <c r="N2080" s="11">
        <v>11543.0</v>
      </c>
      <c r="P2080" s="11">
        <v>16.0</v>
      </c>
      <c r="Q2080" s="14">
        <v>19.667</v>
      </c>
      <c r="R2080" s="41">
        <v>1.0</v>
      </c>
      <c r="S2080">
        <f t="shared" si="1"/>
        <v>2009</v>
      </c>
      <c r="T2080">
        <f t="shared" si="2"/>
        <v>1</v>
      </c>
      <c r="U2080">
        <f t="shared" si="3"/>
        <v>1</v>
      </c>
      <c r="AG2080" s="15"/>
      <c r="AH2080" s="16"/>
      <c r="AM2080" s="15"/>
      <c r="AN2080" s="16"/>
    </row>
    <row r="2081">
      <c r="A2081" s="13" t="s">
        <v>3783</v>
      </c>
      <c r="B2081" s="10">
        <v>39814.0</v>
      </c>
      <c r="C2081" s="11" t="s">
        <v>358</v>
      </c>
      <c r="D2081" s="11" t="s">
        <v>213</v>
      </c>
      <c r="E2081" s="30" t="s">
        <v>39</v>
      </c>
      <c r="F2081" s="11" t="s">
        <v>40</v>
      </c>
      <c r="G2081" s="30" t="s">
        <v>45</v>
      </c>
      <c r="H2081" s="11" t="s">
        <v>566</v>
      </c>
      <c r="I2081" s="11"/>
      <c r="J2081" s="11">
        <v>16.0</v>
      </c>
      <c r="K2081" s="12">
        <v>41105.0</v>
      </c>
      <c r="L2081" s="30"/>
      <c r="M2081" s="11">
        <v>606935.0</v>
      </c>
      <c r="N2081" s="11" t="s">
        <v>3784</v>
      </c>
      <c r="P2081" s="11">
        <v>0.0</v>
      </c>
      <c r="Q2081" s="14">
        <v>0.0</v>
      </c>
      <c r="R2081" s="41">
        <v>1.0</v>
      </c>
      <c r="S2081">
        <f t="shared" si="1"/>
        <v>2009</v>
      </c>
      <c r="T2081">
        <f t="shared" si="2"/>
        <v>1</v>
      </c>
      <c r="U2081">
        <f t="shared" si="3"/>
        <v>1</v>
      </c>
      <c r="AG2081" s="15"/>
      <c r="AH2081" s="16"/>
      <c r="AM2081" s="15"/>
      <c r="AN2081" s="16"/>
    </row>
    <row r="2082">
      <c r="A2082" s="13" t="s">
        <v>2637</v>
      </c>
      <c r="B2082" s="10">
        <v>39814.0</v>
      </c>
      <c r="C2082" s="11" t="s">
        <v>346</v>
      </c>
      <c r="D2082" s="11" t="s">
        <v>93</v>
      </c>
      <c r="E2082" s="30" t="s">
        <v>39</v>
      </c>
      <c r="F2082" s="11" t="s">
        <v>40</v>
      </c>
      <c r="G2082" s="30" t="s">
        <v>45</v>
      </c>
      <c r="H2082" s="11" t="s">
        <v>56</v>
      </c>
      <c r="I2082" s="11" t="s">
        <v>294</v>
      </c>
      <c r="J2082" s="11">
        <v>19.0</v>
      </c>
      <c r="K2082" s="12">
        <v>41452.0</v>
      </c>
      <c r="L2082" s="30"/>
      <c r="M2082" s="11">
        <v>643546.0</v>
      </c>
      <c r="N2082" s="11" t="s">
        <v>2638</v>
      </c>
      <c r="P2082" s="11">
        <v>0.0</v>
      </c>
      <c r="Q2082" s="14">
        <v>0.0</v>
      </c>
      <c r="R2082" s="41">
        <v>0.0</v>
      </c>
      <c r="S2082">
        <f t="shared" si="1"/>
        <v>2009</v>
      </c>
      <c r="T2082">
        <f t="shared" si="2"/>
        <v>1</v>
      </c>
      <c r="U2082">
        <f t="shared" si="3"/>
        <v>1</v>
      </c>
      <c r="AG2082" s="15"/>
      <c r="AH2082" s="16"/>
      <c r="AM2082" s="15"/>
      <c r="AN2082" s="16"/>
    </row>
    <row r="2083">
      <c r="A2083" s="13" t="s">
        <v>3785</v>
      </c>
      <c r="B2083" s="10">
        <v>39814.0</v>
      </c>
      <c r="C2083" s="11" t="s">
        <v>37</v>
      </c>
      <c r="D2083" s="11" t="s">
        <v>709</v>
      </c>
      <c r="E2083" s="11" t="s">
        <v>39</v>
      </c>
      <c r="F2083" s="11" t="s">
        <v>40</v>
      </c>
      <c r="G2083" s="11" t="s">
        <v>45</v>
      </c>
      <c r="H2083" s="11" t="s">
        <v>729</v>
      </c>
      <c r="I2083" s="11" t="s">
        <v>276</v>
      </c>
      <c r="J2083" s="11">
        <v>21.0</v>
      </c>
      <c r="K2083" s="12">
        <v>40423.0</v>
      </c>
      <c r="L2083" s="30"/>
      <c r="M2083" s="11">
        <v>518976.0</v>
      </c>
      <c r="N2083" s="11" t="s">
        <v>3786</v>
      </c>
      <c r="O2083" s="13" t="s">
        <v>761</v>
      </c>
      <c r="P2083" s="11">
        <v>0.0</v>
      </c>
      <c r="Q2083" s="14">
        <v>0.0</v>
      </c>
      <c r="R2083" s="11">
        <v>0.0</v>
      </c>
      <c r="S2083">
        <f t="shared" si="1"/>
        <v>2009</v>
      </c>
      <c r="T2083">
        <f t="shared" si="2"/>
        <v>1</v>
      </c>
      <c r="U2083">
        <f t="shared" si="3"/>
        <v>1</v>
      </c>
      <c r="Z2083" s="17">
        <v>40361.0</v>
      </c>
      <c r="AG2083" s="15"/>
      <c r="AH2083" s="16"/>
      <c r="AM2083" s="15"/>
      <c r="AN2083" s="16"/>
    </row>
    <row r="2084">
      <c r="A2084" s="13" t="s">
        <v>3787</v>
      </c>
      <c r="B2084" s="10">
        <v>39814.0</v>
      </c>
      <c r="C2084" s="11" t="s">
        <v>37</v>
      </c>
      <c r="D2084" s="11" t="s">
        <v>58</v>
      </c>
      <c r="E2084" s="30" t="s">
        <v>39</v>
      </c>
      <c r="F2084" s="11" t="s">
        <v>40</v>
      </c>
      <c r="G2084" s="30" t="s">
        <v>45</v>
      </c>
      <c r="H2084" s="11" t="s">
        <v>112</v>
      </c>
      <c r="I2084" s="11"/>
      <c r="J2084" s="11">
        <v>23.0</v>
      </c>
      <c r="K2084" s="12">
        <v>40647.0</v>
      </c>
      <c r="L2084" s="30"/>
      <c r="M2084" s="11">
        <v>448249.0</v>
      </c>
      <c r="N2084" s="11" t="s">
        <v>3788</v>
      </c>
      <c r="P2084" s="11">
        <v>0.0</v>
      </c>
      <c r="Q2084" s="14">
        <v>0.0</v>
      </c>
      <c r="R2084" s="41">
        <v>0.0</v>
      </c>
      <c r="S2084">
        <f t="shared" si="1"/>
        <v>2009</v>
      </c>
      <c r="T2084">
        <f t="shared" si="2"/>
        <v>1</v>
      </c>
      <c r="U2084">
        <f t="shared" si="3"/>
        <v>1</v>
      </c>
      <c r="AG2084" s="15"/>
      <c r="AH2084" s="16"/>
      <c r="AM2084" s="15"/>
      <c r="AN2084" s="16"/>
    </row>
    <row r="2085">
      <c r="A2085" s="13" t="s">
        <v>3789</v>
      </c>
      <c r="B2085" s="10">
        <v>39814.0</v>
      </c>
      <c r="C2085" s="11" t="s">
        <v>55</v>
      </c>
      <c r="D2085" s="11" t="s">
        <v>93</v>
      </c>
      <c r="E2085" s="11" t="s">
        <v>118</v>
      </c>
      <c r="F2085" s="11" t="s">
        <v>64</v>
      </c>
      <c r="G2085" s="11" t="s">
        <v>45</v>
      </c>
      <c r="H2085" s="11" t="s">
        <v>67</v>
      </c>
      <c r="I2085" s="11" t="s">
        <v>375</v>
      </c>
      <c r="J2085" s="11">
        <v>22.0</v>
      </c>
      <c r="K2085" s="12">
        <v>40330.0</v>
      </c>
      <c r="L2085" s="30"/>
      <c r="M2085" s="11">
        <v>489264.0</v>
      </c>
      <c r="N2085" s="11" t="s">
        <v>3790</v>
      </c>
      <c r="P2085" s="11">
        <v>0.0</v>
      </c>
      <c r="Q2085" s="14">
        <v>0.0</v>
      </c>
      <c r="R2085" s="41">
        <v>0.0</v>
      </c>
      <c r="S2085">
        <f t="shared" si="1"/>
        <v>2009</v>
      </c>
      <c r="T2085">
        <f t="shared" si="2"/>
        <v>1</v>
      </c>
      <c r="U2085">
        <f t="shared" si="3"/>
        <v>1</v>
      </c>
      <c r="AG2085" s="15"/>
      <c r="AH2085" s="16"/>
      <c r="AM2085" s="15"/>
      <c r="AN2085" s="16"/>
    </row>
    <row r="2086">
      <c r="A2086" s="13" t="s">
        <v>3791</v>
      </c>
      <c r="B2086" s="10">
        <v>39814.0</v>
      </c>
      <c r="C2086" s="11" t="s">
        <v>49</v>
      </c>
      <c r="D2086" s="11" t="s">
        <v>97</v>
      </c>
      <c r="E2086" s="30" t="s">
        <v>39</v>
      </c>
      <c r="F2086" s="11" t="s">
        <v>40</v>
      </c>
      <c r="G2086" s="30" t="s">
        <v>45</v>
      </c>
      <c r="H2086" s="11" t="s">
        <v>67</v>
      </c>
      <c r="I2086" s="11" t="s">
        <v>3792</v>
      </c>
      <c r="J2086" s="11">
        <v>21.0</v>
      </c>
      <c r="K2086" s="12">
        <v>41005.0</v>
      </c>
      <c r="L2086" s="30"/>
      <c r="M2086" s="11">
        <v>458720.0</v>
      </c>
      <c r="N2086" s="11">
        <v>9392.0</v>
      </c>
      <c r="P2086" s="11">
        <v>9.0</v>
      </c>
      <c r="Q2086" s="14">
        <v>9.0</v>
      </c>
      <c r="R2086" s="11">
        <v>0.0</v>
      </c>
      <c r="S2086">
        <f t="shared" si="1"/>
        <v>2009</v>
      </c>
      <c r="T2086">
        <f t="shared" si="2"/>
        <v>1</v>
      </c>
      <c r="U2086">
        <f t="shared" si="3"/>
        <v>1</v>
      </c>
      <c r="AG2086" s="15"/>
      <c r="AH2086" s="16"/>
      <c r="AM2086" s="15"/>
      <c r="AN2086" s="16"/>
    </row>
    <row r="2087">
      <c r="A2087" s="13" t="s">
        <v>3793</v>
      </c>
      <c r="B2087" s="10">
        <v>39814.0</v>
      </c>
      <c r="C2087" s="11" t="s">
        <v>274</v>
      </c>
      <c r="D2087" s="11" t="s">
        <v>97</v>
      </c>
      <c r="E2087" s="11" t="s">
        <v>118</v>
      </c>
      <c r="F2087" s="11" t="s">
        <v>64</v>
      </c>
      <c r="G2087" s="11" t="s">
        <v>45</v>
      </c>
      <c r="H2087" s="11" t="s">
        <v>67</v>
      </c>
      <c r="I2087" s="11" t="s">
        <v>3794</v>
      </c>
      <c r="J2087" s="11">
        <v>21.0</v>
      </c>
      <c r="K2087" s="12">
        <v>40392.0</v>
      </c>
      <c r="L2087" s="30"/>
      <c r="M2087" s="11">
        <v>518938.0</v>
      </c>
      <c r="N2087" s="11" t="s">
        <v>3795</v>
      </c>
      <c r="P2087" s="11">
        <v>0.0</v>
      </c>
      <c r="Q2087" s="14">
        <v>0.0</v>
      </c>
      <c r="R2087" s="41">
        <v>0.0</v>
      </c>
      <c r="S2087">
        <f t="shared" si="1"/>
        <v>2009</v>
      </c>
      <c r="T2087">
        <f t="shared" si="2"/>
        <v>1</v>
      </c>
      <c r="U2087">
        <f t="shared" si="3"/>
        <v>1</v>
      </c>
      <c r="AG2087" s="15"/>
      <c r="AH2087" s="16"/>
      <c r="AM2087" s="15"/>
      <c r="AN2087" s="16"/>
    </row>
    <row r="2088">
      <c r="A2088" s="13" t="s">
        <v>3796</v>
      </c>
      <c r="B2088" s="10">
        <v>39814.0</v>
      </c>
      <c r="C2088" s="11" t="s">
        <v>150</v>
      </c>
      <c r="D2088" s="11" t="s">
        <v>88</v>
      </c>
      <c r="E2088" s="30" t="s">
        <v>39</v>
      </c>
      <c r="F2088" s="11" t="s">
        <v>40</v>
      </c>
      <c r="G2088" s="30" t="s">
        <v>45</v>
      </c>
      <c r="H2088" s="11" t="s">
        <v>109</v>
      </c>
      <c r="I2088" s="11" t="s">
        <v>3797</v>
      </c>
      <c r="J2088" s="11">
        <v>23.0</v>
      </c>
      <c r="K2088" s="12">
        <v>40324.0</v>
      </c>
      <c r="L2088" s="30"/>
      <c r="M2088" s="11">
        <v>461408.0</v>
      </c>
      <c r="N2088" s="11" t="s">
        <v>3798</v>
      </c>
      <c r="P2088" s="11">
        <v>0.0</v>
      </c>
      <c r="Q2088" s="14">
        <v>0.0</v>
      </c>
      <c r="R2088" s="41">
        <v>0.0</v>
      </c>
      <c r="S2088">
        <f t="shared" si="1"/>
        <v>2009</v>
      </c>
      <c r="T2088">
        <f t="shared" si="2"/>
        <v>1</v>
      </c>
      <c r="U2088">
        <f t="shared" si="3"/>
        <v>1</v>
      </c>
      <c r="AG2088" s="15"/>
      <c r="AH2088" s="16"/>
      <c r="AM2088" s="15"/>
      <c r="AN2088" s="16"/>
    </row>
    <row r="2089">
      <c r="A2089" s="13" t="s">
        <v>3799</v>
      </c>
      <c r="B2089" s="10">
        <v>39814.0</v>
      </c>
      <c r="C2089" s="11" t="s">
        <v>150</v>
      </c>
      <c r="D2089" s="11" t="s">
        <v>221</v>
      </c>
      <c r="E2089" s="11" t="s">
        <v>39</v>
      </c>
      <c r="F2089" s="11" t="s">
        <v>64</v>
      </c>
      <c r="G2089" s="11" t="s">
        <v>53</v>
      </c>
      <c r="H2089" s="11"/>
      <c r="I2089" s="11"/>
      <c r="J2089" s="11">
        <v>17.0</v>
      </c>
      <c r="K2089" s="12">
        <v>40714.0</v>
      </c>
      <c r="L2089" s="30"/>
      <c r="M2089" s="11">
        <v>542587.0</v>
      </c>
      <c r="N2089" s="11">
        <v>12854.0</v>
      </c>
      <c r="P2089" s="11">
        <v>72.0</v>
      </c>
      <c r="Q2089" s="14">
        <v>62.0</v>
      </c>
      <c r="R2089" s="41">
        <v>1.0</v>
      </c>
      <c r="S2089">
        <f t="shared" si="1"/>
        <v>2009</v>
      </c>
      <c r="T2089">
        <f t="shared" si="2"/>
        <v>1</v>
      </c>
      <c r="U2089">
        <f t="shared" si="3"/>
        <v>1</v>
      </c>
      <c r="AG2089" s="15"/>
      <c r="AH2089" s="16"/>
      <c r="AM2089" s="15"/>
      <c r="AN2089" s="16"/>
    </row>
    <row r="2090">
      <c r="A2090" s="13" t="s">
        <v>3800</v>
      </c>
      <c r="B2090" s="10">
        <v>39814.0</v>
      </c>
      <c r="C2090" s="11" t="s">
        <v>175</v>
      </c>
      <c r="D2090" s="11" t="s">
        <v>709</v>
      </c>
      <c r="E2090" s="30" t="s">
        <v>39</v>
      </c>
      <c r="F2090" s="11" t="s">
        <v>40</v>
      </c>
      <c r="G2090" s="30" t="s">
        <v>45</v>
      </c>
      <c r="H2090" s="11" t="s">
        <v>84</v>
      </c>
      <c r="I2090" s="11"/>
      <c r="J2090" s="11">
        <v>19.0</v>
      </c>
      <c r="K2090" s="12">
        <v>40688.0</v>
      </c>
      <c r="L2090" s="30"/>
      <c r="M2090" s="11">
        <v>543924.0</v>
      </c>
      <c r="N2090" s="11" t="s">
        <v>3801</v>
      </c>
      <c r="P2090" s="11">
        <v>0.0</v>
      </c>
      <c r="Q2090" s="14">
        <v>0.0</v>
      </c>
      <c r="R2090" s="41">
        <v>0.0</v>
      </c>
      <c r="S2090">
        <f t="shared" si="1"/>
        <v>2009</v>
      </c>
      <c r="T2090">
        <f t="shared" si="2"/>
        <v>1</v>
      </c>
      <c r="U2090">
        <f t="shared" si="3"/>
        <v>1</v>
      </c>
      <c r="AG2090" s="15"/>
      <c r="AH2090" s="16"/>
      <c r="AM2090" s="15"/>
      <c r="AN2090" s="16"/>
    </row>
    <row r="2091">
      <c r="A2091" s="13" t="s">
        <v>3802</v>
      </c>
      <c r="B2091" s="10">
        <v>39814.0</v>
      </c>
      <c r="C2091" s="11" t="s">
        <v>175</v>
      </c>
      <c r="D2091" s="11" t="s">
        <v>58</v>
      </c>
      <c r="E2091" s="30" t="s">
        <v>39</v>
      </c>
      <c r="F2091" s="11" t="s">
        <v>64</v>
      </c>
      <c r="G2091" s="30" t="s">
        <v>45</v>
      </c>
      <c r="H2091" s="11" t="s">
        <v>262</v>
      </c>
      <c r="I2091" s="11" t="s">
        <v>163</v>
      </c>
      <c r="J2091" s="11">
        <v>24.0</v>
      </c>
      <c r="K2091" s="12">
        <v>40743.0</v>
      </c>
      <c r="L2091" s="30"/>
      <c r="M2091" s="11">
        <v>489336.0</v>
      </c>
      <c r="N2091" s="11" t="s">
        <v>3803</v>
      </c>
      <c r="P2091" s="11">
        <v>0.0</v>
      </c>
      <c r="Q2091" s="14">
        <v>0.0</v>
      </c>
      <c r="R2091" s="41">
        <v>0.0</v>
      </c>
      <c r="S2091">
        <f t="shared" si="1"/>
        <v>2009</v>
      </c>
      <c r="T2091">
        <f t="shared" si="2"/>
        <v>1</v>
      </c>
      <c r="U2091">
        <f t="shared" si="3"/>
        <v>1</v>
      </c>
      <c r="AG2091" s="15"/>
      <c r="AH2091" s="16"/>
      <c r="AM2091" s="15"/>
      <c r="AN2091" s="16"/>
    </row>
    <row r="2092">
      <c r="A2092" s="13" t="s">
        <v>3804</v>
      </c>
      <c r="B2092" s="10">
        <v>39814.0</v>
      </c>
      <c r="C2092" s="11" t="s">
        <v>175</v>
      </c>
      <c r="D2092" s="11" t="s">
        <v>221</v>
      </c>
      <c r="E2092" s="30" t="s">
        <v>39</v>
      </c>
      <c r="F2092" s="11" t="s">
        <v>64</v>
      </c>
      <c r="G2092" s="41" t="s">
        <v>194</v>
      </c>
      <c r="H2092" s="30"/>
      <c r="I2092" s="30"/>
      <c r="J2092" s="11">
        <v>23.0</v>
      </c>
      <c r="K2092" s="12">
        <v>40646.0</v>
      </c>
      <c r="L2092" s="30"/>
      <c r="M2092" s="11">
        <v>452027.0</v>
      </c>
      <c r="N2092" s="11">
        <v>7853.0</v>
      </c>
      <c r="P2092" s="11">
        <v>26.0</v>
      </c>
      <c r="Q2092" s="14">
        <v>120.667</v>
      </c>
      <c r="R2092" s="41">
        <v>1.0</v>
      </c>
      <c r="S2092">
        <f t="shared" si="1"/>
        <v>2009</v>
      </c>
      <c r="T2092">
        <f t="shared" si="2"/>
        <v>1</v>
      </c>
      <c r="U2092">
        <f t="shared" si="3"/>
        <v>1</v>
      </c>
      <c r="AG2092" s="15"/>
      <c r="AH2092" s="16"/>
      <c r="AM2092" s="15"/>
      <c r="AN2092" s="16"/>
    </row>
    <row r="2093">
      <c r="A2093" s="13" t="s">
        <v>3805</v>
      </c>
      <c r="B2093" s="10">
        <v>39814.0</v>
      </c>
      <c r="C2093" s="11" t="s">
        <v>62</v>
      </c>
      <c r="D2093" s="11" t="s">
        <v>77</v>
      </c>
      <c r="E2093" s="30" t="s">
        <v>39</v>
      </c>
      <c r="F2093" s="11" t="s">
        <v>40</v>
      </c>
      <c r="G2093" s="30" t="s">
        <v>45</v>
      </c>
      <c r="H2093" s="11" t="s">
        <v>84</v>
      </c>
      <c r="I2093" s="11" t="s">
        <v>3806</v>
      </c>
      <c r="J2093" s="11">
        <v>24.0</v>
      </c>
      <c r="K2093" s="12">
        <v>40640.0</v>
      </c>
      <c r="L2093" s="30"/>
      <c r="M2093" s="11">
        <v>519096.0</v>
      </c>
      <c r="N2093" s="11">
        <v>7385.0</v>
      </c>
      <c r="P2093" s="11">
        <v>272.0</v>
      </c>
      <c r="Q2093" s="14">
        <v>315.333</v>
      </c>
      <c r="R2093" s="41">
        <v>1.0</v>
      </c>
      <c r="S2093">
        <f t="shared" si="1"/>
        <v>2009</v>
      </c>
      <c r="T2093">
        <f t="shared" si="2"/>
        <v>1</v>
      </c>
      <c r="U2093">
        <f t="shared" si="3"/>
        <v>1</v>
      </c>
      <c r="AG2093" s="15"/>
      <c r="AH2093" s="16"/>
      <c r="AM2093" s="15"/>
      <c r="AN2093" s="16"/>
    </row>
    <row r="2094">
      <c r="A2094" s="13" t="s">
        <v>2657</v>
      </c>
      <c r="B2094" s="10">
        <v>39814.0</v>
      </c>
      <c r="C2094" s="11" t="s">
        <v>62</v>
      </c>
      <c r="D2094" s="11" t="s">
        <v>213</v>
      </c>
      <c r="E2094" s="11" t="s">
        <v>39</v>
      </c>
      <c r="F2094" s="11" t="s">
        <v>40</v>
      </c>
      <c r="G2094" s="11" t="s">
        <v>45</v>
      </c>
      <c r="H2094" s="11" t="s">
        <v>67</v>
      </c>
      <c r="I2094" s="11" t="s">
        <v>190</v>
      </c>
      <c r="J2094" s="11">
        <v>17.0</v>
      </c>
      <c r="K2094" s="12">
        <v>41474.0</v>
      </c>
      <c r="L2094" s="30"/>
      <c r="M2094" s="11">
        <v>594589.0</v>
      </c>
      <c r="N2094" s="11" t="s">
        <v>2658</v>
      </c>
      <c r="O2094" s="13" t="s">
        <v>3309</v>
      </c>
      <c r="P2094" s="11">
        <v>0.0</v>
      </c>
      <c r="Q2094" s="14">
        <v>0.0</v>
      </c>
      <c r="R2094" s="11">
        <v>0.0</v>
      </c>
      <c r="S2094">
        <f t="shared" si="1"/>
        <v>2009</v>
      </c>
      <c r="T2094">
        <f t="shared" si="2"/>
        <v>1</v>
      </c>
      <c r="U2094">
        <f t="shared" si="3"/>
        <v>1</v>
      </c>
      <c r="AG2094" s="15"/>
      <c r="AH2094" s="16"/>
      <c r="AM2094" s="15"/>
      <c r="AN2094" s="16"/>
    </row>
    <row r="2095">
      <c r="A2095" s="13" t="s">
        <v>3807</v>
      </c>
      <c r="B2095" s="10">
        <v>39814.0</v>
      </c>
      <c r="C2095" s="11" t="s">
        <v>83</v>
      </c>
      <c r="D2095" s="11" t="s">
        <v>213</v>
      </c>
      <c r="E2095" s="11" t="s">
        <v>39</v>
      </c>
      <c r="F2095" s="11" t="s">
        <v>40</v>
      </c>
      <c r="G2095" s="11" t="s">
        <v>45</v>
      </c>
      <c r="H2095" s="11" t="s">
        <v>74</v>
      </c>
      <c r="I2095" s="11" t="s">
        <v>3307</v>
      </c>
      <c r="J2095" s="11">
        <v>18.0</v>
      </c>
      <c r="K2095" s="12">
        <v>41446.0</v>
      </c>
      <c r="L2095" s="30"/>
      <c r="M2095" s="11">
        <v>641972.0</v>
      </c>
      <c r="N2095" s="11" t="s">
        <v>3808</v>
      </c>
      <c r="P2095" s="11">
        <v>0.0</v>
      </c>
      <c r="Q2095" s="14">
        <v>0.0</v>
      </c>
      <c r="R2095" s="41">
        <v>0.0</v>
      </c>
      <c r="S2095">
        <f t="shared" si="1"/>
        <v>2009</v>
      </c>
      <c r="T2095">
        <f t="shared" si="2"/>
        <v>1</v>
      </c>
      <c r="U2095">
        <f t="shared" si="3"/>
        <v>1</v>
      </c>
      <c r="AG2095" s="15"/>
      <c r="AH2095" s="16"/>
      <c r="AM2095" s="15"/>
      <c r="AN2095" s="16"/>
    </row>
    <row r="2096">
      <c r="A2096" s="13" t="s">
        <v>3809</v>
      </c>
      <c r="B2096" s="10">
        <v>39814.0</v>
      </c>
      <c r="C2096" s="11" t="s">
        <v>156</v>
      </c>
      <c r="D2096" s="11" t="s">
        <v>709</v>
      </c>
      <c r="E2096" s="30" t="s">
        <v>39</v>
      </c>
      <c r="F2096" s="11" t="s">
        <v>40</v>
      </c>
      <c r="G2096" s="41" t="s">
        <v>53</v>
      </c>
      <c r="H2096" s="30"/>
      <c r="I2096" s="30"/>
      <c r="J2096" s="11">
        <v>19.0</v>
      </c>
      <c r="K2096" s="12">
        <v>40366.0</v>
      </c>
      <c r="L2096" s="30"/>
      <c r="M2096" s="11">
        <v>544150.0</v>
      </c>
      <c r="N2096" s="11">
        <v>6175.0</v>
      </c>
      <c r="P2096" s="11">
        <v>40.0</v>
      </c>
      <c r="Q2096" s="14">
        <v>115.667</v>
      </c>
      <c r="R2096" s="41">
        <v>1.0</v>
      </c>
      <c r="S2096">
        <f t="shared" si="1"/>
        <v>2009</v>
      </c>
      <c r="T2096">
        <f t="shared" si="2"/>
        <v>1</v>
      </c>
      <c r="U2096">
        <f t="shared" si="3"/>
        <v>1</v>
      </c>
      <c r="AG2096" s="15"/>
      <c r="AH2096" s="16"/>
      <c r="AM2096" s="15"/>
      <c r="AN2096" s="16"/>
    </row>
    <row r="2097">
      <c r="A2097" s="13" t="s">
        <v>3810</v>
      </c>
      <c r="B2097" s="10">
        <v>39814.0</v>
      </c>
      <c r="C2097" s="11" t="s">
        <v>156</v>
      </c>
      <c r="D2097" s="11" t="s">
        <v>93</v>
      </c>
      <c r="E2097" s="30" t="s">
        <v>39</v>
      </c>
      <c r="F2097" s="11" t="s">
        <v>64</v>
      </c>
      <c r="G2097" s="30" t="s">
        <v>45</v>
      </c>
      <c r="H2097" s="11" t="s">
        <v>109</v>
      </c>
      <c r="I2097" s="11" t="s">
        <v>789</v>
      </c>
      <c r="J2097" s="11">
        <v>22.0</v>
      </c>
      <c r="K2097" s="12">
        <v>40353.0</v>
      </c>
      <c r="L2097" s="30"/>
      <c r="M2097" s="11">
        <v>571893.0</v>
      </c>
      <c r="N2097" s="11">
        <v>10637.0</v>
      </c>
      <c r="P2097" s="11">
        <v>101.0</v>
      </c>
      <c r="Q2097" s="14">
        <v>75.667</v>
      </c>
      <c r="R2097" s="41">
        <v>1.0</v>
      </c>
      <c r="S2097">
        <f t="shared" si="1"/>
        <v>2009</v>
      </c>
      <c r="T2097">
        <f t="shared" si="2"/>
        <v>1</v>
      </c>
      <c r="U2097">
        <f t="shared" si="3"/>
        <v>1</v>
      </c>
      <c r="AG2097" s="15"/>
      <c r="AH2097" s="16"/>
      <c r="AM2097" s="15"/>
      <c r="AN2097" s="16"/>
    </row>
    <row r="2098">
      <c r="A2098" s="13" t="s">
        <v>3811</v>
      </c>
      <c r="B2098" s="10">
        <v>39763.0</v>
      </c>
      <c r="C2098" s="11" t="s">
        <v>103</v>
      </c>
      <c r="D2098" s="11" t="s">
        <v>38</v>
      </c>
      <c r="E2098" s="30" t="s">
        <v>39</v>
      </c>
      <c r="F2098" s="11" t="s">
        <v>40</v>
      </c>
      <c r="G2098" s="30" t="s">
        <v>45</v>
      </c>
      <c r="H2098" s="11" t="s">
        <v>258</v>
      </c>
      <c r="I2098" s="11" t="s">
        <v>3812</v>
      </c>
      <c r="J2098" s="11">
        <v>27.0</v>
      </c>
      <c r="K2098" s="12">
        <v>40273.0</v>
      </c>
      <c r="L2098" s="11">
        <f t="shared" ref="L2098:L2105" si="222">ROUND(((K2098-B2098)/365)*12,0)</f>
        <v>17</v>
      </c>
      <c r="M2098" s="11">
        <v>450212.0</v>
      </c>
      <c r="N2098" s="11">
        <v>4682.0</v>
      </c>
      <c r="O2098" s="13" t="s">
        <v>3534</v>
      </c>
      <c r="P2098" s="11">
        <v>330.0</v>
      </c>
      <c r="Q2098" s="14">
        <v>284.667</v>
      </c>
      <c r="R2098" s="41">
        <v>1.0</v>
      </c>
      <c r="S2098">
        <f t="shared" si="1"/>
        <v>2008</v>
      </c>
      <c r="T2098">
        <f t="shared" si="2"/>
        <v>11</v>
      </c>
      <c r="U2098">
        <f t="shared" si="3"/>
        <v>11</v>
      </c>
      <c r="AG2098" s="15"/>
      <c r="AH2098" s="16"/>
      <c r="AM2098" s="15"/>
      <c r="AN2098" s="16"/>
    </row>
    <row r="2099">
      <c r="A2099" s="13" t="s">
        <v>3813</v>
      </c>
      <c r="B2099" s="10">
        <v>39735.0</v>
      </c>
      <c r="C2099" s="11" t="s">
        <v>192</v>
      </c>
      <c r="D2099" s="11" t="s">
        <v>77</v>
      </c>
      <c r="E2099" s="30" t="s">
        <v>39</v>
      </c>
      <c r="F2099" s="11" t="s">
        <v>40</v>
      </c>
      <c r="G2099" s="30" t="s">
        <v>45</v>
      </c>
      <c r="H2099" s="11" t="s">
        <v>67</v>
      </c>
      <c r="I2099" s="11" t="s">
        <v>140</v>
      </c>
      <c r="J2099" s="11">
        <v>23.0</v>
      </c>
      <c r="K2099" s="12">
        <v>40640.0</v>
      </c>
      <c r="L2099" s="11">
        <f t="shared" si="222"/>
        <v>30</v>
      </c>
      <c r="M2099" s="11">
        <v>502255.0</v>
      </c>
      <c r="N2099" s="11" t="s">
        <v>3814</v>
      </c>
      <c r="P2099" s="11">
        <v>0.0</v>
      </c>
      <c r="Q2099" s="14">
        <v>0.0</v>
      </c>
      <c r="R2099" s="41">
        <v>1.0</v>
      </c>
      <c r="S2099">
        <f t="shared" si="1"/>
        <v>2008</v>
      </c>
      <c r="T2099">
        <f t="shared" si="2"/>
        <v>10</v>
      </c>
      <c r="U2099">
        <f t="shared" si="3"/>
        <v>14</v>
      </c>
      <c r="AG2099" s="15"/>
      <c r="AH2099" s="16"/>
      <c r="AM2099" s="15"/>
      <c r="AN2099" s="16"/>
    </row>
    <row r="2100">
      <c r="A2100" s="13" t="s">
        <v>3815</v>
      </c>
      <c r="B2100" s="10">
        <v>39721.0</v>
      </c>
      <c r="C2100" s="11" t="s">
        <v>235</v>
      </c>
      <c r="D2100" s="11" t="s">
        <v>38</v>
      </c>
      <c r="E2100" s="30" t="s">
        <v>39</v>
      </c>
      <c r="F2100" s="11" t="s">
        <v>40</v>
      </c>
      <c r="G2100" s="30" t="s">
        <v>45</v>
      </c>
      <c r="H2100" s="11" t="s">
        <v>74</v>
      </c>
      <c r="I2100" s="11" t="s">
        <v>3816</v>
      </c>
      <c r="J2100" s="11">
        <v>26.0</v>
      </c>
      <c r="K2100" s="12">
        <v>40273.0</v>
      </c>
      <c r="L2100" s="11">
        <f t="shared" si="222"/>
        <v>18</v>
      </c>
      <c r="M2100" s="11">
        <v>451788.0</v>
      </c>
      <c r="N2100" s="11">
        <v>6204.0</v>
      </c>
      <c r="O2100" s="13" t="s">
        <v>761</v>
      </c>
      <c r="P2100" s="11">
        <v>106.0</v>
      </c>
      <c r="Q2100" s="14">
        <v>633.333</v>
      </c>
      <c r="R2100" s="11">
        <v>0.0</v>
      </c>
      <c r="S2100">
        <f t="shared" si="1"/>
        <v>2008</v>
      </c>
      <c r="T2100">
        <f t="shared" si="2"/>
        <v>9</v>
      </c>
      <c r="U2100">
        <f t="shared" si="3"/>
        <v>30</v>
      </c>
      <c r="V2100" s="13"/>
      <c r="W2100" s="13"/>
      <c r="X2100" s="13"/>
      <c r="Y2100" s="13"/>
      <c r="Z2100" s="13"/>
      <c r="AA2100" s="13"/>
      <c r="AB2100" s="13"/>
      <c r="AC2100" s="13"/>
      <c r="AD2100" s="13"/>
      <c r="AE2100" s="13">
        <v>25.0</v>
      </c>
      <c r="AF2100" s="13">
        <v>25.0</v>
      </c>
      <c r="AG2100" s="50">
        <v>151.333</v>
      </c>
      <c r="AH2100" s="51">
        <v>0.116</v>
      </c>
      <c r="AI2100" s="13">
        <v>78.0</v>
      </c>
      <c r="AJ2100" s="13">
        <v>102.0</v>
      </c>
      <c r="AK2100" s="13">
        <v>31.0</v>
      </c>
      <c r="AL2100" s="13">
        <v>31.0</v>
      </c>
      <c r="AM2100" s="50">
        <v>195.333</v>
      </c>
      <c r="AN2100" s="51">
        <v>0.153</v>
      </c>
      <c r="AO2100" s="13">
        <v>87.0</v>
      </c>
      <c r="AP2100" s="13">
        <v>88.0</v>
      </c>
    </row>
    <row r="2101">
      <c r="A2101" s="13" t="s">
        <v>3817</v>
      </c>
      <c r="B2101" s="10">
        <v>39714.0</v>
      </c>
      <c r="C2101" s="11" t="s">
        <v>72</v>
      </c>
      <c r="D2101" s="11" t="s">
        <v>709</v>
      </c>
      <c r="E2101" s="30" t="s">
        <v>39</v>
      </c>
      <c r="F2101" s="11" t="s">
        <v>64</v>
      </c>
      <c r="G2101" s="30" t="s">
        <v>45</v>
      </c>
      <c r="H2101" s="11" t="s">
        <v>56</v>
      </c>
      <c r="I2101" s="11"/>
      <c r="J2101" s="11">
        <v>19.0</v>
      </c>
      <c r="K2101" s="12">
        <v>40051.0</v>
      </c>
      <c r="L2101" s="11">
        <f t="shared" si="222"/>
        <v>11</v>
      </c>
      <c r="M2101" s="11">
        <v>518493.0</v>
      </c>
      <c r="N2101" s="11">
        <v>2868.0</v>
      </c>
      <c r="P2101" s="11">
        <v>25.0</v>
      </c>
      <c r="Q2101" s="14">
        <v>27.667</v>
      </c>
      <c r="R2101" s="11">
        <v>0.0</v>
      </c>
      <c r="S2101">
        <f t="shared" si="1"/>
        <v>2008</v>
      </c>
      <c r="T2101">
        <f t="shared" si="2"/>
        <v>9</v>
      </c>
      <c r="U2101">
        <f t="shared" si="3"/>
        <v>23</v>
      </c>
      <c r="AG2101" s="15"/>
      <c r="AH2101" s="16"/>
      <c r="AM2101" s="15"/>
      <c r="AN2101" s="16"/>
    </row>
    <row r="2102">
      <c r="A2102" s="13" t="s">
        <v>3818</v>
      </c>
      <c r="B2102" s="10">
        <v>39701.0</v>
      </c>
      <c r="C2102" s="11" t="s">
        <v>49</v>
      </c>
      <c r="D2102" s="11" t="s">
        <v>38</v>
      </c>
      <c r="E2102" s="30" t="s">
        <v>39</v>
      </c>
      <c r="F2102" s="11" t="s">
        <v>64</v>
      </c>
      <c r="G2102" s="30" t="s">
        <v>45</v>
      </c>
      <c r="H2102" s="11" t="s">
        <v>46</v>
      </c>
      <c r="I2102" s="11" t="s">
        <v>3819</v>
      </c>
      <c r="J2102" s="11">
        <v>36.0</v>
      </c>
      <c r="K2102" s="12">
        <v>40045.0</v>
      </c>
      <c r="L2102" s="11">
        <f t="shared" si="222"/>
        <v>11</v>
      </c>
      <c r="M2102" s="11">
        <v>123790.0</v>
      </c>
      <c r="N2102" s="11">
        <v>578.0</v>
      </c>
      <c r="O2102" s="13" t="s">
        <v>3309</v>
      </c>
      <c r="P2102" s="11">
        <v>88.0</v>
      </c>
      <c r="Q2102" s="45">
        <v>85.0</v>
      </c>
      <c r="R2102" s="41">
        <v>0.0</v>
      </c>
      <c r="S2102">
        <f t="shared" si="1"/>
        <v>2008</v>
      </c>
      <c r="T2102">
        <f t="shared" si="2"/>
        <v>9</v>
      </c>
      <c r="U2102">
        <f t="shared" si="3"/>
        <v>10</v>
      </c>
      <c r="AG2102" s="15"/>
      <c r="AH2102" s="16"/>
      <c r="AM2102" s="15"/>
      <c r="AN2102" s="16"/>
    </row>
    <row r="2103">
      <c r="A2103" s="13" t="s">
        <v>3820</v>
      </c>
      <c r="B2103" s="10">
        <v>39699.0</v>
      </c>
      <c r="C2103" s="11" t="s">
        <v>83</v>
      </c>
      <c r="D2103" s="11" t="s">
        <v>38</v>
      </c>
      <c r="E2103" s="30" t="s">
        <v>39</v>
      </c>
      <c r="F2103" s="11" t="s">
        <v>64</v>
      </c>
      <c r="G2103" s="11" t="s">
        <v>326</v>
      </c>
      <c r="H2103" s="11"/>
      <c r="I2103" s="11"/>
      <c r="J2103" s="11">
        <v>21.0</v>
      </c>
      <c r="K2103" s="12">
        <v>40278.0</v>
      </c>
      <c r="L2103" s="11">
        <f t="shared" si="222"/>
        <v>19</v>
      </c>
      <c r="M2103" s="11">
        <v>448802.0</v>
      </c>
      <c r="N2103" s="11">
        <v>8137.0</v>
      </c>
      <c r="O2103" s="13" t="s">
        <v>1332</v>
      </c>
      <c r="P2103" s="11">
        <v>175.0</v>
      </c>
      <c r="Q2103" s="14">
        <v>1037.0</v>
      </c>
      <c r="R2103" s="41">
        <v>1.0</v>
      </c>
      <c r="S2103">
        <f t="shared" si="1"/>
        <v>2008</v>
      </c>
      <c r="T2103">
        <f t="shared" si="2"/>
        <v>9</v>
      </c>
      <c r="U2103">
        <f t="shared" si="3"/>
        <v>8</v>
      </c>
      <c r="AG2103" s="15"/>
      <c r="AH2103" s="16"/>
      <c r="AM2103" s="15"/>
      <c r="AN2103" s="16"/>
    </row>
    <row r="2104">
      <c r="A2104" s="13" t="s">
        <v>3821</v>
      </c>
      <c r="B2104" s="10">
        <v>39692.0</v>
      </c>
      <c r="C2104" s="11" t="s">
        <v>49</v>
      </c>
      <c r="D2104" s="11" t="s">
        <v>97</v>
      </c>
      <c r="E2104" s="11" t="s">
        <v>39</v>
      </c>
      <c r="F2104" s="11" t="s">
        <v>40</v>
      </c>
      <c r="G2104" s="11" t="s">
        <v>45</v>
      </c>
      <c r="H2104" s="11" t="s">
        <v>67</v>
      </c>
      <c r="I2104" s="11" t="s">
        <v>248</v>
      </c>
      <c r="J2104" s="11">
        <v>21.0</v>
      </c>
      <c r="K2104" s="12">
        <v>40723.0</v>
      </c>
      <c r="L2104" s="11">
        <f t="shared" si="222"/>
        <v>34</v>
      </c>
      <c r="M2104" s="11">
        <v>519092.0</v>
      </c>
      <c r="N2104" s="11" t="s">
        <v>3822</v>
      </c>
      <c r="P2104" s="11">
        <v>0.0</v>
      </c>
      <c r="Q2104" s="14">
        <v>0.0</v>
      </c>
      <c r="R2104" s="41">
        <v>0.0</v>
      </c>
      <c r="S2104">
        <f t="shared" si="1"/>
        <v>2008</v>
      </c>
      <c r="T2104">
        <f t="shared" si="2"/>
        <v>9</v>
      </c>
      <c r="U2104">
        <f t="shared" si="3"/>
        <v>1</v>
      </c>
      <c r="AG2104" s="15"/>
      <c r="AH2104" s="16"/>
      <c r="AM2104" s="15"/>
      <c r="AN2104" s="16"/>
    </row>
    <row r="2105">
      <c r="A2105" s="13" t="s">
        <v>3823</v>
      </c>
      <c r="B2105" s="10">
        <v>39680.0</v>
      </c>
      <c r="C2105" s="11" t="s">
        <v>83</v>
      </c>
      <c r="D2105" s="11" t="s">
        <v>58</v>
      </c>
      <c r="E2105" s="30" t="s">
        <v>39</v>
      </c>
      <c r="F2105" s="11" t="s">
        <v>40</v>
      </c>
      <c r="G2105" s="30" t="s">
        <v>45</v>
      </c>
      <c r="H2105" s="11" t="s">
        <v>59</v>
      </c>
      <c r="I2105" s="11" t="s">
        <v>1510</v>
      </c>
      <c r="J2105" s="11">
        <v>25.0</v>
      </c>
      <c r="K2105" s="12">
        <v>40280.0</v>
      </c>
      <c r="L2105" s="11">
        <f t="shared" si="222"/>
        <v>20</v>
      </c>
      <c r="M2105" s="11">
        <v>449157.0</v>
      </c>
      <c r="N2105" s="11">
        <v>8070.0</v>
      </c>
      <c r="P2105" s="11">
        <v>0.0</v>
      </c>
      <c r="Q2105" s="14">
        <v>0.0</v>
      </c>
      <c r="R2105" s="41">
        <v>0.0</v>
      </c>
      <c r="S2105">
        <f t="shared" si="1"/>
        <v>2008</v>
      </c>
      <c r="T2105">
        <f t="shared" si="2"/>
        <v>8</v>
      </c>
      <c r="U2105">
        <f t="shared" si="3"/>
        <v>20</v>
      </c>
      <c r="AG2105" s="15"/>
      <c r="AH2105" s="16"/>
      <c r="AM2105" s="15"/>
      <c r="AN2105" s="16"/>
    </row>
    <row r="2106">
      <c r="A2106" s="13" t="s">
        <v>3824</v>
      </c>
      <c r="B2106" s="10">
        <v>39672.0</v>
      </c>
      <c r="C2106" s="11" t="s">
        <v>49</v>
      </c>
      <c r="D2106" s="11" t="s">
        <v>77</v>
      </c>
      <c r="E2106" s="30" t="s">
        <v>39</v>
      </c>
      <c r="F2106" s="11" t="s">
        <v>40</v>
      </c>
      <c r="G2106" s="30" t="s">
        <v>45</v>
      </c>
      <c r="H2106" s="11" t="s">
        <v>67</v>
      </c>
      <c r="I2106" s="11" t="s">
        <v>3825</v>
      </c>
      <c r="J2106" s="11">
        <v>26.0</v>
      </c>
      <c r="K2106" s="12"/>
      <c r="L2106" s="11"/>
      <c r="M2106" s="11">
        <v>451100.0</v>
      </c>
      <c r="N2106" s="11" t="s">
        <v>3826</v>
      </c>
      <c r="P2106" s="11">
        <v>0.0</v>
      </c>
      <c r="Q2106" s="14">
        <v>0.0</v>
      </c>
      <c r="R2106" s="41">
        <v>0.0</v>
      </c>
      <c r="S2106">
        <f t="shared" si="1"/>
        <v>2008</v>
      </c>
      <c r="T2106">
        <f t="shared" si="2"/>
        <v>8</v>
      </c>
      <c r="U2106">
        <f t="shared" si="3"/>
        <v>12</v>
      </c>
      <c r="AG2106" s="15"/>
      <c r="AH2106" s="16"/>
      <c r="AM2106" s="15"/>
      <c r="AN2106" s="16"/>
    </row>
    <row r="2107">
      <c r="A2107" s="13" t="s">
        <v>3827</v>
      </c>
      <c r="B2107" s="10">
        <v>39668.0</v>
      </c>
      <c r="C2107" s="11" t="s">
        <v>116</v>
      </c>
      <c r="D2107" s="11" t="s">
        <v>38</v>
      </c>
      <c r="E2107" s="30" t="s">
        <v>39</v>
      </c>
      <c r="F2107" s="11" t="s">
        <v>40</v>
      </c>
      <c r="G2107" s="30" t="s">
        <v>45</v>
      </c>
      <c r="H2107" s="11" t="s">
        <v>243</v>
      </c>
      <c r="I2107" s="11" t="s">
        <v>3828</v>
      </c>
      <c r="J2107" s="11">
        <v>32.0</v>
      </c>
      <c r="K2107" s="12">
        <v>40057.0</v>
      </c>
      <c r="L2107" s="11">
        <f>ROUND(((K2107-B2107)/365)*12,0)</f>
        <v>13</v>
      </c>
      <c r="M2107" s="11">
        <v>218596.0</v>
      </c>
      <c r="N2107" s="11">
        <v>921.0</v>
      </c>
      <c r="O2107" s="13" t="s">
        <v>761</v>
      </c>
      <c r="P2107" s="11">
        <v>178.0</v>
      </c>
      <c r="Q2107" s="14">
        <v>1109.333</v>
      </c>
      <c r="R2107" s="41">
        <v>0.0</v>
      </c>
      <c r="S2107">
        <f t="shared" si="1"/>
        <v>2008</v>
      </c>
      <c r="T2107">
        <f t="shared" si="2"/>
        <v>8</v>
      </c>
      <c r="U2107">
        <f t="shared" si="3"/>
        <v>8</v>
      </c>
      <c r="V2107" s="13"/>
      <c r="W2107" s="13"/>
      <c r="X2107" s="13"/>
      <c r="Y2107" s="13"/>
      <c r="Z2107" s="13"/>
      <c r="AA2107" s="13"/>
      <c r="AB2107" s="13"/>
      <c r="AC2107" s="13"/>
      <c r="AD2107" s="13"/>
      <c r="AE2107" s="13">
        <v>23.0</v>
      </c>
      <c r="AF2107" s="13">
        <v>22.0</v>
      </c>
      <c r="AG2107" s="50">
        <v>142.0</v>
      </c>
      <c r="AH2107" s="51">
        <v>0.079</v>
      </c>
      <c r="AI2107" s="13">
        <v>75.0</v>
      </c>
      <c r="AJ2107" s="13">
        <v>89.0</v>
      </c>
      <c r="AK2107" s="13">
        <v>7.0</v>
      </c>
      <c r="AL2107" s="13">
        <v>7.0</v>
      </c>
      <c r="AM2107" s="50">
        <v>42.333</v>
      </c>
      <c r="AN2107" s="51">
        <v>0.095</v>
      </c>
      <c r="AO2107" s="13">
        <v>87.0</v>
      </c>
      <c r="AP2107" s="13">
        <v>91.0</v>
      </c>
    </row>
    <row r="2108">
      <c r="A2108" s="13" t="s">
        <v>3099</v>
      </c>
      <c r="B2108" s="10">
        <v>39661.0</v>
      </c>
      <c r="C2108" s="11" t="s">
        <v>126</v>
      </c>
      <c r="D2108" s="11" t="s">
        <v>93</v>
      </c>
      <c r="E2108" s="11" t="s">
        <v>39</v>
      </c>
      <c r="F2108" s="11" t="s">
        <v>64</v>
      </c>
      <c r="G2108" s="11" t="s">
        <v>45</v>
      </c>
      <c r="H2108" s="11" t="s">
        <v>67</v>
      </c>
      <c r="I2108" s="11" t="s">
        <v>730</v>
      </c>
      <c r="J2108" s="11">
        <v>20.0</v>
      </c>
      <c r="K2108" s="12">
        <v>37622.0</v>
      </c>
      <c r="L2108" s="11"/>
      <c r="M2108" s="11">
        <v>608578.0</v>
      </c>
      <c r="N2108" s="11" t="s">
        <v>3100</v>
      </c>
      <c r="O2108" s="13"/>
      <c r="P2108" s="11">
        <v>0.0</v>
      </c>
      <c r="Q2108" s="14">
        <v>0.0</v>
      </c>
      <c r="R2108" s="11">
        <v>0.0</v>
      </c>
      <c r="S2108">
        <f t="shared" si="1"/>
        <v>2008</v>
      </c>
      <c r="T2108">
        <f t="shared" si="2"/>
        <v>8</v>
      </c>
      <c r="U2108">
        <f t="shared" si="3"/>
        <v>1</v>
      </c>
      <c r="V2108" s="13"/>
      <c r="W2108" s="13"/>
      <c r="X2108" s="13"/>
      <c r="Y2108" s="13"/>
      <c r="Z2108" s="13"/>
      <c r="AA2108" s="13"/>
      <c r="AB2108" s="13"/>
      <c r="AC2108" s="13"/>
      <c r="AD2108" s="13"/>
      <c r="AE2108" s="13"/>
      <c r="AF2108" s="13"/>
      <c r="AG2108" s="50"/>
      <c r="AH2108" s="51"/>
      <c r="AI2108" s="13"/>
      <c r="AJ2108" s="13"/>
      <c r="AK2108" s="13"/>
      <c r="AL2108" s="13"/>
      <c r="AM2108" s="50"/>
      <c r="AN2108" s="51"/>
      <c r="AO2108" s="13"/>
      <c r="AP2108" s="13"/>
    </row>
    <row r="2109">
      <c r="A2109" s="13" t="s">
        <v>3829</v>
      </c>
      <c r="B2109" s="10">
        <v>39644.0</v>
      </c>
      <c r="C2109" s="11" t="s">
        <v>167</v>
      </c>
      <c r="D2109" s="11" t="s">
        <v>97</v>
      </c>
      <c r="E2109" s="11" t="s">
        <v>39</v>
      </c>
      <c r="F2109" s="11" t="s">
        <v>40</v>
      </c>
      <c r="G2109" s="11" t="s">
        <v>803</v>
      </c>
      <c r="H2109" s="11"/>
      <c r="I2109" s="11"/>
      <c r="J2109" s="11">
        <v>19.0</v>
      </c>
      <c r="K2109" s="12">
        <v>40276.0</v>
      </c>
      <c r="L2109" s="11">
        <f t="shared" ref="L2109:L2111" si="223">ROUND(((K2109-B2109)/365)*12,0)</f>
        <v>21</v>
      </c>
      <c r="M2109" s="11">
        <v>534648.0</v>
      </c>
      <c r="N2109" s="11" t="s">
        <v>3830</v>
      </c>
      <c r="P2109" s="11">
        <v>0.0</v>
      </c>
      <c r="Q2109" s="14">
        <v>0.0</v>
      </c>
      <c r="R2109" s="41">
        <v>0.0</v>
      </c>
      <c r="S2109">
        <f t="shared" si="1"/>
        <v>2008</v>
      </c>
      <c r="T2109">
        <f t="shared" si="2"/>
        <v>7</v>
      </c>
      <c r="U2109">
        <f t="shared" si="3"/>
        <v>15</v>
      </c>
      <c r="AG2109" s="15"/>
      <c r="AH2109" s="16"/>
      <c r="AM2109" s="15"/>
      <c r="AN2109" s="16"/>
    </row>
    <row r="2110">
      <c r="A2110" s="13" t="s">
        <v>3831</v>
      </c>
      <c r="B2110" s="10">
        <v>39644.0</v>
      </c>
      <c r="C2110" s="11" t="s">
        <v>108</v>
      </c>
      <c r="D2110" s="11" t="s">
        <v>38</v>
      </c>
      <c r="E2110" s="30" t="s">
        <v>39</v>
      </c>
      <c r="F2110" s="11" t="s">
        <v>40</v>
      </c>
      <c r="G2110" s="30" t="s">
        <v>45</v>
      </c>
      <c r="H2110" s="11" t="s">
        <v>67</v>
      </c>
      <c r="I2110" s="11" t="s">
        <v>3832</v>
      </c>
      <c r="J2110" s="11">
        <v>27.0</v>
      </c>
      <c r="K2110" s="12">
        <v>40015.0</v>
      </c>
      <c r="L2110" s="11">
        <f t="shared" si="223"/>
        <v>12</v>
      </c>
      <c r="M2110" s="11">
        <v>429901.0</v>
      </c>
      <c r="N2110" s="11">
        <v>1773.0</v>
      </c>
      <c r="O2110" s="13" t="s">
        <v>761</v>
      </c>
      <c r="P2110" s="11">
        <v>65.0</v>
      </c>
      <c r="Q2110" s="45">
        <v>144.0</v>
      </c>
      <c r="R2110" s="41">
        <v>0.0</v>
      </c>
      <c r="S2110">
        <f t="shared" si="1"/>
        <v>2008</v>
      </c>
      <c r="T2110">
        <f t="shared" si="2"/>
        <v>7</v>
      </c>
      <c r="U2110">
        <f t="shared" si="3"/>
        <v>15</v>
      </c>
      <c r="V2110" s="13"/>
      <c r="W2110" s="13"/>
      <c r="X2110" s="13"/>
      <c r="Y2110" s="13"/>
      <c r="Z2110" s="13"/>
      <c r="AA2110" s="13"/>
      <c r="AB2110" s="13"/>
      <c r="AC2110" s="13"/>
      <c r="AD2110" s="13"/>
      <c r="AE2110" s="13">
        <v>27.0</v>
      </c>
      <c r="AF2110" s="13">
        <v>27.0</v>
      </c>
      <c r="AG2110" s="50">
        <v>149.0</v>
      </c>
      <c r="AH2110" s="51">
        <v>0.059</v>
      </c>
      <c r="AI2110" s="13">
        <v>105.0</v>
      </c>
      <c r="AJ2110" s="13">
        <v>90.0</v>
      </c>
      <c r="AK2110" s="13">
        <v>12.0</v>
      </c>
      <c r="AL2110" s="13">
        <v>9.0</v>
      </c>
      <c r="AM2110" s="50">
        <v>51.667</v>
      </c>
      <c r="AN2110" s="51">
        <v>0.079</v>
      </c>
      <c r="AO2110" s="13">
        <v>148.0</v>
      </c>
      <c r="AP2110" s="13">
        <v>115.0</v>
      </c>
    </row>
    <row r="2111">
      <c r="A2111" s="13" t="s">
        <v>3833</v>
      </c>
      <c r="B2111" s="10">
        <v>39637.0</v>
      </c>
      <c r="C2111" s="11" t="s">
        <v>156</v>
      </c>
      <c r="D2111" s="11" t="s">
        <v>77</v>
      </c>
      <c r="E2111" s="30" t="s">
        <v>39</v>
      </c>
      <c r="F2111" s="11" t="s">
        <v>64</v>
      </c>
      <c r="G2111" s="30" t="s">
        <v>45</v>
      </c>
      <c r="H2111" s="11" t="s">
        <v>301</v>
      </c>
      <c r="I2111" s="11"/>
      <c r="J2111" s="11">
        <v>21.0</v>
      </c>
      <c r="K2111" s="12">
        <v>40278.0</v>
      </c>
      <c r="L2111" s="11">
        <f t="shared" si="223"/>
        <v>21</v>
      </c>
      <c r="M2111" s="11">
        <v>459429.0</v>
      </c>
      <c r="N2111" s="11">
        <v>7550.0</v>
      </c>
      <c r="P2111" s="11">
        <v>416.0</v>
      </c>
      <c r="Q2111" s="14">
        <v>362.667</v>
      </c>
      <c r="R2111" s="41">
        <v>1.0</v>
      </c>
      <c r="S2111">
        <f t="shared" si="1"/>
        <v>2008</v>
      </c>
      <c r="T2111">
        <f t="shared" si="2"/>
        <v>7</v>
      </c>
      <c r="U2111">
        <f t="shared" si="3"/>
        <v>8</v>
      </c>
      <c r="AG2111" s="15"/>
      <c r="AH2111" s="16"/>
      <c r="AM2111" s="15"/>
      <c r="AN2111" s="16"/>
    </row>
    <row r="2112">
      <c r="A2112" s="13" t="s">
        <v>3834</v>
      </c>
      <c r="B2112" s="10">
        <v>39636.0</v>
      </c>
      <c r="C2112" s="11" t="s">
        <v>162</v>
      </c>
      <c r="D2112" s="11" t="s">
        <v>38</v>
      </c>
      <c r="E2112" s="41" t="s">
        <v>118</v>
      </c>
      <c r="F2112" s="11" t="s">
        <v>40</v>
      </c>
      <c r="G2112" s="30" t="s">
        <v>45</v>
      </c>
      <c r="H2112" s="11" t="s">
        <v>127</v>
      </c>
      <c r="I2112" s="11"/>
      <c r="J2112" s="11">
        <v>29.0</v>
      </c>
      <c r="K2112" s="30"/>
      <c r="L2112" s="30"/>
      <c r="M2112" s="11">
        <v>440361.0</v>
      </c>
      <c r="N2112" s="11">
        <v>2450.0</v>
      </c>
      <c r="O2112" s="13" t="s">
        <v>355</v>
      </c>
      <c r="P2112" s="11">
        <v>0.0</v>
      </c>
      <c r="Q2112" s="45">
        <v>0.0</v>
      </c>
      <c r="R2112" s="41">
        <v>0.0</v>
      </c>
      <c r="S2112">
        <f t="shared" si="1"/>
        <v>2008</v>
      </c>
      <c r="T2112">
        <f t="shared" si="2"/>
        <v>7</v>
      </c>
      <c r="U2112">
        <f t="shared" si="3"/>
        <v>7</v>
      </c>
      <c r="AG2112" s="15"/>
      <c r="AH2112" s="16"/>
      <c r="AM2112" s="15"/>
      <c r="AN2112" s="16"/>
    </row>
    <row r="2113">
      <c r="A2113" s="13" t="s">
        <v>3835</v>
      </c>
      <c r="B2113" s="10">
        <v>39632.0</v>
      </c>
      <c r="C2113" s="11" t="s">
        <v>76</v>
      </c>
      <c r="D2113" s="11" t="s">
        <v>38</v>
      </c>
      <c r="E2113" s="30" t="s">
        <v>39</v>
      </c>
      <c r="F2113" s="11" t="s">
        <v>64</v>
      </c>
      <c r="G2113" s="30" t="s">
        <v>45</v>
      </c>
      <c r="H2113" s="11" t="s">
        <v>67</v>
      </c>
      <c r="I2113" s="11" t="s">
        <v>3836</v>
      </c>
      <c r="J2113" s="11">
        <v>25.0</v>
      </c>
      <c r="K2113" s="12">
        <v>40306.0</v>
      </c>
      <c r="L2113" s="11">
        <f>ROUND(((K2113-B2113)/365)*12,0)</f>
        <v>22</v>
      </c>
      <c r="M2113" s="11">
        <v>453889.0</v>
      </c>
      <c r="N2113" s="11">
        <v>6068.0</v>
      </c>
      <c r="O2113" s="13" t="s">
        <v>761</v>
      </c>
      <c r="P2113" s="11">
        <v>1.0</v>
      </c>
      <c r="Q2113" s="45">
        <v>5.0</v>
      </c>
      <c r="R2113" s="41">
        <v>0.0</v>
      </c>
      <c r="S2113">
        <f t="shared" si="1"/>
        <v>2008</v>
      </c>
      <c r="T2113">
        <f t="shared" si="2"/>
        <v>7</v>
      </c>
      <c r="U2113">
        <f t="shared" si="3"/>
        <v>3</v>
      </c>
      <c r="V2113" s="13"/>
      <c r="W2113" s="13"/>
      <c r="X2113" s="13"/>
      <c r="Y2113" s="13"/>
      <c r="Z2113" s="13"/>
      <c r="AA2113" s="13"/>
      <c r="AB2113" s="13"/>
      <c r="AC2113" s="13"/>
      <c r="AD2113" s="13"/>
      <c r="AE2113" s="13">
        <v>11.0</v>
      </c>
      <c r="AF2113" s="13">
        <v>8.0</v>
      </c>
      <c r="AG2113" s="50">
        <v>48.0</v>
      </c>
      <c r="AH2113" s="51">
        <v>0.064</v>
      </c>
      <c r="AI2113" s="13">
        <v>144.0</v>
      </c>
      <c r="AJ2113" s="13">
        <v>131.0</v>
      </c>
      <c r="AK2113" s="13">
        <v>1.0</v>
      </c>
      <c r="AL2113" s="13">
        <v>1.0</v>
      </c>
      <c r="AM2113" s="50">
        <v>5.0</v>
      </c>
      <c r="AN2113" s="51">
        <v>0.136</v>
      </c>
      <c r="AO2113" s="13">
        <v>89.0</v>
      </c>
      <c r="AP2113" s="13">
        <v>62.0</v>
      </c>
    </row>
    <row r="2114">
      <c r="A2114" s="13" t="s">
        <v>3837</v>
      </c>
      <c r="B2114" s="10">
        <v>39624.0</v>
      </c>
      <c r="C2114" s="11" t="s">
        <v>111</v>
      </c>
      <c r="D2114" s="11" t="s">
        <v>38</v>
      </c>
      <c r="E2114" s="41" t="s">
        <v>104</v>
      </c>
      <c r="F2114" s="11" t="s">
        <v>40</v>
      </c>
      <c r="G2114" s="30" t="s">
        <v>45</v>
      </c>
      <c r="H2114" s="11" t="s">
        <v>317</v>
      </c>
      <c r="I2114" s="11" t="s">
        <v>3838</v>
      </c>
      <c r="J2114" s="11">
        <v>36.0</v>
      </c>
      <c r="K2114" s="30"/>
      <c r="L2114" s="30"/>
      <c r="M2114" s="11">
        <v>136300.0</v>
      </c>
      <c r="N2114" s="11">
        <v>903.0</v>
      </c>
      <c r="O2114" s="13" t="s">
        <v>1407</v>
      </c>
      <c r="P2114" s="11">
        <v>0.0</v>
      </c>
      <c r="Q2114" s="45">
        <v>0.0</v>
      </c>
      <c r="R2114" s="41">
        <v>0.0</v>
      </c>
      <c r="S2114">
        <f t="shared" si="1"/>
        <v>2008</v>
      </c>
      <c r="T2114">
        <f t="shared" si="2"/>
        <v>6</v>
      </c>
      <c r="U2114">
        <f t="shared" si="3"/>
        <v>25</v>
      </c>
      <c r="AG2114" s="15"/>
      <c r="AH2114" s="16"/>
      <c r="AM2114" s="15"/>
      <c r="AN2114" s="16"/>
    </row>
    <row r="2115">
      <c r="A2115" s="13" t="s">
        <v>3839</v>
      </c>
      <c r="B2115" s="10">
        <v>39617.0</v>
      </c>
      <c r="C2115" s="11" t="s">
        <v>44</v>
      </c>
      <c r="D2115" s="11" t="s">
        <v>221</v>
      </c>
      <c r="E2115" s="30" t="s">
        <v>39</v>
      </c>
      <c r="F2115" s="11" t="s">
        <v>40</v>
      </c>
      <c r="G2115" s="41" t="s">
        <v>41</v>
      </c>
      <c r="H2115" s="30"/>
      <c r="I2115" s="30"/>
      <c r="J2115" s="11">
        <v>21.0</v>
      </c>
      <c r="K2115" s="12">
        <v>40008.0</v>
      </c>
      <c r="L2115" s="11">
        <f t="shared" ref="L2115:L2118" si="224">ROUND(((K2115-B2115)/365)*12,0)</f>
        <v>13</v>
      </c>
      <c r="M2115" s="11">
        <v>468536.0</v>
      </c>
      <c r="N2115" s="11" t="s">
        <v>3840</v>
      </c>
      <c r="P2115" s="11">
        <v>0.0</v>
      </c>
      <c r="Q2115" s="14">
        <v>0.0</v>
      </c>
      <c r="R2115" s="41">
        <v>0.0</v>
      </c>
      <c r="S2115">
        <f t="shared" si="1"/>
        <v>2008</v>
      </c>
      <c r="T2115">
        <f t="shared" si="2"/>
        <v>6</v>
      </c>
      <c r="U2115">
        <f t="shared" si="3"/>
        <v>18</v>
      </c>
      <c r="AG2115" s="15"/>
      <c r="AH2115" s="16"/>
      <c r="AM2115" s="15"/>
      <c r="AN2115" s="16"/>
    </row>
    <row r="2116">
      <c r="A2116" s="13" t="s">
        <v>3841</v>
      </c>
      <c r="B2116" s="10">
        <v>39600.0</v>
      </c>
      <c r="C2116" s="11" t="s">
        <v>44</v>
      </c>
      <c r="D2116" s="11" t="s">
        <v>38</v>
      </c>
      <c r="E2116" s="30" t="s">
        <v>39</v>
      </c>
      <c r="F2116" s="11" t="s">
        <v>40</v>
      </c>
      <c r="G2116" s="30" t="s">
        <v>45</v>
      </c>
      <c r="H2116" s="11" t="s">
        <v>163</v>
      </c>
      <c r="I2116" s="11"/>
      <c r="J2116" s="11">
        <v>30.0</v>
      </c>
      <c r="K2116" s="12">
        <v>40273.0</v>
      </c>
      <c r="L2116" s="11">
        <f t="shared" si="224"/>
        <v>22</v>
      </c>
      <c r="M2116" s="11">
        <v>150414.0</v>
      </c>
      <c r="N2116" s="11">
        <v>412.0</v>
      </c>
      <c r="O2116" s="13" t="s">
        <v>3309</v>
      </c>
      <c r="P2116" s="11">
        <v>115.0</v>
      </c>
      <c r="Q2116" s="45">
        <v>677.3330000000001</v>
      </c>
      <c r="R2116" s="41">
        <v>0.0</v>
      </c>
      <c r="S2116">
        <f t="shared" si="1"/>
        <v>2008</v>
      </c>
      <c r="T2116">
        <f t="shared" si="2"/>
        <v>6</v>
      </c>
      <c r="U2116">
        <f t="shared" si="3"/>
        <v>1</v>
      </c>
      <c r="V2116" s="13"/>
      <c r="W2116" s="13"/>
      <c r="X2116" s="13"/>
      <c r="Y2116" s="13"/>
      <c r="Z2116" s="13"/>
      <c r="AA2116" s="13"/>
      <c r="AB2116" s="13"/>
      <c r="AC2116" s="13"/>
      <c r="AD2116" s="13"/>
      <c r="AE2116" s="13">
        <v>5.0</v>
      </c>
      <c r="AF2116" s="13">
        <v>5.0</v>
      </c>
      <c r="AG2116" s="50">
        <v>34.667</v>
      </c>
      <c r="AH2116" s="51">
        <v>0.086</v>
      </c>
      <c r="AI2116" s="13">
        <v>73.0</v>
      </c>
      <c r="AJ2116" s="13">
        <v>107.0</v>
      </c>
      <c r="AK2116" s="13">
        <v>33.0</v>
      </c>
      <c r="AL2116" s="13">
        <v>33.0</v>
      </c>
      <c r="AM2116" s="50">
        <v>202.667</v>
      </c>
      <c r="AN2116" s="51">
        <v>0.07</v>
      </c>
      <c r="AO2116" s="13">
        <v>106.0</v>
      </c>
      <c r="AP2116" s="13">
        <v>104.0</v>
      </c>
    </row>
    <row r="2117">
      <c r="A2117" s="13" t="s">
        <v>3842</v>
      </c>
      <c r="B2117" s="10">
        <v>39600.0</v>
      </c>
      <c r="C2117" s="11" t="s">
        <v>192</v>
      </c>
      <c r="D2117" s="11" t="s">
        <v>88</v>
      </c>
      <c r="E2117" s="41" t="s">
        <v>982</v>
      </c>
      <c r="F2117" s="11" t="s">
        <v>40</v>
      </c>
      <c r="G2117" s="11" t="s">
        <v>41</v>
      </c>
      <c r="H2117" s="30"/>
      <c r="I2117" s="30"/>
      <c r="J2117" s="11">
        <v>20.0</v>
      </c>
      <c r="K2117" s="12">
        <v>39931.0</v>
      </c>
      <c r="L2117" s="11">
        <f t="shared" si="224"/>
        <v>11</v>
      </c>
      <c r="M2117" s="11">
        <v>467143.0</v>
      </c>
      <c r="N2117" s="11">
        <v>2264.0</v>
      </c>
      <c r="P2117" s="11">
        <v>83.0</v>
      </c>
      <c r="Q2117" s="14">
        <v>162.0</v>
      </c>
      <c r="R2117" s="11">
        <v>0.0</v>
      </c>
      <c r="S2117">
        <f t="shared" si="1"/>
        <v>2008</v>
      </c>
      <c r="T2117">
        <f t="shared" si="2"/>
        <v>6</v>
      </c>
      <c r="U2117">
        <f t="shared" si="3"/>
        <v>1</v>
      </c>
      <c r="AG2117" s="15"/>
      <c r="AH2117" s="16"/>
      <c r="AM2117" s="15"/>
      <c r="AN2117" s="16"/>
    </row>
    <row r="2118">
      <c r="A2118" s="13" t="s">
        <v>3843</v>
      </c>
      <c r="B2118" s="10">
        <v>39600.0</v>
      </c>
      <c r="C2118" s="11" t="s">
        <v>111</v>
      </c>
      <c r="D2118" s="11" t="s">
        <v>97</v>
      </c>
      <c r="E2118" s="30" t="s">
        <v>39</v>
      </c>
      <c r="F2118" s="11" t="s">
        <v>64</v>
      </c>
      <c r="G2118" s="30" t="s">
        <v>45</v>
      </c>
      <c r="H2118" s="11" t="s">
        <v>440</v>
      </c>
      <c r="I2118" s="11" t="s">
        <v>3844</v>
      </c>
      <c r="J2118" s="11">
        <v>22.0</v>
      </c>
      <c r="K2118" s="12">
        <v>39914.0</v>
      </c>
      <c r="L2118" s="11">
        <f t="shared" si="224"/>
        <v>10</v>
      </c>
      <c r="M2118" s="11">
        <v>518703.0</v>
      </c>
      <c r="N2118" s="11">
        <v>1370.0</v>
      </c>
      <c r="P2118" s="11">
        <v>247.0</v>
      </c>
      <c r="Q2118" s="14">
        <v>260.667</v>
      </c>
      <c r="R2118" s="11">
        <v>0.0</v>
      </c>
      <c r="S2118">
        <f t="shared" si="1"/>
        <v>2008</v>
      </c>
      <c r="T2118">
        <f t="shared" si="2"/>
        <v>6</v>
      </c>
      <c r="U2118">
        <f t="shared" si="3"/>
        <v>1</v>
      </c>
      <c r="AG2118" s="15"/>
      <c r="AH2118" s="16"/>
      <c r="AM2118" s="15"/>
      <c r="AN2118" s="16"/>
    </row>
    <row r="2119">
      <c r="A2119" s="13" t="s">
        <v>3845</v>
      </c>
      <c r="B2119" s="10">
        <v>39600.0</v>
      </c>
      <c r="C2119" s="11" t="s">
        <v>111</v>
      </c>
      <c r="D2119" s="11" t="s">
        <v>213</v>
      </c>
      <c r="E2119" s="11" t="s">
        <v>39</v>
      </c>
      <c r="F2119" s="11" t="s">
        <v>40</v>
      </c>
      <c r="G2119" s="11" t="s">
        <v>45</v>
      </c>
      <c r="H2119" s="11" t="s">
        <v>56</v>
      </c>
      <c r="I2119" s="11" t="s">
        <v>3846</v>
      </c>
      <c r="J2119" s="11">
        <v>17.0</v>
      </c>
      <c r="K2119" s="12">
        <v>41099.0</v>
      </c>
      <c r="L2119" s="11"/>
      <c r="M2119" s="11">
        <v>572403.0</v>
      </c>
      <c r="N2119" s="11">
        <v>13424.0</v>
      </c>
      <c r="O2119" s="13" t="s">
        <v>761</v>
      </c>
      <c r="P2119" s="11">
        <v>21.0</v>
      </c>
      <c r="Q2119" s="14">
        <v>31.333</v>
      </c>
      <c r="R2119" s="11">
        <v>0.0</v>
      </c>
      <c r="S2119">
        <f t="shared" si="1"/>
        <v>2008</v>
      </c>
      <c r="T2119">
        <f t="shared" si="2"/>
        <v>6</v>
      </c>
      <c r="U2119">
        <f t="shared" si="3"/>
        <v>1</v>
      </c>
      <c r="AG2119" s="15"/>
      <c r="AH2119" s="16"/>
      <c r="AM2119" s="15"/>
      <c r="AN2119" s="16"/>
    </row>
    <row r="2120">
      <c r="A2120" s="13" t="s">
        <v>3847</v>
      </c>
      <c r="B2120" s="10">
        <v>39600.0</v>
      </c>
      <c r="C2120" s="11" t="s">
        <v>358</v>
      </c>
      <c r="D2120" s="11" t="s">
        <v>97</v>
      </c>
      <c r="E2120" s="11" t="s">
        <v>39</v>
      </c>
      <c r="F2120" s="11" t="s">
        <v>40</v>
      </c>
      <c r="G2120" s="11" t="s">
        <v>45</v>
      </c>
      <c r="H2120" s="11" t="s">
        <v>46</v>
      </c>
      <c r="I2120" s="11" t="s">
        <v>1318</v>
      </c>
      <c r="J2120" s="11">
        <v>23.0</v>
      </c>
      <c r="K2120" s="12">
        <v>40277.0</v>
      </c>
      <c r="L2120" s="11">
        <f t="shared" ref="L2120:L2125" si="225">ROUND(((K2120-B2120)/365)*12,0)</f>
        <v>22</v>
      </c>
      <c r="M2120" s="11">
        <v>458115.0</v>
      </c>
      <c r="N2120" s="11" t="s">
        <v>3848</v>
      </c>
      <c r="O2120" s="13" t="s">
        <v>3309</v>
      </c>
      <c r="P2120" s="11">
        <v>0.0</v>
      </c>
      <c r="Q2120" s="14">
        <v>0.0</v>
      </c>
      <c r="R2120" s="41">
        <v>0.0</v>
      </c>
      <c r="S2120">
        <f t="shared" si="1"/>
        <v>2008</v>
      </c>
      <c r="T2120">
        <f t="shared" si="2"/>
        <v>6</v>
      </c>
      <c r="U2120">
        <f t="shared" si="3"/>
        <v>1</v>
      </c>
      <c r="AG2120" s="15"/>
      <c r="AH2120" s="16"/>
      <c r="AM2120" s="15"/>
      <c r="AN2120" s="16"/>
    </row>
    <row r="2121">
      <c r="A2121" s="13" t="s">
        <v>3849</v>
      </c>
      <c r="B2121" s="10">
        <v>39596.0</v>
      </c>
      <c r="C2121" s="11" t="s">
        <v>274</v>
      </c>
      <c r="D2121" s="11" t="s">
        <v>88</v>
      </c>
      <c r="E2121" s="30" t="s">
        <v>39</v>
      </c>
      <c r="F2121" s="11" t="s">
        <v>40</v>
      </c>
      <c r="G2121" s="41" t="s">
        <v>41</v>
      </c>
      <c r="H2121" s="30"/>
      <c r="I2121" s="30"/>
      <c r="J2121" s="11">
        <v>22.0</v>
      </c>
      <c r="K2121" s="12">
        <v>40309.0</v>
      </c>
      <c r="L2121" s="11">
        <f t="shared" si="225"/>
        <v>23</v>
      </c>
      <c r="M2121" s="11">
        <v>501745.0</v>
      </c>
      <c r="N2121" s="11">
        <v>5841.0</v>
      </c>
      <c r="P2121" s="11">
        <v>40.0</v>
      </c>
      <c r="Q2121" s="14">
        <v>36.333</v>
      </c>
      <c r="R2121" s="41">
        <v>0.0</v>
      </c>
      <c r="S2121">
        <f t="shared" si="1"/>
        <v>2008</v>
      </c>
      <c r="T2121">
        <f t="shared" si="2"/>
        <v>5</v>
      </c>
      <c r="U2121">
        <f t="shared" si="3"/>
        <v>28</v>
      </c>
      <c r="AG2121" s="15"/>
      <c r="AH2121" s="16"/>
      <c r="AM2121" s="15"/>
      <c r="AN2121" s="16"/>
    </row>
    <row r="2122">
      <c r="A2122" s="13" t="s">
        <v>3850</v>
      </c>
      <c r="B2122" s="10">
        <v>39583.0</v>
      </c>
      <c r="C2122" s="11" t="s">
        <v>55</v>
      </c>
      <c r="D2122" s="11" t="s">
        <v>38</v>
      </c>
      <c r="E2122" s="30" t="s">
        <v>39</v>
      </c>
      <c r="F2122" s="11" t="s">
        <v>64</v>
      </c>
      <c r="G2122" s="30" t="s">
        <v>45</v>
      </c>
      <c r="H2122" s="11" t="s">
        <v>729</v>
      </c>
      <c r="I2122" s="11" t="s">
        <v>999</v>
      </c>
      <c r="J2122" s="11">
        <v>29.0</v>
      </c>
      <c r="K2122" s="12">
        <v>40332.0</v>
      </c>
      <c r="L2122" s="11">
        <f t="shared" si="225"/>
        <v>25</v>
      </c>
      <c r="M2122" s="11">
        <v>425626.0</v>
      </c>
      <c r="N2122" s="11">
        <v>1701.0</v>
      </c>
      <c r="O2122" s="13" t="s">
        <v>761</v>
      </c>
      <c r="P2122" s="11">
        <v>192.0</v>
      </c>
      <c r="Q2122" s="14">
        <v>718.0</v>
      </c>
      <c r="R2122" s="41">
        <v>1.0</v>
      </c>
      <c r="S2122">
        <f t="shared" si="1"/>
        <v>2008</v>
      </c>
      <c r="T2122">
        <f t="shared" si="2"/>
        <v>5</v>
      </c>
      <c r="U2122">
        <f t="shared" si="3"/>
        <v>15</v>
      </c>
      <c r="V2122" s="13"/>
      <c r="W2122" s="13"/>
      <c r="X2122" s="13"/>
      <c r="Y2122" s="13"/>
      <c r="Z2122" s="13"/>
      <c r="AA2122" s="13"/>
      <c r="AB2122" s="13"/>
      <c r="AC2122" s="13"/>
      <c r="AD2122" s="13"/>
      <c r="AE2122" s="13">
        <v>29.0</v>
      </c>
      <c r="AF2122" s="13">
        <v>25.0</v>
      </c>
      <c r="AG2122" s="50">
        <v>150.0</v>
      </c>
      <c r="AH2122" s="51">
        <v>0.117</v>
      </c>
      <c r="AI2122" s="13">
        <v>117.0</v>
      </c>
      <c r="AJ2122" s="13">
        <v>98.0</v>
      </c>
      <c r="AK2122" s="13">
        <v>24.0</v>
      </c>
      <c r="AL2122" s="13">
        <v>9.0</v>
      </c>
      <c r="AM2122" s="50">
        <v>66.0</v>
      </c>
      <c r="AN2122" s="51">
        <v>0.119</v>
      </c>
      <c r="AO2122" s="13">
        <v>98.0</v>
      </c>
      <c r="AP2122" s="13">
        <v>103.0</v>
      </c>
    </row>
    <row r="2123">
      <c r="A2123" s="13" t="s">
        <v>3022</v>
      </c>
      <c r="B2123" s="10">
        <v>39576.0</v>
      </c>
      <c r="C2123" s="11" t="s">
        <v>116</v>
      </c>
      <c r="D2123" s="11" t="s">
        <v>38</v>
      </c>
      <c r="E2123" s="30" t="s">
        <v>39</v>
      </c>
      <c r="F2123" s="11" t="s">
        <v>40</v>
      </c>
      <c r="G2123" s="41" t="s">
        <v>460</v>
      </c>
      <c r="H2123" s="30"/>
      <c r="I2123" s="30"/>
      <c r="J2123" s="11">
        <v>29.0</v>
      </c>
      <c r="K2123" s="12">
        <v>39911.0</v>
      </c>
      <c r="L2123" s="11">
        <f t="shared" si="225"/>
        <v>11</v>
      </c>
      <c r="M2123" s="11">
        <v>493247.0</v>
      </c>
      <c r="N2123" s="11">
        <v>4891.0</v>
      </c>
      <c r="O2123" s="13" t="s">
        <v>761</v>
      </c>
      <c r="P2123" s="11">
        <v>207.0</v>
      </c>
      <c r="Q2123" s="45">
        <v>165.33299999999997</v>
      </c>
      <c r="R2123" s="41">
        <v>0.0</v>
      </c>
      <c r="S2123">
        <f t="shared" si="1"/>
        <v>2008</v>
      </c>
      <c r="T2123">
        <f t="shared" si="2"/>
        <v>5</v>
      </c>
      <c r="U2123">
        <f t="shared" si="3"/>
        <v>8</v>
      </c>
      <c r="AG2123" s="15"/>
      <c r="AH2123" s="16"/>
      <c r="AM2123" s="15"/>
      <c r="AN2123" s="16"/>
    </row>
    <row r="2124">
      <c r="A2124" s="13" t="s">
        <v>3851</v>
      </c>
      <c r="B2124" s="10">
        <v>39569.0</v>
      </c>
      <c r="C2124" s="11" t="s">
        <v>108</v>
      </c>
      <c r="D2124" s="11" t="s">
        <v>93</v>
      </c>
      <c r="E2124" s="30" t="s">
        <v>39</v>
      </c>
      <c r="F2124" s="11" t="s">
        <v>40</v>
      </c>
      <c r="G2124" s="30" t="s">
        <v>45</v>
      </c>
      <c r="H2124" s="11" t="s">
        <v>84</v>
      </c>
      <c r="I2124" s="11" t="s">
        <v>3852</v>
      </c>
      <c r="J2124" s="11">
        <v>19.0</v>
      </c>
      <c r="K2124" s="12">
        <v>39988.0</v>
      </c>
      <c r="L2124" s="11">
        <f t="shared" si="225"/>
        <v>14</v>
      </c>
      <c r="M2124" s="11">
        <v>572888.0</v>
      </c>
      <c r="N2124" s="11">
        <v>10756.0</v>
      </c>
      <c r="P2124" s="11">
        <v>154.0</v>
      </c>
      <c r="Q2124" s="14">
        <v>290.333</v>
      </c>
      <c r="R2124" s="41">
        <v>1.0</v>
      </c>
      <c r="S2124">
        <f t="shared" si="1"/>
        <v>2008</v>
      </c>
      <c r="T2124">
        <f t="shared" si="2"/>
        <v>5</v>
      </c>
      <c r="U2124">
        <f t="shared" si="3"/>
        <v>1</v>
      </c>
      <c r="AG2124" s="15"/>
      <c r="AH2124" s="16"/>
      <c r="AM2124" s="15"/>
      <c r="AN2124" s="16"/>
    </row>
    <row r="2125">
      <c r="A2125" s="13" t="s">
        <v>3853</v>
      </c>
      <c r="B2125" s="10">
        <v>39569.0</v>
      </c>
      <c r="C2125" s="11" t="s">
        <v>150</v>
      </c>
      <c r="D2125" s="11" t="s">
        <v>77</v>
      </c>
      <c r="E2125" s="30" t="s">
        <v>39</v>
      </c>
      <c r="F2125" s="11" t="s">
        <v>40</v>
      </c>
      <c r="G2125" s="41" t="s">
        <v>194</v>
      </c>
      <c r="H2125" s="30"/>
      <c r="I2125" s="30"/>
      <c r="J2125" s="11">
        <v>24.0</v>
      </c>
      <c r="K2125" s="12">
        <v>40024.0</v>
      </c>
      <c r="L2125" s="11">
        <f t="shared" si="225"/>
        <v>15</v>
      </c>
      <c r="M2125" s="11">
        <v>455949.0</v>
      </c>
      <c r="N2125" s="11">
        <v>4771.0</v>
      </c>
      <c r="P2125" s="11">
        <v>6.0</v>
      </c>
      <c r="Q2125" s="14">
        <v>6.667</v>
      </c>
      <c r="R2125" s="41">
        <v>0.0</v>
      </c>
      <c r="S2125">
        <f t="shared" si="1"/>
        <v>2008</v>
      </c>
      <c r="T2125">
        <f t="shared" si="2"/>
        <v>5</v>
      </c>
      <c r="U2125">
        <f t="shared" si="3"/>
        <v>1</v>
      </c>
      <c r="AG2125" s="15"/>
      <c r="AH2125" s="16"/>
      <c r="AM2125" s="15"/>
      <c r="AN2125" s="16"/>
    </row>
    <row r="2126">
      <c r="A2126" s="13" t="s">
        <v>3854</v>
      </c>
      <c r="B2126" s="10">
        <v>39568.0</v>
      </c>
      <c r="C2126" s="11" t="s">
        <v>37</v>
      </c>
      <c r="D2126" s="11" t="s">
        <v>93</v>
      </c>
      <c r="E2126" s="11" t="s">
        <v>39</v>
      </c>
      <c r="F2126" s="11" t="s">
        <v>40</v>
      </c>
      <c r="G2126" s="11" t="s">
        <v>45</v>
      </c>
      <c r="H2126" s="11" t="s">
        <v>56</v>
      </c>
      <c r="I2126" s="11" t="s">
        <v>208</v>
      </c>
      <c r="J2126" s="11">
        <v>21.0</v>
      </c>
      <c r="K2126" s="12">
        <v>41156.0</v>
      </c>
      <c r="L2126" s="11"/>
      <c r="M2126" s="11">
        <v>573109.0</v>
      </c>
      <c r="N2126" s="11">
        <v>8350.0</v>
      </c>
      <c r="P2126" s="11">
        <v>346.0</v>
      </c>
      <c r="Q2126" s="14">
        <v>346.333</v>
      </c>
      <c r="R2126" s="41">
        <v>1.0</v>
      </c>
      <c r="S2126">
        <f t="shared" si="1"/>
        <v>2008</v>
      </c>
      <c r="T2126">
        <f t="shared" si="2"/>
        <v>4</v>
      </c>
      <c r="U2126">
        <f t="shared" si="3"/>
        <v>30</v>
      </c>
      <c r="AG2126" s="15"/>
      <c r="AH2126" s="16"/>
      <c r="AM2126" s="15"/>
      <c r="AN2126" s="16"/>
    </row>
    <row r="2127">
      <c r="A2127" s="13" t="s">
        <v>3855</v>
      </c>
      <c r="B2127" s="10">
        <v>39567.0</v>
      </c>
      <c r="C2127" s="11" t="s">
        <v>72</v>
      </c>
      <c r="D2127" s="11" t="s">
        <v>97</v>
      </c>
      <c r="E2127" s="30" t="s">
        <v>39</v>
      </c>
      <c r="F2127" s="11" t="s">
        <v>64</v>
      </c>
      <c r="G2127" s="30" t="s">
        <v>45</v>
      </c>
      <c r="H2127" s="11" t="s">
        <v>182</v>
      </c>
      <c r="I2127" s="11" t="s">
        <v>182</v>
      </c>
      <c r="J2127" s="11">
        <v>22.0</v>
      </c>
      <c r="K2127" s="12">
        <v>39970.0</v>
      </c>
      <c r="L2127" s="11">
        <f>ROUND(((K2127-B2127)/365)*12,0)</f>
        <v>13</v>
      </c>
      <c r="M2127" s="11">
        <v>444935.0</v>
      </c>
      <c r="N2127" s="11">
        <v>1351.0</v>
      </c>
      <c r="P2127" s="11">
        <v>143.0</v>
      </c>
      <c r="Q2127" s="14">
        <v>118.333</v>
      </c>
      <c r="R2127" s="11">
        <v>0.0</v>
      </c>
      <c r="S2127">
        <f t="shared" si="1"/>
        <v>2008</v>
      </c>
      <c r="T2127">
        <f t="shared" si="2"/>
        <v>4</v>
      </c>
      <c r="U2127">
        <f t="shared" si="3"/>
        <v>29</v>
      </c>
      <c r="AG2127" s="15"/>
      <c r="AH2127" s="16"/>
      <c r="AM2127" s="15"/>
      <c r="AN2127" s="16"/>
    </row>
    <row r="2128">
      <c r="A2128" s="13" t="s">
        <v>3856</v>
      </c>
      <c r="B2128" s="10">
        <v>39550.0</v>
      </c>
      <c r="C2128" s="11" t="s">
        <v>111</v>
      </c>
      <c r="D2128" s="11" t="s">
        <v>38</v>
      </c>
      <c r="E2128" s="30" t="s">
        <v>39</v>
      </c>
      <c r="F2128" s="11" t="s">
        <v>64</v>
      </c>
      <c r="G2128" s="30" t="s">
        <v>45</v>
      </c>
      <c r="H2128" s="11" t="s">
        <v>163</v>
      </c>
      <c r="I2128" s="11"/>
      <c r="J2128" s="11">
        <v>25.0</v>
      </c>
      <c r="K2128" s="30"/>
      <c r="L2128" s="30"/>
      <c r="M2128" s="11">
        <v>434680.0</v>
      </c>
      <c r="N2128" s="11">
        <v>3475.0</v>
      </c>
      <c r="O2128" s="13" t="s">
        <v>3857</v>
      </c>
      <c r="P2128" s="11">
        <v>0.0</v>
      </c>
      <c r="Q2128" s="45">
        <v>0.0</v>
      </c>
      <c r="R2128" s="41">
        <v>0.0</v>
      </c>
      <c r="S2128">
        <f t="shared" si="1"/>
        <v>2008</v>
      </c>
      <c r="T2128">
        <f t="shared" si="2"/>
        <v>4</v>
      </c>
      <c r="U2128">
        <f t="shared" si="3"/>
        <v>12</v>
      </c>
      <c r="AG2128" s="15"/>
      <c r="AH2128" s="16"/>
      <c r="AM2128" s="15"/>
      <c r="AN2128" s="16"/>
    </row>
    <row r="2129">
      <c r="A2129" s="13" t="s">
        <v>3858</v>
      </c>
      <c r="B2129" s="10">
        <v>39545.0</v>
      </c>
      <c r="C2129" s="11" t="s">
        <v>143</v>
      </c>
      <c r="D2129" s="11" t="s">
        <v>58</v>
      </c>
      <c r="E2129" s="30" t="s">
        <v>39</v>
      </c>
      <c r="F2129" s="11" t="s">
        <v>64</v>
      </c>
      <c r="G2129" s="30" t="s">
        <v>45</v>
      </c>
      <c r="H2129" s="11" t="s">
        <v>182</v>
      </c>
      <c r="I2129" s="11"/>
      <c r="J2129" s="11">
        <v>25.0</v>
      </c>
      <c r="K2129" s="12">
        <v>40640.0</v>
      </c>
      <c r="L2129" s="11">
        <f t="shared" ref="L2129:L2131" si="226">ROUND(((K2129-B2129)/365)*12,0)</f>
        <v>36</v>
      </c>
      <c r="M2129" s="11">
        <v>434878.0</v>
      </c>
      <c r="N2129" s="11">
        <v>3706.0</v>
      </c>
      <c r="P2129" s="11">
        <v>0.0</v>
      </c>
      <c r="Q2129" s="14">
        <v>0.0</v>
      </c>
      <c r="R2129" s="41">
        <v>0.0</v>
      </c>
      <c r="S2129">
        <f t="shared" si="1"/>
        <v>2008</v>
      </c>
      <c r="T2129">
        <f t="shared" si="2"/>
        <v>4</v>
      </c>
      <c r="U2129">
        <f t="shared" si="3"/>
        <v>7</v>
      </c>
      <c r="AG2129" s="15"/>
      <c r="AH2129" s="16"/>
      <c r="AM2129" s="15"/>
      <c r="AN2129" s="16"/>
    </row>
    <row r="2130">
      <c r="A2130" s="13" t="s">
        <v>3859</v>
      </c>
      <c r="B2130" s="10">
        <v>39541.0</v>
      </c>
      <c r="C2130" s="11" t="s">
        <v>150</v>
      </c>
      <c r="D2130" s="11" t="s">
        <v>38</v>
      </c>
      <c r="E2130" s="30" t="s">
        <v>39</v>
      </c>
      <c r="F2130" s="11" t="s">
        <v>64</v>
      </c>
      <c r="G2130" s="30" t="s">
        <v>45</v>
      </c>
      <c r="H2130" s="11" t="s">
        <v>133</v>
      </c>
      <c r="I2130" s="11" t="s">
        <v>3860</v>
      </c>
      <c r="J2130" s="11">
        <v>25.0</v>
      </c>
      <c r="K2130" s="12">
        <v>40352.0</v>
      </c>
      <c r="L2130" s="11">
        <f t="shared" si="226"/>
        <v>27</v>
      </c>
      <c r="M2130" s="11">
        <v>489448.0</v>
      </c>
      <c r="N2130" s="11">
        <v>9683.0</v>
      </c>
      <c r="O2130" s="13" t="s">
        <v>761</v>
      </c>
      <c r="P2130" s="11">
        <v>64.0</v>
      </c>
      <c r="Q2130" s="45">
        <v>54.0</v>
      </c>
      <c r="R2130" s="11">
        <v>1.0</v>
      </c>
      <c r="S2130">
        <f t="shared" si="1"/>
        <v>2008</v>
      </c>
      <c r="T2130">
        <f t="shared" si="2"/>
        <v>4</v>
      </c>
      <c r="U2130">
        <f t="shared" si="3"/>
        <v>3</v>
      </c>
      <c r="AG2130" s="15"/>
      <c r="AH2130" s="16"/>
      <c r="AM2130" s="15"/>
      <c r="AN2130" s="16"/>
    </row>
    <row r="2131">
      <c r="A2131" s="13" t="s">
        <v>3861</v>
      </c>
      <c r="B2131" s="10">
        <v>39539.0</v>
      </c>
      <c r="C2131" s="11" t="s">
        <v>103</v>
      </c>
      <c r="D2131" s="11" t="s">
        <v>77</v>
      </c>
      <c r="E2131" s="11" t="s">
        <v>39</v>
      </c>
      <c r="F2131" s="11" t="s">
        <v>40</v>
      </c>
      <c r="G2131" s="11" t="s">
        <v>45</v>
      </c>
      <c r="H2131" s="11" t="s">
        <v>262</v>
      </c>
      <c r="I2131" s="11"/>
      <c r="J2131" s="11">
        <v>22.0</v>
      </c>
      <c r="K2131" s="12">
        <v>39987.0</v>
      </c>
      <c r="L2131" s="11">
        <f t="shared" si="226"/>
        <v>15</v>
      </c>
      <c r="M2131" s="11">
        <v>448252.0</v>
      </c>
      <c r="N2131" s="11">
        <v>7513.0</v>
      </c>
      <c r="P2131" s="11">
        <v>24.0</v>
      </c>
      <c r="Q2131" s="14">
        <v>32.333</v>
      </c>
      <c r="R2131" s="41">
        <v>0.0</v>
      </c>
      <c r="S2131">
        <f t="shared" si="1"/>
        <v>2008</v>
      </c>
      <c r="T2131">
        <f t="shared" si="2"/>
        <v>4</v>
      </c>
      <c r="U2131">
        <f t="shared" si="3"/>
        <v>1</v>
      </c>
      <c r="AG2131" s="15"/>
      <c r="AH2131" s="16"/>
      <c r="AM2131" s="15"/>
      <c r="AN2131" s="16"/>
    </row>
    <row r="2132">
      <c r="A2132" s="13" t="s">
        <v>3862</v>
      </c>
      <c r="B2132" s="10">
        <v>39539.0</v>
      </c>
      <c r="C2132" s="11" t="s">
        <v>62</v>
      </c>
      <c r="D2132" s="11" t="s">
        <v>93</v>
      </c>
      <c r="E2132" s="30" t="s">
        <v>39</v>
      </c>
      <c r="F2132" s="11" t="s">
        <v>40</v>
      </c>
      <c r="G2132" s="30" t="s">
        <v>45</v>
      </c>
      <c r="H2132" s="11" t="s">
        <v>109</v>
      </c>
      <c r="I2132" s="11" t="s">
        <v>2467</v>
      </c>
      <c r="J2132" s="11">
        <v>18.0</v>
      </c>
      <c r="K2132" s="12">
        <v>41732.0</v>
      </c>
      <c r="L2132" s="30"/>
      <c r="M2132" s="11">
        <v>605143.0</v>
      </c>
      <c r="N2132" s="11">
        <v>14244.0</v>
      </c>
      <c r="P2132" s="11">
        <v>0.0</v>
      </c>
      <c r="Q2132" s="14">
        <v>0.0</v>
      </c>
      <c r="R2132" s="41">
        <v>1.0</v>
      </c>
      <c r="S2132">
        <f t="shared" si="1"/>
        <v>2008</v>
      </c>
      <c r="T2132">
        <f t="shared" si="2"/>
        <v>4</v>
      </c>
      <c r="U2132">
        <f t="shared" si="3"/>
        <v>1</v>
      </c>
      <c r="AG2132" s="15"/>
      <c r="AH2132" s="16"/>
      <c r="AM2132" s="15"/>
      <c r="AN2132" s="16"/>
    </row>
    <row r="2133">
      <c r="A2133" s="13" t="s">
        <v>3770</v>
      </c>
      <c r="B2133" s="10">
        <v>39448.0</v>
      </c>
      <c r="C2133" s="11" t="s">
        <v>101</v>
      </c>
      <c r="D2133" s="11" t="s">
        <v>77</v>
      </c>
      <c r="E2133" s="41" t="s">
        <v>104</v>
      </c>
      <c r="F2133" s="11" t="s">
        <v>40</v>
      </c>
      <c r="G2133" s="30" t="s">
        <v>45</v>
      </c>
      <c r="H2133" s="11" t="s">
        <v>56</v>
      </c>
      <c r="I2133" s="11" t="s">
        <v>1533</v>
      </c>
      <c r="J2133" s="11">
        <v>25.0</v>
      </c>
      <c r="K2133" s="12">
        <v>40640.0</v>
      </c>
      <c r="L2133" s="30"/>
      <c r="M2133" s="11">
        <v>446404.0</v>
      </c>
      <c r="N2133" s="11" t="s">
        <v>3771</v>
      </c>
      <c r="P2133" s="11">
        <v>0.0</v>
      </c>
      <c r="Q2133" s="14">
        <v>0.0</v>
      </c>
      <c r="R2133" s="41">
        <v>0.0</v>
      </c>
      <c r="S2133">
        <f t="shared" si="1"/>
        <v>2008</v>
      </c>
      <c r="T2133">
        <f t="shared" si="2"/>
        <v>1</v>
      </c>
      <c r="U2133">
        <f t="shared" si="3"/>
        <v>1</v>
      </c>
      <c r="AG2133" s="15"/>
      <c r="AH2133" s="16"/>
      <c r="AM2133" s="15"/>
      <c r="AN2133" s="16"/>
    </row>
    <row r="2134">
      <c r="A2134" s="13" t="s">
        <v>3863</v>
      </c>
      <c r="B2134" s="10">
        <v>39448.0</v>
      </c>
      <c r="C2134" s="11" t="s">
        <v>101</v>
      </c>
      <c r="D2134" s="11" t="s">
        <v>221</v>
      </c>
      <c r="E2134" s="30" t="s">
        <v>39</v>
      </c>
      <c r="F2134" s="11" t="s">
        <v>40</v>
      </c>
      <c r="G2134" s="41" t="s">
        <v>41</v>
      </c>
      <c r="H2134" s="30"/>
      <c r="I2134" s="30"/>
      <c r="J2134" s="11">
        <v>21.0</v>
      </c>
      <c r="K2134" s="12">
        <v>39939.0</v>
      </c>
      <c r="L2134" s="30"/>
      <c r="M2134" s="11">
        <v>466458.0</v>
      </c>
      <c r="N2134" s="11" t="s">
        <v>3864</v>
      </c>
      <c r="P2134" s="11">
        <v>0.0</v>
      </c>
      <c r="Q2134" s="14">
        <v>0.0</v>
      </c>
      <c r="R2134" s="41">
        <v>0.0</v>
      </c>
      <c r="S2134">
        <f t="shared" si="1"/>
        <v>2008</v>
      </c>
      <c r="T2134">
        <f t="shared" si="2"/>
        <v>1</v>
      </c>
      <c r="U2134">
        <f t="shared" si="3"/>
        <v>1</v>
      </c>
      <c r="AG2134" s="15"/>
      <c r="AH2134" s="16"/>
      <c r="AM2134" s="15"/>
      <c r="AN2134" s="16"/>
    </row>
    <row r="2135">
      <c r="A2135" s="13" t="s">
        <v>3865</v>
      </c>
      <c r="B2135" s="10">
        <v>39448.0</v>
      </c>
      <c r="C2135" s="11" t="s">
        <v>138</v>
      </c>
      <c r="D2135" s="11" t="s">
        <v>213</v>
      </c>
      <c r="E2135" s="30" t="s">
        <v>39</v>
      </c>
      <c r="F2135" s="11" t="s">
        <v>40</v>
      </c>
      <c r="G2135" s="30" t="s">
        <v>45</v>
      </c>
      <c r="H2135" s="11" t="s">
        <v>112</v>
      </c>
      <c r="I2135" s="11" t="s">
        <v>3866</v>
      </c>
      <c r="J2135" s="11">
        <v>18.0</v>
      </c>
      <c r="K2135" s="12">
        <v>40278.0</v>
      </c>
      <c r="L2135" s="30"/>
      <c r="M2135" s="11">
        <v>571770.0</v>
      </c>
      <c r="N2135" s="11" t="s">
        <v>3867</v>
      </c>
      <c r="P2135" s="11">
        <v>0.0</v>
      </c>
      <c r="Q2135" s="14">
        <v>0.0</v>
      </c>
      <c r="R2135" s="41">
        <v>0.0</v>
      </c>
      <c r="S2135">
        <f t="shared" si="1"/>
        <v>2008</v>
      </c>
      <c r="T2135">
        <f t="shared" si="2"/>
        <v>1</v>
      </c>
      <c r="U2135">
        <f t="shared" si="3"/>
        <v>1</v>
      </c>
      <c r="AG2135" s="15"/>
      <c r="AH2135" s="16"/>
      <c r="AM2135" s="15"/>
      <c r="AN2135" s="16"/>
    </row>
    <row r="2136">
      <c r="A2136" s="13" t="s">
        <v>3868</v>
      </c>
      <c r="B2136" s="10">
        <v>39448.0</v>
      </c>
      <c r="C2136" s="11" t="s">
        <v>72</v>
      </c>
      <c r="D2136" s="11" t="s">
        <v>77</v>
      </c>
      <c r="E2136" s="30" t="s">
        <v>39</v>
      </c>
      <c r="F2136" s="11" t="s">
        <v>64</v>
      </c>
      <c r="G2136" s="30" t="s">
        <v>45</v>
      </c>
      <c r="H2136" s="11" t="s">
        <v>74</v>
      </c>
      <c r="I2136" s="11" t="s">
        <v>689</v>
      </c>
      <c r="J2136" s="11">
        <v>26.0</v>
      </c>
      <c r="K2136" s="12">
        <v>40000.0</v>
      </c>
      <c r="L2136" s="30"/>
      <c r="M2136" s="11">
        <v>459415.0</v>
      </c>
      <c r="N2136" s="11">
        <v>7542.0</v>
      </c>
      <c r="P2136" s="11">
        <v>17.0</v>
      </c>
      <c r="Q2136" s="14">
        <v>13.333</v>
      </c>
      <c r="R2136" s="41">
        <v>0.0</v>
      </c>
      <c r="S2136">
        <f t="shared" si="1"/>
        <v>2008</v>
      </c>
      <c r="T2136">
        <f t="shared" si="2"/>
        <v>1</v>
      </c>
      <c r="U2136">
        <f t="shared" si="3"/>
        <v>1</v>
      </c>
      <c r="AG2136" s="15"/>
      <c r="AH2136" s="16"/>
      <c r="AM2136" s="15"/>
      <c r="AN2136" s="16"/>
    </row>
    <row r="2137">
      <c r="A2137" s="13" t="s">
        <v>3869</v>
      </c>
      <c r="B2137" s="10">
        <v>39448.0</v>
      </c>
      <c r="C2137" s="11" t="s">
        <v>72</v>
      </c>
      <c r="D2137" s="11" t="s">
        <v>58</v>
      </c>
      <c r="E2137" s="30" t="s">
        <v>39</v>
      </c>
      <c r="F2137" s="11" t="s">
        <v>40</v>
      </c>
      <c r="G2137" s="30" t="s">
        <v>45</v>
      </c>
      <c r="H2137" s="11" t="s">
        <v>67</v>
      </c>
      <c r="I2137" s="11" t="s">
        <v>3870</v>
      </c>
      <c r="J2137" s="11">
        <v>29.0</v>
      </c>
      <c r="K2137" s="30"/>
      <c r="L2137" s="30"/>
      <c r="M2137" s="11">
        <v>473137.0</v>
      </c>
      <c r="N2137" s="11">
        <v>3508.0</v>
      </c>
      <c r="P2137" s="11">
        <v>0.0</v>
      </c>
      <c r="Q2137" s="14">
        <v>0.0</v>
      </c>
      <c r="R2137" s="41">
        <v>0.0</v>
      </c>
      <c r="S2137">
        <f t="shared" si="1"/>
        <v>2008</v>
      </c>
      <c r="T2137">
        <f t="shared" si="2"/>
        <v>1</v>
      </c>
      <c r="U2137">
        <f t="shared" si="3"/>
        <v>1</v>
      </c>
      <c r="AG2137" s="15"/>
      <c r="AH2137" s="16"/>
      <c r="AM2137" s="15"/>
      <c r="AN2137" s="16"/>
    </row>
    <row r="2138">
      <c r="A2138" s="13" t="s">
        <v>3871</v>
      </c>
      <c r="B2138" s="10">
        <v>39448.0</v>
      </c>
      <c r="C2138" s="11" t="s">
        <v>162</v>
      </c>
      <c r="D2138" s="11" t="s">
        <v>97</v>
      </c>
      <c r="E2138" s="30" t="s">
        <v>39</v>
      </c>
      <c r="F2138" s="11" t="s">
        <v>64</v>
      </c>
      <c r="G2138" s="30" t="s">
        <v>45</v>
      </c>
      <c r="H2138" s="11" t="s">
        <v>182</v>
      </c>
      <c r="I2138" s="11" t="s">
        <v>771</v>
      </c>
      <c r="J2138" s="11">
        <v>23.0</v>
      </c>
      <c r="K2138" s="12">
        <v>39913.0</v>
      </c>
      <c r="L2138" s="30"/>
      <c r="M2138" s="11">
        <v>453365.0</v>
      </c>
      <c r="N2138" s="11" t="s">
        <v>3872</v>
      </c>
      <c r="P2138" s="11">
        <v>0.0</v>
      </c>
      <c r="Q2138" s="14">
        <v>0.0</v>
      </c>
      <c r="R2138" s="41">
        <v>0.0</v>
      </c>
      <c r="S2138">
        <f t="shared" si="1"/>
        <v>2008</v>
      </c>
      <c r="T2138">
        <f t="shared" si="2"/>
        <v>1</v>
      </c>
      <c r="U2138">
        <f t="shared" si="3"/>
        <v>1</v>
      </c>
      <c r="AG2138" s="15"/>
      <c r="AH2138" s="16"/>
      <c r="AM2138" s="15"/>
      <c r="AN2138" s="16"/>
    </row>
    <row r="2139">
      <c r="A2139" s="13" t="s">
        <v>3873</v>
      </c>
      <c r="B2139" s="10">
        <v>39448.0</v>
      </c>
      <c r="C2139" s="11" t="s">
        <v>44</v>
      </c>
      <c r="D2139" s="11" t="s">
        <v>93</v>
      </c>
      <c r="E2139" s="11" t="s">
        <v>39</v>
      </c>
      <c r="F2139" s="11" t="s">
        <v>40</v>
      </c>
      <c r="G2139" s="11" t="s">
        <v>45</v>
      </c>
      <c r="H2139" s="11" t="s">
        <v>84</v>
      </c>
      <c r="I2139" s="11" t="s">
        <v>3874</v>
      </c>
      <c r="J2139" s="11">
        <v>19.0</v>
      </c>
      <c r="K2139" s="12">
        <v>40712.0</v>
      </c>
      <c r="L2139" s="30"/>
      <c r="M2139" s="11">
        <v>592102.0</v>
      </c>
      <c r="N2139" s="11">
        <v>12183.0</v>
      </c>
      <c r="P2139" s="11">
        <v>386.0</v>
      </c>
      <c r="Q2139" s="14">
        <v>373.667</v>
      </c>
      <c r="R2139" s="41">
        <v>1.0</v>
      </c>
      <c r="S2139">
        <f t="shared" si="1"/>
        <v>2008</v>
      </c>
      <c r="T2139">
        <f t="shared" si="2"/>
        <v>1</v>
      </c>
      <c r="U2139">
        <f t="shared" si="3"/>
        <v>1</v>
      </c>
      <c r="AG2139" s="15"/>
      <c r="AH2139" s="16"/>
      <c r="AM2139" s="15"/>
      <c r="AN2139" s="16"/>
    </row>
    <row r="2140">
      <c r="A2140" s="13" t="s">
        <v>3875</v>
      </c>
      <c r="B2140" s="10">
        <v>39448.0</v>
      </c>
      <c r="C2140" s="11" t="s">
        <v>52</v>
      </c>
      <c r="D2140" s="11" t="s">
        <v>38</v>
      </c>
      <c r="E2140" s="30" t="s">
        <v>39</v>
      </c>
      <c r="F2140" s="11" t="s">
        <v>64</v>
      </c>
      <c r="G2140" s="30" t="s">
        <v>45</v>
      </c>
      <c r="H2140" s="11" t="s">
        <v>67</v>
      </c>
      <c r="I2140" s="11" t="s">
        <v>179</v>
      </c>
      <c r="J2140" s="11">
        <v>27.0</v>
      </c>
      <c r="K2140" s="30"/>
      <c r="L2140" s="30"/>
      <c r="M2140" s="11">
        <v>434642.0</v>
      </c>
      <c r="N2140" s="11">
        <v>4655.0</v>
      </c>
      <c r="P2140" s="11">
        <v>0.0</v>
      </c>
      <c r="Q2140" s="45">
        <v>0.0</v>
      </c>
      <c r="R2140" s="41">
        <v>0.0</v>
      </c>
      <c r="S2140">
        <f t="shared" si="1"/>
        <v>2008</v>
      </c>
      <c r="T2140">
        <f t="shared" si="2"/>
        <v>1</v>
      </c>
      <c r="U2140">
        <f t="shared" si="3"/>
        <v>1</v>
      </c>
      <c r="AG2140" s="15"/>
      <c r="AH2140" s="16"/>
      <c r="AM2140" s="15"/>
      <c r="AN2140" s="16"/>
    </row>
    <row r="2141">
      <c r="A2141" s="13" t="s">
        <v>3876</v>
      </c>
      <c r="B2141" s="10">
        <v>39448.0</v>
      </c>
      <c r="C2141" s="11" t="s">
        <v>358</v>
      </c>
      <c r="D2141" s="11" t="s">
        <v>93</v>
      </c>
      <c r="E2141" s="30" t="s">
        <v>39</v>
      </c>
      <c r="F2141" s="11" t="s">
        <v>64</v>
      </c>
      <c r="G2141" s="30" t="s">
        <v>45</v>
      </c>
      <c r="H2141" s="11" t="s">
        <v>84</v>
      </c>
      <c r="I2141" s="11" t="s">
        <v>84</v>
      </c>
      <c r="J2141" s="11">
        <v>20.0</v>
      </c>
      <c r="K2141" s="12">
        <v>40374.0</v>
      </c>
      <c r="L2141" s="30"/>
      <c r="M2141" s="11">
        <v>502087.0</v>
      </c>
      <c r="N2141" s="11">
        <v>11240.0</v>
      </c>
      <c r="P2141" s="11">
        <v>58.0</v>
      </c>
      <c r="Q2141" s="14">
        <v>55.0</v>
      </c>
      <c r="R2141" s="41">
        <v>1.0</v>
      </c>
      <c r="S2141">
        <f t="shared" si="1"/>
        <v>2008</v>
      </c>
      <c r="T2141">
        <f t="shared" si="2"/>
        <v>1</v>
      </c>
      <c r="U2141">
        <f t="shared" si="3"/>
        <v>1</v>
      </c>
      <c r="AG2141" s="15"/>
      <c r="AH2141" s="16"/>
      <c r="AM2141" s="15"/>
      <c r="AN2141" s="16"/>
    </row>
    <row r="2142">
      <c r="A2142" s="13" t="s">
        <v>3877</v>
      </c>
      <c r="B2142" s="10">
        <v>39448.0</v>
      </c>
      <c r="C2142" s="11" t="s">
        <v>108</v>
      </c>
      <c r="D2142" s="11" t="s">
        <v>213</v>
      </c>
      <c r="E2142" s="11" t="s">
        <v>39</v>
      </c>
      <c r="F2142" s="11" t="s">
        <v>64</v>
      </c>
      <c r="G2142" s="11" t="s">
        <v>45</v>
      </c>
      <c r="H2142" s="11" t="s">
        <v>46</v>
      </c>
      <c r="I2142" s="11" t="s">
        <v>173</v>
      </c>
      <c r="J2142" s="11">
        <v>17.0</v>
      </c>
      <c r="K2142" s="12">
        <v>41442.0</v>
      </c>
      <c r="L2142" s="30"/>
      <c r="M2142" s="11">
        <v>643778.0</v>
      </c>
      <c r="N2142" s="11">
        <v>14974.0</v>
      </c>
      <c r="P2142" s="11">
        <v>9.0</v>
      </c>
      <c r="Q2142" s="14">
        <v>8.0</v>
      </c>
      <c r="R2142" s="11">
        <v>1.0</v>
      </c>
      <c r="S2142">
        <f t="shared" si="1"/>
        <v>2008</v>
      </c>
      <c r="T2142">
        <f t="shared" si="2"/>
        <v>1</v>
      </c>
      <c r="U2142">
        <f t="shared" si="3"/>
        <v>1</v>
      </c>
      <c r="AG2142" s="15"/>
      <c r="AH2142" s="16"/>
      <c r="AM2142" s="15"/>
      <c r="AN2142" s="16"/>
    </row>
    <row r="2143">
      <c r="A2143" s="13" t="s">
        <v>3878</v>
      </c>
      <c r="B2143" s="10">
        <v>39448.0</v>
      </c>
      <c r="C2143" s="11" t="s">
        <v>108</v>
      </c>
      <c r="D2143" s="11" t="s">
        <v>221</v>
      </c>
      <c r="E2143" s="11" t="s">
        <v>39</v>
      </c>
      <c r="F2143" s="11" t="s">
        <v>40</v>
      </c>
      <c r="G2143" s="11" t="s">
        <v>45</v>
      </c>
      <c r="H2143" s="11" t="s">
        <v>317</v>
      </c>
      <c r="I2143" s="11"/>
      <c r="J2143" s="11">
        <v>19.0</v>
      </c>
      <c r="K2143" s="12">
        <v>40004.0</v>
      </c>
      <c r="L2143" s="30"/>
      <c r="M2143" s="11">
        <v>518435.0</v>
      </c>
      <c r="N2143" s="11">
        <v>10148.0</v>
      </c>
      <c r="P2143" s="11">
        <v>0.0</v>
      </c>
      <c r="Q2143" s="14">
        <v>0.0</v>
      </c>
      <c r="R2143" s="11">
        <v>1.0</v>
      </c>
      <c r="S2143">
        <f t="shared" si="1"/>
        <v>2008</v>
      </c>
      <c r="T2143">
        <f t="shared" si="2"/>
        <v>1</v>
      </c>
      <c r="U2143">
        <f t="shared" si="3"/>
        <v>1</v>
      </c>
      <c r="AG2143" s="15"/>
      <c r="AH2143" s="16"/>
      <c r="AM2143" s="15"/>
      <c r="AN2143" s="16"/>
    </row>
    <row r="2144">
      <c r="A2144" s="13" t="s">
        <v>3879</v>
      </c>
      <c r="B2144" s="10">
        <v>39448.0</v>
      </c>
      <c r="C2144" s="11" t="s">
        <v>150</v>
      </c>
      <c r="D2144" s="11" t="s">
        <v>93</v>
      </c>
      <c r="E2144" s="30" t="s">
        <v>39</v>
      </c>
      <c r="F2144" s="11" t="s">
        <v>40</v>
      </c>
      <c r="G2144" s="30" t="s">
        <v>45</v>
      </c>
      <c r="H2144" s="11" t="s">
        <v>301</v>
      </c>
      <c r="I2144" s="11" t="s">
        <v>739</v>
      </c>
      <c r="J2144" s="11">
        <v>20.0</v>
      </c>
      <c r="K2144" s="12">
        <v>40294.0</v>
      </c>
      <c r="L2144" s="30"/>
      <c r="M2144" s="11">
        <v>519283.0</v>
      </c>
      <c r="N2144" s="11" t="s">
        <v>3880</v>
      </c>
      <c r="P2144" s="11">
        <v>0.0</v>
      </c>
      <c r="Q2144" s="14">
        <v>0.0</v>
      </c>
      <c r="R2144" s="41">
        <v>0.0</v>
      </c>
      <c r="S2144">
        <f t="shared" si="1"/>
        <v>2008</v>
      </c>
      <c r="T2144">
        <f t="shared" si="2"/>
        <v>1</v>
      </c>
      <c r="U2144">
        <f t="shared" si="3"/>
        <v>1</v>
      </c>
      <c r="AG2144" s="15"/>
      <c r="AH2144" s="16"/>
      <c r="AM2144" s="15"/>
      <c r="AN2144" s="16"/>
    </row>
    <row r="2145">
      <c r="A2145" s="13" t="s">
        <v>3881</v>
      </c>
      <c r="B2145" s="10">
        <v>39448.0</v>
      </c>
      <c r="C2145" s="11" t="s">
        <v>175</v>
      </c>
      <c r="D2145" s="11" t="s">
        <v>97</v>
      </c>
      <c r="E2145" s="30" t="s">
        <v>39</v>
      </c>
      <c r="F2145" s="11" t="s">
        <v>40</v>
      </c>
      <c r="G2145" s="41" t="s">
        <v>460</v>
      </c>
      <c r="H2145" s="30"/>
      <c r="I2145" s="30"/>
      <c r="J2145" s="11">
        <v>21.0</v>
      </c>
      <c r="K2145" s="12">
        <v>40280.0</v>
      </c>
      <c r="L2145" s="30"/>
      <c r="M2145" s="11">
        <v>444485.0</v>
      </c>
      <c r="N2145" s="11" t="s">
        <v>3882</v>
      </c>
      <c r="P2145" s="11">
        <v>0.0</v>
      </c>
      <c r="Q2145" s="14">
        <v>0.0</v>
      </c>
      <c r="R2145" s="41">
        <v>0.0</v>
      </c>
      <c r="S2145">
        <f t="shared" si="1"/>
        <v>2008</v>
      </c>
      <c r="T2145">
        <f t="shared" si="2"/>
        <v>1</v>
      </c>
      <c r="U2145">
        <f t="shared" si="3"/>
        <v>1</v>
      </c>
      <c r="AG2145" s="15"/>
      <c r="AH2145" s="16"/>
      <c r="AM2145" s="15"/>
      <c r="AN2145" s="16"/>
    </row>
    <row r="2146">
      <c r="A2146" s="13" t="s">
        <v>3883</v>
      </c>
      <c r="B2146" s="10">
        <v>39448.0</v>
      </c>
      <c r="C2146" s="11" t="s">
        <v>230</v>
      </c>
      <c r="D2146" s="11" t="s">
        <v>93</v>
      </c>
      <c r="E2146" s="11" t="s">
        <v>118</v>
      </c>
      <c r="F2146" s="11" t="s">
        <v>40</v>
      </c>
      <c r="G2146" s="30" t="s">
        <v>45</v>
      </c>
      <c r="H2146" s="11" t="s">
        <v>127</v>
      </c>
      <c r="I2146" s="11" t="s">
        <v>127</v>
      </c>
      <c r="J2146" s="11">
        <v>20.0</v>
      </c>
      <c r="K2146" s="12">
        <v>40276.0</v>
      </c>
      <c r="L2146" s="30"/>
      <c r="M2146" s="11">
        <v>554429.0</v>
      </c>
      <c r="N2146" s="11">
        <v>10099.0</v>
      </c>
      <c r="P2146" s="11">
        <v>635.0</v>
      </c>
      <c r="Q2146" s="14">
        <v>2347.0</v>
      </c>
      <c r="R2146" s="41">
        <v>1.0</v>
      </c>
      <c r="S2146">
        <f t="shared" si="1"/>
        <v>2008</v>
      </c>
      <c r="T2146">
        <f t="shared" si="2"/>
        <v>1</v>
      </c>
      <c r="U2146">
        <f t="shared" si="3"/>
        <v>1</v>
      </c>
      <c r="AG2146" s="15"/>
      <c r="AH2146" s="16"/>
      <c r="AM2146" s="15"/>
      <c r="AN2146" s="16"/>
    </row>
    <row r="2147">
      <c r="A2147" s="13" t="s">
        <v>3884</v>
      </c>
      <c r="B2147" s="10">
        <v>39448.0</v>
      </c>
      <c r="C2147" s="11" t="s">
        <v>62</v>
      </c>
      <c r="D2147" s="11" t="s">
        <v>77</v>
      </c>
      <c r="E2147" s="11" t="s">
        <v>2062</v>
      </c>
      <c r="F2147" s="11" t="s">
        <v>40</v>
      </c>
      <c r="G2147" s="11" t="s">
        <v>45</v>
      </c>
      <c r="H2147" s="11" t="s">
        <v>109</v>
      </c>
      <c r="I2147" s="11" t="s">
        <v>1159</v>
      </c>
      <c r="J2147" s="11">
        <v>25.0</v>
      </c>
      <c r="K2147" s="12">
        <v>41061.0</v>
      </c>
      <c r="L2147" s="30"/>
      <c r="M2147" s="11">
        <v>489126.0</v>
      </c>
      <c r="N2147" s="11" t="s">
        <v>3885</v>
      </c>
      <c r="P2147" s="11">
        <v>0.0</v>
      </c>
      <c r="Q2147" s="14">
        <v>0.0</v>
      </c>
      <c r="R2147" s="11">
        <v>0.0</v>
      </c>
      <c r="S2147">
        <f t="shared" si="1"/>
        <v>2008</v>
      </c>
      <c r="T2147">
        <f t="shared" si="2"/>
        <v>1</v>
      </c>
      <c r="U2147">
        <f t="shared" si="3"/>
        <v>1</v>
      </c>
      <c r="AG2147" s="15"/>
      <c r="AH2147" s="16"/>
      <c r="AM2147" s="15"/>
      <c r="AN2147" s="16"/>
    </row>
    <row r="2148">
      <c r="A2148" s="13" t="s">
        <v>3886</v>
      </c>
      <c r="B2148" s="10">
        <v>39448.0</v>
      </c>
      <c r="C2148" s="11" t="s">
        <v>156</v>
      </c>
      <c r="D2148" s="11" t="s">
        <v>213</v>
      </c>
      <c r="E2148" s="41" t="s">
        <v>982</v>
      </c>
      <c r="F2148" s="11" t="s">
        <v>40</v>
      </c>
      <c r="G2148" s="11" t="s">
        <v>803</v>
      </c>
      <c r="H2148" s="30"/>
      <c r="I2148" s="30"/>
      <c r="J2148" s="11">
        <v>17.0</v>
      </c>
      <c r="K2148" s="12">
        <v>39984.0</v>
      </c>
      <c r="L2148" s="30"/>
      <c r="M2148" s="11">
        <v>573349.0</v>
      </c>
      <c r="N2148" s="11" t="s">
        <v>3887</v>
      </c>
      <c r="P2148" s="11">
        <v>0.0</v>
      </c>
      <c r="Q2148" s="14">
        <v>0.0</v>
      </c>
      <c r="R2148" s="41">
        <v>1.0</v>
      </c>
      <c r="S2148">
        <f t="shared" si="1"/>
        <v>2008</v>
      </c>
      <c r="T2148">
        <f t="shared" si="2"/>
        <v>1</v>
      </c>
      <c r="U2148">
        <f t="shared" si="3"/>
        <v>1</v>
      </c>
      <c r="AG2148" s="15"/>
      <c r="AH2148" s="16"/>
      <c r="AM2148" s="15"/>
      <c r="AN2148" s="16"/>
    </row>
    <row r="2149">
      <c r="A2149" s="13" t="s">
        <v>3888</v>
      </c>
      <c r="B2149" s="10">
        <v>39417.0</v>
      </c>
      <c r="C2149" s="11" t="s">
        <v>126</v>
      </c>
      <c r="D2149" s="11" t="s">
        <v>93</v>
      </c>
      <c r="E2149" s="11" t="s">
        <v>39</v>
      </c>
      <c r="F2149" s="11" t="s">
        <v>64</v>
      </c>
      <c r="G2149" s="11" t="s">
        <v>45</v>
      </c>
      <c r="H2149" s="11" t="s">
        <v>265</v>
      </c>
      <c r="I2149" s="11" t="s">
        <v>240</v>
      </c>
      <c r="J2149" s="11">
        <v>20.0</v>
      </c>
      <c r="K2149" s="12">
        <v>39989.0</v>
      </c>
      <c r="L2149" s="11"/>
      <c r="M2149" s="11">
        <v>572261.0</v>
      </c>
      <c r="N2149" s="11" t="s">
        <v>3889</v>
      </c>
      <c r="P2149" s="11">
        <v>0.0</v>
      </c>
      <c r="Q2149" s="14">
        <v>0.0</v>
      </c>
      <c r="R2149" s="41">
        <v>0.0</v>
      </c>
      <c r="S2149">
        <f t="shared" si="1"/>
        <v>2007</v>
      </c>
      <c r="T2149">
        <f t="shared" si="2"/>
        <v>12</v>
      </c>
      <c r="U2149">
        <f t="shared" si="3"/>
        <v>1</v>
      </c>
      <c r="AG2149" s="15"/>
      <c r="AH2149" s="16"/>
      <c r="AM2149" s="15"/>
      <c r="AN2149" s="16"/>
    </row>
    <row r="2150">
      <c r="A2150" s="13" t="s">
        <v>3890</v>
      </c>
      <c r="B2150" s="10">
        <v>39413.0</v>
      </c>
      <c r="C2150" s="11" t="s">
        <v>111</v>
      </c>
      <c r="D2150" s="11" t="s">
        <v>213</v>
      </c>
      <c r="E2150" s="30" t="s">
        <v>39</v>
      </c>
      <c r="F2150" s="11" t="s">
        <v>64</v>
      </c>
      <c r="G2150" s="30" t="s">
        <v>45</v>
      </c>
      <c r="H2150" s="11" t="s">
        <v>73</v>
      </c>
      <c r="I2150" s="11"/>
      <c r="J2150" s="11">
        <v>18.0</v>
      </c>
      <c r="K2150" s="12">
        <v>39675.0</v>
      </c>
      <c r="L2150" s="11">
        <f t="shared" ref="L2150:L2157" si="227">ROUND(((K2150-B2150)/365)*12,0)</f>
        <v>9</v>
      </c>
      <c r="M2150" s="11">
        <v>518582.0</v>
      </c>
      <c r="N2150" s="11">
        <v>5261.0</v>
      </c>
      <c r="P2150" s="11">
        <v>3.0</v>
      </c>
      <c r="Q2150" s="14">
        <v>12.333</v>
      </c>
      <c r="R2150" s="41">
        <v>0.0</v>
      </c>
      <c r="S2150">
        <f t="shared" si="1"/>
        <v>2007</v>
      </c>
      <c r="T2150">
        <f t="shared" si="2"/>
        <v>11</v>
      </c>
      <c r="U2150">
        <f t="shared" si="3"/>
        <v>27</v>
      </c>
      <c r="AG2150" s="15"/>
      <c r="AH2150" s="16"/>
      <c r="AM2150" s="15"/>
      <c r="AN2150" s="16"/>
    </row>
    <row r="2151">
      <c r="A2151" s="13" t="s">
        <v>3891</v>
      </c>
      <c r="B2151" s="10">
        <v>39409.0</v>
      </c>
      <c r="C2151" s="11" t="s">
        <v>192</v>
      </c>
      <c r="D2151" s="11" t="s">
        <v>77</v>
      </c>
      <c r="E2151" s="30" t="s">
        <v>39</v>
      </c>
      <c r="F2151" s="11" t="s">
        <v>40</v>
      </c>
      <c r="G2151" s="41" t="s">
        <v>41</v>
      </c>
      <c r="H2151" s="30"/>
      <c r="I2151" s="30"/>
      <c r="J2151" s="11">
        <v>23.0</v>
      </c>
      <c r="K2151" s="12">
        <v>39913.0</v>
      </c>
      <c r="L2151" s="11">
        <f t="shared" si="227"/>
        <v>17</v>
      </c>
      <c r="M2151" s="11">
        <v>465679.0</v>
      </c>
      <c r="N2151" s="11">
        <v>5285.0</v>
      </c>
      <c r="P2151" s="11">
        <v>83.0</v>
      </c>
      <c r="Q2151" s="14">
        <v>314.333</v>
      </c>
      <c r="R2151" s="11">
        <v>0.0</v>
      </c>
      <c r="S2151">
        <f t="shared" si="1"/>
        <v>2007</v>
      </c>
      <c r="T2151">
        <f t="shared" si="2"/>
        <v>11</v>
      </c>
      <c r="U2151">
        <f t="shared" si="3"/>
        <v>23</v>
      </c>
      <c r="AG2151" s="15"/>
      <c r="AH2151" s="16"/>
      <c r="AM2151" s="15"/>
      <c r="AN2151" s="16"/>
    </row>
    <row r="2152">
      <c r="A2152" s="13" t="s">
        <v>3892</v>
      </c>
      <c r="B2152" s="10">
        <v>39400.0</v>
      </c>
      <c r="C2152" s="11" t="s">
        <v>186</v>
      </c>
      <c r="D2152" s="11" t="s">
        <v>709</v>
      </c>
      <c r="E2152" s="30" t="s">
        <v>39</v>
      </c>
      <c r="F2152" s="11" t="s">
        <v>40</v>
      </c>
      <c r="G2152" s="30" t="s">
        <v>45</v>
      </c>
      <c r="H2152" s="11" t="s">
        <v>84</v>
      </c>
      <c r="I2152" s="11"/>
      <c r="J2152" s="11">
        <v>19.0</v>
      </c>
      <c r="K2152" s="12">
        <v>39914.0</v>
      </c>
      <c r="L2152" s="11">
        <f t="shared" si="227"/>
        <v>17</v>
      </c>
      <c r="M2152" s="11">
        <v>502010.0</v>
      </c>
      <c r="N2152" s="11">
        <v>2851.0</v>
      </c>
      <c r="P2152" s="11">
        <v>12.0</v>
      </c>
      <c r="Q2152" s="14">
        <v>16.667</v>
      </c>
      <c r="R2152" s="11">
        <v>0.0</v>
      </c>
      <c r="S2152">
        <f t="shared" si="1"/>
        <v>2007</v>
      </c>
      <c r="T2152">
        <f t="shared" si="2"/>
        <v>11</v>
      </c>
      <c r="U2152">
        <f t="shared" si="3"/>
        <v>14</v>
      </c>
      <c r="AG2152" s="15"/>
      <c r="AH2152" s="16"/>
      <c r="AM2152" s="15"/>
      <c r="AN2152" s="16"/>
    </row>
    <row r="2153">
      <c r="A2153" s="13" t="s">
        <v>3893</v>
      </c>
      <c r="B2153" s="10">
        <v>39381.0</v>
      </c>
      <c r="C2153" s="11" t="s">
        <v>138</v>
      </c>
      <c r="D2153" s="11" t="s">
        <v>38</v>
      </c>
      <c r="E2153" s="30" t="s">
        <v>39</v>
      </c>
      <c r="F2153" s="11" t="s">
        <v>40</v>
      </c>
      <c r="G2153" s="41" t="s">
        <v>483</v>
      </c>
      <c r="H2153" s="30"/>
      <c r="I2153" s="30"/>
      <c r="J2153" s="11">
        <v>29.0</v>
      </c>
      <c r="K2153" s="12">
        <v>39911.0</v>
      </c>
      <c r="L2153" s="11">
        <f t="shared" si="227"/>
        <v>17</v>
      </c>
      <c r="M2153" s="11">
        <v>276056.0</v>
      </c>
      <c r="N2153" s="11">
        <v>367.0</v>
      </c>
      <c r="O2153" s="13" t="s">
        <v>761</v>
      </c>
      <c r="P2153" s="11">
        <v>139.0</v>
      </c>
      <c r="Q2153" s="45">
        <v>155.33299999999997</v>
      </c>
      <c r="R2153" s="41">
        <v>0.0</v>
      </c>
      <c r="S2153">
        <f t="shared" si="1"/>
        <v>2007</v>
      </c>
      <c r="T2153">
        <f t="shared" si="2"/>
        <v>10</v>
      </c>
      <c r="U2153">
        <f t="shared" si="3"/>
        <v>26</v>
      </c>
      <c r="AG2153" s="15"/>
      <c r="AH2153" s="16"/>
      <c r="AM2153" s="15"/>
      <c r="AN2153" s="16"/>
    </row>
    <row r="2154">
      <c r="A2154" s="13" t="s">
        <v>3894</v>
      </c>
      <c r="B2154" s="10">
        <v>39362.0</v>
      </c>
      <c r="C2154" s="11" t="s">
        <v>175</v>
      </c>
      <c r="D2154" s="11" t="s">
        <v>97</v>
      </c>
      <c r="E2154" s="30" t="s">
        <v>39</v>
      </c>
      <c r="F2154" s="11" t="s">
        <v>64</v>
      </c>
      <c r="G2154" s="30" t="s">
        <v>45</v>
      </c>
      <c r="H2154" s="11" t="s">
        <v>74</v>
      </c>
      <c r="I2154" s="11" t="s">
        <v>669</v>
      </c>
      <c r="J2154" s="11">
        <v>21.0</v>
      </c>
      <c r="K2154" s="12">
        <v>39913.0</v>
      </c>
      <c r="L2154" s="11">
        <f t="shared" si="227"/>
        <v>18</v>
      </c>
      <c r="M2154" s="11">
        <v>519260.0</v>
      </c>
      <c r="N2154" s="11" t="s">
        <v>3895</v>
      </c>
      <c r="P2154" s="11">
        <v>0.0</v>
      </c>
      <c r="Q2154" s="14">
        <v>0.0</v>
      </c>
      <c r="R2154" s="41">
        <v>0.0</v>
      </c>
      <c r="S2154">
        <f t="shared" si="1"/>
        <v>2007</v>
      </c>
      <c r="T2154">
        <f t="shared" si="2"/>
        <v>10</v>
      </c>
      <c r="U2154">
        <f t="shared" si="3"/>
        <v>7</v>
      </c>
      <c r="AG2154" s="15"/>
      <c r="AH2154" s="16"/>
      <c r="AM2154" s="15"/>
      <c r="AN2154" s="16"/>
    </row>
    <row r="2155">
      <c r="A2155" s="13" t="s">
        <v>3896</v>
      </c>
      <c r="B2155" s="10">
        <v>39350.0</v>
      </c>
      <c r="C2155" s="11" t="s">
        <v>44</v>
      </c>
      <c r="D2155" s="11" t="s">
        <v>58</v>
      </c>
      <c r="E2155" s="41" t="s">
        <v>118</v>
      </c>
      <c r="F2155" s="11" t="s">
        <v>64</v>
      </c>
      <c r="G2155" s="11" t="s">
        <v>803</v>
      </c>
      <c r="H2155" s="30"/>
      <c r="I2155" s="30"/>
      <c r="J2155" s="11">
        <v>24.0</v>
      </c>
      <c r="K2155" s="12">
        <v>39599.0</v>
      </c>
      <c r="L2155" s="11">
        <f t="shared" si="227"/>
        <v>8</v>
      </c>
      <c r="M2155" s="11">
        <v>425783.0</v>
      </c>
      <c r="N2155" s="11">
        <v>3174.0</v>
      </c>
      <c r="O2155" s="13" t="s">
        <v>3309</v>
      </c>
      <c r="P2155" s="11">
        <v>1257.0</v>
      </c>
      <c r="Q2155" s="14">
        <v>5485.0</v>
      </c>
      <c r="R2155" s="41">
        <v>1.0</v>
      </c>
      <c r="S2155">
        <f t="shared" si="1"/>
        <v>2007</v>
      </c>
      <c r="T2155">
        <f t="shared" si="2"/>
        <v>9</v>
      </c>
      <c r="U2155">
        <f t="shared" si="3"/>
        <v>25</v>
      </c>
      <c r="AG2155" s="15"/>
      <c r="AH2155" s="16"/>
      <c r="AM2155" s="15"/>
      <c r="AN2155" s="16"/>
    </row>
    <row r="2156">
      <c r="A2156" s="13" t="s">
        <v>3897</v>
      </c>
      <c r="B2156" s="10">
        <v>39332.0</v>
      </c>
      <c r="C2156" s="11" t="s">
        <v>116</v>
      </c>
      <c r="D2156" s="11" t="s">
        <v>97</v>
      </c>
      <c r="E2156" s="11" t="s">
        <v>39</v>
      </c>
      <c r="F2156" s="11" t="s">
        <v>40</v>
      </c>
      <c r="G2156" s="11" t="s">
        <v>45</v>
      </c>
      <c r="H2156" s="11" t="s">
        <v>163</v>
      </c>
      <c r="I2156" s="11" t="s">
        <v>1599</v>
      </c>
      <c r="J2156" s="11">
        <v>22.0</v>
      </c>
      <c r="K2156" s="12">
        <v>39921.0</v>
      </c>
      <c r="L2156" s="11">
        <f t="shared" si="227"/>
        <v>19</v>
      </c>
      <c r="M2156" s="11">
        <v>453170.0</v>
      </c>
      <c r="N2156" s="11" t="s">
        <v>3898</v>
      </c>
      <c r="P2156" s="11">
        <v>0.0</v>
      </c>
      <c r="Q2156" s="14">
        <v>0.0</v>
      </c>
      <c r="R2156" s="41">
        <v>0.0</v>
      </c>
      <c r="S2156">
        <f t="shared" si="1"/>
        <v>2007</v>
      </c>
      <c r="T2156">
        <f t="shared" si="2"/>
        <v>9</v>
      </c>
      <c r="U2156">
        <f t="shared" si="3"/>
        <v>7</v>
      </c>
      <c r="AG2156" s="15"/>
      <c r="AH2156" s="16"/>
      <c r="AM2156" s="15"/>
      <c r="AN2156" s="16"/>
    </row>
    <row r="2157">
      <c r="A2157" s="13" t="s">
        <v>3899</v>
      </c>
      <c r="B2157" s="10">
        <v>39331.0</v>
      </c>
      <c r="C2157" s="11" t="s">
        <v>167</v>
      </c>
      <c r="D2157" s="11" t="s">
        <v>221</v>
      </c>
      <c r="E2157" s="30" t="s">
        <v>39</v>
      </c>
      <c r="F2157" s="11" t="s">
        <v>40</v>
      </c>
      <c r="G2157" s="41" t="s">
        <v>53</v>
      </c>
      <c r="H2157" s="30"/>
      <c r="I2157" s="30"/>
      <c r="J2157" s="11">
        <v>25.0</v>
      </c>
      <c r="K2157" s="12">
        <v>39662.0</v>
      </c>
      <c r="L2157" s="11">
        <f t="shared" si="227"/>
        <v>11</v>
      </c>
      <c r="M2157" s="11">
        <v>425768.0</v>
      </c>
      <c r="N2157" s="11">
        <v>2145.0</v>
      </c>
      <c r="P2157" s="11">
        <v>61.0</v>
      </c>
      <c r="Q2157" s="14">
        <v>70.667</v>
      </c>
      <c r="R2157" s="41">
        <v>0.0</v>
      </c>
      <c r="S2157">
        <f t="shared" si="1"/>
        <v>2007</v>
      </c>
      <c r="T2157">
        <f t="shared" si="2"/>
        <v>9</v>
      </c>
      <c r="U2157">
        <f t="shared" si="3"/>
        <v>6</v>
      </c>
      <c r="AG2157" s="15"/>
      <c r="AH2157" s="16"/>
      <c r="AM2157" s="15"/>
      <c r="AN2157" s="16"/>
    </row>
    <row r="2158">
      <c r="A2158" s="13" t="s">
        <v>3900</v>
      </c>
      <c r="B2158" s="10">
        <v>39326.0</v>
      </c>
      <c r="C2158" s="11" t="s">
        <v>37</v>
      </c>
      <c r="D2158" s="11" t="s">
        <v>213</v>
      </c>
      <c r="E2158" s="11" t="s">
        <v>39</v>
      </c>
      <c r="F2158" s="11" t="s">
        <v>40</v>
      </c>
      <c r="G2158" s="11" t="s">
        <v>45</v>
      </c>
      <c r="H2158" s="11" t="s">
        <v>84</v>
      </c>
      <c r="I2158" s="11" t="s">
        <v>3901</v>
      </c>
      <c r="J2158" s="11">
        <v>16.0</v>
      </c>
      <c r="K2158" s="12">
        <v>41080.0</v>
      </c>
      <c r="L2158" s="11"/>
      <c r="M2158" s="11">
        <v>623395.0</v>
      </c>
      <c r="N2158" s="11">
        <v>17233.0</v>
      </c>
      <c r="O2158" s="13" t="s">
        <v>761</v>
      </c>
      <c r="P2158" s="11">
        <v>97.0</v>
      </c>
      <c r="Q2158" s="14">
        <v>102.667</v>
      </c>
      <c r="R2158" s="41">
        <v>1.0</v>
      </c>
      <c r="S2158">
        <f t="shared" si="1"/>
        <v>2007</v>
      </c>
      <c r="T2158">
        <f t="shared" si="2"/>
        <v>9</v>
      </c>
      <c r="U2158">
        <f t="shared" si="3"/>
        <v>1</v>
      </c>
      <c r="V2158" s="13"/>
      <c r="W2158" s="13"/>
      <c r="X2158" s="13"/>
      <c r="Y2158" s="13"/>
      <c r="Z2158" s="13"/>
      <c r="AA2158" s="13"/>
      <c r="AB2158" s="13"/>
      <c r="AC2158" s="13"/>
      <c r="AD2158" s="13"/>
      <c r="AE2158" s="13"/>
      <c r="AF2158" s="13"/>
      <c r="AG2158" s="50"/>
      <c r="AH2158" s="51"/>
      <c r="AI2158" s="13"/>
      <c r="AJ2158" s="13"/>
      <c r="AK2158" s="13"/>
      <c r="AL2158" s="13"/>
      <c r="AM2158" s="50"/>
      <c r="AN2158" s="51"/>
      <c r="AO2158" s="13"/>
      <c r="AP2158" s="13"/>
    </row>
    <row r="2159">
      <c r="A2159" s="13" t="s">
        <v>3902</v>
      </c>
      <c r="B2159" s="10">
        <v>39323.0</v>
      </c>
      <c r="C2159" s="11" t="s">
        <v>62</v>
      </c>
      <c r="D2159" s="11" t="s">
        <v>38</v>
      </c>
      <c r="E2159" s="30" t="s">
        <v>39</v>
      </c>
      <c r="F2159" s="11" t="s">
        <v>40</v>
      </c>
      <c r="G2159" s="30" t="s">
        <v>45</v>
      </c>
      <c r="H2159" s="11" t="s">
        <v>67</v>
      </c>
      <c r="I2159" s="11" t="s">
        <v>112</v>
      </c>
      <c r="J2159" s="11">
        <v>33.0</v>
      </c>
      <c r="K2159" s="12">
        <v>39911.0</v>
      </c>
      <c r="L2159" s="11">
        <f>ROUND(((K2159-B2159)/365)*12,0)</f>
        <v>19</v>
      </c>
      <c r="M2159" s="11">
        <v>133460.0</v>
      </c>
      <c r="N2159" s="11">
        <v>1124.0</v>
      </c>
      <c r="O2159" s="13" t="s">
        <v>1422</v>
      </c>
      <c r="P2159" s="11">
        <v>29.0</v>
      </c>
      <c r="Q2159" s="14">
        <v>92.667</v>
      </c>
      <c r="R2159" s="41">
        <v>0.0</v>
      </c>
      <c r="S2159">
        <f t="shared" si="1"/>
        <v>2007</v>
      </c>
      <c r="T2159">
        <f t="shared" si="2"/>
        <v>8</v>
      </c>
      <c r="U2159">
        <f t="shared" si="3"/>
        <v>29</v>
      </c>
      <c r="V2159" s="13"/>
      <c r="W2159" s="13"/>
      <c r="X2159" s="13"/>
      <c r="Y2159" s="13"/>
      <c r="Z2159" s="13"/>
      <c r="AA2159" s="13"/>
      <c r="AB2159" s="13"/>
      <c r="AC2159" s="13"/>
      <c r="AD2159" s="13"/>
      <c r="AE2159" s="13">
        <v>12.0</v>
      </c>
      <c r="AF2159" s="13">
        <v>8.0</v>
      </c>
      <c r="AG2159" s="50">
        <v>49.0</v>
      </c>
      <c r="AH2159" s="51">
        <v>0.031</v>
      </c>
      <c r="AI2159" s="13">
        <v>124.0</v>
      </c>
      <c r="AJ2159" s="13">
        <v>110.0</v>
      </c>
      <c r="AK2159" s="13">
        <v>23.0</v>
      </c>
      <c r="AL2159" s="13">
        <v>13.0</v>
      </c>
      <c r="AM2159" s="50">
        <v>85.667</v>
      </c>
      <c r="AN2159" s="51">
        <v>0.044</v>
      </c>
      <c r="AO2159" s="13">
        <v>135.0</v>
      </c>
      <c r="AP2159" s="13">
        <v>108.0</v>
      </c>
    </row>
    <row r="2160">
      <c r="A2160" s="13" t="s">
        <v>3903</v>
      </c>
      <c r="B2160" s="10">
        <v>39322.0</v>
      </c>
      <c r="C2160" s="11" t="s">
        <v>49</v>
      </c>
      <c r="D2160" s="11" t="s">
        <v>38</v>
      </c>
      <c r="E2160" s="30" t="s">
        <v>39</v>
      </c>
      <c r="F2160" s="11" t="s">
        <v>40</v>
      </c>
      <c r="G2160" s="41" t="s">
        <v>41</v>
      </c>
      <c r="H2160" s="30"/>
      <c r="I2160" s="30"/>
      <c r="J2160" s="11">
        <v>23.0</v>
      </c>
      <c r="K2160" s="30"/>
      <c r="L2160" s="30"/>
      <c r="M2160" s="11">
        <v>434586.0</v>
      </c>
      <c r="N2160" s="11">
        <v>3246.0</v>
      </c>
      <c r="O2160" s="13" t="s">
        <v>1407</v>
      </c>
      <c r="P2160" s="11">
        <v>0.0</v>
      </c>
      <c r="Q2160" s="45">
        <v>0.0</v>
      </c>
      <c r="R2160" s="41">
        <v>0.0</v>
      </c>
      <c r="S2160">
        <f t="shared" si="1"/>
        <v>2007</v>
      </c>
      <c r="T2160">
        <f t="shared" si="2"/>
        <v>8</v>
      </c>
      <c r="U2160">
        <f t="shared" si="3"/>
        <v>28</v>
      </c>
      <c r="AG2160" s="15"/>
      <c r="AH2160" s="16"/>
      <c r="AM2160" s="15"/>
      <c r="AN2160" s="16"/>
    </row>
    <row r="2161">
      <c r="A2161" s="13" t="s">
        <v>3904</v>
      </c>
      <c r="B2161" s="10">
        <v>39321.0</v>
      </c>
      <c r="C2161" s="11" t="s">
        <v>186</v>
      </c>
      <c r="D2161" s="11" t="s">
        <v>38</v>
      </c>
      <c r="E2161" s="30" t="s">
        <v>39</v>
      </c>
      <c r="F2161" s="11" t="s">
        <v>40</v>
      </c>
      <c r="G2161" s="30" t="s">
        <v>45</v>
      </c>
      <c r="H2161" s="11" t="s">
        <v>205</v>
      </c>
      <c r="I2161" s="11" t="s">
        <v>3905</v>
      </c>
      <c r="J2161" s="11">
        <v>28.0</v>
      </c>
      <c r="K2161" s="12">
        <v>39918.0</v>
      </c>
      <c r="L2161" s="11">
        <f t="shared" ref="L2161:L2167" si="228">ROUND(((K2161-B2161)/365)*12,0)</f>
        <v>20</v>
      </c>
      <c r="M2161" s="11">
        <v>425466.0</v>
      </c>
      <c r="N2161" s="11">
        <v>2078.0</v>
      </c>
      <c r="O2161" s="13" t="s">
        <v>42</v>
      </c>
      <c r="P2161" s="11">
        <v>36.0</v>
      </c>
      <c r="Q2161" s="45">
        <v>36.333000000000006</v>
      </c>
      <c r="R2161" s="41">
        <v>0.0</v>
      </c>
      <c r="S2161">
        <f t="shared" si="1"/>
        <v>2007</v>
      </c>
      <c r="T2161">
        <f t="shared" si="2"/>
        <v>8</v>
      </c>
      <c r="U2161">
        <f t="shared" si="3"/>
        <v>27</v>
      </c>
      <c r="AG2161" s="15"/>
      <c r="AH2161" s="16"/>
      <c r="AM2161" s="15"/>
      <c r="AN2161" s="16"/>
    </row>
    <row r="2162">
      <c r="A2162" s="13" t="s">
        <v>3906</v>
      </c>
      <c r="B2162" s="10">
        <v>39318.0</v>
      </c>
      <c r="C2162" s="11" t="s">
        <v>108</v>
      </c>
      <c r="D2162" s="11" t="s">
        <v>93</v>
      </c>
      <c r="E2162" s="30" t="s">
        <v>39</v>
      </c>
      <c r="F2162" s="11" t="s">
        <v>40</v>
      </c>
      <c r="G2162" s="30" t="s">
        <v>45</v>
      </c>
      <c r="H2162" s="11" t="s">
        <v>236</v>
      </c>
      <c r="I2162" s="11" t="s">
        <v>359</v>
      </c>
      <c r="J2162" s="11">
        <v>21.0</v>
      </c>
      <c r="K2162" s="12">
        <v>39912.0</v>
      </c>
      <c r="L2162" s="11">
        <f t="shared" si="228"/>
        <v>20</v>
      </c>
      <c r="M2162" s="11">
        <v>457581.0</v>
      </c>
      <c r="N2162" s="11">
        <v>2365.0</v>
      </c>
      <c r="P2162" s="11">
        <v>3.0</v>
      </c>
      <c r="Q2162" s="14">
        <v>2.333</v>
      </c>
      <c r="R2162" s="41">
        <v>0.0</v>
      </c>
      <c r="S2162">
        <f t="shared" si="1"/>
        <v>2007</v>
      </c>
      <c r="T2162">
        <f t="shared" si="2"/>
        <v>8</v>
      </c>
      <c r="U2162">
        <f t="shared" si="3"/>
        <v>24</v>
      </c>
      <c r="AG2162" s="15"/>
      <c r="AH2162" s="16"/>
      <c r="AM2162" s="15"/>
      <c r="AN2162" s="16"/>
    </row>
    <row r="2163">
      <c r="A2163" s="13" t="s">
        <v>3907</v>
      </c>
      <c r="B2163" s="10">
        <v>39316.0</v>
      </c>
      <c r="C2163" s="11" t="s">
        <v>192</v>
      </c>
      <c r="D2163" s="11" t="s">
        <v>38</v>
      </c>
      <c r="E2163" s="11" t="s">
        <v>39</v>
      </c>
      <c r="F2163" s="11" t="s">
        <v>40</v>
      </c>
      <c r="G2163" s="11" t="s">
        <v>326</v>
      </c>
      <c r="H2163" s="11"/>
      <c r="I2163" s="11"/>
      <c r="J2163" s="11">
        <v>31.0</v>
      </c>
      <c r="K2163" s="12">
        <v>39997.0</v>
      </c>
      <c r="L2163" s="11">
        <f t="shared" si="228"/>
        <v>22</v>
      </c>
      <c r="M2163" s="11">
        <v>150438.0</v>
      </c>
      <c r="N2163" s="11">
        <v>150.0</v>
      </c>
      <c r="O2163" s="13"/>
      <c r="P2163" s="11">
        <v>70.0</v>
      </c>
      <c r="Q2163" s="14">
        <v>334.0</v>
      </c>
      <c r="R2163" s="41">
        <v>0.0</v>
      </c>
      <c r="S2163">
        <f t="shared" si="1"/>
        <v>2007</v>
      </c>
      <c r="T2163">
        <f t="shared" si="2"/>
        <v>8</v>
      </c>
      <c r="U2163">
        <f t="shared" si="3"/>
        <v>22</v>
      </c>
      <c r="V2163" s="13"/>
      <c r="W2163" s="13"/>
      <c r="X2163" s="13"/>
      <c r="Y2163" s="13"/>
      <c r="Z2163" s="13"/>
      <c r="AA2163" s="13"/>
      <c r="AB2163" s="13"/>
      <c r="AC2163" s="13"/>
      <c r="AD2163" s="13"/>
      <c r="AE2163" s="13">
        <v>14.0</v>
      </c>
      <c r="AF2163" s="13">
        <v>14.0</v>
      </c>
      <c r="AG2163" s="50">
        <v>79.333</v>
      </c>
      <c r="AH2163" s="51">
        <v>0.066</v>
      </c>
      <c r="AI2163" s="13">
        <v>92.0</v>
      </c>
      <c r="AJ2163" s="13">
        <v>100.0</v>
      </c>
      <c r="AK2163" s="13">
        <v>7.0</v>
      </c>
      <c r="AL2163" s="13">
        <v>5.0</v>
      </c>
      <c r="AM2163" s="50">
        <v>30.0</v>
      </c>
      <c r="AN2163" s="51">
        <v>0.058</v>
      </c>
      <c r="AO2163" s="13">
        <v>135.0</v>
      </c>
      <c r="AP2163" s="13">
        <v>98.0</v>
      </c>
    </row>
    <row r="2164">
      <c r="A2164" s="13" t="s">
        <v>3908</v>
      </c>
      <c r="B2164" s="10">
        <v>39311.0</v>
      </c>
      <c r="C2164" s="11" t="s">
        <v>138</v>
      </c>
      <c r="D2164" s="11" t="s">
        <v>38</v>
      </c>
      <c r="E2164" s="30" t="s">
        <v>39</v>
      </c>
      <c r="F2164" s="11" t="s">
        <v>40</v>
      </c>
      <c r="G2164" s="30" t="s">
        <v>45</v>
      </c>
      <c r="H2164" s="11" t="s">
        <v>84</v>
      </c>
      <c r="I2164" s="11" t="s">
        <v>913</v>
      </c>
      <c r="J2164" s="11">
        <v>25.0</v>
      </c>
      <c r="K2164" s="12">
        <v>39909.0</v>
      </c>
      <c r="L2164" s="11">
        <f t="shared" si="228"/>
        <v>20</v>
      </c>
      <c r="M2164" s="11">
        <v>444884.0</v>
      </c>
      <c r="N2164" s="11">
        <v>6315.0</v>
      </c>
      <c r="O2164" s="13" t="s">
        <v>761</v>
      </c>
      <c r="P2164" s="11">
        <v>138.0</v>
      </c>
      <c r="Q2164" s="14">
        <v>130.667</v>
      </c>
      <c r="R2164" s="41">
        <v>0.0</v>
      </c>
      <c r="S2164">
        <f t="shared" si="1"/>
        <v>2007</v>
      </c>
      <c r="T2164">
        <f t="shared" si="2"/>
        <v>8</v>
      </c>
      <c r="U2164">
        <f t="shared" si="3"/>
        <v>17</v>
      </c>
      <c r="AG2164" s="15"/>
      <c r="AH2164" s="16"/>
      <c r="AM2164" s="15"/>
      <c r="AN2164" s="16"/>
    </row>
    <row r="2165">
      <c r="A2165" s="13" t="s">
        <v>3909</v>
      </c>
      <c r="B2165" s="10">
        <v>39308.0</v>
      </c>
      <c r="C2165" s="11" t="s">
        <v>72</v>
      </c>
      <c r="D2165" s="11" t="s">
        <v>38</v>
      </c>
      <c r="E2165" s="30" t="s">
        <v>39</v>
      </c>
      <c r="F2165" s="11" t="s">
        <v>40</v>
      </c>
      <c r="G2165" s="30" t="s">
        <v>45</v>
      </c>
      <c r="H2165" s="11" t="s">
        <v>265</v>
      </c>
      <c r="I2165" s="11" t="s">
        <v>3910</v>
      </c>
      <c r="J2165" s="11">
        <v>35.0</v>
      </c>
      <c r="K2165" s="12">
        <v>39671.0</v>
      </c>
      <c r="L2165" s="11">
        <f t="shared" si="228"/>
        <v>12</v>
      </c>
      <c r="M2165" s="11">
        <v>407791.0</v>
      </c>
      <c r="N2165" s="11">
        <v>1441.0</v>
      </c>
      <c r="O2165" s="13" t="s">
        <v>3309</v>
      </c>
      <c r="P2165" s="11">
        <v>83.0</v>
      </c>
      <c r="Q2165" s="14">
        <v>69.667</v>
      </c>
      <c r="R2165" s="41">
        <v>0.0</v>
      </c>
      <c r="S2165">
        <f t="shared" si="1"/>
        <v>2007</v>
      </c>
      <c r="T2165">
        <f t="shared" si="2"/>
        <v>8</v>
      </c>
      <c r="U2165">
        <f t="shared" si="3"/>
        <v>14</v>
      </c>
      <c r="AG2165" s="15"/>
      <c r="AH2165" s="16"/>
      <c r="AM2165" s="15"/>
      <c r="AN2165" s="16"/>
    </row>
    <row r="2166">
      <c r="A2166" s="13" t="s">
        <v>3008</v>
      </c>
      <c r="B2166" s="10">
        <v>39297.0</v>
      </c>
      <c r="C2166" s="11" t="s">
        <v>37</v>
      </c>
      <c r="D2166" s="11" t="s">
        <v>38</v>
      </c>
      <c r="E2166" s="30" t="s">
        <v>39</v>
      </c>
      <c r="F2166" s="11" t="s">
        <v>40</v>
      </c>
      <c r="G2166" s="30" t="s">
        <v>45</v>
      </c>
      <c r="H2166" s="11" t="s">
        <v>112</v>
      </c>
      <c r="I2166" s="11"/>
      <c r="J2166" s="11">
        <v>23.0</v>
      </c>
      <c r="K2166" s="12">
        <v>39639.0</v>
      </c>
      <c r="L2166" s="11">
        <f t="shared" si="228"/>
        <v>11</v>
      </c>
      <c r="M2166" s="11">
        <v>435178.0</v>
      </c>
      <c r="N2166" s="11">
        <v>4567.0</v>
      </c>
      <c r="O2166" s="13" t="s">
        <v>761</v>
      </c>
      <c r="P2166" s="11">
        <v>131.0</v>
      </c>
      <c r="Q2166" s="45">
        <v>813.0</v>
      </c>
      <c r="R2166" s="41">
        <v>0.0</v>
      </c>
      <c r="S2166">
        <f t="shared" si="1"/>
        <v>2007</v>
      </c>
      <c r="T2166">
        <f t="shared" si="2"/>
        <v>8</v>
      </c>
      <c r="U2166">
        <f t="shared" si="3"/>
        <v>3</v>
      </c>
      <c r="V2166" s="13"/>
      <c r="W2166" s="13"/>
      <c r="X2166" s="13"/>
      <c r="Y2166" s="13"/>
      <c r="Z2166" s="13"/>
      <c r="AA2166" s="13"/>
      <c r="AB2166" s="13"/>
      <c r="AC2166" s="13"/>
      <c r="AD2166" s="13"/>
      <c r="AE2166" s="13">
        <v>4.0</v>
      </c>
      <c r="AF2166" s="13">
        <v>4.0</v>
      </c>
      <c r="AG2166" s="50">
        <v>15.667</v>
      </c>
      <c r="AH2166" s="51">
        <v>0.024</v>
      </c>
      <c r="AI2166" s="13">
        <v>169.0</v>
      </c>
      <c r="AJ2166" s="13">
        <v>104.0</v>
      </c>
      <c r="AK2166" s="13">
        <v>14.0</v>
      </c>
      <c r="AL2166" s="13">
        <v>14.0</v>
      </c>
      <c r="AM2166" s="50">
        <v>87.333</v>
      </c>
      <c r="AN2166" s="51">
        <v>0.137</v>
      </c>
      <c r="AO2166" s="13">
        <v>83.0</v>
      </c>
      <c r="AP2166" s="13">
        <v>79.0</v>
      </c>
    </row>
    <row r="2167">
      <c r="A2167" s="13" t="s">
        <v>3911</v>
      </c>
      <c r="B2167" s="10">
        <v>39295.0</v>
      </c>
      <c r="C2167" s="11" t="s">
        <v>101</v>
      </c>
      <c r="D2167" s="11" t="s">
        <v>77</v>
      </c>
      <c r="E2167" s="30" t="s">
        <v>39</v>
      </c>
      <c r="F2167" s="11" t="s">
        <v>40</v>
      </c>
      <c r="G2167" s="30" t="s">
        <v>45</v>
      </c>
      <c r="H2167" s="11" t="s">
        <v>67</v>
      </c>
      <c r="I2167" s="11" t="s">
        <v>3912</v>
      </c>
      <c r="J2167" s="11">
        <v>21.0</v>
      </c>
      <c r="K2167" s="12">
        <v>39912.0</v>
      </c>
      <c r="L2167" s="11">
        <f t="shared" si="228"/>
        <v>20</v>
      </c>
      <c r="M2167" s="11">
        <v>458094.0</v>
      </c>
      <c r="N2167" s="11">
        <v>9404.0</v>
      </c>
      <c r="P2167" s="11">
        <v>7.0</v>
      </c>
      <c r="Q2167" s="14">
        <v>5.667</v>
      </c>
      <c r="R2167" s="41">
        <v>0.0</v>
      </c>
      <c r="S2167">
        <f t="shared" si="1"/>
        <v>2007</v>
      </c>
      <c r="T2167">
        <f t="shared" si="2"/>
        <v>8</v>
      </c>
      <c r="U2167">
        <f t="shared" si="3"/>
        <v>1</v>
      </c>
      <c r="AG2167" s="15"/>
      <c r="AH2167" s="16"/>
      <c r="AM2167" s="15"/>
      <c r="AN2167" s="16"/>
    </row>
    <row r="2168">
      <c r="A2168" s="19" t="s">
        <v>1541</v>
      </c>
      <c r="B2168" s="20">
        <v>39295.0</v>
      </c>
      <c r="C2168" s="21" t="s">
        <v>175</v>
      </c>
      <c r="D2168" s="21" t="s">
        <v>97</v>
      </c>
      <c r="E2168" s="28" t="s">
        <v>39</v>
      </c>
      <c r="F2168" s="21" t="s">
        <v>40</v>
      </c>
      <c r="G2168" s="28" t="s">
        <v>45</v>
      </c>
      <c r="H2168" s="21" t="s">
        <v>67</v>
      </c>
      <c r="I2168" s="21"/>
      <c r="J2168" s="21">
        <v>21.0</v>
      </c>
      <c r="K2168" s="53">
        <v>40297.0</v>
      </c>
      <c r="L2168" s="54"/>
      <c r="M2168" s="21">
        <v>456713.0</v>
      </c>
      <c r="N2168" s="21">
        <v>1246.0</v>
      </c>
      <c r="O2168" s="19"/>
      <c r="P2168" s="21">
        <v>0.0</v>
      </c>
      <c r="Q2168" s="23">
        <v>0.0</v>
      </c>
      <c r="R2168" s="21">
        <v>0.0</v>
      </c>
      <c r="S2168" s="33">
        <f t="shared" si="1"/>
        <v>2007</v>
      </c>
      <c r="T2168" s="33">
        <f t="shared" si="2"/>
        <v>8</v>
      </c>
      <c r="U2168" s="33">
        <f t="shared" si="3"/>
        <v>1</v>
      </c>
      <c r="V2168" s="24"/>
      <c r="W2168" s="24"/>
      <c r="X2168" s="24"/>
      <c r="Y2168" s="24"/>
      <c r="Z2168" s="24"/>
      <c r="AA2168" s="24"/>
      <c r="AB2168" s="24"/>
      <c r="AC2168" s="24"/>
      <c r="AD2168" s="24"/>
      <c r="AE2168" s="24"/>
      <c r="AF2168" s="24"/>
      <c r="AG2168" s="26"/>
      <c r="AH2168" s="27"/>
      <c r="AI2168" s="24"/>
      <c r="AJ2168" s="24"/>
      <c r="AK2168" s="24"/>
      <c r="AL2168" s="24"/>
      <c r="AM2168" s="26"/>
      <c r="AN2168" s="27"/>
      <c r="AO2168" s="24"/>
      <c r="AP2168" s="24"/>
    </row>
    <row r="2169">
      <c r="A2169" s="13" t="s">
        <v>3361</v>
      </c>
      <c r="B2169" s="10">
        <v>39288.0</v>
      </c>
      <c r="C2169" s="11" t="s">
        <v>150</v>
      </c>
      <c r="D2169" s="11" t="s">
        <v>97</v>
      </c>
      <c r="E2169" s="30" t="s">
        <v>39</v>
      </c>
      <c r="F2169" s="11" t="s">
        <v>40</v>
      </c>
      <c r="G2169" s="30" t="s">
        <v>45</v>
      </c>
      <c r="H2169" s="11" t="s">
        <v>56</v>
      </c>
      <c r="I2169" s="11"/>
      <c r="J2169" s="11">
        <v>19.0</v>
      </c>
      <c r="K2169" s="12">
        <v>39912.0</v>
      </c>
      <c r="L2169" s="11">
        <f t="shared" ref="L2169:L2171" si="229">ROUND(((K2169-B2169)/365)*12,0)</f>
        <v>21</v>
      </c>
      <c r="M2169" s="11">
        <v>475138.0</v>
      </c>
      <c r="N2169" s="11">
        <v>4359.0</v>
      </c>
      <c r="O2169" s="13" t="s">
        <v>1407</v>
      </c>
      <c r="P2169" s="11">
        <v>34.0</v>
      </c>
      <c r="Q2169" s="14">
        <v>167.0</v>
      </c>
      <c r="R2169" s="41">
        <v>0.0</v>
      </c>
      <c r="S2169">
        <f t="shared" si="1"/>
        <v>2007</v>
      </c>
      <c r="T2169">
        <f t="shared" si="2"/>
        <v>7</v>
      </c>
      <c r="U2169">
        <f t="shared" si="3"/>
        <v>25</v>
      </c>
      <c r="AG2169" s="15"/>
      <c r="AH2169" s="16"/>
      <c r="AM2169" s="15"/>
      <c r="AN2169" s="16"/>
    </row>
    <row r="2170">
      <c r="A2170" s="13" t="s">
        <v>3913</v>
      </c>
      <c r="B2170" s="10">
        <v>39287.0</v>
      </c>
      <c r="C2170" s="11" t="s">
        <v>83</v>
      </c>
      <c r="D2170" s="11" t="s">
        <v>38</v>
      </c>
      <c r="E2170" s="30" t="s">
        <v>39</v>
      </c>
      <c r="F2170" s="11" t="s">
        <v>40</v>
      </c>
      <c r="G2170" s="30" t="s">
        <v>45</v>
      </c>
      <c r="H2170" s="11" t="s">
        <v>2291</v>
      </c>
      <c r="I2170" s="11"/>
      <c r="J2170" s="11">
        <v>32.0</v>
      </c>
      <c r="K2170" s="12">
        <v>39659.0</v>
      </c>
      <c r="L2170" s="11">
        <f t="shared" si="229"/>
        <v>12</v>
      </c>
      <c r="M2170" s="11">
        <v>112020.0</v>
      </c>
      <c r="N2170" s="11">
        <v>1292.0</v>
      </c>
      <c r="O2170" s="13" t="s">
        <v>1332</v>
      </c>
      <c r="P2170" s="11">
        <v>104.0</v>
      </c>
      <c r="Q2170" s="45">
        <v>697.3330000000001</v>
      </c>
      <c r="R2170" s="41">
        <v>0.0</v>
      </c>
      <c r="S2170">
        <f t="shared" si="1"/>
        <v>2007</v>
      </c>
      <c r="T2170">
        <f t="shared" si="2"/>
        <v>7</v>
      </c>
      <c r="U2170">
        <f t="shared" si="3"/>
        <v>24</v>
      </c>
      <c r="V2170" s="13"/>
      <c r="W2170" s="13"/>
      <c r="X2170" s="13"/>
      <c r="Y2170" s="13"/>
      <c r="Z2170" s="13"/>
      <c r="AA2170" s="13"/>
      <c r="AB2170" s="13"/>
      <c r="AC2170" s="13"/>
      <c r="AD2170" s="13"/>
      <c r="AE2170" s="13">
        <v>1.0</v>
      </c>
      <c r="AF2170" s="13">
        <v>1.0</v>
      </c>
      <c r="AG2170" s="50">
        <v>6.0</v>
      </c>
      <c r="AH2170" s="51">
        <v>0.069</v>
      </c>
      <c r="AI2170" s="13">
        <v>174.0</v>
      </c>
      <c r="AJ2170" s="13">
        <v>73.0</v>
      </c>
      <c r="AK2170" s="13">
        <v>4.0</v>
      </c>
      <c r="AL2170" s="13">
        <v>3.0</v>
      </c>
      <c r="AM2170" s="50">
        <v>15.333</v>
      </c>
      <c r="AN2170" s="51">
        <v>0.048</v>
      </c>
      <c r="AO2170" s="13">
        <v>42.0</v>
      </c>
      <c r="AP2170" s="13">
        <v>71.0</v>
      </c>
    </row>
    <row r="2171">
      <c r="A2171" s="13" t="s">
        <v>3914</v>
      </c>
      <c r="B2171" s="10">
        <v>39273.0</v>
      </c>
      <c r="C2171" s="11" t="s">
        <v>44</v>
      </c>
      <c r="D2171" s="11" t="s">
        <v>77</v>
      </c>
      <c r="E2171" s="30" t="s">
        <v>39</v>
      </c>
      <c r="F2171" s="11" t="s">
        <v>64</v>
      </c>
      <c r="G2171" s="30" t="s">
        <v>45</v>
      </c>
      <c r="H2171" s="11" t="s">
        <v>159</v>
      </c>
      <c r="I2171" s="11" t="s">
        <v>3915</v>
      </c>
      <c r="J2171" s="11">
        <v>23.0</v>
      </c>
      <c r="K2171" s="12">
        <v>39646.0</v>
      </c>
      <c r="L2171" s="11">
        <f t="shared" si="229"/>
        <v>12</v>
      </c>
      <c r="M2171" s="11">
        <v>448609.0</v>
      </c>
      <c r="N2171" s="11">
        <v>8280.0</v>
      </c>
      <c r="O2171" s="13" t="s">
        <v>761</v>
      </c>
      <c r="P2171" s="11">
        <v>526.0</v>
      </c>
      <c r="Q2171" s="14">
        <v>444.0</v>
      </c>
      <c r="R2171" s="41">
        <v>1.0</v>
      </c>
      <c r="S2171">
        <f t="shared" si="1"/>
        <v>2007</v>
      </c>
      <c r="T2171">
        <f t="shared" si="2"/>
        <v>7</v>
      </c>
      <c r="U2171">
        <f t="shared" si="3"/>
        <v>10</v>
      </c>
      <c r="AG2171" s="15"/>
      <c r="AH2171" s="16"/>
      <c r="AM2171" s="15"/>
      <c r="AN2171" s="16"/>
    </row>
    <row r="2172">
      <c r="A2172" s="13" t="s">
        <v>3916</v>
      </c>
      <c r="B2172" s="10">
        <v>39269.0</v>
      </c>
      <c r="C2172" s="11" t="s">
        <v>72</v>
      </c>
      <c r="D2172" s="11" t="s">
        <v>93</v>
      </c>
      <c r="E2172" s="11" t="s">
        <v>39</v>
      </c>
      <c r="F2172" s="11" t="s">
        <v>40</v>
      </c>
      <c r="G2172" s="11" t="s">
        <v>3917</v>
      </c>
      <c r="H2172" s="30"/>
      <c r="I2172" s="30"/>
      <c r="J2172" s="11">
        <v>20.0</v>
      </c>
      <c r="K2172" s="12">
        <v>39992.0</v>
      </c>
      <c r="L2172" s="11"/>
      <c r="M2172" s="11">
        <v>543935.0</v>
      </c>
      <c r="N2172" s="11">
        <v>9239.0</v>
      </c>
      <c r="O2172" s="13" t="s">
        <v>355</v>
      </c>
      <c r="P2172" s="11">
        <v>231.0</v>
      </c>
      <c r="Q2172" s="14">
        <v>259.0</v>
      </c>
      <c r="R2172" s="41">
        <v>1.0</v>
      </c>
      <c r="S2172">
        <f t="shared" si="1"/>
        <v>2007</v>
      </c>
      <c r="T2172">
        <f t="shared" si="2"/>
        <v>7</v>
      </c>
      <c r="U2172">
        <f t="shared" si="3"/>
        <v>6</v>
      </c>
      <c r="AG2172" s="15"/>
      <c r="AH2172" s="16"/>
      <c r="AM2172" s="15"/>
      <c r="AN2172" s="16"/>
    </row>
    <row r="2173">
      <c r="A2173" s="13" t="s">
        <v>3918</v>
      </c>
      <c r="B2173" s="10">
        <v>39269.0</v>
      </c>
      <c r="C2173" s="11" t="s">
        <v>167</v>
      </c>
      <c r="D2173" s="11" t="s">
        <v>97</v>
      </c>
      <c r="E2173" s="30" t="s">
        <v>39</v>
      </c>
      <c r="F2173" s="11" t="s">
        <v>40</v>
      </c>
      <c r="G2173" s="41" t="s">
        <v>41</v>
      </c>
      <c r="H2173" s="30"/>
      <c r="I2173" s="30"/>
      <c r="J2173" s="11">
        <v>19.0</v>
      </c>
      <c r="K2173" s="12">
        <v>39912.0</v>
      </c>
      <c r="L2173" s="11">
        <f>ROUND(((K2173-B2173)/365)*12,0)</f>
        <v>21</v>
      </c>
      <c r="M2173" s="11">
        <v>503569.0</v>
      </c>
      <c r="N2173" s="11">
        <v>4185.0</v>
      </c>
      <c r="P2173" s="11">
        <v>40.0</v>
      </c>
      <c r="Q2173" s="14">
        <v>44.333</v>
      </c>
      <c r="R2173" s="41">
        <v>0.0</v>
      </c>
      <c r="S2173">
        <f t="shared" si="1"/>
        <v>2007</v>
      </c>
      <c r="T2173">
        <f t="shared" si="2"/>
        <v>7</v>
      </c>
      <c r="U2173">
        <f t="shared" si="3"/>
        <v>6</v>
      </c>
      <c r="AG2173" s="15"/>
      <c r="AH2173" s="16"/>
      <c r="AM2173" s="15"/>
      <c r="AN2173" s="16"/>
    </row>
    <row r="2174">
      <c r="A2174" s="19" t="s">
        <v>2066</v>
      </c>
      <c r="B2174" s="20">
        <v>39267.0</v>
      </c>
      <c r="C2174" s="21" t="s">
        <v>150</v>
      </c>
      <c r="D2174" s="21" t="s">
        <v>58</v>
      </c>
      <c r="E2174" s="28" t="s">
        <v>39</v>
      </c>
      <c r="F2174" s="21" t="s">
        <v>64</v>
      </c>
      <c r="G2174" s="28" t="s">
        <v>45</v>
      </c>
      <c r="H2174" s="21" t="s">
        <v>301</v>
      </c>
      <c r="I2174" s="21" t="s">
        <v>379</v>
      </c>
      <c r="J2174" s="21">
        <v>28.0</v>
      </c>
      <c r="K2174" s="43"/>
      <c r="L2174" s="54"/>
      <c r="M2174" s="21">
        <v>445224.0</v>
      </c>
      <c r="N2174" s="21" t="s">
        <v>3919</v>
      </c>
      <c r="O2174" s="19" t="s">
        <v>1407</v>
      </c>
      <c r="P2174" s="21">
        <v>0.0</v>
      </c>
      <c r="Q2174" s="23">
        <v>0.0</v>
      </c>
      <c r="R2174" s="21">
        <v>0.0</v>
      </c>
      <c r="S2174" s="33">
        <f t="shared" si="1"/>
        <v>2007</v>
      </c>
      <c r="T2174" s="33">
        <f t="shared" si="2"/>
        <v>7</v>
      </c>
      <c r="U2174" s="33">
        <f t="shared" si="3"/>
        <v>4</v>
      </c>
      <c r="V2174" s="19"/>
      <c r="W2174" s="19"/>
      <c r="X2174" s="19"/>
      <c r="Y2174" s="19"/>
      <c r="Z2174" s="19"/>
      <c r="AA2174" s="19"/>
      <c r="AB2174" s="19"/>
      <c r="AC2174" s="19"/>
      <c r="AD2174" s="19"/>
      <c r="AE2174" s="19"/>
      <c r="AF2174" s="19"/>
      <c r="AG2174" s="26"/>
      <c r="AH2174" s="27"/>
      <c r="AI2174" s="19"/>
      <c r="AJ2174" s="19"/>
      <c r="AK2174" s="19"/>
      <c r="AL2174" s="19"/>
      <c r="AM2174" s="26"/>
      <c r="AN2174" s="27"/>
      <c r="AO2174" s="19"/>
      <c r="AP2174" s="19"/>
    </row>
    <row r="2175">
      <c r="A2175" s="13" t="s">
        <v>3920</v>
      </c>
      <c r="B2175" s="10">
        <v>39252.0</v>
      </c>
      <c r="C2175" s="11" t="s">
        <v>116</v>
      </c>
      <c r="D2175" s="11" t="s">
        <v>38</v>
      </c>
      <c r="E2175" s="30" t="s">
        <v>39</v>
      </c>
      <c r="F2175" s="11" t="s">
        <v>40</v>
      </c>
      <c r="G2175" s="30" t="s">
        <v>45</v>
      </c>
      <c r="H2175" s="11" t="s">
        <v>109</v>
      </c>
      <c r="I2175" s="11"/>
      <c r="J2175" s="11">
        <v>24.0</v>
      </c>
      <c r="K2175" s="12">
        <v>40080.0</v>
      </c>
      <c r="L2175" s="11">
        <f t="shared" ref="L2175:L2176" si="230">ROUND(((K2175-B2175)/365)*12,0)</f>
        <v>27</v>
      </c>
      <c r="M2175" s="11">
        <v>434679.0</v>
      </c>
      <c r="N2175" s="11">
        <v>3440.0</v>
      </c>
      <c r="O2175" s="13" t="s">
        <v>761</v>
      </c>
      <c r="P2175" s="11">
        <v>9.0</v>
      </c>
      <c r="Q2175" s="14">
        <v>39.667</v>
      </c>
      <c r="R2175" s="41">
        <v>0.0</v>
      </c>
      <c r="S2175">
        <f t="shared" si="1"/>
        <v>2007</v>
      </c>
      <c r="T2175">
        <f t="shared" si="2"/>
        <v>6</v>
      </c>
      <c r="U2175">
        <f t="shared" si="3"/>
        <v>19</v>
      </c>
      <c r="V2175" s="13"/>
      <c r="W2175" s="13"/>
      <c r="X2175" s="13"/>
      <c r="Y2175" s="13"/>
      <c r="Z2175" s="13"/>
      <c r="AA2175" s="13"/>
      <c r="AB2175" s="13"/>
      <c r="AC2175" s="13"/>
      <c r="AD2175" s="13"/>
      <c r="AE2175" s="13">
        <v>3.0</v>
      </c>
      <c r="AF2175" s="13">
        <v>3.0</v>
      </c>
      <c r="AG2175" s="50">
        <v>11.67</v>
      </c>
      <c r="AH2175" s="51">
        <v>0.035</v>
      </c>
      <c r="AI2175" s="13">
        <v>176.0</v>
      </c>
      <c r="AJ2175" s="13">
        <v>179.0</v>
      </c>
      <c r="AK2175" s="13">
        <v>3.0</v>
      </c>
      <c r="AL2175" s="13">
        <v>2.0</v>
      </c>
      <c r="AM2175" s="50">
        <v>13.333</v>
      </c>
      <c r="AN2175" s="51">
        <v>-0.016</v>
      </c>
      <c r="AO2175" s="13">
        <v>90.0</v>
      </c>
      <c r="AP2175" s="13">
        <v>176.0</v>
      </c>
    </row>
    <row r="2176">
      <c r="A2176" s="13" t="s">
        <v>3921</v>
      </c>
      <c r="B2176" s="10">
        <v>39248.0</v>
      </c>
      <c r="C2176" s="11" t="s">
        <v>162</v>
      </c>
      <c r="D2176" s="11" t="s">
        <v>38</v>
      </c>
      <c r="E2176" s="30" t="s">
        <v>39</v>
      </c>
      <c r="F2176" s="11" t="s">
        <v>64</v>
      </c>
      <c r="G2176" s="30" t="s">
        <v>45</v>
      </c>
      <c r="H2176" s="11" t="s">
        <v>109</v>
      </c>
      <c r="I2176" s="11" t="s">
        <v>566</v>
      </c>
      <c r="J2176" s="11">
        <v>31.0</v>
      </c>
      <c r="K2176" s="12">
        <v>39949.0</v>
      </c>
      <c r="L2176" s="11">
        <f t="shared" si="230"/>
        <v>23</v>
      </c>
      <c r="M2176" s="11">
        <v>132980.0</v>
      </c>
      <c r="N2176" s="11">
        <v>743.0</v>
      </c>
      <c r="O2176" s="13" t="s">
        <v>355</v>
      </c>
      <c r="P2176" s="11">
        <v>5.0</v>
      </c>
      <c r="Q2176" s="14">
        <v>23.667</v>
      </c>
      <c r="R2176" s="41">
        <v>0.0</v>
      </c>
      <c r="S2176">
        <f t="shared" si="1"/>
        <v>2007</v>
      </c>
      <c r="T2176">
        <f t="shared" si="2"/>
        <v>6</v>
      </c>
      <c r="U2176">
        <f t="shared" si="3"/>
        <v>15</v>
      </c>
      <c r="V2176" s="13"/>
      <c r="W2176" s="13"/>
      <c r="X2176" s="13"/>
      <c r="Y2176" s="13"/>
      <c r="Z2176" s="13"/>
      <c r="AA2176" s="13"/>
      <c r="AB2176" s="13"/>
      <c r="AC2176" s="13"/>
      <c r="AD2176" s="13"/>
      <c r="AE2176" s="13">
        <v>6.0</v>
      </c>
      <c r="AF2176" s="13">
        <v>6.0</v>
      </c>
      <c r="AG2176" s="50">
        <v>31.333</v>
      </c>
      <c r="AH2176" s="51">
        <v>0.063</v>
      </c>
      <c r="AI2176" s="13">
        <v>113.0</v>
      </c>
      <c r="AJ2176" s="13">
        <v>99.0</v>
      </c>
      <c r="AK2176" s="13">
        <v>5.0</v>
      </c>
      <c r="AL2176" s="13">
        <v>5.0</v>
      </c>
      <c r="AM2176" s="50">
        <v>23.667</v>
      </c>
      <c r="AN2176" s="51">
        <v>0.13</v>
      </c>
      <c r="AO2176" s="13">
        <v>94.0</v>
      </c>
      <c r="AP2176" s="13">
        <v>84.0</v>
      </c>
    </row>
    <row r="2177">
      <c r="A2177" s="13" t="s">
        <v>3837</v>
      </c>
      <c r="B2177" s="10">
        <v>39246.0</v>
      </c>
      <c r="C2177" s="11" t="s">
        <v>111</v>
      </c>
      <c r="D2177" s="11" t="s">
        <v>38</v>
      </c>
      <c r="E2177" s="41" t="s">
        <v>104</v>
      </c>
      <c r="F2177" s="11" t="s">
        <v>40</v>
      </c>
      <c r="G2177" s="30" t="s">
        <v>45</v>
      </c>
      <c r="H2177" s="11" t="s">
        <v>317</v>
      </c>
      <c r="I2177" s="11" t="s">
        <v>3838</v>
      </c>
      <c r="J2177" s="11">
        <v>27.0</v>
      </c>
      <c r="K2177" s="30"/>
      <c r="L2177" s="30"/>
      <c r="M2177" s="11">
        <v>136300.0</v>
      </c>
      <c r="N2177" s="11">
        <v>903.0</v>
      </c>
      <c r="O2177" s="13" t="s">
        <v>1407</v>
      </c>
      <c r="P2177" s="11">
        <v>0.0</v>
      </c>
      <c r="Q2177" s="45">
        <v>0.0</v>
      </c>
      <c r="R2177" s="41">
        <v>0.0</v>
      </c>
      <c r="S2177">
        <f t="shared" si="1"/>
        <v>2007</v>
      </c>
      <c r="T2177">
        <f t="shared" si="2"/>
        <v>6</v>
      </c>
      <c r="U2177">
        <f t="shared" si="3"/>
        <v>13</v>
      </c>
      <c r="AG2177" s="15"/>
      <c r="AH2177" s="16"/>
      <c r="AM2177" s="15"/>
      <c r="AN2177" s="16"/>
    </row>
    <row r="2178">
      <c r="A2178" s="13" t="s">
        <v>3922</v>
      </c>
      <c r="B2178" s="10">
        <v>39238.0</v>
      </c>
      <c r="C2178" s="11" t="s">
        <v>108</v>
      </c>
      <c r="D2178" s="11" t="s">
        <v>38</v>
      </c>
      <c r="E2178" s="30" t="s">
        <v>39</v>
      </c>
      <c r="F2178" s="11" t="s">
        <v>40</v>
      </c>
      <c r="G2178" s="30" t="s">
        <v>45</v>
      </c>
      <c r="H2178" s="11" t="s">
        <v>276</v>
      </c>
      <c r="I2178" s="11"/>
      <c r="J2178" s="11">
        <v>31.0</v>
      </c>
      <c r="K2178" s="12">
        <v>39683.0</v>
      </c>
      <c r="L2178" s="11">
        <f>ROUND(((K2178-B2178)/365)*12,0)</f>
        <v>15</v>
      </c>
      <c r="M2178" s="11">
        <v>134321.0</v>
      </c>
      <c r="N2178" s="11">
        <v>790.0</v>
      </c>
      <c r="O2178" s="13" t="s">
        <v>761</v>
      </c>
      <c r="P2178" s="11">
        <v>116.0</v>
      </c>
      <c r="Q2178" s="14">
        <v>739.667</v>
      </c>
      <c r="R2178" s="41">
        <v>0.0</v>
      </c>
      <c r="S2178">
        <f t="shared" si="1"/>
        <v>2007</v>
      </c>
      <c r="T2178">
        <f t="shared" si="2"/>
        <v>6</v>
      </c>
      <c r="U2178">
        <f t="shared" si="3"/>
        <v>5</v>
      </c>
      <c r="V2178" s="13"/>
      <c r="W2178" s="13"/>
      <c r="X2178" s="13"/>
      <c r="Y2178" s="13"/>
      <c r="Z2178" s="13"/>
      <c r="AA2178" s="13"/>
      <c r="AB2178" s="13"/>
      <c r="AC2178" s="13"/>
      <c r="AD2178" s="13"/>
      <c r="AE2178" s="13">
        <v>2.0</v>
      </c>
      <c r="AF2178" s="13">
        <v>2.0</v>
      </c>
      <c r="AG2178" s="50">
        <v>11.333</v>
      </c>
      <c r="AH2178" s="51">
        <v>0.043</v>
      </c>
      <c r="AI2178" s="13">
        <v>106.0</v>
      </c>
      <c r="AJ2178" s="13">
        <v>95.0</v>
      </c>
      <c r="AK2178" s="13">
        <v>7.0</v>
      </c>
      <c r="AL2178" s="13">
        <v>7.0</v>
      </c>
      <c r="AM2178" s="50">
        <v>34.333</v>
      </c>
      <c r="AN2178" s="51">
        <v>0.032</v>
      </c>
      <c r="AO2178" s="13">
        <v>133.0</v>
      </c>
      <c r="AP2178" s="13">
        <v>124.0</v>
      </c>
    </row>
    <row r="2179">
      <c r="A2179" s="13" t="s">
        <v>3923</v>
      </c>
      <c r="B2179" s="10">
        <v>39234.0</v>
      </c>
      <c r="C2179" s="11" t="s">
        <v>101</v>
      </c>
      <c r="D2179" s="11" t="s">
        <v>213</v>
      </c>
      <c r="E2179" s="11" t="s">
        <v>39</v>
      </c>
      <c r="F2179" s="11" t="s">
        <v>64</v>
      </c>
      <c r="G2179" s="11" t="s">
        <v>45</v>
      </c>
      <c r="H2179" s="11" t="s">
        <v>566</v>
      </c>
      <c r="I2179" s="11" t="s">
        <v>2428</v>
      </c>
      <c r="J2179" s="11">
        <v>18.0</v>
      </c>
      <c r="K2179" s="12">
        <v>40715.0</v>
      </c>
      <c r="L2179" s="11"/>
      <c r="M2179" s="11">
        <v>594857.0</v>
      </c>
      <c r="N2179" s="11">
        <v>12220.0</v>
      </c>
      <c r="P2179" s="11">
        <v>35.0</v>
      </c>
      <c r="Q2179" s="14">
        <v>34.0</v>
      </c>
      <c r="R2179" s="41">
        <v>1.0</v>
      </c>
      <c r="S2179">
        <f t="shared" si="1"/>
        <v>2007</v>
      </c>
      <c r="T2179">
        <f t="shared" si="2"/>
        <v>6</v>
      </c>
      <c r="U2179">
        <f t="shared" si="3"/>
        <v>1</v>
      </c>
      <c r="AG2179" s="15"/>
      <c r="AH2179" s="16"/>
      <c r="AM2179" s="15"/>
      <c r="AN2179" s="16"/>
    </row>
    <row r="2180">
      <c r="A2180" s="13" t="s">
        <v>3924</v>
      </c>
      <c r="B2180" s="10">
        <v>39234.0</v>
      </c>
      <c r="C2180" s="11" t="s">
        <v>162</v>
      </c>
      <c r="D2180" s="11" t="s">
        <v>88</v>
      </c>
      <c r="E2180" s="11" t="s">
        <v>39</v>
      </c>
      <c r="F2180" s="11" t="s">
        <v>40</v>
      </c>
      <c r="G2180" s="11" t="s">
        <v>45</v>
      </c>
      <c r="H2180" s="11" t="s">
        <v>451</v>
      </c>
      <c r="I2180" s="11" t="s">
        <v>179</v>
      </c>
      <c r="J2180" s="11">
        <v>22.0</v>
      </c>
      <c r="K2180" s="12">
        <v>39667.0</v>
      </c>
      <c r="L2180" s="11">
        <f t="shared" ref="L2180:L2184" si="231">ROUND(((K2180-B2180)/365)*12,0)</f>
        <v>14</v>
      </c>
      <c r="M2180" s="11">
        <v>453271.0</v>
      </c>
      <c r="N2180" s="11" t="s">
        <v>3925</v>
      </c>
      <c r="P2180" s="11">
        <v>0.0</v>
      </c>
      <c r="Q2180" s="14">
        <v>0.0</v>
      </c>
      <c r="R2180" s="41">
        <v>0.0</v>
      </c>
      <c r="S2180">
        <f t="shared" si="1"/>
        <v>2007</v>
      </c>
      <c r="T2180">
        <f t="shared" si="2"/>
        <v>6</v>
      </c>
      <c r="U2180">
        <f t="shared" si="3"/>
        <v>1</v>
      </c>
      <c r="AG2180" s="15"/>
      <c r="AH2180" s="16"/>
      <c r="AM2180" s="15"/>
      <c r="AN2180" s="16"/>
    </row>
    <row r="2181">
      <c r="A2181" s="13" t="s">
        <v>3926</v>
      </c>
      <c r="B2181" s="10">
        <v>39234.0</v>
      </c>
      <c r="C2181" s="11" t="s">
        <v>55</v>
      </c>
      <c r="D2181" s="11" t="s">
        <v>77</v>
      </c>
      <c r="E2181" s="11" t="s">
        <v>39</v>
      </c>
      <c r="F2181" s="11" t="s">
        <v>40</v>
      </c>
      <c r="G2181" s="30" t="s">
        <v>45</v>
      </c>
      <c r="H2181" s="11" t="s">
        <v>317</v>
      </c>
      <c r="I2181" s="11"/>
      <c r="J2181" s="11">
        <v>24.0</v>
      </c>
      <c r="K2181" s="12">
        <v>39587.0</v>
      </c>
      <c r="L2181" s="11">
        <f t="shared" si="231"/>
        <v>12</v>
      </c>
      <c r="M2181" s="11">
        <v>434523.0</v>
      </c>
      <c r="N2181" s="11" t="s">
        <v>3927</v>
      </c>
      <c r="P2181" s="11">
        <v>0.0</v>
      </c>
      <c r="Q2181" s="14">
        <v>0.0</v>
      </c>
      <c r="R2181" s="41">
        <v>0.0</v>
      </c>
      <c r="S2181">
        <f t="shared" si="1"/>
        <v>2007</v>
      </c>
      <c r="T2181">
        <f t="shared" si="2"/>
        <v>6</v>
      </c>
      <c r="U2181">
        <f t="shared" si="3"/>
        <v>1</v>
      </c>
      <c r="AG2181" s="15"/>
      <c r="AH2181" s="16"/>
      <c r="AM2181" s="15"/>
      <c r="AN2181" s="16"/>
    </row>
    <row r="2182">
      <c r="A2182" s="13" t="s">
        <v>3928</v>
      </c>
      <c r="B2182" s="10">
        <v>39233.0</v>
      </c>
      <c r="C2182" s="11" t="s">
        <v>116</v>
      </c>
      <c r="D2182" s="11" t="s">
        <v>38</v>
      </c>
      <c r="E2182" s="30" t="s">
        <v>39</v>
      </c>
      <c r="F2182" s="11" t="s">
        <v>64</v>
      </c>
      <c r="G2182" s="30" t="s">
        <v>45</v>
      </c>
      <c r="H2182" s="11" t="s">
        <v>56</v>
      </c>
      <c r="I2182" s="11" t="s">
        <v>1800</v>
      </c>
      <c r="J2182" s="11">
        <v>29.0</v>
      </c>
      <c r="K2182" s="12">
        <v>39617.0</v>
      </c>
      <c r="L2182" s="11">
        <f t="shared" si="231"/>
        <v>13</v>
      </c>
      <c r="M2182" s="11">
        <v>283166.0</v>
      </c>
      <c r="N2182" s="11">
        <v>1794.0</v>
      </c>
      <c r="P2182" s="11">
        <v>323.0</v>
      </c>
      <c r="Q2182" s="14">
        <v>271.667</v>
      </c>
      <c r="R2182" s="41">
        <v>0.0</v>
      </c>
      <c r="S2182">
        <f t="shared" si="1"/>
        <v>2007</v>
      </c>
      <c r="T2182">
        <f t="shared" si="2"/>
        <v>5</v>
      </c>
      <c r="U2182">
        <f t="shared" si="3"/>
        <v>31</v>
      </c>
      <c r="AG2182" s="15"/>
      <c r="AH2182" s="16"/>
      <c r="AM2182" s="15"/>
      <c r="AN2182" s="16"/>
    </row>
    <row r="2183">
      <c r="A2183" s="13" t="s">
        <v>2302</v>
      </c>
      <c r="B2183" s="10">
        <v>39229.0</v>
      </c>
      <c r="C2183" s="11" t="s">
        <v>126</v>
      </c>
      <c r="D2183" s="11" t="s">
        <v>213</v>
      </c>
      <c r="E2183" s="30" t="s">
        <v>39</v>
      </c>
      <c r="F2183" s="11" t="s">
        <v>40</v>
      </c>
      <c r="G2183" s="30" t="s">
        <v>45</v>
      </c>
      <c r="H2183" s="11" t="s">
        <v>56</v>
      </c>
      <c r="I2183" s="11"/>
      <c r="J2183" s="11">
        <v>17.0</v>
      </c>
      <c r="K2183" s="12">
        <v>39661.0</v>
      </c>
      <c r="L2183" s="11">
        <f t="shared" si="231"/>
        <v>14</v>
      </c>
      <c r="M2183" s="11">
        <v>543135.0</v>
      </c>
      <c r="N2183" s="11">
        <v>9132.0</v>
      </c>
      <c r="O2183" s="13" t="s">
        <v>3929</v>
      </c>
      <c r="P2183" s="11">
        <v>134.0</v>
      </c>
      <c r="Q2183" s="14">
        <v>739.0</v>
      </c>
      <c r="R2183" s="11">
        <v>0.0</v>
      </c>
      <c r="S2183">
        <f t="shared" si="1"/>
        <v>2007</v>
      </c>
      <c r="T2183">
        <f t="shared" si="2"/>
        <v>5</v>
      </c>
      <c r="U2183">
        <f t="shared" si="3"/>
        <v>27</v>
      </c>
      <c r="AG2183" s="15"/>
      <c r="AH2183" s="16"/>
      <c r="AM2183" s="15"/>
      <c r="AN2183" s="16"/>
    </row>
    <row r="2184">
      <c r="A2184" s="13" t="s">
        <v>3930</v>
      </c>
      <c r="B2184" s="10">
        <v>39217.0</v>
      </c>
      <c r="C2184" s="11" t="s">
        <v>175</v>
      </c>
      <c r="D2184" s="11" t="s">
        <v>58</v>
      </c>
      <c r="E2184" s="30" t="s">
        <v>39</v>
      </c>
      <c r="F2184" s="11" t="s">
        <v>40</v>
      </c>
      <c r="G2184" s="30" t="s">
        <v>45</v>
      </c>
      <c r="H2184" s="11" t="s">
        <v>73</v>
      </c>
      <c r="I2184" s="11" t="s">
        <v>512</v>
      </c>
      <c r="J2184" s="11">
        <v>23.0</v>
      </c>
      <c r="K2184" s="12">
        <v>39914.0</v>
      </c>
      <c r="L2184" s="11">
        <f t="shared" si="231"/>
        <v>23</v>
      </c>
      <c r="M2184" s="11">
        <v>460044.0</v>
      </c>
      <c r="N2184" s="11">
        <v>4697.0</v>
      </c>
      <c r="P2184" s="11">
        <v>3.0</v>
      </c>
      <c r="Q2184" s="14">
        <v>10.333</v>
      </c>
      <c r="R2184" s="41">
        <v>0.0</v>
      </c>
      <c r="S2184">
        <f t="shared" si="1"/>
        <v>2007</v>
      </c>
      <c r="T2184">
        <f t="shared" si="2"/>
        <v>5</v>
      </c>
      <c r="U2184">
        <f t="shared" si="3"/>
        <v>15</v>
      </c>
      <c r="AG2184" s="15"/>
      <c r="AH2184" s="16"/>
      <c r="AM2184" s="15"/>
      <c r="AN2184" s="16"/>
    </row>
    <row r="2185">
      <c r="A2185" s="13" t="s">
        <v>2359</v>
      </c>
      <c r="B2185" s="10">
        <v>39211.0</v>
      </c>
      <c r="C2185" s="11" t="s">
        <v>37</v>
      </c>
      <c r="D2185" s="11" t="s">
        <v>38</v>
      </c>
      <c r="E2185" s="11" t="s">
        <v>39</v>
      </c>
      <c r="F2185" s="11" t="s">
        <v>40</v>
      </c>
      <c r="G2185" s="11" t="s">
        <v>41</v>
      </c>
      <c r="H2185" s="11"/>
      <c r="I2185" s="11"/>
      <c r="J2185" s="11">
        <v>22.0</v>
      </c>
      <c r="K2185" s="12"/>
      <c r="L2185" s="11"/>
      <c r="M2185" s="11">
        <v>462911.0</v>
      </c>
      <c r="N2185" s="11" t="s">
        <v>3931</v>
      </c>
      <c r="O2185" s="13"/>
      <c r="P2185" s="11">
        <v>0.0</v>
      </c>
      <c r="Q2185" s="14">
        <v>0.0</v>
      </c>
      <c r="R2185" s="41">
        <v>0.0</v>
      </c>
      <c r="S2185">
        <f t="shared" si="1"/>
        <v>2007</v>
      </c>
      <c r="T2185">
        <f t="shared" si="2"/>
        <v>5</v>
      </c>
      <c r="U2185">
        <f t="shared" si="3"/>
        <v>9</v>
      </c>
      <c r="AG2185" s="15"/>
      <c r="AH2185" s="16"/>
      <c r="AM2185" s="15"/>
      <c r="AN2185" s="16"/>
    </row>
    <row r="2186">
      <c r="A2186" s="13" t="s">
        <v>3932</v>
      </c>
      <c r="B2186" s="10">
        <v>39203.0</v>
      </c>
      <c r="C2186" s="11" t="s">
        <v>52</v>
      </c>
      <c r="D2186" s="11" t="s">
        <v>77</v>
      </c>
      <c r="E2186" s="11" t="s">
        <v>39</v>
      </c>
      <c r="F2186" s="11" t="s">
        <v>40</v>
      </c>
      <c r="G2186" s="11" t="s">
        <v>45</v>
      </c>
      <c r="H2186" s="11" t="s">
        <v>440</v>
      </c>
      <c r="I2186" s="11" t="s">
        <v>3933</v>
      </c>
      <c r="J2186" s="11">
        <v>23.0</v>
      </c>
      <c r="K2186" s="12">
        <v>39589.0</v>
      </c>
      <c r="L2186" s="11">
        <f>ROUND(((K2186-B2186)/365)*12,0)</f>
        <v>13</v>
      </c>
      <c r="M2186" s="11">
        <v>488868.0</v>
      </c>
      <c r="N2186" s="11" t="s">
        <v>3934</v>
      </c>
      <c r="O2186" s="13"/>
      <c r="P2186" s="11">
        <v>0.0</v>
      </c>
      <c r="Q2186" s="14">
        <v>0.0</v>
      </c>
      <c r="R2186" s="41">
        <v>0.0</v>
      </c>
      <c r="S2186">
        <f t="shared" si="1"/>
        <v>2007</v>
      </c>
      <c r="T2186">
        <f t="shared" si="2"/>
        <v>5</v>
      </c>
      <c r="U2186">
        <f t="shared" si="3"/>
        <v>1</v>
      </c>
      <c r="AG2186" s="15"/>
      <c r="AH2186" s="16"/>
      <c r="AM2186" s="15"/>
      <c r="AN2186" s="16"/>
    </row>
    <row r="2187">
      <c r="A2187" s="13" t="s">
        <v>3935</v>
      </c>
      <c r="B2187" s="10">
        <v>39203.0</v>
      </c>
      <c r="C2187" s="11" t="s">
        <v>346</v>
      </c>
      <c r="D2187" s="11" t="s">
        <v>58</v>
      </c>
      <c r="E2187" s="11" t="s">
        <v>39</v>
      </c>
      <c r="F2187" s="11" t="s">
        <v>40</v>
      </c>
      <c r="G2187" s="11" t="s">
        <v>45</v>
      </c>
      <c r="H2187" s="11" t="s">
        <v>67</v>
      </c>
      <c r="I2187" s="11" t="s">
        <v>3936</v>
      </c>
      <c r="J2187" s="11">
        <v>28.0</v>
      </c>
      <c r="K2187" s="12"/>
      <c r="L2187" s="11"/>
      <c r="M2187" s="11">
        <v>425778.0</v>
      </c>
      <c r="N2187" s="11">
        <v>1924.0</v>
      </c>
      <c r="O2187" s="13"/>
      <c r="P2187" s="11">
        <v>0.0</v>
      </c>
      <c r="Q2187" s="14">
        <v>0.0</v>
      </c>
      <c r="R2187" s="41">
        <v>0.0</v>
      </c>
      <c r="S2187">
        <f t="shared" si="1"/>
        <v>2007</v>
      </c>
      <c r="T2187">
        <f t="shared" si="2"/>
        <v>5</v>
      </c>
      <c r="U2187">
        <f t="shared" si="3"/>
        <v>1</v>
      </c>
      <c r="AG2187" s="15"/>
      <c r="AH2187" s="16"/>
      <c r="AM2187" s="15"/>
      <c r="AN2187" s="16"/>
    </row>
    <row r="2188">
      <c r="A2188" s="13" t="s">
        <v>3937</v>
      </c>
      <c r="B2188" s="10">
        <v>39203.0</v>
      </c>
      <c r="C2188" s="11" t="s">
        <v>235</v>
      </c>
      <c r="D2188" s="11" t="s">
        <v>38</v>
      </c>
      <c r="E2188" s="30" t="s">
        <v>39</v>
      </c>
      <c r="F2188" s="11" t="s">
        <v>64</v>
      </c>
      <c r="G2188" s="30" t="s">
        <v>45</v>
      </c>
      <c r="H2188" s="11" t="s">
        <v>240</v>
      </c>
      <c r="I2188" s="11" t="s">
        <v>3938</v>
      </c>
      <c r="J2188" s="11">
        <v>31.0</v>
      </c>
      <c r="K2188" s="12">
        <v>39551.0</v>
      </c>
      <c r="L2188" s="11">
        <f t="shared" ref="L2188:L2192" si="232">ROUND(((K2188-B2188)/365)*12,0)</f>
        <v>11</v>
      </c>
      <c r="M2188" s="11">
        <v>124805.0</v>
      </c>
      <c r="N2188" s="11">
        <v>168.0</v>
      </c>
      <c r="O2188" s="13" t="s">
        <v>355</v>
      </c>
      <c r="P2188" s="11">
        <v>85.0</v>
      </c>
      <c r="Q2188" s="14">
        <v>78.667</v>
      </c>
      <c r="R2188" s="41">
        <v>0.0</v>
      </c>
      <c r="S2188">
        <f t="shared" si="1"/>
        <v>2007</v>
      </c>
      <c r="T2188">
        <f t="shared" si="2"/>
        <v>5</v>
      </c>
      <c r="U2188">
        <f t="shared" si="3"/>
        <v>1</v>
      </c>
      <c r="AG2188" s="15"/>
      <c r="AH2188" s="16"/>
      <c r="AM2188" s="15"/>
      <c r="AN2188" s="16"/>
    </row>
    <row r="2189">
      <c r="A2189" s="13" t="s">
        <v>3939</v>
      </c>
      <c r="B2189" s="10">
        <v>39200.0</v>
      </c>
      <c r="C2189" s="11" t="s">
        <v>52</v>
      </c>
      <c r="D2189" s="11" t="s">
        <v>38</v>
      </c>
      <c r="E2189" s="30" t="s">
        <v>39</v>
      </c>
      <c r="F2189" s="11" t="s">
        <v>40</v>
      </c>
      <c r="G2189" s="41" t="s">
        <v>53</v>
      </c>
      <c r="H2189" s="30"/>
      <c r="I2189" s="30"/>
      <c r="J2189" s="11">
        <v>24.0</v>
      </c>
      <c r="K2189" s="12">
        <v>39585.0</v>
      </c>
      <c r="L2189" s="11">
        <f t="shared" si="232"/>
        <v>13</v>
      </c>
      <c r="M2189" s="11">
        <v>430588.0</v>
      </c>
      <c r="N2189" s="11">
        <v>2173.0</v>
      </c>
      <c r="O2189" s="13" t="s">
        <v>761</v>
      </c>
      <c r="P2189" s="11">
        <v>59.0</v>
      </c>
      <c r="Q2189" s="45">
        <v>89.33299999999998</v>
      </c>
      <c r="R2189" s="41">
        <v>0.0</v>
      </c>
      <c r="S2189">
        <f t="shared" si="1"/>
        <v>2007</v>
      </c>
      <c r="T2189">
        <f t="shared" si="2"/>
        <v>4</v>
      </c>
      <c r="U2189">
        <f t="shared" si="3"/>
        <v>28</v>
      </c>
      <c r="AG2189" s="15"/>
      <c r="AH2189" s="16"/>
      <c r="AM2189" s="15"/>
      <c r="AN2189" s="16"/>
    </row>
    <row r="2190">
      <c r="A2190" s="13" t="s">
        <v>3940</v>
      </c>
      <c r="B2190" s="10">
        <v>39191.0</v>
      </c>
      <c r="C2190" s="11" t="s">
        <v>111</v>
      </c>
      <c r="D2190" s="11" t="s">
        <v>58</v>
      </c>
      <c r="E2190" s="30" t="s">
        <v>39</v>
      </c>
      <c r="F2190" s="11" t="s">
        <v>40</v>
      </c>
      <c r="G2190" s="41" t="s">
        <v>41</v>
      </c>
      <c r="H2190" s="30"/>
      <c r="I2190" s="30"/>
      <c r="J2190" s="11">
        <v>24.0</v>
      </c>
      <c r="K2190" s="12">
        <v>40057.0</v>
      </c>
      <c r="L2190" s="11">
        <f t="shared" si="232"/>
        <v>28</v>
      </c>
      <c r="M2190" s="11">
        <v>458008.0</v>
      </c>
      <c r="N2190" s="11">
        <v>4303.0</v>
      </c>
      <c r="P2190" s="11">
        <v>2.0</v>
      </c>
      <c r="Q2190" s="14">
        <v>2.0</v>
      </c>
      <c r="R2190" s="41">
        <v>0.0</v>
      </c>
      <c r="S2190">
        <f t="shared" si="1"/>
        <v>2007</v>
      </c>
      <c r="T2190">
        <f t="shared" si="2"/>
        <v>4</v>
      </c>
      <c r="U2190">
        <f t="shared" si="3"/>
        <v>19</v>
      </c>
      <c r="AG2190" s="15"/>
      <c r="AH2190" s="16"/>
      <c r="AM2190" s="15"/>
      <c r="AN2190" s="16"/>
    </row>
    <row r="2191">
      <c r="A2191" s="13" t="s">
        <v>3941</v>
      </c>
      <c r="B2191" s="10">
        <v>39175.0</v>
      </c>
      <c r="C2191" s="11" t="s">
        <v>162</v>
      </c>
      <c r="D2191" s="11" t="s">
        <v>38</v>
      </c>
      <c r="E2191" s="11" t="s">
        <v>118</v>
      </c>
      <c r="F2191" s="11" t="s">
        <v>40</v>
      </c>
      <c r="G2191" s="30" t="s">
        <v>45</v>
      </c>
      <c r="H2191" s="11" t="s">
        <v>276</v>
      </c>
      <c r="I2191" s="11" t="s">
        <v>2385</v>
      </c>
      <c r="J2191" s="11">
        <v>26.0</v>
      </c>
      <c r="K2191" s="12">
        <v>39533.0</v>
      </c>
      <c r="L2191" s="11">
        <f t="shared" si="232"/>
        <v>12</v>
      </c>
      <c r="M2191" s="11">
        <v>456121.0</v>
      </c>
      <c r="N2191" s="11">
        <v>4400.0</v>
      </c>
      <c r="O2191" s="13" t="s">
        <v>355</v>
      </c>
      <c r="P2191" s="11">
        <v>741.0</v>
      </c>
      <c r="Q2191" s="14">
        <v>2221.0</v>
      </c>
      <c r="R2191" s="11">
        <v>0.0</v>
      </c>
      <c r="S2191">
        <f t="shared" si="1"/>
        <v>2007</v>
      </c>
      <c r="T2191">
        <f t="shared" si="2"/>
        <v>4</v>
      </c>
      <c r="U2191">
        <f t="shared" si="3"/>
        <v>3</v>
      </c>
      <c r="AG2191" s="15"/>
      <c r="AH2191" s="16"/>
      <c r="AM2191" s="15"/>
      <c r="AN2191" s="16"/>
    </row>
    <row r="2192">
      <c r="A2192" s="13" t="s">
        <v>3942</v>
      </c>
      <c r="B2192" s="10">
        <v>39175.0</v>
      </c>
      <c r="C2192" s="11" t="s">
        <v>362</v>
      </c>
      <c r="D2192" s="11" t="s">
        <v>97</v>
      </c>
      <c r="E2192" s="30" t="s">
        <v>39</v>
      </c>
      <c r="F2192" s="11" t="s">
        <v>40</v>
      </c>
      <c r="G2192" s="30" t="s">
        <v>45</v>
      </c>
      <c r="H2192" s="11" t="s">
        <v>56</v>
      </c>
      <c r="I2192" s="11" t="s">
        <v>1746</v>
      </c>
      <c r="J2192" s="11">
        <v>22.0</v>
      </c>
      <c r="K2192" s="12">
        <v>39586.0</v>
      </c>
      <c r="L2192" s="11">
        <f t="shared" si="232"/>
        <v>14</v>
      </c>
      <c r="M2192" s="11">
        <v>453184.0</v>
      </c>
      <c r="N2192" s="11">
        <v>4241.0</v>
      </c>
      <c r="P2192" s="11">
        <v>99.0</v>
      </c>
      <c r="Q2192" s="14">
        <v>222.333</v>
      </c>
      <c r="R2192" s="11">
        <v>0.0</v>
      </c>
      <c r="S2192">
        <f t="shared" si="1"/>
        <v>2007</v>
      </c>
      <c r="T2192">
        <f t="shared" si="2"/>
        <v>4</v>
      </c>
      <c r="U2192">
        <f t="shared" si="3"/>
        <v>3</v>
      </c>
      <c r="AG2192" s="15"/>
      <c r="AH2192" s="16"/>
      <c r="AM2192" s="15"/>
      <c r="AN2192" s="16"/>
    </row>
    <row r="2193">
      <c r="A2193" s="13" t="s">
        <v>3943</v>
      </c>
      <c r="B2193" s="10">
        <v>39173.0</v>
      </c>
      <c r="C2193" s="11" t="s">
        <v>116</v>
      </c>
      <c r="D2193" s="11" t="s">
        <v>213</v>
      </c>
      <c r="E2193" s="30" t="s">
        <v>39</v>
      </c>
      <c r="F2193" s="11" t="s">
        <v>40</v>
      </c>
      <c r="G2193" s="30" t="s">
        <v>45</v>
      </c>
      <c r="H2193" s="11" t="s">
        <v>262</v>
      </c>
      <c r="I2193" s="11" t="s">
        <v>140</v>
      </c>
      <c r="J2193" s="11">
        <v>16.0</v>
      </c>
      <c r="K2193" s="12">
        <v>41006.0</v>
      </c>
      <c r="L2193" s="30"/>
      <c r="M2193" s="11">
        <v>543563.0</v>
      </c>
      <c r="N2193" s="11" t="s">
        <v>3944</v>
      </c>
      <c r="P2193" s="11">
        <v>0.0</v>
      </c>
      <c r="Q2193" s="14">
        <v>0.0</v>
      </c>
      <c r="R2193" s="11">
        <v>0.0</v>
      </c>
      <c r="S2193">
        <f t="shared" si="1"/>
        <v>2007</v>
      </c>
      <c r="T2193">
        <f t="shared" si="2"/>
        <v>4</v>
      </c>
      <c r="U2193">
        <f t="shared" si="3"/>
        <v>1</v>
      </c>
      <c r="AG2193" s="15"/>
      <c r="AH2193" s="16"/>
      <c r="AM2193" s="15"/>
      <c r="AN2193" s="16"/>
    </row>
    <row r="2194">
      <c r="A2194" s="13" t="s">
        <v>3945</v>
      </c>
      <c r="B2194" s="10">
        <v>39172.0</v>
      </c>
      <c r="C2194" s="11" t="s">
        <v>150</v>
      </c>
      <c r="D2194" s="11" t="s">
        <v>38</v>
      </c>
      <c r="E2194" s="30" t="s">
        <v>39</v>
      </c>
      <c r="F2194" s="11" t="s">
        <v>64</v>
      </c>
      <c r="G2194" s="30" t="s">
        <v>45</v>
      </c>
      <c r="H2194" s="11" t="s">
        <v>56</v>
      </c>
      <c r="I2194" s="11"/>
      <c r="J2194" s="11">
        <v>37.0</v>
      </c>
      <c r="K2194" s="12">
        <v>39553.0</v>
      </c>
      <c r="L2194" s="11">
        <f t="shared" ref="L2194:L2197" si="233">ROUND(((K2194-B2194)/365)*12,0)</f>
        <v>13</v>
      </c>
      <c r="M2194" s="11">
        <v>121125.0</v>
      </c>
      <c r="N2194" s="11">
        <v>1097.0</v>
      </c>
      <c r="O2194" s="13" t="s">
        <v>3309</v>
      </c>
      <c r="P2194" s="11">
        <v>247.0</v>
      </c>
      <c r="Q2194" s="14">
        <v>176.667</v>
      </c>
      <c r="R2194" s="41">
        <v>0.0</v>
      </c>
      <c r="S2194">
        <f t="shared" si="1"/>
        <v>2007</v>
      </c>
      <c r="T2194">
        <f t="shared" si="2"/>
        <v>3</v>
      </c>
      <c r="U2194">
        <f t="shared" si="3"/>
        <v>31</v>
      </c>
      <c r="AG2194" s="15"/>
      <c r="AH2194" s="16"/>
      <c r="AM2194" s="15"/>
      <c r="AN2194" s="16"/>
    </row>
    <row r="2195">
      <c r="A2195" s="13" t="s">
        <v>3946</v>
      </c>
      <c r="B2195" s="10">
        <v>39168.0</v>
      </c>
      <c r="C2195" s="11" t="s">
        <v>167</v>
      </c>
      <c r="D2195" s="11" t="s">
        <v>77</v>
      </c>
      <c r="E2195" s="11" t="s">
        <v>39</v>
      </c>
      <c r="F2195" s="11" t="s">
        <v>64</v>
      </c>
      <c r="G2195" s="11" t="s">
        <v>41</v>
      </c>
      <c r="H2195" s="11"/>
      <c r="I2195" s="11"/>
      <c r="J2195" s="11">
        <v>24.0</v>
      </c>
      <c r="K2195" s="12">
        <v>39543.0</v>
      </c>
      <c r="L2195" s="11">
        <f t="shared" si="233"/>
        <v>12</v>
      </c>
      <c r="M2195" s="11">
        <v>462943.0</v>
      </c>
      <c r="N2195" s="11" t="s">
        <v>3947</v>
      </c>
      <c r="O2195" s="13" t="s">
        <v>761</v>
      </c>
      <c r="P2195" s="11">
        <v>0.0</v>
      </c>
      <c r="Q2195" s="14">
        <v>0.0</v>
      </c>
      <c r="R2195" s="41">
        <v>0.0</v>
      </c>
      <c r="S2195">
        <f t="shared" si="1"/>
        <v>2007</v>
      </c>
      <c r="T2195">
        <f t="shared" si="2"/>
        <v>3</v>
      </c>
      <c r="U2195">
        <f t="shared" si="3"/>
        <v>27</v>
      </c>
      <c r="AG2195" s="15"/>
      <c r="AH2195" s="16"/>
      <c r="AM2195" s="15"/>
      <c r="AN2195" s="16"/>
    </row>
    <row r="2196">
      <c r="A2196" s="13" t="s">
        <v>3948</v>
      </c>
      <c r="B2196" s="10">
        <v>39159.0</v>
      </c>
      <c r="C2196" s="11" t="s">
        <v>186</v>
      </c>
      <c r="D2196" s="11" t="s">
        <v>77</v>
      </c>
      <c r="E2196" s="30" t="s">
        <v>39</v>
      </c>
      <c r="F2196" s="11" t="s">
        <v>40</v>
      </c>
      <c r="G2196" s="30" t="s">
        <v>45</v>
      </c>
      <c r="H2196" s="11" t="s">
        <v>240</v>
      </c>
      <c r="I2196" s="11" t="s">
        <v>3949</v>
      </c>
      <c r="J2196" s="11">
        <v>24.0</v>
      </c>
      <c r="K2196" s="12">
        <v>39589.0</v>
      </c>
      <c r="L2196" s="11">
        <f t="shared" si="233"/>
        <v>14</v>
      </c>
      <c r="M2196" s="11">
        <v>435080.0</v>
      </c>
      <c r="N2196" s="11">
        <v>8025.0</v>
      </c>
      <c r="P2196" s="11">
        <v>16.0</v>
      </c>
      <c r="Q2196" s="14">
        <v>29.0</v>
      </c>
      <c r="R2196" s="41">
        <v>0.0</v>
      </c>
      <c r="S2196">
        <f t="shared" si="1"/>
        <v>2007</v>
      </c>
      <c r="T2196">
        <f t="shared" si="2"/>
        <v>3</v>
      </c>
      <c r="U2196">
        <f t="shared" si="3"/>
        <v>18</v>
      </c>
      <c r="AG2196" s="15"/>
      <c r="AH2196" s="16"/>
      <c r="AM2196" s="15"/>
      <c r="AN2196" s="16"/>
    </row>
    <row r="2197">
      <c r="A2197" s="13" t="s">
        <v>3950</v>
      </c>
      <c r="B2197" s="10">
        <v>39154.0</v>
      </c>
      <c r="C2197" s="11" t="s">
        <v>83</v>
      </c>
      <c r="D2197" s="11" t="s">
        <v>38</v>
      </c>
      <c r="E2197" s="30" t="s">
        <v>39</v>
      </c>
      <c r="F2197" s="11" t="s">
        <v>40</v>
      </c>
      <c r="G2197" s="30" t="s">
        <v>45</v>
      </c>
      <c r="H2197" s="11" t="s">
        <v>109</v>
      </c>
      <c r="I2197" s="11" t="s">
        <v>3951</v>
      </c>
      <c r="J2197" s="11">
        <v>28.0</v>
      </c>
      <c r="K2197" s="12">
        <v>39684.0</v>
      </c>
      <c r="L2197" s="11">
        <f t="shared" si="233"/>
        <v>17</v>
      </c>
      <c r="M2197" s="11">
        <v>448337.0</v>
      </c>
      <c r="N2197" s="11">
        <v>3638.0</v>
      </c>
      <c r="O2197" s="13" t="s">
        <v>1332</v>
      </c>
      <c r="P2197" s="11">
        <v>72.0</v>
      </c>
      <c r="Q2197" s="14">
        <v>72.0</v>
      </c>
      <c r="R2197" s="41">
        <v>0.0</v>
      </c>
      <c r="S2197">
        <f t="shared" si="1"/>
        <v>2007</v>
      </c>
      <c r="T2197">
        <f t="shared" si="2"/>
        <v>3</v>
      </c>
      <c r="U2197">
        <f t="shared" si="3"/>
        <v>13</v>
      </c>
      <c r="AG2197" s="15"/>
      <c r="AH2197" s="16"/>
      <c r="AM2197" s="15"/>
      <c r="AN2197" s="16"/>
    </row>
    <row r="2198">
      <c r="A2198" s="13" t="s">
        <v>3952</v>
      </c>
      <c r="B2198" s="10">
        <v>39142.0</v>
      </c>
      <c r="C2198" s="11" t="s">
        <v>358</v>
      </c>
      <c r="D2198" s="11" t="s">
        <v>38</v>
      </c>
      <c r="E2198" s="30" t="s">
        <v>39</v>
      </c>
      <c r="F2198" s="11" t="s">
        <v>40</v>
      </c>
      <c r="G2198" s="30" t="s">
        <v>45</v>
      </c>
      <c r="H2198" s="11" t="s">
        <v>67</v>
      </c>
      <c r="I2198" s="11" t="s">
        <v>3953</v>
      </c>
      <c r="J2198" s="11">
        <v>30.0</v>
      </c>
      <c r="K2198" s="30"/>
      <c r="L2198" s="30"/>
      <c r="M2198" s="11">
        <v>333293.0</v>
      </c>
      <c r="N2198" s="11">
        <v>460.0</v>
      </c>
      <c r="O2198" s="13" t="s">
        <v>761</v>
      </c>
      <c r="P2198" s="11">
        <v>0.0</v>
      </c>
      <c r="Q2198" s="45">
        <v>0.0</v>
      </c>
      <c r="R2198" s="41">
        <v>0.0</v>
      </c>
      <c r="S2198">
        <f t="shared" si="1"/>
        <v>2007</v>
      </c>
      <c r="T2198">
        <f t="shared" si="2"/>
        <v>3</v>
      </c>
      <c r="U2198">
        <f t="shared" si="3"/>
        <v>1</v>
      </c>
      <c r="AG2198" s="15"/>
      <c r="AH2198" s="16"/>
      <c r="AM2198" s="15"/>
      <c r="AN2198" s="16"/>
    </row>
    <row r="2199">
      <c r="A2199" s="13" t="s">
        <v>3954</v>
      </c>
      <c r="B2199" s="10">
        <v>39142.0</v>
      </c>
      <c r="C2199" s="11" t="s">
        <v>103</v>
      </c>
      <c r="D2199" s="11" t="s">
        <v>93</v>
      </c>
      <c r="E2199" s="30" t="s">
        <v>39</v>
      </c>
      <c r="F2199" s="11" t="s">
        <v>40</v>
      </c>
      <c r="G2199" s="30" t="s">
        <v>45</v>
      </c>
      <c r="H2199" s="11" t="s">
        <v>84</v>
      </c>
      <c r="I2199" s="11" t="s">
        <v>512</v>
      </c>
      <c r="J2199" s="11">
        <v>20.0</v>
      </c>
      <c r="K2199" s="12">
        <v>39527.0</v>
      </c>
      <c r="L2199" s="11">
        <f>ROUND(((K2199-B2199)/365)*12,0)</f>
        <v>13</v>
      </c>
      <c r="M2199" s="11">
        <v>493555.0</v>
      </c>
      <c r="N2199" s="11" t="s">
        <v>3955</v>
      </c>
      <c r="P2199" s="11">
        <v>0.0</v>
      </c>
      <c r="Q2199" s="14">
        <v>0.0</v>
      </c>
      <c r="R2199" s="41">
        <v>0.0</v>
      </c>
      <c r="S2199">
        <f t="shared" si="1"/>
        <v>2007</v>
      </c>
      <c r="T2199">
        <f t="shared" si="2"/>
        <v>3</v>
      </c>
      <c r="U2199">
        <f t="shared" si="3"/>
        <v>1</v>
      </c>
      <c r="AG2199" s="15"/>
      <c r="AH2199" s="16"/>
      <c r="AM2199" s="15"/>
      <c r="AN2199" s="16"/>
    </row>
    <row r="2200">
      <c r="A2200" s="13" t="s">
        <v>3956</v>
      </c>
      <c r="B2200" s="10">
        <v>39083.0</v>
      </c>
      <c r="C2200" s="11" t="s">
        <v>116</v>
      </c>
      <c r="D2200" s="11" t="s">
        <v>88</v>
      </c>
      <c r="E2200" s="30" t="s">
        <v>39</v>
      </c>
      <c r="F2200" s="11" t="s">
        <v>64</v>
      </c>
      <c r="G2200" s="30" t="s">
        <v>45</v>
      </c>
      <c r="H2200" s="11" t="s">
        <v>163</v>
      </c>
      <c r="I2200" s="11" t="s">
        <v>1599</v>
      </c>
      <c r="J2200" s="11">
        <v>22.0</v>
      </c>
      <c r="K2200" s="12">
        <v>39650.0</v>
      </c>
      <c r="L2200" s="30"/>
      <c r="M2200" s="11">
        <v>453173.0</v>
      </c>
      <c r="N2200" s="11" t="s">
        <v>3957</v>
      </c>
      <c r="P2200" s="11">
        <v>0.0</v>
      </c>
      <c r="Q2200" s="14">
        <v>0.0</v>
      </c>
      <c r="R2200" s="41">
        <v>0.0</v>
      </c>
      <c r="S2200">
        <f t="shared" si="1"/>
        <v>2007</v>
      </c>
      <c r="T2200">
        <f t="shared" si="2"/>
        <v>1</v>
      </c>
      <c r="U2200">
        <f t="shared" si="3"/>
        <v>1</v>
      </c>
      <c r="AG2200" s="15"/>
      <c r="AH2200" s="16"/>
      <c r="AM2200" s="15"/>
      <c r="AN2200" s="16"/>
    </row>
    <row r="2201">
      <c r="A2201" s="13" t="s">
        <v>3958</v>
      </c>
      <c r="B2201" s="10">
        <v>39083.0</v>
      </c>
      <c r="C2201" s="11" t="s">
        <v>116</v>
      </c>
      <c r="D2201" s="11" t="s">
        <v>77</v>
      </c>
      <c r="E2201" s="30" t="s">
        <v>39</v>
      </c>
      <c r="F2201" s="11" t="s">
        <v>40</v>
      </c>
      <c r="G2201" s="30" t="s">
        <v>45</v>
      </c>
      <c r="H2201" s="11" t="s">
        <v>84</v>
      </c>
      <c r="I2201" s="11" t="s">
        <v>3959</v>
      </c>
      <c r="J2201" s="11">
        <v>27.0</v>
      </c>
      <c r="K2201" s="12">
        <v>39652.0</v>
      </c>
      <c r="L2201" s="30"/>
      <c r="M2201" s="11">
        <v>453450.0</v>
      </c>
      <c r="N2201" s="11" t="s">
        <v>3960</v>
      </c>
      <c r="P2201" s="11">
        <v>0.0</v>
      </c>
      <c r="Q2201" s="14">
        <v>0.0</v>
      </c>
      <c r="R2201" s="41">
        <v>0.0</v>
      </c>
      <c r="S2201">
        <f t="shared" si="1"/>
        <v>2007</v>
      </c>
      <c r="T2201">
        <f t="shared" si="2"/>
        <v>1</v>
      </c>
      <c r="U2201">
        <f t="shared" si="3"/>
        <v>1</v>
      </c>
      <c r="AG2201" s="15"/>
      <c r="AH2201" s="16"/>
      <c r="AM2201" s="15"/>
      <c r="AN2201" s="16"/>
    </row>
    <row r="2202">
      <c r="A2202" s="13" t="s">
        <v>3961</v>
      </c>
      <c r="B2202" s="10">
        <v>39083.0</v>
      </c>
      <c r="C2202" s="11" t="s">
        <v>72</v>
      </c>
      <c r="D2202" s="11" t="s">
        <v>709</v>
      </c>
      <c r="E2202" s="30" t="s">
        <v>39</v>
      </c>
      <c r="F2202" s="11" t="s">
        <v>40</v>
      </c>
      <c r="G2202" s="30" t="s">
        <v>45</v>
      </c>
      <c r="H2202" s="11" t="s">
        <v>243</v>
      </c>
      <c r="I2202" s="11"/>
      <c r="J2202" s="11">
        <v>19.0</v>
      </c>
      <c r="K2202" s="12">
        <v>39915.0</v>
      </c>
      <c r="L2202" s="30"/>
      <c r="M2202" s="11">
        <v>502175.0</v>
      </c>
      <c r="N2202" s="11" t="s">
        <v>3962</v>
      </c>
      <c r="P2202" s="11">
        <v>0.0</v>
      </c>
      <c r="Q2202" s="14">
        <v>0.0</v>
      </c>
      <c r="R2202" s="11">
        <v>0.0</v>
      </c>
      <c r="S2202">
        <f t="shared" si="1"/>
        <v>2007</v>
      </c>
      <c r="T2202">
        <f t="shared" si="2"/>
        <v>1</v>
      </c>
      <c r="U2202">
        <f t="shared" si="3"/>
        <v>1</v>
      </c>
      <c r="AG2202" s="15"/>
      <c r="AH2202" s="16"/>
      <c r="AM2202" s="15"/>
      <c r="AN2202" s="16"/>
    </row>
    <row r="2203">
      <c r="A2203" s="13" t="s">
        <v>3963</v>
      </c>
      <c r="B2203" s="10">
        <v>39083.0</v>
      </c>
      <c r="C2203" s="11" t="s">
        <v>162</v>
      </c>
      <c r="D2203" s="11" t="s">
        <v>93</v>
      </c>
      <c r="E2203" s="11" t="s">
        <v>39</v>
      </c>
      <c r="F2203" s="11" t="s">
        <v>40</v>
      </c>
      <c r="G2203" s="11" t="s">
        <v>45</v>
      </c>
      <c r="H2203" s="11" t="s">
        <v>84</v>
      </c>
      <c r="I2203" s="11" t="s">
        <v>1638</v>
      </c>
      <c r="J2203" s="11">
        <v>19.0</v>
      </c>
      <c r="K2203" s="12">
        <v>40352.0</v>
      </c>
      <c r="L2203" s="30"/>
      <c r="M2203" s="11">
        <v>595001.0</v>
      </c>
      <c r="N2203" s="11">
        <v>10946.0</v>
      </c>
      <c r="P2203" s="11">
        <v>0.0</v>
      </c>
      <c r="Q2203" s="14">
        <v>0.0</v>
      </c>
      <c r="R2203" s="41">
        <v>0.0</v>
      </c>
      <c r="S2203">
        <f t="shared" si="1"/>
        <v>2007</v>
      </c>
      <c r="T2203">
        <f t="shared" si="2"/>
        <v>1</v>
      </c>
      <c r="U2203">
        <f t="shared" si="3"/>
        <v>1</v>
      </c>
      <c r="AG2203" s="15"/>
      <c r="AH2203" s="16"/>
      <c r="AM2203" s="15"/>
      <c r="AN2203" s="16"/>
    </row>
    <row r="2204">
      <c r="A2204" s="13" t="s">
        <v>3964</v>
      </c>
      <c r="B2204" s="10">
        <v>39083.0</v>
      </c>
      <c r="C2204" s="11" t="s">
        <v>44</v>
      </c>
      <c r="D2204" s="11" t="s">
        <v>93</v>
      </c>
      <c r="E2204" s="11" t="s">
        <v>39</v>
      </c>
      <c r="F2204" s="11" t="s">
        <v>40</v>
      </c>
      <c r="G2204" s="11" t="s">
        <v>45</v>
      </c>
      <c r="H2204" s="11" t="s">
        <v>652</v>
      </c>
      <c r="I2204" s="11" t="s">
        <v>318</v>
      </c>
      <c r="J2204" s="11">
        <v>21.0</v>
      </c>
      <c r="K2204" s="12">
        <v>39985.0</v>
      </c>
      <c r="L2204" s="30"/>
      <c r="M2204" s="11">
        <v>573188.0</v>
      </c>
      <c r="N2204" s="11">
        <v>6780.0</v>
      </c>
      <c r="P2204" s="11">
        <v>16.0</v>
      </c>
      <c r="Q2204" s="14">
        <v>18.333</v>
      </c>
      <c r="R2204" s="41">
        <v>1.0</v>
      </c>
      <c r="S2204">
        <f t="shared" si="1"/>
        <v>2007</v>
      </c>
      <c r="T2204">
        <f t="shared" si="2"/>
        <v>1</v>
      </c>
      <c r="U2204">
        <f t="shared" si="3"/>
        <v>1</v>
      </c>
      <c r="AG2204" s="15"/>
      <c r="AH2204" s="16"/>
      <c r="AM2204" s="15"/>
      <c r="AN2204" s="16"/>
    </row>
    <row r="2205">
      <c r="A2205" s="13" t="s">
        <v>3965</v>
      </c>
      <c r="B2205" s="10">
        <v>39083.0</v>
      </c>
      <c r="C2205" s="11" t="s">
        <v>192</v>
      </c>
      <c r="D2205" s="11" t="s">
        <v>97</v>
      </c>
      <c r="E2205" s="30" t="s">
        <v>39</v>
      </c>
      <c r="F2205" s="11" t="s">
        <v>40</v>
      </c>
      <c r="G2205" s="30" t="s">
        <v>45</v>
      </c>
      <c r="H2205" s="11" t="s">
        <v>67</v>
      </c>
      <c r="I2205" s="11" t="s">
        <v>3966</v>
      </c>
      <c r="J2205" s="11">
        <v>23.0</v>
      </c>
      <c r="K2205" s="12">
        <v>39645.0</v>
      </c>
      <c r="L2205" s="30"/>
      <c r="M2205" s="11">
        <v>446363.0</v>
      </c>
      <c r="N2205" s="11" t="s">
        <v>3967</v>
      </c>
      <c r="P2205" s="11">
        <v>0.0</v>
      </c>
      <c r="Q2205" s="14">
        <v>0.0</v>
      </c>
      <c r="R2205" s="41">
        <v>0.0</v>
      </c>
      <c r="S2205">
        <f t="shared" si="1"/>
        <v>2007</v>
      </c>
      <c r="T2205">
        <f t="shared" si="2"/>
        <v>1</v>
      </c>
      <c r="U2205">
        <f t="shared" si="3"/>
        <v>1</v>
      </c>
      <c r="AG2205" s="15"/>
      <c r="AH2205" s="16"/>
      <c r="AM2205" s="15"/>
      <c r="AN2205" s="16"/>
    </row>
    <row r="2206">
      <c r="A2206" s="13" t="s">
        <v>3968</v>
      </c>
      <c r="B2206" s="10">
        <v>39083.0</v>
      </c>
      <c r="C2206" s="11" t="s">
        <v>192</v>
      </c>
      <c r="D2206" s="11" t="s">
        <v>58</v>
      </c>
      <c r="E2206" s="30" t="s">
        <v>39</v>
      </c>
      <c r="F2206" s="11" t="s">
        <v>40</v>
      </c>
      <c r="G2206" s="30" t="s">
        <v>45</v>
      </c>
      <c r="H2206" s="11" t="s">
        <v>236</v>
      </c>
      <c r="I2206" s="11" t="s">
        <v>3969</v>
      </c>
      <c r="J2206" s="11">
        <v>32.0</v>
      </c>
      <c r="K2206" s="12">
        <v>39544.0</v>
      </c>
      <c r="L2206" s="30"/>
      <c r="M2206" s="11">
        <v>150128.0</v>
      </c>
      <c r="N2206" s="11">
        <v>452.0</v>
      </c>
      <c r="P2206" s="11">
        <v>9.0</v>
      </c>
      <c r="Q2206" s="14">
        <v>11.0</v>
      </c>
      <c r="R2206" s="41">
        <v>0.0</v>
      </c>
      <c r="S2206">
        <f t="shared" si="1"/>
        <v>2007</v>
      </c>
      <c r="T2206">
        <f t="shared" si="2"/>
        <v>1</v>
      </c>
      <c r="U2206">
        <f t="shared" si="3"/>
        <v>1</v>
      </c>
      <c r="AG2206" s="15"/>
      <c r="AH2206" s="16"/>
      <c r="AM2206" s="15"/>
      <c r="AN2206" s="16"/>
    </row>
    <row r="2207">
      <c r="A2207" s="13" t="s">
        <v>3970</v>
      </c>
      <c r="B2207" s="10">
        <v>39083.0</v>
      </c>
      <c r="C2207" s="11" t="s">
        <v>111</v>
      </c>
      <c r="D2207" s="11" t="s">
        <v>77</v>
      </c>
      <c r="E2207" s="30" t="s">
        <v>39</v>
      </c>
      <c r="F2207" s="11" t="s">
        <v>40</v>
      </c>
      <c r="G2207" s="30" t="s">
        <v>45</v>
      </c>
      <c r="H2207" s="11" t="s">
        <v>73</v>
      </c>
      <c r="I2207" s="11" t="s">
        <v>2001</v>
      </c>
      <c r="J2207" s="11">
        <v>24.0</v>
      </c>
      <c r="K2207" s="30"/>
      <c r="L2207" s="30"/>
      <c r="M2207" s="11">
        <v>458698.0</v>
      </c>
      <c r="N2207" s="11" t="s">
        <v>3971</v>
      </c>
      <c r="P2207" s="11">
        <v>0.0</v>
      </c>
      <c r="Q2207" s="14">
        <v>0.0</v>
      </c>
      <c r="R2207" s="41">
        <v>0.0</v>
      </c>
      <c r="S2207">
        <f t="shared" si="1"/>
        <v>2007</v>
      </c>
      <c r="T2207">
        <f t="shared" si="2"/>
        <v>1</v>
      </c>
      <c r="U2207">
        <f t="shared" si="3"/>
        <v>1</v>
      </c>
      <c r="AG2207" s="15"/>
      <c r="AH2207" s="16"/>
      <c r="AM2207" s="15"/>
      <c r="AN2207" s="16"/>
    </row>
    <row r="2208">
      <c r="A2208" s="13" t="s">
        <v>3972</v>
      </c>
      <c r="B2208" s="10">
        <v>39083.0</v>
      </c>
      <c r="C2208" s="11" t="s">
        <v>52</v>
      </c>
      <c r="D2208" s="11" t="s">
        <v>88</v>
      </c>
      <c r="E2208" s="11" t="s">
        <v>118</v>
      </c>
      <c r="F2208" s="11" t="s">
        <v>40</v>
      </c>
      <c r="G2208" s="11" t="s">
        <v>45</v>
      </c>
      <c r="H2208" s="11" t="s">
        <v>67</v>
      </c>
      <c r="I2208" s="11" t="s">
        <v>262</v>
      </c>
      <c r="J2208" s="11">
        <v>24.0</v>
      </c>
      <c r="K2208" s="12">
        <v>39541.0</v>
      </c>
      <c r="L2208" s="30"/>
      <c r="M2208" s="11">
        <v>457524.0</v>
      </c>
      <c r="N2208" s="11" t="s">
        <v>3973</v>
      </c>
      <c r="P2208" s="11">
        <v>0.0</v>
      </c>
      <c r="Q2208" s="14">
        <v>0.0</v>
      </c>
      <c r="R2208" s="41">
        <v>0.0</v>
      </c>
      <c r="S2208">
        <f t="shared" si="1"/>
        <v>2007</v>
      </c>
      <c r="T2208">
        <f t="shared" si="2"/>
        <v>1</v>
      </c>
      <c r="U2208">
        <f t="shared" si="3"/>
        <v>1</v>
      </c>
      <c r="AG2208" s="15"/>
      <c r="AH2208" s="16"/>
      <c r="AM2208" s="15"/>
      <c r="AN2208" s="16"/>
    </row>
    <row r="2209">
      <c r="A2209" s="13" t="s">
        <v>3974</v>
      </c>
      <c r="B2209" s="10">
        <v>39083.0</v>
      </c>
      <c r="C2209" s="11" t="s">
        <v>358</v>
      </c>
      <c r="D2209" s="11" t="s">
        <v>213</v>
      </c>
      <c r="E2209" s="11" t="s">
        <v>39</v>
      </c>
      <c r="F2209" s="11" t="s">
        <v>40</v>
      </c>
      <c r="G2209" s="11" t="s">
        <v>45</v>
      </c>
      <c r="H2209" s="11" t="s">
        <v>262</v>
      </c>
      <c r="I2209" s="11" t="s">
        <v>287</v>
      </c>
      <c r="J2209" s="11">
        <v>18.0</v>
      </c>
      <c r="K2209" s="12">
        <v>41080.0</v>
      </c>
      <c r="L2209" s="30"/>
      <c r="M2209" s="11">
        <v>592811.0</v>
      </c>
      <c r="N2209" s="11">
        <v>13533.0</v>
      </c>
      <c r="P2209" s="11">
        <v>36.0</v>
      </c>
      <c r="Q2209" s="14">
        <v>121.667</v>
      </c>
      <c r="R2209" s="41">
        <v>1.0</v>
      </c>
      <c r="S2209">
        <f t="shared" si="1"/>
        <v>2007</v>
      </c>
      <c r="T2209">
        <f t="shared" si="2"/>
        <v>1</v>
      </c>
      <c r="U2209">
        <f t="shared" si="3"/>
        <v>1</v>
      </c>
      <c r="AG2209" s="15"/>
      <c r="AH2209" s="16"/>
      <c r="AM2209" s="15"/>
      <c r="AN2209" s="16"/>
    </row>
    <row r="2210">
      <c r="A2210" s="13" t="s">
        <v>3975</v>
      </c>
      <c r="B2210" s="10">
        <v>39083.0</v>
      </c>
      <c r="C2210" s="11" t="s">
        <v>126</v>
      </c>
      <c r="D2210" s="11" t="s">
        <v>97</v>
      </c>
      <c r="E2210" s="11" t="s">
        <v>39</v>
      </c>
      <c r="F2210" s="11" t="s">
        <v>40</v>
      </c>
      <c r="G2210" s="11" t="s">
        <v>41</v>
      </c>
      <c r="H2210" s="11"/>
      <c r="I2210" s="11"/>
      <c r="J2210" s="11">
        <v>23.0</v>
      </c>
      <c r="K2210" s="12">
        <v>39914.0</v>
      </c>
      <c r="L2210" s="30"/>
      <c r="M2210" s="11">
        <v>471822.0</v>
      </c>
      <c r="N2210" s="11">
        <v>3397.0</v>
      </c>
      <c r="P2210" s="11">
        <v>173.0</v>
      </c>
      <c r="Q2210" s="14">
        <v>168.0</v>
      </c>
      <c r="R2210" s="41">
        <v>1.0</v>
      </c>
      <c r="S2210">
        <f t="shared" si="1"/>
        <v>2007</v>
      </c>
      <c r="T2210">
        <f t="shared" si="2"/>
        <v>1</v>
      </c>
      <c r="U2210">
        <f t="shared" si="3"/>
        <v>1</v>
      </c>
      <c r="AG2210" s="15"/>
      <c r="AH2210" s="16"/>
      <c r="AM2210" s="15"/>
      <c r="AN2210" s="16"/>
    </row>
    <row r="2211">
      <c r="A2211" s="13" t="s">
        <v>3976</v>
      </c>
      <c r="B2211" s="10">
        <v>39083.0</v>
      </c>
      <c r="C2211" s="11" t="s">
        <v>126</v>
      </c>
      <c r="D2211" s="11" t="s">
        <v>58</v>
      </c>
      <c r="E2211" s="11" t="s">
        <v>39</v>
      </c>
      <c r="F2211" s="11" t="s">
        <v>40</v>
      </c>
      <c r="G2211" s="11" t="s">
        <v>45</v>
      </c>
      <c r="H2211" s="11" t="s">
        <v>231</v>
      </c>
      <c r="I2211" s="11" t="s">
        <v>341</v>
      </c>
      <c r="J2211" s="11">
        <v>25.0</v>
      </c>
      <c r="K2211" s="12">
        <v>39619.0</v>
      </c>
      <c r="L2211" s="30"/>
      <c r="M2211" s="11">
        <v>454662.0</v>
      </c>
      <c r="N2211" s="11" t="s">
        <v>3977</v>
      </c>
      <c r="P2211" s="11">
        <v>0.0</v>
      </c>
      <c r="Q2211" s="14">
        <v>0.0</v>
      </c>
      <c r="R2211" s="41">
        <v>0.0</v>
      </c>
      <c r="S2211">
        <f t="shared" si="1"/>
        <v>2007</v>
      </c>
      <c r="T2211">
        <f t="shared" si="2"/>
        <v>1</v>
      </c>
      <c r="U2211">
        <f t="shared" si="3"/>
        <v>1</v>
      </c>
      <c r="AG2211" s="15"/>
      <c r="AH2211" s="16"/>
      <c r="AM2211" s="15"/>
      <c r="AN2211" s="16"/>
    </row>
    <row r="2212">
      <c r="A2212" s="13" t="s">
        <v>3978</v>
      </c>
      <c r="B2212" s="10">
        <v>39083.0</v>
      </c>
      <c r="C2212" s="11" t="s">
        <v>55</v>
      </c>
      <c r="D2212" s="11" t="s">
        <v>221</v>
      </c>
      <c r="E2212" s="30" t="s">
        <v>39</v>
      </c>
      <c r="F2212" s="11" t="s">
        <v>40</v>
      </c>
      <c r="G2212" s="41" t="s">
        <v>41</v>
      </c>
      <c r="H2212" s="30"/>
      <c r="I2212" s="30"/>
      <c r="J2212" s="11">
        <v>18.0</v>
      </c>
      <c r="K2212" s="12">
        <v>39617.0</v>
      </c>
      <c r="L2212" s="30"/>
      <c r="M2212" s="11">
        <v>503449.0</v>
      </c>
      <c r="N2212" s="11">
        <v>7738.0</v>
      </c>
      <c r="P2212" s="11">
        <v>132.0</v>
      </c>
      <c r="Q2212" s="14">
        <v>704.667</v>
      </c>
      <c r="R2212" s="41">
        <v>1.0</v>
      </c>
      <c r="S2212">
        <f t="shared" si="1"/>
        <v>2007</v>
      </c>
      <c r="T2212">
        <f t="shared" si="2"/>
        <v>1</v>
      </c>
      <c r="U2212">
        <f t="shared" si="3"/>
        <v>1</v>
      </c>
      <c r="AG2212" s="15"/>
      <c r="AH2212" s="16"/>
      <c r="AM2212" s="15"/>
      <c r="AN2212" s="16"/>
    </row>
    <row r="2213">
      <c r="A2213" s="13" t="s">
        <v>3979</v>
      </c>
      <c r="B2213" s="10">
        <v>39083.0</v>
      </c>
      <c r="C2213" s="11" t="s">
        <v>49</v>
      </c>
      <c r="D2213" s="11" t="s">
        <v>93</v>
      </c>
      <c r="E2213" s="30" t="s">
        <v>39</v>
      </c>
      <c r="F2213" s="11" t="s">
        <v>40</v>
      </c>
      <c r="G2213" s="41" t="s">
        <v>503</v>
      </c>
      <c r="H2213" s="30"/>
      <c r="I2213" s="30"/>
      <c r="J2213" s="11">
        <v>28.0</v>
      </c>
      <c r="K2213" s="12">
        <v>40276.0</v>
      </c>
      <c r="L2213" s="30"/>
      <c r="M2213" s="11">
        <v>579799.0</v>
      </c>
      <c r="N2213" s="11">
        <v>10232.0</v>
      </c>
      <c r="P2213" s="11">
        <v>83.0</v>
      </c>
      <c r="Q2213" s="14">
        <v>73.0</v>
      </c>
      <c r="R2213" s="41">
        <v>0.0</v>
      </c>
      <c r="S2213">
        <f t="shared" si="1"/>
        <v>2007</v>
      </c>
      <c r="T2213">
        <f t="shared" si="2"/>
        <v>1</v>
      </c>
      <c r="U2213">
        <f t="shared" si="3"/>
        <v>1</v>
      </c>
      <c r="AG2213" s="15"/>
      <c r="AH2213" s="16"/>
      <c r="AM2213" s="15"/>
      <c r="AN2213" s="16"/>
    </row>
    <row r="2214">
      <c r="A2214" s="13" t="s">
        <v>3980</v>
      </c>
      <c r="B2214" s="10">
        <v>39083.0</v>
      </c>
      <c r="C2214" s="11" t="s">
        <v>49</v>
      </c>
      <c r="D2214" s="11" t="s">
        <v>213</v>
      </c>
      <c r="E2214" s="11" t="s">
        <v>39</v>
      </c>
      <c r="F2214" s="11" t="s">
        <v>40</v>
      </c>
      <c r="G2214" s="11" t="s">
        <v>45</v>
      </c>
      <c r="H2214" s="11" t="s">
        <v>67</v>
      </c>
      <c r="I2214" s="11" t="s">
        <v>190</v>
      </c>
      <c r="J2214" s="11">
        <v>18.0</v>
      </c>
      <c r="K2214" s="12">
        <v>40404.0</v>
      </c>
      <c r="L2214" s="30"/>
      <c r="M2214" s="11">
        <v>592340.0</v>
      </c>
      <c r="N2214" s="11">
        <v>11712.0</v>
      </c>
      <c r="P2214" s="11">
        <v>110.0</v>
      </c>
      <c r="Q2214" s="14">
        <v>104.667</v>
      </c>
      <c r="R2214" s="41">
        <v>1.0</v>
      </c>
      <c r="S2214">
        <f t="shared" si="1"/>
        <v>2007</v>
      </c>
      <c r="T2214">
        <f t="shared" si="2"/>
        <v>1</v>
      </c>
      <c r="U2214">
        <f t="shared" si="3"/>
        <v>1</v>
      </c>
      <c r="AG2214" s="15"/>
      <c r="AH2214" s="16"/>
      <c r="AM2214" s="15"/>
      <c r="AN2214" s="16"/>
    </row>
    <row r="2215">
      <c r="A2215" s="13" t="s">
        <v>3981</v>
      </c>
      <c r="B2215" s="10">
        <v>39083.0</v>
      </c>
      <c r="C2215" s="11" t="s">
        <v>108</v>
      </c>
      <c r="D2215" s="11" t="s">
        <v>97</v>
      </c>
      <c r="E2215" s="30" t="s">
        <v>39</v>
      </c>
      <c r="F2215" s="11" t="s">
        <v>40</v>
      </c>
      <c r="G2215" s="41" t="s">
        <v>41</v>
      </c>
      <c r="H2215" s="30"/>
      <c r="I2215" s="30"/>
      <c r="J2215" s="11">
        <v>20.0</v>
      </c>
      <c r="K2215" s="12">
        <v>39912.0</v>
      </c>
      <c r="L2215" s="30"/>
      <c r="M2215" s="11">
        <v>456051.0</v>
      </c>
      <c r="N2215" s="11">
        <v>3292.0</v>
      </c>
      <c r="P2215" s="11">
        <v>107.0</v>
      </c>
      <c r="Q2215" s="14">
        <v>395.333</v>
      </c>
      <c r="R2215" s="11">
        <v>0.0</v>
      </c>
      <c r="S2215">
        <f t="shared" si="1"/>
        <v>2007</v>
      </c>
      <c r="T2215">
        <f t="shared" si="2"/>
        <v>1</v>
      </c>
      <c r="U2215">
        <f t="shared" si="3"/>
        <v>1</v>
      </c>
      <c r="AG2215" s="15"/>
      <c r="AH2215" s="16"/>
      <c r="AM2215" s="15"/>
      <c r="AN2215" s="16"/>
    </row>
    <row r="2216">
      <c r="A2216" s="13" t="s">
        <v>3982</v>
      </c>
      <c r="B2216" s="10">
        <v>39083.0</v>
      </c>
      <c r="C2216" s="11" t="s">
        <v>362</v>
      </c>
      <c r="D2216" s="11" t="s">
        <v>213</v>
      </c>
      <c r="E2216" s="30" t="s">
        <v>39</v>
      </c>
      <c r="F2216" s="11" t="s">
        <v>40</v>
      </c>
      <c r="G2216" s="30" t="s">
        <v>45</v>
      </c>
      <c r="H2216" s="11" t="s">
        <v>84</v>
      </c>
      <c r="I2216" s="11"/>
      <c r="J2216" s="11">
        <v>13.0</v>
      </c>
      <c r="K2216" s="12">
        <v>41449.0</v>
      </c>
      <c r="L2216" s="30"/>
      <c r="M2216" s="11">
        <v>621152.0</v>
      </c>
      <c r="N2216" s="11" t="s">
        <v>3983</v>
      </c>
      <c r="O2216" s="13" t="s">
        <v>761</v>
      </c>
      <c r="P2216" s="11">
        <v>0.0</v>
      </c>
      <c r="Q2216" s="14">
        <v>0.0</v>
      </c>
      <c r="R2216" s="41">
        <v>0.0</v>
      </c>
      <c r="S2216">
        <f t="shared" si="1"/>
        <v>2007</v>
      </c>
      <c r="T2216">
        <f t="shared" si="2"/>
        <v>1</v>
      </c>
      <c r="U2216">
        <f t="shared" si="3"/>
        <v>1</v>
      </c>
      <c r="AG2216" s="15"/>
      <c r="AH2216" s="16"/>
      <c r="AM2216" s="15"/>
      <c r="AN2216" s="16"/>
    </row>
    <row r="2217">
      <c r="A2217" s="13" t="s">
        <v>3984</v>
      </c>
      <c r="B2217" s="10">
        <v>39083.0</v>
      </c>
      <c r="C2217" s="11" t="s">
        <v>230</v>
      </c>
      <c r="D2217" s="11" t="s">
        <v>93</v>
      </c>
      <c r="E2217" s="30" t="s">
        <v>39</v>
      </c>
      <c r="F2217" s="11" t="s">
        <v>40</v>
      </c>
      <c r="G2217" s="30" t="s">
        <v>45</v>
      </c>
      <c r="H2217" s="11" t="s">
        <v>56</v>
      </c>
      <c r="I2217" s="11" t="s">
        <v>56</v>
      </c>
      <c r="J2217" s="11">
        <v>21.0</v>
      </c>
      <c r="K2217" s="12">
        <v>39620.0</v>
      </c>
      <c r="L2217" s="30"/>
      <c r="M2217" s="11">
        <v>459420.0</v>
      </c>
      <c r="N2217" s="11" t="s">
        <v>3985</v>
      </c>
      <c r="P2217" s="11">
        <v>0.0</v>
      </c>
      <c r="Q2217" s="14">
        <v>0.0</v>
      </c>
      <c r="R2217" s="11">
        <v>0.0</v>
      </c>
      <c r="S2217">
        <f t="shared" si="1"/>
        <v>2007</v>
      </c>
      <c r="T2217">
        <f t="shared" si="2"/>
        <v>1</v>
      </c>
      <c r="U2217">
        <f t="shared" si="3"/>
        <v>1</v>
      </c>
      <c r="AG2217" s="15"/>
      <c r="AH2217" s="16"/>
      <c r="AM2217" s="15"/>
      <c r="AN2217" s="16"/>
    </row>
    <row r="2218">
      <c r="A2218" s="13" t="s">
        <v>3986</v>
      </c>
      <c r="B2218" s="10">
        <v>39083.0</v>
      </c>
      <c r="C2218" s="11" t="s">
        <v>83</v>
      </c>
      <c r="D2218" s="11" t="s">
        <v>93</v>
      </c>
      <c r="E2218" s="11" t="s">
        <v>279</v>
      </c>
      <c r="F2218" s="11" t="s">
        <v>40</v>
      </c>
      <c r="G2218" s="11" t="s">
        <v>45</v>
      </c>
      <c r="H2218" s="11" t="s">
        <v>56</v>
      </c>
      <c r="I2218" s="11" t="s">
        <v>259</v>
      </c>
      <c r="J2218" s="11">
        <v>21.0</v>
      </c>
      <c r="K2218" s="12">
        <v>39983.0</v>
      </c>
      <c r="L2218" s="11"/>
      <c r="M2218" s="11">
        <v>572761.0</v>
      </c>
      <c r="N2218" s="11">
        <v>8090.0</v>
      </c>
      <c r="P2218" s="11">
        <v>864.0</v>
      </c>
      <c r="Q2218" s="14">
        <v>3638.0</v>
      </c>
      <c r="R2218" s="41">
        <v>1.0</v>
      </c>
      <c r="S2218">
        <f t="shared" si="1"/>
        <v>2007</v>
      </c>
      <c r="T2218">
        <f t="shared" si="2"/>
        <v>1</v>
      </c>
      <c r="U2218">
        <f t="shared" si="3"/>
        <v>1</v>
      </c>
      <c r="AG2218" s="15"/>
      <c r="AH2218" s="16"/>
      <c r="AM2218" s="15"/>
      <c r="AN2218" s="16"/>
    </row>
    <row r="2219">
      <c r="A2219" s="13" t="s">
        <v>3987</v>
      </c>
      <c r="B2219" s="10">
        <v>39083.0</v>
      </c>
      <c r="C2219" s="11" t="s">
        <v>186</v>
      </c>
      <c r="D2219" s="11" t="s">
        <v>88</v>
      </c>
      <c r="E2219" s="11" t="s">
        <v>39</v>
      </c>
      <c r="F2219" s="11" t="s">
        <v>40</v>
      </c>
      <c r="G2219" s="11" t="s">
        <v>45</v>
      </c>
      <c r="H2219" s="11" t="s">
        <v>317</v>
      </c>
      <c r="I2219" s="11"/>
      <c r="J2219" s="11">
        <v>23.0</v>
      </c>
      <c r="K2219" s="12">
        <v>39545.0</v>
      </c>
      <c r="L2219" s="11"/>
      <c r="M2219" s="11">
        <v>452673.0</v>
      </c>
      <c r="N2219" s="11" t="s">
        <v>3988</v>
      </c>
      <c r="P2219" s="11">
        <v>0.0</v>
      </c>
      <c r="Q2219" s="14">
        <v>0.0</v>
      </c>
      <c r="R2219" s="41">
        <v>0.0</v>
      </c>
      <c r="S2219">
        <f t="shared" si="1"/>
        <v>2007</v>
      </c>
      <c r="T2219">
        <f t="shared" si="2"/>
        <v>1</v>
      </c>
      <c r="U2219">
        <f t="shared" si="3"/>
        <v>1</v>
      </c>
      <c r="AG2219" s="15"/>
      <c r="AH2219" s="16"/>
      <c r="AM2219" s="15"/>
      <c r="AN2219" s="16"/>
    </row>
    <row r="2220">
      <c r="A2220" s="13" t="s">
        <v>3989</v>
      </c>
      <c r="B2220" s="10">
        <v>39083.0</v>
      </c>
      <c r="C2220" s="11" t="s">
        <v>186</v>
      </c>
      <c r="D2220" s="11" t="s">
        <v>38</v>
      </c>
      <c r="E2220" s="30" t="s">
        <v>39</v>
      </c>
      <c r="F2220" s="11" t="s">
        <v>64</v>
      </c>
      <c r="G2220" s="41" t="s">
        <v>1002</v>
      </c>
      <c r="H2220" s="30"/>
      <c r="I2220" s="30"/>
      <c r="J2220" s="11">
        <v>30.0</v>
      </c>
      <c r="K2220" s="12">
        <v>39991.0</v>
      </c>
      <c r="L2220" s="30"/>
      <c r="M2220" s="11">
        <v>136600.0</v>
      </c>
      <c r="N2220" s="11">
        <v>769.0</v>
      </c>
      <c r="O2220" s="13" t="s">
        <v>3309</v>
      </c>
      <c r="P2220" s="11">
        <v>158.0</v>
      </c>
      <c r="Q2220" s="14">
        <v>725.0</v>
      </c>
      <c r="R2220" s="41">
        <v>0.0</v>
      </c>
      <c r="S2220">
        <f t="shared" si="1"/>
        <v>2007</v>
      </c>
      <c r="T2220">
        <f t="shared" si="2"/>
        <v>1</v>
      </c>
      <c r="U2220">
        <f t="shared" si="3"/>
        <v>1</v>
      </c>
      <c r="V2220" s="13"/>
      <c r="W2220" s="13"/>
      <c r="X2220" s="13"/>
      <c r="Y2220" s="13"/>
      <c r="Z2220" s="13"/>
      <c r="AA2220" s="13"/>
      <c r="AB2220" s="13"/>
      <c r="AC2220" s="13"/>
      <c r="AD2220" s="13"/>
      <c r="AE2220" s="13">
        <v>5.0</v>
      </c>
      <c r="AF2220" s="13">
        <v>0.0</v>
      </c>
      <c r="AG2220" s="50">
        <v>10.0</v>
      </c>
      <c r="AH2220" s="51">
        <v>0.022</v>
      </c>
      <c r="AI2220" s="13">
        <v>155.0</v>
      </c>
      <c r="AJ2220" s="13">
        <v>166.0</v>
      </c>
      <c r="AK2220" s="13">
        <v>17.0</v>
      </c>
      <c r="AL2220" s="13">
        <v>9.0</v>
      </c>
      <c r="AM2220" s="50">
        <v>62.333</v>
      </c>
      <c r="AN2220" s="51">
        <v>0.072</v>
      </c>
      <c r="AO2220" s="13">
        <v>129.0</v>
      </c>
      <c r="AP2220" s="13">
        <v>126.0</v>
      </c>
    </row>
    <row r="2221">
      <c r="A2221" s="13" t="s">
        <v>3990</v>
      </c>
      <c r="B2221" s="10">
        <v>39052.0</v>
      </c>
      <c r="C2221" s="11" t="s">
        <v>358</v>
      </c>
      <c r="D2221" s="11" t="s">
        <v>97</v>
      </c>
      <c r="E2221" s="30" t="s">
        <v>39</v>
      </c>
      <c r="F2221" s="11" t="s">
        <v>40</v>
      </c>
      <c r="G2221" s="30" t="s">
        <v>45</v>
      </c>
      <c r="H2221" s="11" t="s">
        <v>957</v>
      </c>
      <c r="I2221" s="11"/>
      <c r="J2221" s="11">
        <v>20.0</v>
      </c>
      <c r="K2221" s="12">
        <v>39637.0</v>
      </c>
      <c r="L2221" s="11">
        <f t="shared" ref="L2221:L2234" si="234">ROUND(((K2221-B2221)/365)*12,0)</f>
        <v>19</v>
      </c>
      <c r="M2221" s="11">
        <v>449170.0</v>
      </c>
      <c r="N2221" s="11">
        <v>4086.0</v>
      </c>
      <c r="P2221" s="11">
        <v>15.0</v>
      </c>
      <c r="Q2221" s="14">
        <v>18.333</v>
      </c>
      <c r="R2221" s="11">
        <v>0.0</v>
      </c>
      <c r="S2221">
        <f t="shared" si="1"/>
        <v>2006</v>
      </c>
      <c r="T2221">
        <f t="shared" si="2"/>
        <v>12</v>
      </c>
      <c r="U2221">
        <f t="shared" si="3"/>
        <v>1</v>
      </c>
      <c r="AG2221" s="15"/>
      <c r="AH2221" s="16"/>
      <c r="AM2221" s="15"/>
      <c r="AN2221" s="16"/>
    </row>
    <row r="2222">
      <c r="A2222" s="13" t="s">
        <v>3991</v>
      </c>
      <c r="B2222" s="10">
        <v>39027.0</v>
      </c>
      <c r="C2222" s="11" t="s">
        <v>103</v>
      </c>
      <c r="D2222" s="11" t="s">
        <v>38</v>
      </c>
      <c r="E2222" s="30" t="s">
        <v>39</v>
      </c>
      <c r="F2222" s="11" t="s">
        <v>64</v>
      </c>
      <c r="G2222" s="41" t="s">
        <v>41</v>
      </c>
      <c r="H2222" s="30"/>
      <c r="I2222" s="30"/>
      <c r="J2222" s="11">
        <v>22.0</v>
      </c>
      <c r="K2222" s="12">
        <v>39551.0</v>
      </c>
      <c r="L2222" s="11">
        <f t="shared" si="234"/>
        <v>17</v>
      </c>
      <c r="M2222" s="11">
        <v>434538.0</v>
      </c>
      <c r="N2222" s="11">
        <v>3201.0</v>
      </c>
      <c r="O2222" s="13" t="s">
        <v>3309</v>
      </c>
      <c r="P2222" s="11">
        <v>271.0</v>
      </c>
      <c r="Q2222" s="14">
        <v>1382.667</v>
      </c>
      <c r="R2222" s="41">
        <v>1.0</v>
      </c>
      <c r="S2222">
        <f t="shared" si="1"/>
        <v>2006</v>
      </c>
      <c r="T2222">
        <f t="shared" si="2"/>
        <v>11</v>
      </c>
      <c r="U2222">
        <f t="shared" si="3"/>
        <v>6</v>
      </c>
      <c r="V2222" s="13"/>
      <c r="W2222" s="13"/>
      <c r="X2222" s="13"/>
      <c r="Y2222" s="13"/>
      <c r="Z2222" s="13"/>
      <c r="AA2222" s="13"/>
      <c r="AB2222" s="13"/>
      <c r="AC2222" s="13"/>
      <c r="AD2222" s="13"/>
      <c r="AE2222" s="13">
        <v>28.0</v>
      </c>
      <c r="AF2222" s="13">
        <v>16.0</v>
      </c>
      <c r="AG2222" s="50">
        <v>121.0</v>
      </c>
      <c r="AH2222" s="51">
        <v>0.237</v>
      </c>
      <c r="AI2222" s="13">
        <v>48.0</v>
      </c>
      <c r="AJ2222" s="13">
        <v>57.0</v>
      </c>
      <c r="AK2222" s="13">
        <v>14.0</v>
      </c>
      <c r="AL2222" s="13">
        <v>14.0</v>
      </c>
      <c r="AM2222" s="50">
        <v>76.0</v>
      </c>
      <c r="AN2222" s="51">
        <v>0.106</v>
      </c>
      <c r="AO2222" s="13">
        <v>91.0</v>
      </c>
      <c r="AP2222" s="13">
        <v>90.0</v>
      </c>
    </row>
    <row r="2223">
      <c r="A2223" s="13" t="s">
        <v>3992</v>
      </c>
      <c r="B2223" s="10">
        <v>39021.0</v>
      </c>
      <c r="C2223" s="11" t="s">
        <v>108</v>
      </c>
      <c r="D2223" s="11" t="s">
        <v>709</v>
      </c>
      <c r="E2223" s="30" t="s">
        <v>39</v>
      </c>
      <c r="F2223" s="11" t="s">
        <v>40</v>
      </c>
      <c r="G2223" s="30" t="s">
        <v>45</v>
      </c>
      <c r="H2223" s="11" t="s">
        <v>652</v>
      </c>
      <c r="I2223" s="11" t="s">
        <v>317</v>
      </c>
      <c r="J2223" s="11">
        <v>21.0</v>
      </c>
      <c r="K2223" s="12">
        <v>39542.0</v>
      </c>
      <c r="L2223" s="11">
        <f t="shared" si="234"/>
        <v>17</v>
      </c>
      <c r="M2223" s="11">
        <v>453343.0</v>
      </c>
      <c r="N2223" s="11">
        <v>4264.0</v>
      </c>
      <c r="P2223" s="11">
        <v>476.0</v>
      </c>
      <c r="Q2223" s="14">
        <v>477.0</v>
      </c>
      <c r="R2223" s="41">
        <v>1.0</v>
      </c>
      <c r="S2223">
        <f t="shared" si="1"/>
        <v>2006</v>
      </c>
      <c r="T2223">
        <f t="shared" si="2"/>
        <v>10</v>
      </c>
      <c r="U2223">
        <f t="shared" si="3"/>
        <v>31</v>
      </c>
      <c r="AG2223" s="15"/>
      <c r="AH2223" s="16"/>
      <c r="AM2223" s="15"/>
      <c r="AN2223" s="16"/>
    </row>
    <row r="2224">
      <c r="A2224" s="13" t="s">
        <v>3853</v>
      </c>
      <c r="B2224" s="10">
        <v>38989.0</v>
      </c>
      <c r="C2224" s="11" t="s">
        <v>150</v>
      </c>
      <c r="D2224" s="11" t="s">
        <v>38</v>
      </c>
      <c r="E2224" s="30" t="s">
        <v>39</v>
      </c>
      <c r="F2224" s="11" t="s">
        <v>40</v>
      </c>
      <c r="G2224" s="41" t="s">
        <v>194</v>
      </c>
      <c r="H2224" s="30"/>
      <c r="I2224" s="30"/>
      <c r="J2224" s="11">
        <v>22.0</v>
      </c>
      <c r="K2224" s="12">
        <v>40347.0</v>
      </c>
      <c r="L2224" s="11">
        <f t="shared" si="234"/>
        <v>45</v>
      </c>
      <c r="M2224" s="11">
        <v>455949.0</v>
      </c>
      <c r="N2224" s="11">
        <v>4771.0</v>
      </c>
      <c r="O2224" s="13" t="s">
        <v>3309</v>
      </c>
      <c r="P2224" s="11">
        <v>0.0</v>
      </c>
      <c r="Q2224" s="14">
        <v>0.0</v>
      </c>
      <c r="R2224" s="41">
        <v>0.0</v>
      </c>
      <c r="S2224">
        <f t="shared" si="1"/>
        <v>2006</v>
      </c>
      <c r="T2224">
        <f t="shared" si="2"/>
        <v>9</v>
      </c>
      <c r="U2224">
        <f t="shared" si="3"/>
        <v>29</v>
      </c>
      <c r="AG2224" s="15"/>
      <c r="AH2224" s="16"/>
      <c r="AM2224" s="15"/>
      <c r="AN2224" s="16"/>
    </row>
    <row r="2225">
      <c r="A2225" s="13" t="s">
        <v>3993</v>
      </c>
      <c r="B2225" s="10">
        <v>38988.0</v>
      </c>
      <c r="C2225" s="11" t="s">
        <v>126</v>
      </c>
      <c r="D2225" s="11" t="s">
        <v>221</v>
      </c>
      <c r="E2225" s="30" t="s">
        <v>39</v>
      </c>
      <c r="F2225" s="11" t="s">
        <v>40</v>
      </c>
      <c r="G2225" s="30" t="s">
        <v>45</v>
      </c>
      <c r="H2225" s="11" t="s">
        <v>262</v>
      </c>
      <c r="I2225" s="11" t="s">
        <v>3994</v>
      </c>
      <c r="J2225" s="11">
        <v>19.0</v>
      </c>
      <c r="K2225" s="12">
        <v>39542.0</v>
      </c>
      <c r="L2225" s="11">
        <f t="shared" si="234"/>
        <v>18</v>
      </c>
      <c r="M2225" s="11">
        <v>457768.0</v>
      </c>
      <c r="N2225" s="11">
        <v>10234.0</v>
      </c>
      <c r="P2225" s="11">
        <v>231.0</v>
      </c>
      <c r="Q2225" s="14">
        <v>236.0</v>
      </c>
      <c r="R2225" s="41">
        <v>1.0</v>
      </c>
      <c r="S2225">
        <f t="shared" si="1"/>
        <v>2006</v>
      </c>
      <c r="T2225">
        <f t="shared" si="2"/>
        <v>9</v>
      </c>
      <c r="U2225">
        <f t="shared" si="3"/>
        <v>28</v>
      </c>
      <c r="AG2225" s="15"/>
      <c r="AH2225" s="16"/>
      <c r="AM2225" s="15"/>
      <c r="AN2225" s="16"/>
    </row>
    <row r="2226">
      <c r="A2226" s="13" t="s">
        <v>3995</v>
      </c>
      <c r="B2226" s="10">
        <v>38987.0</v>
      </c>
      <c r="C2226" s="11" t="s">
        <v>62</v>
      </c>
      <c r="D2226" s="11" t="s">
        <v>58</v>
      </c>
      <c r="E2226" s="30" t="s">
        <v>39</v>
      </c>
      <c r="F2226" s="11" t="s">
        <v>40</v>
      </c>
      <c r="G2226" s="41" t="s">
        <v>41</v>
      </c>
      <c r="H2226" s="30"/>
      <c r="I2226" s="30"/>
      <c r="J2226" s="11">
        <v>24.0</v>
      </c>
      <c r="K2226" s="12">
        <v>40282.0</v>
      </c>
      <c r="L2226" s="11">
        <f t="shared" si="234"/>
        <v>43</v>
      </c>
      <c r="M2226" s="11">
        <v>429723.0</v>
      </c>
      <c r="N2226" s="11">
        <v>7019.0</v>
      </c>
      <c r="P2226" s="11">
        <v>72.0</v>
      </c>
      <c r="Q2226" s="14">
        <v>71.0</v>
      </c>
      <c r="R2226" s="41">
        <v>0.0</v>
      </c>
      <c r="S2226">
        <f t="shared" si="1"/>
        <v>2006</v>
      </c>
      <c r="T2226">
        <f t="shared" si="2"/>
        <v>9</v>
      </c>
      <c r="U2226">
        <f t="shared" si="3"/>
        <v>27</v>
      </c>
      <c r="AG2226" s="15"/>
      <c r="AH2226" s="16"/>
      <c r="AM2226" s="15"/>
      <c r="AN2226" s="16"/>
    </row>
    <row r="2227">
      <c r="A2227" s="13" t="s">
        <v>3996</v>
      </c>
      <c r="B2227" s="10">
        <v>38984.0</v>
      </c>
      <c r="C2227" s="11" t="s">
        <v>83</v>
      </c>
      <c r="D2227" s="11" t="s">
        <v>38</v>
      </c>
      <c r="E2227" s="30" t="s">
        <v>39</v>
      </c>
      <c r="F2227" s="11" t="s">
        <v>40</v>
      </c>
      <c r="G2227" s="30" t="s">
        <v>45</v>
      </c>
      <c r="H2227" s="11" t="s">
        <v>67</v>
      </c>
      <c r="I2227" s="11" t="s">
        <v>3997</v>
      </c>
      <c r="J2227" s="11">
        <v>31.0</v>
      </c>
      <c r="K2227" s="12">
        <v>39541.0</v>
      </c>
      <c r="L2227" s="11">
        <f t="shared" si="234"/>
        <v>18</v>
      </c>
      <c r="M2227" s="11">
        <v>150221.0</v>
      </c>
      <c r="N2227" s="11">
        <v>1457.0</v>
      </c>
      <c r="O2227" s="13" t="s">
        <v>3998</v>
      </c>
      <c r="P2227" s="11">
        <v>102.0</v>
      </c>
      <c r="Q2227" s="45">
        <v>113.0</v>
      </c>
      <c r="R2227" s="41">
        <v>0.0</v>
      </c>
      <c r="S2227">
        <f t="shared" si="1"/>
        <v>2006</v>
      </c>
      <c r="T2227">
        <f t="shared" si="2"/>
        <v>9</v>
      </c>
      <c r="U2227">
        <f t="shared" si="3"/>
        <v>24</v>
      </c>
      <c r="AG2227" s="15"/>
      <c r="AH2227" s="16"/>
      <c r="AM2227" s="15"/>
      <c r="AN2227" s="16"/>
    </row>
    <row r="2228">
      <c r="A2228" s="13" t="s">
        <v>3999</v>
      </c>
      <c r="B2228" s="10">
        <v>38968.0</v>
      </c>
      <c r="C2228" s="11" t="s">
        <v>230</v>
      </c>
      <c r="D2228" s="11" t="s">
        <v>38</v>
      </c>
      <c r="E2228" s="30" t="s">
        <v>39</v>
      </c>
      <c r="F2228" s="11" t="s">
        <v>64</v>
      </c>
      <c r="G2228" s="30" t="s">
        <v>45</v>
      </c>
      <c r="H2228" s="11" t="s">
        <v>67</v>
      </c>
      <c r="I2228" s="11" t="s">
        <v>508</v>
      </c>
      <c r="J2228" s="11">
        <v>35.0</v>
      </c>
      <c r="K2228" s="12">
        <v>39303.0</v>
      </c>
      <c r="L2228" s="11">
        <f t="shared" si="234"/>
        <v>11</v>
      </c>
      <c r="M2228" s="11">
        <v>115216.0</v>
      </c>
      <c r="N2228" s="11">
        <v>727.0</v>
      </c>
      <c r="O2228" s="13" t="s">
        <v>3309</v>
      </c>
      <c r="P2228" s="11">
        <v>127.0</v>
      </c>
      <c r="Q2228" s="45">
        <v>108.33299999999998</v>
      </c>
      <c r="R2228" s="41">
        <v>0.0</v>
      </c>
      <c r="S2228">
        <f t="shared" si="1"/>
        <v>2006</v>
      </c>
      <c r="T2228">
        <f t="shared" si="2"/>
        <v>9</v>
      </c>
      <c r="U2228">
        <f t="shared" si="3"/>
        <v>8</v>
      </c>
      <c r="AG2228" s="15"/>
      <c r="AH2228" s="16"/>
      <c r="AM2228" s="15"/>
      <c r="AN2228" s="16"/>
    </row>
    <row r="2229">
      <c r="A2229" s="13" t="s">
        <v>4000</v>
      </c>
      <c r="B2229" s="10">
        <v>38967.0</v>
      </c>
      <c r="C2229" s="11" t="s">
        <v>52</v>
      </c>
      <c r="D2229" s="11" t="s">
        <v>38</v>
      </c>
      <c r="E2229" s="30" t="s">
        <v>39</v>
      </c>
      <c r="F2229" s="11" t="s">
        <v>40</v>
      </c>
      <c r="G2229" s="30" t="s">
        <v>45</v>
      </c>
      <c r="H2229" s="11" t="s">
        <v>56</v>
      </c>
      <c r="I2229" s="11" t="s">
        <v>4001</v>
      </c>
      <c r="J2229" s="11">
        <v>28.0</v>
      </c>
      <c r="K2229" s="12">
        <v>39329.0</v>
      </c>
      <c r="L2229" s="11">
        <f t="shared" si="234"/>
        <v>12</v>
      </c>
      <c r="M2229" s="11">
        <v>407840.0</v>
      </c>
      <c r="N2229" s="11">
        <v>1529.0</v>
      </c>
      <c r="O2229" s="13" t="s">
        <v>761</v>
      </c>
      <c r="P2229" s="11">
        <v>41.0</v>
      </c>
      <c r="Q2229" s="45">
        <v>208.33299999999997</v>
      </c>
      <c r="R2229" s="41">
        <v>0.0</v>
      </c>
      <c r="S2229">
        <f t="shared" si="1"/>
        <v>2006</v>
      </c>
      <c r="T2229">
        <f t="shared" si="2"/>
        <v>9</v>
      </c>
      <c r="U2229">
        <f t="shared" si="3"/>
        <v>7</v>
      </c>
      <c r="V2229" s="13"/>
      <c r="W2229" s="13"/>
      <c r="X2229" s="13"/>
      <c r="Y2229" s="13"/>
      <c r="Z2229" s="13"/>
      <c r="AA2229" s="13"/>
      <c r="AB2229" s="13"/>
      <c r="AC2229" s="13"/>
      <c r="AD2229" s="13"/>
      <c r="AE2229" s="13">
        <v>8.0</v>
      </c>
      <c r="AF2229" s="13">
        <v>8.0</v>
      </c>
      <c r="AG2229" s="50">
        <v>43.0</v>
      </c>
      <c r="AH2229" s="51">
        <v>0.005</v>
      </c>
      <c r="AI2229" s="13">
        <v>84.0</v>
      </c>
      <c r="AJ2229" s="13">
        <v>108.0</v>
      </c>
      <c r="AK2229" s="13">
        <v>5.0</v>
      </c>
      <c r="AL2229" s="13">
        <v>5.0</v>
      </c>
      <c r="AM2229" s="50">
        <v>28.667</v>
      </c>
      <c r="AN2229" s="51">
        <v>0.0</v>
      </c>
      <c r="AO2229" s="13">
        <v>86.0</v>
      </c>
      <c r="AP2229" s="13">
        <v>125.0</v>
      </c>
    </row>
    <row r="2230">
      <c r="A2230" s="13" t="s">
        <v>4002</v>
      </c>
      <c r="B2230" s="10">
        <v>38961.0</v>
      </c>
      <c r="C2230" s="11" t="s">
        <v>358</v>
      </c>
      <c r="D2230" s="11" t="s">
        <v>221</v>
      </c>
      <c r="E2230" s="11" t="s">
        <v>39</v>
      </c>
      <c r="F2230" s="11" t="s">
        <v>40</v>
      </c>
      <c r="G2230" s="11" t="s">
        <v>45</v>
      </c>
      <c r="H2230" s="11" t="s">
        <v>451</v>
      </c>
      <c r="I2230" s="11"/>
      <c r="J2230" s="11">
        <v>19.0</v>
      </c>
      <c r="K2230" s="12">
        <v>39619.0</v>
      </c>
      <c r="L2230" s="11">
        <f t="shared" si="234"/>
        <v>22</v>
      </c>
      <c r="M2230" s="11">
        <v>489224.0</v>
      </c>
      <c r="N2230" s="11" t="s">
        <v>4003</v>
      </c>
      <c r="O2230" s="13"/>
      <c r="P2230" s="11">
        <v>0.0</v>
      </c>
      <c r="Q2230" s="14">
        <v>0.0</v>
      </c>
      <c r="R2230" s="41">
        <v>0.0</v>
      </c>
      <c r="S2230">
        <f t="shared" si="1"/>
        <v>2006</v>
      </c>
      <c r="T2230">
        <f t="shared" si="2"/>
        <v>9</v>
      </c>
      <c r="U2230">
        <f t="shared" si="3"/>
        <v>1</v>
      </c>
      <c r="AG2230" s="15"/>
      <c r="AH2230" s="16"/>
      <c r="AM2230" s="15"/>
      <c r="AN2230" s="16"/>
    </row>
    <row r="2231">
      <c r="A2231" s="13" t="s">
        <v>4004</v>
      </c>
      <c r="B2231" s="10">
        <v>38960.0</v>
      </c>
      <c r="C2231" s="11" t="s">
        <v>37</v>
      </c>
      <c r="D2231" s="11" t="s">
        <v>38</v>
      </c>
      <c r="E2231" s="30" t="s">
        <v>39</v>
      </c>
      <c r="F2231" s="11" t="s">
        <v>40</v>
      </c>
      <c r="G2231" s="30" t="s">
        <v>45</v>
      </c>
      <c r="H2231" s="11" t="s">
        <v>56</v>
      </c>
      <c r="I2231" s="11" t="s">
        <v>344</v>
      </c>
      <c r="J2231" s="11">
        <v>23.0</v>
      </c>
      <c r="K2231" s="12">
        <v>39327.0</v>
      </c>
      <c r="L2231" s="11">
        <f t="shared" si="234"/>
        <v>12</v>
      </c>
      <c r="M2231" s="11">
        <v>434137.0</v>
      </c>
      <c r="N2231" s="11">
        <v>6166.0</v>
      </c>
      <c r="O2231" s="13" t="s">
        <v>761</v>
      </c>
      <c r="P2231" s="11">
        <v>90.0</v>
      </c>
      <c r="Q2231" s="14">
        <v>104.667</v>
      </c>
      <c r="R2231" s="41">
        <v>0.0</v>
      </c>
      <c r="S2231">
        <f t="shared" si="1"/>
        <v>2006</v>
      </c>
      <c r="T2231">
        <f t="shared" si="2"/>
        <v>8</v>
      </c>
      <c r="U2231">
        <f t="shared" si="3"/>
        <v>31</v>
      </c>
      <c r="AG2231" s="15"/>
      <c r="AH2231" s="16"/>
      <c r="AM2231" s="15"/>
      <c r="AN2231" s="16"/>
    </row>
    <row r="2232">
      <c r="A2232" s="13" t="s">
        <v>4005</v>
      </c>
      <c r="B2232" s="10">
        <v>38941.0</v>
      </c>
      <c r="C2232" s="11" t="s">
        <v>116</v>
      </c>
      <c r="D2232" s="11" t="s">
        <v>88</v>
      </c>
      <c r="E2232" s="30" t="s">
        <v>39</v>
      </c>
      <c r="F2232" s="11" t="s">
        <v>40</v>
      </c>
      <c r="G2232" s="41" t="s">
        <v>225</v>
      </c>
      <c r="H2232" s="30"/>
      <c r="I2232" s="30"/>
      <c r="J2232" s="11">
        <v>21.0</v>
      </c>
      <c r="K2232" s="12">
        <v>39600.0</v>
      </c>
      <c r="L2232" s="11">
        <f t="shared" si="234"/>
        <v>22</v>
      </c>
      <c r="M2232" s="11">
        <v>457447.0</v>
      </c>
      <c r="N2232" s="11">
        <v>3802.0</v>
      </c>
      <c r="P2232" s="11">
        <v>16.0</v>
      </c>
      <c r="Q2232" s="14">
        <v>85.667</v>
      </c>
      <c r="R2232" s="41">
        <v>0.0</v>
      </c>
      <c r="S2232">
        <f t="shared" si="1"/>
        <v>2006</v>
      </c>
      <c r="T2232">
        <f t="shared" si="2"/>
        <v>8</v>
      </c>
      <c r="U2232">
        <f t="shared" si="3"/>
        <v>12</v>
      </c>
      <c r="AG2232" s="15"/>
      <c r="AH2232" s="16"/>
      <c r="AM2232" s="15"/>
      <c r="AN2232" s="16"/>
    </row>
    <row r="2233">
      <c r="A2233" s="13" t="s">
        <v>4006</v>
      </c>
      <c r="B2233" s="10">
        <v>38923.0</v>
      </c>
      <c r="C2233" s="11" t="s">
        <v>76</v>
      </c>
      <c r="D2233" s="11" t="s">
        <v>38</v>
      </c>
      <c r="E2233" s="41" t="s">
        <v>118</v>
      </c>
      <c r="F2233" s="11" t="s">
        <v>40</v>
      </c>
      <c r="G2233" s="11" t="s">
        <v>41</v>
      </c>
      <c r="H2233" s="30"/>
      <c r="I2233" s="30"/>
      <c r="J2233" s="11">
        <v>30.0</v>
      </c>
      <c r="K2233" s="12">
        <v>39174.0</v>
      </c>
      <c r="L2233" s="11">
        <f t="shared" si="234"/>
        <v>8</v>
      </c>
      <c r="M2233" s="11">
        <v>115229.0</v>
      </c>
      <c r="N2233" s="11">
        <v>57.0</v>
      </c>
      <c r="O2233" s="13" t="s">
        <v>761</v>
      </c>
      <c r="P2233" s="11">
        <v>535.0</v>
      </c>
      <c r="Q2233" s="45">
        <v>2181.0</v>
      </c>
      <c r="R2233" s="41">
        <v>0.0</v>
      </c>
      <c r="S2233">
        <f t="shared" si="1"/>
        <v>2006</v>
      </c>
      <c r="T2233">
        <f t="shared" si="2"/>
        <v>7</v>
      </c>
      <c r="U2233">
        <f t="shared" si="3"/>
        <v>25</v>
      </c>
      <c r="AG2233" s="15"/>
      <c r="AH2233" s="16"/>
      <c r="AM2233" s="15"/>
      <c r="AN2233" s="16"/>
    </row>
    <row r="2234">
      <c r="A2234" s="13" t="s">
        <v>4007</v>
      </c>
      <c r="B2234" s="10">
        <v>38919.0</v>
      </c>
      <c r="C2234" s="11" t="s">
        <v>44</v>
      </c>
      <c r="D2234" s="11" t="s">
        <v>93</v>
      </c>
      <c r="E2234" s="30" t="s">
        <v>39</v>
      </c>
      <c r="F2234" s="11" t="s">
        <v>40</v>
      </c>
      <c r="G2234" s="30" t="s">
        <v>45</v>
      </c>
      <c r="H2234" s="11" t="s">
        <v>67</v>
      </c>
      <c r="I2234" s="11" t="s">
        <v>925</v>
      </c>
      <c r="J2234" s="11">
        <v>21.0</v>
      </c>
      <c r="K2234" s="12">
        <v>39253.0</v>
      </c>
      <c r="L2234" s="11">
        <f t="shared" si="234"/>
        <v>11</v>
      </c>
      <c r="M2234" s="11">
        <v>502260.0</v>
      </c>
      <c r="N2234" s="11">
        <v>4782.0</v>
      </c>
      <c r="O2234" s="13" t="s">
        <v>3309</v>
      </c>
      <c r="P2234" s="11">
        <v>223.0</v>
      </c>
      <c r="Q2234" s="14">
        <v>202.667</v>
      </c>
      <c r="R2234" s="11">
        <v>0.0</v>
      </c>
      <c r="S2234">
        <f t="shared" si="1"/>
        <v>2006</v>
      </c>
      <c r="T2234">
        <f t="shared" si="2"/>
        <v>7</v>
      </c>
      <c r="U2234">
        <f t="shared" si="3"/>
        <v>21</v>
      </c>
      <c r="AG2234" s="15"/>
      <c r="AH2234" s="16"/>
      <c r="AM2234" s="15"/>
      <c r="AN2234" s="16"/>
    </row>
    <row r="2235">
      <c r="A2235" s="13" t="s">
        <v>4008</v>
      </c>
      <c r="B2235" s="10">
        <v>38912.0</v>
      </c>
      <c r="C2235" s="11" t="s">
        <v>358</v>
      </c>
      <c r="D2235" s="11" t="s">
        <v>38</v>
      </c>
      <c r="E2235" s="30" t="s">
        <v>39</v>
      </c>
      <c r="F2235" s="11" t="s">
        <v>64</v>
      </c>
      <c r="G2235" s="30" t="s">
        <v>45</v>
      </c>
      <c r="H2235" s="11" t="s">
        <v>236</v>
      </c>
      <c r="I2235" s="11" t="s">
        <v>2229</v>
      </c>
      <c r="J2235" s="11">
        <v>34.0</v>
      </c>
      <c r="K2235" s="30"/>
      <c r="L2235" s="30"/>
      <c r="M2235" s="11">
        <v>110230.0</v>
      </c>
      <c r="N2235" s="11">
        <v>6144.0</v>
      </c>
      <c r="O2235" s="13" t="s">
        <v>355</v>
      </c>
      <c r="P2235" s="11">
        <v>0.0</v>
      </c>
      <c r="Q2235" s="45">
        <v>0.0</v>
      </c>
      <c r="R2235" s="41">
        <v>0.0</v>
      </c>
      <c r="S2235">
        <f t="shared" si="1"/>
        <v>2006</v>
      </c>
      <c r="T2235">
        <f t="shared" si="2"/>
        <v>7</v>
      </c>
      <c r="U2235">
        <f t="shared" si="3"/>
        <v>14</v>
      </c>
      <c r="AG2235" s="15"/>
      <c r="AH2235" s="16"/>
      <c r="AM2235" s="15"/>
      <c r="AN2235" s="16"/>
    </row>
    <row r="2236">
      <c r="A2236" s="13" t="s">
        <v>4009</v>
      </c>
      <c r="B2236" s="10">
        <v>38904.0</v>
      </c>
      <c r="C2236" s="11" t="s">
        <v>37</v>
      </c>
      <c r="D2236" s="11" t="s">
        <v>38</v>
      </c>
      <c r="E2236" s="30" t="s">
        <v>39</v>
      </c>
      <c r="F2236" s="11" t="s">
        <v>40</v>
      </c>
      <c r="G2236" s="41" t="s">
        <v>41</v>
      </c>
      <c r="H2236" s="30"/>
      <c r="I2236" s="30"/>
      <c r="J2236" s="11">
        <v>24.0</v>
      </c>
      <c r="K2236" s="12">
        <v>39297.0</v>
      </c>
      <c r="L2236" s="11">
        <f t="shared" ref="L2236:L2237" si="235">ROUND(((K2236-B2236)/365)*12,0)</f>
        <v>13</v>
      </c>
      <c r="M2236" s="11">
        <v>465593.0</v>
      </c>
      <c r="N2236" s="11">
        <v>3167.0</v>
      </c>
      <c r="O2236" s="13" t="s">
        <v>761</v>
      </c>
      <c r="P2236" s="11">
        <v>4.0</v>
      </c>
      <c r="Q2236" s="45">
        <v>5.0</v>
      </c>
      <c r="R2236" s="41">
        <v>0.0</v>
      </c>
      <c r="S2236">
        <f t="shared" si="1"/>
        <v>2006</v>
      </c>
      <c r="T2236">
        <f t="shared" si="2"/>
        <v>7</v>
      </c>
      <c r="U2236">
        <f t="shared" si="3"/>
        <v>6</v>
      </c>
      <c r="AG2236" s="15"/>
      <c r="AH2236" s="16"/>
      <c r="AM2236" s="15"/>
      <c r="AN2236" s="16"/>
    </row>
    <row r="2237">
      <c r="A2237" s="13" t="s">
        <v>4010</v>
      </c>
      <c r="B2237" s="10">
        <v>38904.0</v>
      </c>
      <c r="C2237" s="11" t="s">
        <v>156</v>
      </c>
      <c r="D2237" s="11" t="s">
        <v>38</v>
      </c>
      <c r="E2237" s="30" t="s">
        <v>39</v>
      </c>
      <c r="F2237" s="11" t="s">
        <v>40</v>
      </c>
      <c r="G2237" s="30" t="s">
        <v>45</v>
      </c>
      <c r="H2237" s="11" t="s">
        <v>67</v>
      </c>
      <c r="I2237" s="11" t="s">
        <v>748</v>
      </c>
      <c r="J2237" s="11">
        <v>30.0</v>
      </c>
      <c r="K2237" s="12">
        <v>39323.0</v>
      </c>
      <c r="L2237" s="11">
        <f t="shared" si="235"/>
        <v>14</v>
      </c>
      <c r="M2237" s="11">
        <v>400104.0</v>
      </c>
      <c r="N2237" s="11">
        <v>901.0</v>
      </c>
      <c r="O2237" s="13" t="s">
        <v>761</v>
      </c>
      <c r="P2237" s="11">
        <v>136.0</v>
      </c>
      <c r="Q2237" s="45">
        <v>138.33299999999997</v>
      </c>
      <c r="R2237" s="41">
        <v>0.0</v>
      </c>
      <c r="S2237">
        <f t="shared" si="1"/>
        <v>2006</v>
      </c>
      <c r="T2237">
        <f t="shared" si="2"/>
        <v>7</v>
      </c>
      <c r="U2237">
        <f t="shared" si="3"/>
        <v>6</v>
      </c>
      <c r="AG2237" s="15"/>
      <c r="AH2237" s="16"/>
      <c r="AM2237" s="15"/>
      <c r="AN2237" s="16"/>
    </row>
    <row r="2238">
      <c r="A2238" s="13" t="s">
        <v>4011</v>
      </c>
      <c r="B2238" s="10">
        <v>38899.0</v>
      </c>
      <c r="C2238" s="11" t="s">
        <v>116</v>
      </c>
      <c r="D2238" s="11" t="s">
        <v>58</v>
      </c>
      <c r="E2238" s="30" t="s">
        <v>39</v>
      </c>
      <c r="F2238" s="11" t="s">
        <v>40</v>
      </c>
      <c r="G2238" s="41" t="s">
        <v>41</v>
      </c>
      <c r="H2238" s="30"/>
      <c r="I2238" s="30"/>
      <c r="J2238" s="11">
        <v>32.0</v>
      </c>
      <c r="K2238" s="30"/>
      <c r="L2238" s="30"/>
      <c r="M2238" s="11">
        <v>110179.0</v>
      </c>
      <c r="N2238" s="11">
        <v>308.0</v>
      </c>
      <c r="P2238" s="11">
        <v>0.0</v>
      </c>
      <c r="Q2238" s="14">
        <v>0.0</v>
      </c>
      <c r="R2238" s="41">
        <v>0.0</v>
      </c>
      <c r="S2238">
        <f t="shared" si="1"/>
        <v>2006</v>
      </c>
      <c r="T2238">
        <f t="shared" si="2"/>
        <v>7</v>
      </c>
      <c r="U2238">
        <f t="shared" si="3"/>
        <v>1</v>
      </c>
      <c r="AG2238" s="15"/>
      <c r="AH2238" s="16"/>
      <c r="AM2238" s="15"/>
      <c r="AN2238" s="16"/>
    </row>
    <row r="2239">
      <c r="A2239" s="13" t="s">
        <v>4012</v>
      </c>
      <c r="B2239" s="10">
        <v>38899.0</v>
      </c>
      <c r="C2239" s="11" t="s">
        <v>138</v>
      </c>
      <c r="D2239" s="11" t="s">
        <v>93</v>
      </c>
      <c r="E2239" s="11" t="s">
        <v>104</v>
      </c>
      <c r="F2239" s="11" t="s">
        <v>40</v>
      </c>
      <c r="G2239" s="11" t="s">
        <v>45</v>
      </c>
      <c r="H2239" s="11" t="s">
        <v>67</v>
      </c>
      <c r="I2239" s="11" t="s">
        <v>3825</v>
      </c>
      <c r="J2239" s="11">
        <v>21.0</v>
      </c>
      <c r="K2239" s="12">
        <v>39983.0</v>
      </c>
      <c r="L2239" s="11"/>
      <c r="M2239" s="11">
        <v>503424.0</v>
      </c>
      <c r="N2239" s="11" t="s">
        <v>4013</v>
      </c>
      <c r="P2239" s="11">
        <v>0.0</v>
      </c>
      <c r="Q2239" s="14">
        <v>0.0</v>
      </c>
      <c r="R2239" s="11">
        <v>0.0</v>
      </c>
      <c r="S2239">
        <f t="shared" si="1"/>
        <v>2006</v>
      </c>
      <c r="T2239">
        <f t="shared" si="2"/>
        <v>7</v>
      </c>
      <c r="U2239">
        <f t="shared" si="3"/>
        <v>1</v>
      </c>
      <c r="AG2239" s="15"/>
      <c r="AH2239" s="16"/>
      <c r="AM2239" s="15"/>
      <c r="AN2239" s="16"/>
    </row>
    <row r="2240">
      <c r="A2240" s="13" t="s">
        <v>4014</v>
      </c>
      <c r="B2240" s="10">
        <v>38899.0</v>
      </c>
      <c r="C2240" s="11" t="s">
        <v>44</v>
      </c>
      <c r="D2240" s="11" t="s">
        <v>93</v>
      </c>
      <c r="E2240" s="30" t="s">
        <v>39</v>
      </c>
      <c r="F2240" s="11" t="s">
        <v>64</v>
      </c>
      <c r="G2240" s="30" t="s">
        <v>45</v>
      </c>
      <c r="H2240" s="11" t="s">
        <v>127</v>
      </c>
      <c r="I2240" s="11" t="s">
        <v>317</v>
      </c>
      <c r="J2240" s="11">
        <v>20.0</v>
      </c>
      <c r="K2240" s="12">
        <v>39632.0</v>
      </c>
      <c r="L2240" s="11"/>
      <c r="M2240" s="11">
        <v>446354.0</v>
      </c>
      <c r="N2240" s="11" t="s">
        <v>4015</v>
      </c>
      <c r="P2240" s="11">
        <v>0.0</v>
      </c>
      <c r="Q2240" s="14">
        <v>0.0</v>
      </c>
      <c r="R2240" s="11">
        <v>0.0</v>
      </c>
      <c r="S2240">
        <f t="shared" si="1"/>
        <v>2006</v>
      </c>
      <c r="T2240">
        <f t="shared" si="2"/>
        <v>7</v>
      </c>
      <c r="U2240">
        <f t="shared" si="3"/>
        <v>1</v>
      </c>
      <c r="AG2240" s="15"/>
      <c r="AH2240" s="16"/>
      <c r="AM2240" s="15"/>
      <c r="AN2240" s="16"/>
    </row>
    <row r="2241">
      <c r="A2241" s="13" t="s">
        <v>4016</v>
      </c>
      <c r="B2241" s="10">
        <v>38896.0</v>
      </c>
      <c r="C2241" s="11" t="s">
        <v>150</v>
      </c>
      <c r="D2241" s="11" t="s">
        <v>38</v>
      </c>
      <c r="E2241" s="30" t="s">
        <v>39</v>
      </c>
      <c r="F2241" s="11" t="s">
        <v>40</v>
      </c>
      <c r="G2241" s="41" t="s">
        <v>41</v>
      </c>
      <c r="H2241" s="30"/>
      <c r="I2241" s="30"/>
      <c r="J2241" s="11">
        <v>33.0</v>
      </c>
      <c r="K2241" s="30"/>
      <c r="L2241" s="30"/>
      <c r="M2241" s="11">
        <v>121690.0</v>
      </c>
      <c r="N2241" s="11" t="s">
        <v>4017</v>
      </c>
      <c r="O2241" s="13" t="s">
        <v>3309</v>
      </c>
      <c r="P2241" s="11">
        <v>0.0</v>
      </c>
      <c r="Q2241" s="45">
        <v>0.0</v>
      </c>
      <c r="R2241" s="41">
        <v>0.0</v>
      </c>
      <c r="S2241">
        <f t="shared" si="1"/>
        <v>2006</v>
      </c>
      <c r="T2241">
        <f t="shared" si="2"/>
        <v>6</v>
      </c>
      <c r="U2241">
        <f t="shared" si="3"/>
        <v>28</v>
      </c>
      <c r="AG2241" s="15"/>
      <c r="AH2241" s="16"/>
      <c r="AM2241" s="15"/>
      <c r="AN2241" s="16"/>
    </row>
    <row r="2242">
      <c r="A2242" s="13" t="s">
        <v>4018</v>
      </c>
      <c r="B2242" s="10">
        <v>38875.0</v>
      </c>
      <c r="C2242" s="11" t="s">
        <v>175</v>
      </c>
      <c r="D2242" s="11" t="s">
        <v>38</v>
      </c>
      <c r="E2242" s="30" t="s">
        <v>39</v>
      </c>
      <c r="F2242" s="11" t="s">
        <v>64</v>
      </c>
      <c r="G2242" s="30" t="s">
        <v>45</v>
      </c>
      <c r="H2242" s="11" t="s">
        <v>301</v>
      </c>
      <c r="I2242" s="11"/>
      <c r="J2242" s="11">
        <v>33.0</v>
      </c>
      <c r="K2242" s="12">
        <v>39576.0</v>
      </c>
      <c r="L2242" s="11">
        <f>ROUND(((K2242-B2242)/365)*12,0)</f>
        <v>23</v>
      </c>
      <c r="M2242" s="11">
        <v>113915.0</v>
      </c>
      <c r="N2242" s="11">
        <v>873.0</v>
      </c>
      <c r="O2242" s="13" t="s">
        <v>3309</v>
      </c>
      <c r="P2242" s="11">
        <v>9.0</v>
      </c>
      <c r="Q2242" s="14">
        <v>43.667</v>
      </c>
      <c r="R2242" s="41">
        <v>0.0</v>
      </c>
      <c r="S2242">
        <f t="shared" si="1"/>
        <v>2006</v>
      </c>
      <c r="T2242">
        <f t="shared" si="2"/>
        <v>6</v>
      </c>
      <c r="U2242">
        <f t="shared" si="3"/>
        <v>7</v>
      </c>
      <c r="V2242" s="13"/>
      <c r="W2242" s="13"/>
      <c r="X2242" s="13"/>
      <c r="Y2242" s="13"/>
      <c r="Z2242" s="13"/>
      <c r="AA2242" s="13"/>
      <c r="AB2242" s="13"/>
      <c r="AC2242" s="13"/>
      <c r="AD2242" s="13"/>
      <c r="AE2242" s="13">
        <v>1.0</v>
      </c>
      <c r="AF2242" s="13">
        <v>1.0</v>
      </c>
      <c r="AG2242" s="50">
        <v>6.0</v>
      </c>
      <c r="AH2242" s="51">
        <v>0.037</v>
      </c>
      <c r="AI2242" s="13">
        <v>109.0</v>
      </c>
      <c r="AJ2242" s="13">
        <v>88.0</v>
      </c>
      <c r="AK2242" s="13">
        <v>9.0</v>
      </c>
      <c r="AL2242" s="13">
        <v>8.0</v>
      </c>
      <c r="AM2242" s="50">
        <v>43.667</v>
      </c>
      <c r="AN2242" s="51">
        <v>0.005</v>
      </c>
      <c r="AO2242" s="13">
        <v>120.0</v>
      </c>
      <c r="AP2242" s="13">
        <v>130.0</v>
      </c>
    </row>
    <row r="2243">
      <c r="A2243" s="13" t="s">
        <v>4019</v>
      </c>
      <c r="B2243" s="10">
        <v>38870.0</v>
      </c>
      <c r="C2243" s="11" t="s">
        <v>116</v>
      </c>
      <c r="D2243" s="11" t="s">
        <v>38</v>
      </c>
      <c r="E2243" s="11" t="s">
        <v>39</v>
      </c>
      <c r="F2243" s="11" t="s">
        <v>64</v>
      </c>
      <c r="G2243" s="11" t="s">
        <v>45</v>
      </c>
      <c r="H2243" s="11" t="s">
        <v>67</v>
      </c>
      <c r="I2243" s="11" t="s">
        <v>4020</v>
      </c>
      <c r="J2243" s="11">
        <v>28.0</v>
      </c>
      <c r="K2243" s="12"/>
      <c r="L2243" s="11"/>
      <c r="M2243" s="11">
        <v>407796.0</v>
      </c>
      <c r="N2243" s="11">
        <v>86.0</v>
      </c>
      <c r="O2243" s="13"/>
      <c r="P2243" s="11">
        <v>0.0</v>
      </c>
      <c r="Q2243" s="14">
        <v>0.0</v>
      </c>
      <c r="R2243" s="41">
        <v>0.0</v>
      </c>
      <c r="S2243">
        <f t="shared" si="1"/>
        <v>2006</v>
      </c>
      <c r="T2243">
        <f t="shared" si="2"/>
        <v>6</v>
      </c>
      <c r="U2243">
        <f t="shared" si="3"/>
        <v>2</v>
      </c>
      <c r="AG2243" s="15"/>
      <c r="AH2243" s="16"/>
      <c r="AM2243" s="15"/>
      <c r="AN2243" s="16"/>
    </row>
    <row r="2244">
      <c r="A2244" s="13" t="s">
        <v>4021</v>
      </c>
      <c r="B2244" s="10">
        <v>38869.0</v>
      </c>
      <c r="C2244" s="11" t="s">
        <v>116</v>
      </c>
      <c r="D2244" s="11" t="s">
        <v>38</v>
      </c>
      <c r="E2244" s="41" t="s">
        <v>270</v>
      </c>
      <c r="F2244" s="11" t="s">
        <v>40</v>
      </c>
      <c r="G2244" s="30" t="s">
        <v>45</v>
      </c>
      <c r="H2244" s="11" t="s">
        <v>56</v>
      </c>
      <c r="I2244" s="11"/>
      <c r="J2244" s="11">
        <v>24.0</v>
      </c>
      <c r="K2244" s="12">
        <v>39174.0</v>
      </c>
      <c r="L2244" s="11">
        <f t="shared" ref="L2244:L2246" si="236">ROUND(((K2244-B2244)/365)*12,0)</f>
        <v>10</v>
      </c>
      <c r="M2244" s="11">
        <v>430637.0</v>
      </c>
      <c r="N2244" s="11">
        <v>2234.0</v>
      </c>
      <c r="O2244" s="13" t="s">
        <v>761</v>
      </c>
      <c r="P2244" s="11">
        <v>1312.0</v>
      </c>
      <c r="Q2244" s="14">
        <v>4805.0</v>
      </c>
      <c r="R2244" s="11">
        <v>0.0</v>
      </c>
      <c r="S2244">
        <f t="shared" si="1"/>
        <v>2006</v>
      </c>
      <c r="T2244">
        <f t="shared" si="2"/>
        <v>6</v>
      </c>
      <c r="U2244">
        <f t="shared" si="3"/>
        <v>1</v>
      </c>
      <c r="AG2244" s="15"/>
      <c r="AH2244" s="16"/>
      <c r="AM2244" s="15"/>
      <c r="AN2244" s="16"/>
    </row>
    <row r="2245">
      <c r="A2245" s="13" t="s">
        <v>4022</v>
      </c>
      <c r="B2245" s="10">
        <v>38852.0</v>
      </c>
      <c r="C2245" s="11" t="s">
        <v>49</v>
      </c>
      <c r="D2245" s="11" t="s">
        <v>38</v>
      </c>
      <c r="E2245" s="30" t="s">
        <v>39</v>
      </c>
      <c r="F2245" s="11" t="s">
        <v>40</v>
      </c>
      <c r="G2245" s="41" t="s">
        <v>53</v>
      </c>
      <c r="H2245" s="30"/>
      <c r="I2245" s="30"/>
      <c r="J2245" s="11">
        <v>30.0</v>
      </c>
      <c r="K2245" s="12">
        <v>39176.0</v>
      </c>
      <c r="L2245" s="11">
        <f t="shared" si="236"/>
        <v>11</v>
      </c>
      <c r="M2245" s="11">
        <v>406913.0</v>
      </c>
      <c r="N2245" s="11">
        <v>1237.0</v>
      </c>
      <c r="O2245" s="13" t="s">
        <v>1407</v>
      </c>
      <c r="P2245" s="11">
        <v>13.0</v>
      </c>
      <c r="Q2245" s="45">
        <v>23.0</v>
      </c>
      <c r="R2245" s="41">
        <v>0.0</v>
      </c>
      <c r="S2245">
        <f t="shared" si="1"/>
        <v>2006</v>
      </c>
      <c r="T2245">
        <f t="shared" si="2"/>
        <v>5</v>
      </c>
      <c r="U2245">
        <f t="shared" si="3"/>
        <v>15</v>
      </c>
      <c r="V2245" s="13"/>
      <c r="W2245" s="13"/>
      <c r="X2245" s="13"/>
      <c r="Y2245" s="13"/>
      <c r="Z2245" s="13"/>
      <c r="AA2245" s="13"/>
      <c r="AB2245" s="13"/>
      <c r="AC2245" s="13"/>
      <c r="AD2245" s="13"/>
      <c r="AE2245" s="13">
        <v>5.0</v>
      </c>
      <c r="AF2245" s="13">
        <v>5.0</v>
      </c>
      <c r="AG2245" s="50">
        <v>21.333</v>
      </c>
      <c r="AH2245" s="51">
        <v>0.041</v>
      </c>
      <c r="AI2245" s="13">
        <v>154.0</v>
      </c>
      <c r="AJ2245" s="13">
        <v>142.0</v>
      </c>
      <c r="AK2245" s="13">
        <v>13.0</v>
      </c>
      <c r="AL2245" s="13">
        <v>4.0</v>
      </c>
      <c r="AM2245" s="50">
        <v>23.0</v>
      </c>
      <c r="AN2245" s="51">
        <v>-0.048</v>
      </c>
      <c r="AO2245" s="13">
        <v>225.0</v>
      </c>
      <c r="AP2245" s="13">
        <v>192.0</v>
      </c>
    </row>
    <row r="2246">
      <c r="A2246" s="13" t="s">
        <v>4023</v>
      </c>
      <c r="B2246" s="10">
        <v>38849.0</v>
      </c>
      <c r="C2246" s="11" t="s">
        <v>83</v>
      </c>
      <c r="D2246" s="11" t="s">
        <v>38</v>
      </c>
      <c r="E2246" s="30" t="s">
        <v>39</v>
      </c>
      <c r="F2246" s="11" t="s">
        <v>64</v>
      </c>
      <c r="G2246" s="41" t="s">
        <v>326</v>
      </c>
      <c r="H2246" s="30"/>
      <c r="I2246" s="30"/>
      <c r="J2246" s="11">
        <v>36.0</v>
      </c>
      <c r="K2246" s="12">
        <v>39696.0</v>
      </c>
      <c r="L2246" s="11">
        <f t="shared" si="236"/>
        <v>28</v>
      </c>
      <c r="M2246" s="11">
        <v>121215.0</v>
      </c>
      <c r="N2246" s="11">
        <v>401.0</v>
      </c>
      <c r="O2246" s="13" t="s">
        <v>1332</v>
      </c>
      <c r="P2246" s="11">
        <v>8.0</v>
      </c>
      <c r="Q2246" s="45">
        <v>4.0</v>
      </c>
      <c r="R2246" s="41">
        <v>0.0</v>
      </c>
      <c r="S2246">
        <f t="shared" si="1"/>
        <v>2006</v>
      </c>
      <c r="T2246">
        <f t="shared" si="2"/>
        <v>5</v>
      </c>
      <c r="U2246">
        <f t="shared" si="3"/>
        <v>12</v>
      </c>
      <c r="AG2246" s="15"/>
      <c r="AH2246" s="16"/>
      <c r="AM2246" s="15"/>
      <c r="AN2246" s="16"/>
    </row>
    <row r="2247">
      <c r="A2247" s="13" t="s">
        <v>4024</v>
      </c>
      <c r="B2247" s="10">
        <v>38840.0</v>
      </c>
      <c r="C2247" s="11" t="s">
        <v>358</v>
      </c>
      <c r="D2247" s="11" t="s">
        <v>38</v>
      </c>
      <c r="E2247" s="11" t="s">
        <v>39</v>
      </c>
      <c r="F2247" s="11" t="s">
        <v>40</v>
      </c>
      <c r="G2247" s="11" t="s">
        <v>45</v>
      </c>
      <c r="H2247" s="11" t="s">
        <v>412</v>
      </c>
      <c r="I2247" s="11" t="s">
        <v>2213</v>
      </c>
      <c r="J2247" s="11">
        <v>29.0</v>
      </c>
      <c r="K2247" s="12"/>
      <c r="L2247" s="11"/>
      <c r="M2247" s="11">
        <v>435318.0</v>
      </c>
      <c r="N2247" s="11">
        <v>2518.0</v>
      </c>
      <c r="O2247" s="13"/>
      <c r="P2247" s="11">
        <v>0.0</v>
      </c>
      <c r="Q2247" s="14">
        <v>0.0</v>
      </c>
      <c r="R2247" s="41">
        <v>0.0</v>
      </c>
      <c r="S2247">
        <f t="shared" si="1"/>
        <v>2006</v>
      </c>
      <c r="T2247">
        <f t="shared" si="2"/>
        <v>5</v>
      </c>
      <c r="U2247">
        <f t="shared" si="3"/>
        <v>3</v>
      </c>
      <c r="AG2247" s="15"/>
      <c r="AH2247" s="16"/>
      <c r="AM2247" s="15"/>
      <c r="AN2247" s="16"/>
    </row>
    <row r="2248">
      <c r="A2248" s="13" t="s">
        <v>4025</v>
      </c>
      <c r="B2248" s="10">
        <v>38838.0</v>
      </c>
      <c r="C2248" s="11" t="s">
        <v>138</v>
      </c>
      <c r="D2248" s="11" t="s">
        <v>93</v>
      </c>
      <c r="E2248" s="11" t="s">
        <v>39</v>
      </c>
      <c r="F2248" s="11" t="s">
        <v>40</v>
      </c>
      <c r="G2248" s="11" t="s">
        <v>45</v>
      </c>
      <c r="H2248" s="11" t="s">
        <v>67</v>
      </c>
      <c r="I2248" s="11" t="s">
        <v>2765</v>
      </c>
      <c r="J2248" s="11">
        <v>21.0</v>
      </c>
      <c r="K2248" s="12">
        <v>39618.0</v>
      </c>
      <c r="L2248" s="11"/>
      <c r="M2248" s="11">
        <v>543195.0</v>
      </c>
      <c r="N2248" s="11">
        <v>6911.0</v>
      </c>
      <c r="O2248" s="13"/>
      <c r="P2248" s="11">
        <v>7.0</v>
      </c>
      <c r="Q2248" s="14">
        <v>13.333</v>
      </c>
      <c r="R2248" s="41">
        <v>1.0</v>
      </c>
      <c r="S2248">
        <f t="shared" si="1"/>
        <v>2006</v>
      </c>
      <c r="T2248">
        <f t="shared" si="2"/>
        <v>5</v>
      </c>
      <c r="U2248">
        <f t="shared" si="3"/>
        <v>1</v>
      </c>
      <c r="AG2248" s="15"/>
      <c r="AH2248" s="16"/>
      <c r="AM2248" s="15"/>
      <c r="AN2248" s="16"/>
    </row>
    <row r="2249">
      <c r="A2249" s="13" t="s">
        <v>4026</v>
      </c>
      <c r="B2249" s="10">
        <v>38826.0</v>
      </c>
      <c r="C2249" s="11" t="s">
        <v>126</v>
      </c>
      <c r="D2249" s="11" t="s">
        <v>38</v>
      </c>
      <c r="E2249" s="30" t="s">
        <v>39</v>
      </c>
      <c r="F2249" s="11" t="s">
        <v>40</v>
      </c>
      <c r="G2249" s="41" t="s">
        <v>41</v>
      </c>
      <c r="H2249" s="30"/>
      <c r="I2249" s="30"/>
      <c r="J2249" s="11">
        <v>26.0</v>
      </c>
      <c r="K2249" s="12">
        <v>39225.0</v>
      </c>
      <c r="L2249" s="11">
        <f t="shared" ref="L2249:L2250" si="237">ROUND(((K2249-B2249)/365)*12,0)</f>
        <v>13</v>
      </c>
      <c r="M2249" s="11">
        <v>430674.0</v>
      </c>
      <c r="N2249" s="11">
        <v>2150.0</v>
      </c>
      <c r="O2249" s="13" t="s">
        <v>3309</v>
      </c>
      <c r="P2249" s="11">
        <v>12.0</v>
      </c>
      <c r="Q2249" s="14">
        <v>10.667</v>
      </c>
      <c r="R2249" s="41">
        <v>0.0</v>
      </c>
      <c r="S2249">
        <f t="shared" si="1"/>
        <v>2006</v>
      </c>
      <c r="T2249">
        <f t="shared" si="2"/>
        <v>4</v>
      </c>
      <c r="U2249">
        <f t="shared" si="3"/>
        <v>19</v>
      </c>
      <c r="AG2249" s="15"/>
      <c r="AH2249" s="16"/>
      <c r="AM2249" s="15"/>
      <c r="AN2249" s="16"/>
    </row>
    <row r="2250">
      <c r="A2250" s="13" t="s">
        <v>4027</v>
      </c>
      <c r="B2250" s="10">
        <v>38806.0</v>
      </c>
      <c r="C2250" s="11" t="s">
        <v>76</v>
      </c>
      <c r="D2250" s="11" t="s">
        <v>38</v>
      </c>
      <c r="E2250" s="30" t="s">
        <v>39</v>
      </c>
      <c r="F2250" s="11" t="s">
        <v>40</v>
      </c>
      <c r="G2250" s="41" t="s">
        <v>326</v>
      </c>
      <c r="H2250" s="30"/>
      <c r="I2250" s="30"/>
      <c r="J2250" s="11">
        <v>28.0</v>
      </c>
      <c r="K2250" s="12">
        <v>39255.0</v>
      </c>
      <c r="L2250" s="11">
        <f t="shared" si="237"/>
        <v>15</v>
      </c>
      <c r="M2250" s="11">
        <v>425646.0</v>
      </c>
      <c r="N2250" s="11">
        <v>1650.0</v>
      </c>
      <c r="O2250" s="13" t="s">
        <v>3309</v>
      </c>
      <c r="P2250" s="11">
        <v>320.0</v>
      </c>
      <c r="Q2250" s="45">
        <v>322.0</v>
      </c>
      <c r="R2250" s="41">
        <v>0.0</v>
      </c>
      <c r="S2250">
        <f t="shared" si="1"/>
        <v>2006</v>
      </c>
      <c r="T2250">
        <f t="shared" si="2"/>
        <v>3</v>
      </c>
      <c r="U2250">
        <f t="shared" si="3"/>
        <v>30</v>
      </c>
      <c r="AG2250" s="15"/>
      <c r="AH2250" s="16"/>
      <c r="AM2250" s="15"/>
      <c r="AN2250" s="16"/>
    </row>
    <row r="2251">
      <c r="A2251" s="13" t="s">
        <v>4028</v>
      </c>
      <c r="B2251" s="10">
        <v>38790.0</v>
      </c>
      <c r="C2251" s="11" t="s">
        <v>49</v>
      </c>
      <c r="D2251" s="11" t="s">
        <v>38</v>
      </c>
      <c r="E2251" s="30" t="s">
        <v>39</v>
      </c>
      <c r="F2251" s="11" t="s">
        <v>40</v>
      </c>
      <c r="G2251" s="41" t="s">
        <v>225</v>
      </c>
      <c r="H2251" s="30"/>
      <c r="I2251" s="30"/>
      <c r="J2251" s="11">
        <v>29.0</v>
      </c>
      <c r="K2251" s="30"/>
      <c r="L2251" s="30"/>
      <c r="M2251" s="11">
        <v>433677.0</v>
      </c>
      <c r="N2251" s="11">
        <v>2532.0</v>
      </c>
      <c r="O2251" s="13" t="s">
        <v>1407</v>
      </c>
      <c r="P2251" s="11">
        <v>0.0</v>
      </c>
      <c r="Q2251" s="45">
        <v>0.0</v>
      </c>
      <c r="R2251" s="41">
        <v>0.0</v>
      </c>
      <c r="S2251">
        <f t="shared" si="1"/>
        <v>2006</v>
      </c>
      <c r="T2251">
        <f t="shared" si="2"/>
        <v>3</v>
      </c>
      <c r="U2251">
        <f t="shared" si="3"/>
        <v>14</v>
      </c>
      <c r="AG2251" s="15"/>
      <c r="AH2251" s="16"/>
      <c r="AM2251" s="15"/>
      <c r="AN2251" s="16"/>
    </row>
    <row r="2252">
      <c r="A2252" s="13" t="s">
        <v>2094</v>
      </c>
      <c r="B2252" s="10">
        <v>38777.0</v>
      </c>
      <c r="C2252" s="11" t="s">
        <v>126</v>
      </c>
      <c r="D2252" s="11" t="s">
        <v>213</v>
      </c>
      <c r="E2252" s="11" t="s">
        <v>39</v>
      </c>
      <c r="F2252" s="11" t="s">
        <v>40</v>
      </c>
      <c r="G2252" s="11" t="s">
        <v>45</v>
      </c>
      <c r="H2252" s="11" t="s">
        <v>56</v>
      </c>
      <c r="I2252" s="11" t="s">
        <v>1533</v>
      </c>
      <c r="J2252" s="11">
        <v>18.0</v>
      </c>
      <c r="K2252" s="12">
        <v>40353.0</v>
      </c>
      <c r="L2252" s="30"/>
      <c r="M2252" s="11">
        <v>474521.0</v>
      </c>
      <c r="N2252" s="11">
        <v>10481.0</v>
      </c>
      <c r="P2252" s="11">
        <v>215.0</v>
      </c>
      <c r="Q2252" s="14">
        <v>218.0</v>
      </c>
      <c r="R2252" s="41">
        <v>1.0</v>
      </c>
      <c r="S2252">
        <f t="shared" si="1"/>
        <v>2006</v>
      </c>
      <c r="T2252">
        <f t="shared" si="2"/>
        <v>3</v>
      </c>
      <c r="U2252">
        <f t="shared" si="3"/>
        <v>1</v>
      </c>
      <c r="AG2252" s="15"/>
      <c r="AH2252" s="16"/>
      <c r="AM2252" s="15"/>
      <c r="AN2252" s="16"/>
    </row>
    <row r="2253">
      <c r="A2253" s="13" t="s">
        <v>4029</v>
      </c>
      <c r="B2253" s="10">
        <v>38777.0</v>
      </c>
      <c r="C2253" s="11" t="s">
        <v>62</v>
      </c>
      <c r="D2253" s="11" t="s">
        <v>77</v>
      </c>
      <c r="E2253" s="41" t="s">
        <v>104</v>
      </c>
      <c r="F2253" s="11" t="s">
        <v>40</v>
      </c>
      <c r="G2253" s="30" t="s">
        <v>45</v>
      </c>
      <c r="H2253" s="11" t="s">
        <v>56</v>
      </c>
      <c r="I2253" s="11" t="s">
        <v>4030</v>
      </c>
      <c r="J2253" s="11">
        <v>27.0</v>
      </c>
      <c r="K2253" s="30"/>
      <c r="L2253" s="30"/>
      <c r="M2253" s="11">
        <v>408064.0</v>
      </c>
      <c r="N2253" s="11">
        <v>1614.0</v>
      </c>
      <c r="P2253" s="11">
        <v>0.0</v>
      </c>
      <c r="Q2253" s="14">
        <v>0.0</v>
      </c>
      <c r="R2253" s="41">
        <v>0.0</v>
      </c>
      <c r="S2253">
        <f t="shared" si="1"/>
        <v>2006</v>
      </c>
      <c r="T2253">
        <f t="shared" si="2"/>
        <v>3</v>
      </c>
      <c r="U2253">
        <f t="shared" si="3"/>
        <v>1</v>
      </c>
      <c r="AG2253" s="15"/>
      <c r="AH2253" s="16"/>
      <c r="AM2253" s="15"/>
      <c r="AN2253" s="16"/>
    </row>
    <row r="2254">
      <c r="A2254" s="13" t="s">
        <v>4031</v>
      </c>
      <c r="B2254" s="10">
        <v>38718.0</v>
      </c>
      <c r="C2254" s="11" t="s">
        <v>101</v>
      </c>
      <c r="D2254" s="11" t="s">
        <v>93</v>
      </c>
      <c r="E2254" s="30" t="s">
        <v>39</v>
      </c>
      <c r="F2254" s="11" t="s">
        <v>64</v>
      </c>
      <c r="G2254" s="30" t="s">
        <v>45</v>
      </c>
      <c r="H2254" s="11" t="s">
        <v>652</v>
      </c>
      <c r="I2254" s="11" t="s">
        <v>4032</v>
      </c>
      <c r="J2254" s="11">
        <v>20.0</v>
      </c>
      <c r="K2254" s="12">
        <v>39663.0</v>
      </c>
      <c r="L2254" s="30"/>
      <c r="M2254" s="11">
        <v>519259.0</v>
      </c>
      <c r="N2254" s="11">
        <v>8739.0</v>
      </c>
      <c r="P2254" s="11">
        <v>94.0</v>
      </c>
      <c r="Q2254" s="14">
        <v>93.0</v>
      </c>
      <c r="R2254" s="41">
        <v>0.0</v>
      </c>
      <c r="S2254">
        <f t="shared" si="1"/>
        <v>2006</v>
      </c>
      <c r="T2254">
        <f t="shared" si="2"/>
        <v>1</v>
      </c>
      <c r="U2254">
        <f t="shared" si="3"/>
        <v>1</v>
      </c>
      <c r="AG2254" s="15"/>
      <c r="AH2254" s="16"/>
      <c r="AM2254" s="15"/>
      <c r="AN2254" s="16"/>
    </row>
    <row r="2255">
      <c r="A2255" s="13" t="s">
        <v>4033</v>
      </c>
      <c r="B2255" s="10">
        <v>38718.0</v>
      </c>
      <c r="C2255" s="11" t="s">
        <v>138</v>
      </c>
      <c r="D2255" s="11" t="s">
        <v>93</v>
      </c>
      <c r="E2255" s="11" t="s">
        <v>39</v>
      </c>
      <c r="F2255" s="11" t="s">
        <v>64</v>
      </c>
      <c r="G2255" s="11" t="s">
        <v>245</v>
      </c>
      <c r="H2255" s="30"/>
      <c r="I2255" s="30"/>
      <c r="J2255" s="11">
        <v>20.0</v>
      </c>
      <c r="K2255" s="12">
        <v>41009.0</v>
      </c>
      <c r="L2255" s="30"/>
      <c r="M2255" s="11">
        <v>612672.0</v>
      </c>
      <c r="N2255" s="11">
        <v>13071.0</v>
      </c>
      <c r="P2255" s="11">
        <v>148.0</v>
      </c>
      <c r="Q2255" s="14">
        <v>863.0</v>
      </c>
      <c r="R2255" s="41">
        <v>1.0</v>
      </c>
      <c r="S2255">
        <f t="shared" si="1"/>
        <v>2006</v>
      </c>
      <c r="T2255">
        <f t="shared" si="2"/>
        <v>1</v>
      </c>
      <c r="U2255">
        <f t="shared" si="3"/>
        <v>1</v>
      </c>
      <c r="AG2255" s="15"/>
      <c r="AH2255" s="16"/>
      <c r="AM2255" s="15"/>
      <c r="AN2255" s="16"/>
    </row>
    <row r="2256">
      <c r="A2256" s="13" t="s">
        <v>4034</v>
      </c>
      <c r="B2256" s="10">
        <v>38718.0</v>
      </c>
      <c r="C2256" s="11" t="s">
        <v>72</v>
      </c>
      <c r="D2256" s="11" t="s">
        <v>58</v>
      </c>
      <c r="E2256" s="30" t="s">
        <v>39</v>
      </c>
      <c r="F2256" s="11" t="s">
        <v>40</v>
      </c>
      <c r="G2256" s="41" t="s">
        <v>803</v>
      </c>
      <c r="H2256" s="30"/>
      <c r="I2256" s="30"/>
      <c r="J2256" s="11">
        <v>30.0</v>
      </c>
      <c r="K2256" s="30"/>
      <c r="L2256" s="30"/>
      <c r="M2256" s="11">
        <v>135380.0</v>
      </c>
      <c r="N2256" s="11">
        <v>1002203.0</v>
      </c>
      <c r="P2256" s="11">
        <v>0.0</v>
      </c>
      <c r="Q2256" s="14">
        <v>0.0</v>
      </c>
      <c r="R2256" s="41">
        <v>0.0</v>
      </c>
      <c r="S2256">
        <f t="shared" si="1"/>
        <v>2006</v>
      </c>
      <c r="T2256">
        <f t="shared" si="2"/>
        <v>1</v>
      </c>
      <c r="U2256">
        <f t="shared" si="3"/>
        <v>1</v>
      </c>
      <c r="AG2256" s="15"/>
      <c r="AH2256" s="16"/>
      <c r="AM2256" s="15"/>
      <c r="AN2256" s="16"/>
    </row>
    <row r="2257">
      <c r="A2257" s="13" t="s">
        <v>1193</v>
      </c>
      <c r="B2257" s="10">
        <v>38718.0</v>
      </c>
      <c r="C2257" s="11" t="s">
        <v>72</v>
      </c>
      <c r="D2257" s="11" t="s">
        <v>93</v>
      </c>
      <c r="E2257" s="11" t="s">
        <v>39</v>
      </c>
      <c r="F2257" s="11" t="s">
        <v>40</v>
      </c>
      <c r="G2257" s="11" t="s">
        <v>45</v>
      </c>
      <c r="H2257" s="11" t="s">
        <v>222</v>
      </c>
      <c r="I2257" s="11" t="s">
        <v>1194</v>
      </c>
      <c r="J2257" s="11">
        <v>19.0</v>
      </c>
      <c r="K2257" s="12">
        <v>39996.0</v>
      </c>
      <c r="L2257" s="30"/>
      <c r="M2257" s="11">
        <v>489446.0</v>
      </c>
      <c r="N2257" s="11">
        <v>9073.0</v>
      </c>
      <c r="P2257" s="11">
        <v>160.0</v>
      </c>
      <c r="Q2257" s="14">
        <v>154.333</v>
      </c>
      <c r="R2257" s="41">
        <v>1.0</v>
      </c>
      <c r="S2257">
        <f t="shared" si="1"/>
        <v>2006</v>
      </c>
      <c r="T2257">
        <f t="shared" si="2"/>
        <v>1</v>
      </c>
      <c r="U2257">
        <f t="shared" si="3"/>
        <v>1</v>
      </c>
      <c r="AG2257" s="15"/>
      <c r="AH2257" s="16"/>
      <c r="AM2257" s="15"/>
      <c r="AN2257" s="16"/>
    </row>
    <row r="2258">
      <c r="A2258" s="13" t="s">
        <v>3659</v>
      </c>
      <c r="B2258" s="10">
        <v>38718.0</v>
      </c>
      <c r="C2258" s="11" t="s">
        <v>72</v>
      </c>
      <c r="D2258" s="11" t="s">
        <v>213</v>
      </c>
      <c r="E2258" s="30" t="s">
        <v>39</v>
      </c>
      <c r="F2258" s="11" t="s">
        <v>40</v>
      </c>
      <c r="G2258" s="41" t="s">
        <v>53</v>
      </c>
      <c r="H2258" s="30"/>
      <c r="I2258" s="30"/>
      <c r="J2258" s="11">
        <v>17.0</v>
      </c>
      <c r="K2258" s="12">
        <v>39308.0</v>
      </c>
      <c r="L2258" s="30"/>
      <c r="M2258" s="11">
        <v>501595.0</v>
      </c>
      <c r="N2258" s="11" t="s">
        <v>3660</v>
      </c>
      <c r="P2258" s="11">
        <v>0.0</v>
      </c>
      <c r="Q2258" s="14">
        <v>0.0</v>
      </c>
      <c r="R2258" s="41">
        <v>0.0</v>
      </c>
      <c r="S2258">
        <f t="shared" si="1"/>
        <v>2006</v>
      </c>
      <c r="T2258">
        <f t="shared" si="2"/>
        <v>1</v>
      </c>
      <c r="U2258">
        <f t="shared" si="3"/>
        <v>1</v>
      </c>
      <c r="AG2258" s="15"/>
      <c r="AH2258" s="16"/>
      <c r="AM2258" s="15"/>
      <c r="AN2258" s="16"/>
    </row>
    <row r="2259">
      <c r="A2259" s="13" t="s">
        <v>4035</v>
      </c>
      <c r="B2259" s="10">
        <v>38718.0</v>
      </c>
      <c r="C2259" s="11" t="s">
        <v>143</v>
      </c>
      <c r="D2259" s="11" t="s">
        <v>77</v>
      </c>
      <c r="E2259" s="30" t="s">
        <v>39</v>
      </c>
      <c r="F2259" s="11" t="s">
        <v>40</v>
      </c>
      <c r="G2259" s="30" t="s">
        <v>45</v>
      </c>
      <c r="H2259" s="11" t="s">
        <v>73</v>
      </c>
      <c r="I2259" s="11"/>
      <c r="J2259" s="11">
        <v>23.0</v>
      </c>
      <c r="K2259" s="12">
        <v>39083.0</v>
      </c>
      <c r="L2259" s="30"/>
      <c r="M2259" s="11">
        <v>425841.0</v>
      </c>
      <c r="N2259" s="11" t="s">
        <v>4036</v>
      </c>
      <c r="P2259" s="11">
        <v>0.0</v>
      </c>
      <c r="Q2259" s="14">
        <v>0.0</v>
      </c>
      <c r="R2259" s="41">
        <v>0.0</v>
      </c>
      <c r="S2259">
        <f t="shared" si="1"/>
        <v>2006</v>
      </c>
      <c r="T2259">
        <f t="shared" si="2"/>
        <v>1</v>
      </c>
      <c r="U2259">
        <f t="shared" si="3"/>
        <v>1</v>
      </c>
      <c r="AG2259" s="15"/>
      <c r="AH2259" s="16"/>
      <c r="AM2259" s="15"/>
      <c r="AN2259" s="16"/>
    </row>
    <row r="2260">
      <c r="A2260" s="13" t="s">
        <v>4037</v>
      </c>
      <c r="B2260" s="10">
        <v>38718.0</v>
      </c>
      <c r="C2260" s="11" t="s">
        <v>143</v>
      </c>
      <c r="D2260" s="11" t="s">
        <v>221</v>
      </c>
      <c r="E2260" s="30" t="s">
        <v>39</v>
      </c>
      <c r="F2260" s="11" t="s">
        <v>40</v>
      </c>
      <c r="G2260" s="30" t="s">
        <v>45</v>
      </c>
      <c r="H2260" s="11" t="s">
        <v>84</v>
      </c>
      <c r="I2260" s="11" t="s">
        <v>2971</v>
      </c>
      <c r="J2260" s="11">
        <v>22.0</v>
      </c>
      <c r="K2260" s="12">
        <v>39247.0</v>
      </c>
      <c r="L2260" s="30"/>
      <c r="M2260" s="11">
        <v>446595.0</v>
      </c>
      <c r="N2260" s="11" t="s">
        <v>4038</v>
      </c>
      <c r="P2260" s="11">
        <v>0.0</v>
      </c>
      <c r="Q2260" s="14">
        <v>0.0</v>
      </c>
      <c r="R2260" s="41">
        <v>0.0</v>
      </c>
      <c r="S2260">
        <f t="shared" si="1"/>
        <v>2006</v>
      </c>
      <c r="T2260">
        <f t="shared" si="2"/>
        <v>1</v>
      </c>
      <c r="U2260">
        <f t="shared" si="3"/>
        <v>1</v>
      </c>
      <c r="AG2260" s="15"/>
      <c r="AH2260" s="16"/>
      <c r="AM2260" s="15"/>
      <c r="AN2260" s="16"/>
    </row>
    <row r="2261">
      <c r="A2261" s="13" t="s">
        <v>3968</v>
      </c>
      <c r="B2261" s="10">
        <v>38718.0</v>
      </c>
      <c r="C2261" s="11" t="s">
        <v>192</v>
      </c>
      <c r="D2261" s="11" t="s">
        <v>58</v>
      </c>
      <c r="E2261" s="30" t="s">
        <v>39</v>
      </c>
      <c r="F2261" s="11" t="s">
        <v>40</v>
      </c>
      <c r="G2261" s="30" t="s">
        <v>45</v>
      </c>
      <c r="H2261" s="11" t="s">
        <v>236</v>
      </c>
      <c r="I2261" s="11" t="s">
        <v>3969</v>
      </c>
      <c r="J2261" s="11">
        <v>31.0</v>
      </c>
      <c r="K2261" s="12">
        <v>39544.0</v>
      </c>
      <c r="L2261" s="30"/>
      <c r="M2261" s="11">
        <v>150128.0</v>
      </c>
      <c r="N2261" s="11">
        <v>452.0</v>
      </c>
      <c r="P2261" s="11">
        <v>0.0</v>
      </c>
      <c r="Q2261" s="14">
        <v>0.0</v>
      </c>
      <c r="R2261" s="41">
        <v>0.0</v>
      </c>
      <c r="S2261">
        <f t="shared" si="1"/>
        <v>2006</v>
      </c>
      <c r="T2261">
        <f t="shared" si="2"/>
        <v>1</v>
      </c>
      <c r="U2261">
        <f t="shared" si="3"/>
        <v>1</v>
      </c>
      <c r="AG2261" s="15"/>
      <c r="AH2261" s="16"/>
      <c r="AM2261" s="15"/>
      <c r="AN2261" s="16"/>
    </row>
    <row r="2262">
      <c r="A2262" s="13" t="s">
        <v>4039</v>
      </c>
      <c r="B2262" s="10">
        <v>38718.0</v>
      </c>
      <c r="C2262" s="11" t="s">
        <v>358</v>
      </c>
      <c r="D2262" s="11" t="s">
        <v>213</v>
      </c>
      <c r="E2262" s="30" t="s">
        <v>39</v>
      </c>
      <c r="F2262" s="11" t="s">
        <v>40</v>
      </c>
      <c r="G2262" s="30" t="s">
        <v>45</v>
      </c>
      <c r="H2262" s="11" t="s">
        <v>652</v>
      </c>
      <c r="I2262" s="11"/>
      <c r="J2262" s="11">
        <v>17.0</v>
      </c>
      <c r="K2262" s="12">
        <v>39624.0</v>
      </c>
      <c r="L2262" s="30"/>
      <c r="M2262" s="11">
        <v>543741.0</v>
      </c>
      <c r="N2262" s="11" t="s">
        <v>4040</v>
      </c>
      <c r="P2262" s="11">
        <v>0.0</v>
      </c>
      <c r="Q2262" s="14">
        <v>0.0</v>
      </c>
      <c r="R2262" s="11">
        <v>0.0</v>
      </c>
      <c r="S2262">
        <f t="shared" si="1"/>
        <v>2006</v>
      </c>
      <c r="T2262">
        <f t="shared" si="2"/>
        <v>1</v>
      </c>
      <c r="U2262">
        <f t="shared" si="3"/>
        <v>1</v>
      </c>
      <c r="AG2262" s="15"/>
      <c r="AH2262" s="16"/>
      <c r="AM2262" s="15"/>
      <c r="AN2262" s="16"/>
    </row>
    <row r="2263">
      <c r="A2263" s="13" t="s">
        <v>2923</v>
      </c>
      <c r="B2263" s="10">
        <v>38718.0</v>
      </c>
      <c r="C2263" s="11" t="s">
        <v>346</v>
      </c>
      <c r="D2263" s="11" t="s">
        <v>213</v>
      </c>
      <c r="E2263" s="30" t="s">
        <v>39</v>
      </c>
      <c r="F2263" s="11" t="s">
        <v>40</v>
      </c>
      <c r="G2263" s="30" t="s">
        <v>45</v>
      </c>
      <c r="H2263" s="11" t="s">
        <v>67</v>
      </c>
      <c r="I2263" s="11"/>
      <c r="J2263" s="11">
        <v>16.0</v>
      </c>
      <c r="K2263" s="12">
        <v>39637.0</v>
      </c>
      <c r="L2263" s="30"/>
      <c r="M2263" s="11">
        <v>543022.0</v>
      </c>
      <c r="N2263" s="11">
        <v>4338.0</v>
      </c>
      <c r="P2263" s="11">
        <v>70.0</v>
      </c>
      <c r="Q2263" s="14">
        <v>342.0</v>
      </c>
      <c r="R2263" s="41">
        <v>0.0</v>
      </c>
      <c r="S2263">
        <f t="shared" si="1"/>
        <v>2006</v>
      </c>
      <c r="T2263">
        <f t="shared" si="2"/>
        <v>1</v>
      </c>
      <c r="U2263">
        <f t="shared" si="3"/>
        <v>1</v>
      </c>
      <c r="AG2263" s="15"/>
      <c r="AH2263" s="16"/>
      <c r="AM2263" s="15"/>
      <c r="AN2263" s="16"/>
    </row>
    <row r="2264">
      <c r="A2264" s="13" t="s">
        <v>4041</v>
      </c>
      <c r="B2264" s="10">
        <v>38718.0</v>
      </c>
      <c r="C2264" s="11" t="s">
        <v>37</v>
      </c>
      <c r="D2264" s="11" t="s">
        <v>221</v>
      </c>
      <c r="E2264" s="30" t="s">
        <v>39</v>
      </c>
      <c r="F2264" s="11" t="s">
        <v>40</v>
      </c>
      <c r="G2264" s="41" t="s">
        <v>225</v>
      </c>
      <c r="H2264" s="30"/>
      <c r="I2264" s="30"/>
      <c r="J2264" s="11">
        <v>19.0</v>
      </c>
      <c r="K2264" s="12">
        <v>39542.0</v>
      </c>
      <c r="L2264" s="30"/>
      <c r="M2264" s="11">
        <v>488880.0</v>
      </c>
      <c r="N2264" s="11" t="s">
        <v>4042</v>
      </c>
      <c r="P2264" s="11">
        <v>0.0</v>
      </c>
      <c r="Q2264" s="14">
        <v>0.0</v>
      </c>
      <c r="R2264" s="11">
        <v>0.0</v>
      </c>
      <c r="S2264">
        <f t="shared" si="1"/>
        <v>2006</v>
      </c>
      <c r="T2264">
        <f t="shared" si="2"/>
        <v>1</v>
      </c>
      <c r="U2264">
        <f t="shared" si="3"/>
        <v>1</v>
      </c>
      <c r="AG2264" s="15"/>
      <c r="AH2264" s="16"/>
      <c r="AM2264" s="15"/>
      <c r="AN2264" s="16"/>
    </row>
    <row r="2265">
      <c r="A2265" s="13" t="s">
        <v>4043</v>
      </c>
      <c r="B2265" s="10">
        <v>38718.0</v>
      </c>
      <c r="C2265" s="11" t="s">
        <v>55</v>
      </c>
      <c r="D2265" s="11" t="s">
        <v>58</v>
      </c>
      <c r="E2265" s="30" t="s">
        <v>39</v>
      </c>
      <c r="F2265" s="11" t="s">
        <v>40</v>
      </c>
      <c r="G2265" s="30" t="s">
        <v>45</v>
      </c>
      <c r="H2265" s="11" t="s">
        <v>262</v>
      </c>
      <c r="I2265" s="11"/>
      <c r="J2265" s="11">
        <v>26.0</v>
      </c>
      <c r="K2265" s="12">
        <v>39194.0</v>
      </c>
      <c r="L2265" s="30"/>
      <c r="M2265" s="11">
        <v>430831.0</v>
      </c>
      <c r="N2265" s="11">
        <v>1903.0</v>
      </c>
      <c r="P2265" s="11">
        <v>119.0</v>
      </c>
      <c r="Q2265" s="14">
        <v>157.0</v>
      </c>
      <c r="R2265" s="41">
        <v>0.0</v>
      </c>
      <c r="S2265">
        <f t="shared" si="1"/>
        <v>2006</v>
      </c>
      <c r="T2265">
        <f t="shared" si="2"/>
        <v>1</v>
      </c>
      <c r="U2265">
        <f t="shared" si="3"/>
        <v>1</v>
      </c>
      <c r="AG2265" s="15"/>
      <c r="AH2265" s="16"/>
      <c r="AM2265" s="15"/>
      <c r="AN2265" s="16"/>
    </row>
    <row r="2266">
      <c r="A2266" s="13" t="s">
        <v>3636</v>
      </c>
      <c r="B2266" s="10">
        <v>38718.0</v>
      </c>
      <c r="C2266" s="11" t="s">
        <v>108</v>
      </c>
      <c r="D2266" s="11" t="s">
        <v>97</v>
      </c>
      <c r="E2266" s="30" t="s">
        <v>39</v>
      </c>
      <c r="F2266" s="11" t="s">
        <v>40</v>
      </c>
      <c r="G2266" s="30" t="s">
        <v>45</v>
      </c>
      <c r="H2266" s="11" t="s">
        <v>84</v>
      </c>
      <c r="I2266" s="11"/>
      <c r="J2266" s="11">
        <v>20.0</v>
      </c>
      <c r="K2266" s="12">
        <v>39585.0</v>
      </c>
      <c r="L2266" s="30"/>
      <c r="M2266" s="11">
        <v>451600.0</v>
      </c>
      <c r="N2266" s="11">
        <v>4067.0</v>
      </c>
      <c r="P2266" s="11">
        <v>0.0</v>
      </c>
      <c r="Q2266" s="14">
        <v>0.0</v>
      </c>
      <c r="R2266" s="41">
        <v>0.0</v>
      </c>
      <c r="S2266">
        <f t="shared" si="1"/>
        <v>2006</v>
      </c>
      <c r="T2266">
        <f t="shared" si="2"/>
        <v>1</v>
      </c>
      <c r="U2266">
        <f t="shared" si="3"/>
        <v>1</v>
      </c>
      <c r="AG2266" s="15"/>
      <c r="AH2266" s="16"/>
      <c r="AM2266" s="15"/>
      <c r="AN2266" s="16"/>
    </row>
    <row r="2267">
      <c r="A2267" s="13" t="s">
        <v>3118</v>
      </c>
      <c r="B2267" s="10">
        <v>38718.0</v>
      </c>
      <c r="C2267" s="11" t="s">
        <v>274</v>
      </c>
      <c r="D2267" s="11" t="s">
        <v>97</v>
      </c>
      <c r="E2267" s="11" t="s">
        <v>118</v>
      </c>
      <c r="F2267" s="11" t="s">
        <v>40</v>
      </c>
      <c r="G2267" s="11" t="s">
        <v>53</v>
      </c>
      <c r="H2267" s="11"/>
      <c r="I2267" s="11"/>
      <c r="J2267" s="11">
        <v>21.0</v>
      </c>
      <c r="K2267" s="12">
        <v>39177.0</v>
      </c>
      <c r="L2267" s="30"/>
      <c r="M2267" s="11">
        <v>464268.0</v>
      </c>
      <c r="N2267" s="11" t="s">
        <v>3119</v>
      </c>
      <c r="P2267" s="11">
        <v>0.0</v>
      </c>
      <c r="Q2267" s="14">
        <v>0.0</v>
      </c>
      <c r="R2267" s="11">
        <v>0.0</v>
      </c>
      <c r="S2267">
        <f t="shared" si="1"/>
        <v>2006</v>
      </c>
      <c r="T2267">
        <f t="shared" si="2"/>
        <v>1</v>
      </c>
      <c r="U2267">
        <f t="shared" si="3"/>
        <v>1</v>
      </c>
      <c r="AG2267" s="15"/>
      <c r="AH2267" s="16"/>
      <c r="AM2267" s="15"/>
      <c r="AN2267" s="16"/>
    </row>
    <row r="2268">
      <c r="A2268" s="13" t="s">
        <v>4044</v>
      </c>
      <c r="B2268" s="10">
        <v>38718.0</v>
      </c>
      <c r="C2268" s="11" t="s">
        <v>83</v>
      </c>
      <c r="D2268" s="11" t="s">
        <v>213</v>
      </c>
      <c r="E2268" s="30" t="s">
        <v>39</v>
      </c>
      <c r="F2268" s="11" t="s">
        <v>64</v>
      </c>
      <c r="G2268" s="30" t="s">
        <v>45</v>
      </c>
      <c r="H2268" s="11" t="s">
        <v>84</v>
      </c>
      <c r="I2268" s="11" t="s">
        <v>4045</v>
      </c>
      <c r="J2268" s="11">
        <v>17.0</v>
      </c>
      <c r="K2268" s="12">
        <v>40343.0</v>
      </c>
      <c r="L2268" s="30"/>
      <c r="M2268" s="11">
        <v>518713.0</v>
      </c>
      <c r="N2268" s="11">
        <v>11133.0</v>
      </c>
      <c r="P2268" s="11">
        <v>3.0</v>
      </c>
      <c r="Q2268" s="14">
        <v>12.333</v>
      </c>
      <c r="R2268" s="11">
        <v>0.0</v>
      </c>
      <c r="S2268">
        <f t="shared" si="1"/>
        <v>2006</v>
      </c>
      <c r="T2268">
        <f t="shared" si="2"/>
        <v>1</v>
      </c>
      <c r="U2268">
        <f t="shared" si="3"/>
        <v>1</v>
      </c>
      <c r="AG2268" s="15"/>
      <c r="AH2268" s="16"/>
      <c r="AM2268" s="15"/>
      <c r="AN2268" s="16"/>
    </row>
    <row r="2269">
      <c r="A2269" s="13" t="s">
        <v>4046</v>
      </c>
      <c r="B2269" s="10">
        <v>38718.0</v>
      </c>
      <c r="C2269" s="11" t="s">
        <v>156</v>
      </c>
      <c r="D2269" s="11" t="s">
        <v>97</v>
      </c>
      <c r="E2269" s="30" t="s">
        <v>39</v>
      </c>
      <c r="F2269" s="11" t="s">
        <v>64</v>
      </c>
      <c r="G2269" s="30" t="s">
        <v>45</v>
      </c>
      <c r="H2269" s="11" t="s">
        <v>276</v>
      </c>
      <c r="I2269" s="11" t="s">
        <v>60</v>
      </c>
      <c r="J2269" s="11">
        <v>23.0</v>
      </c>
      <c r="K2269" s="30"/>
      <c r="L2269" s="30"/>
      <c r="M2269" s="11">
        <v>456522.0</v>
      </c>
      <c r="N2269" s="11" t="s">
        <v>4047</v>
      </c>
      <c r="P2269" s="11">
        <v>0.0</v>
      </c>
      <c r="Q2269" s="14">
        <v>0.0</v>
      </c>
      <c r="R2269" s="41">
        <v>0.0</v>
      </c>
      <c r="S2269">
        <f t="shared" si="1"/>
        <v>2006</v>
      </c>
      <c r="T2269">
        <f t="shared" si="2"/>
        <v>1</v>
      </c>
      <c r="U2269">
        <f t="shared" si="3"/>
        <v>1</v>
      </c>
      <c r="AG2269" s="15"/>
      <c r="AH2269" s="16"/>
      <c r="AM2269" s="15"/>
      <c r="AN2269" s="16"/>
    </row>
    <row r="2270">
      <c r="A2270" s="13" t="s">
        <v>4048</v>
      </c>
      <c r="B2270" s="10">
        <v>38718.0</v>
      </c>
      <c r="C2270" s="11" t="s">
        <v>156</v>
      </c>
      <c r="D2270" s="11" t="s">
        <v>709</v>
      </c>
      <c r="E2270" s="30" t="s">
        <v>39</v>
      </c>
      <c r="F2270" s="11" t="s">
        <v>40</v>
      </c>
      <c r="G2270" s="30" t="s">
        <v>45</v>
      </c>
      <c r="H2270" s="11" t="s">
        <v>56</v>
      </c>
      <c r="I2270" s="11" t="s">
        <v>775</v>
      </c>
      <c r="J2270" s="11">
        <v>22.0</v>
      </c>
      <c r="K2270" s="12">
        <v>39543.0</v>
      </c>
      <c r="L2270" s="30"/>
      <c r="M2270" s="11">
        <v>459983.0</v>
      </c>
      <c r="N2270" s="11">
        <v>4214.0</v>
      </c>
      <c r="P2270" s="11">
        <v>15.0</v>
      </c>
      <c r="Q2270" s="14">
        <v>18.667</v>
      </c>
      <c r="R2270" s="41">
        <v>0.0</v>
      </c>
      <c r="S2270">
        <f t="shared" si="1"/>
        <v>2006</v>
      </c>
      <c r="T2270">
        <f t="shared" si="2"/>
        <v>1</v>
      </c>
      <c r="U2270">
        <f t="shared" si="3"/>
        <v>1</v>
      </c>
      <c r="AG2270" s="15"/>
      <c r="AH2270" s="16"/>
      <c r="AM2270" s="15"/>
      <c r="AN2270" s="16"/>
    </row>
    <row r="2271">
      <c r="A2271" s="13" t="s">
        <v>4049</v>
      </c>
      <c r="B2271" s="10">
        <v>38718.0</v>
      </c>
      <c r="C2271" s="11" t="s">
        <v>186</v>
      </c>
      <c r="D2271" s="11" t="s">
        <v>213</v>
      </c>
      <c r="E2271" s="11" t="s">
        <v>39</v>
      </c>
      <c r="F2271" s="11" t="s">
        <v>40</v>
      </c>
      <c r="G2271" s="11" t="s">
        <v>45</v>
      </c>
      <c r="H2271" s="11" t="s">
        <v>84</v>
      </c>
      <c r="I2271" s="11" t="s">
        <v>4050</v>
      </c>
      <c r="J2271" s="11">
        <v>14.0</v>
      </c>
      <c r="K2271" s="12">
        <v>41077.0</v>
      </c>
      <c r="L2271" s="30"/>
      <c r="M2271" s="11">
        <v>594742.0</v>
      </c>
      <c r="N2271" s="11">
        <v>13560.0</v>
      </c>
      <c r="P2271" s="11">
        <v>36.0</v>
      </c>
      <c r="Q2271" s="14">
        <v>116.667</v>
      </c>
      <c r="R2271" s="41">
        <v>1.0</v>
      </c>
      <c r="S2271">
        <f t="shared" si="1"/>
        <v>2006</v>
      </c>
      <c r="T2271">
        <f t="shared" si="2"/>
        <v>1</v>
      </c>
      <c r="U2271">
        <f t="shared" si="3"/>
        <v>1</v>
      </c>
      <c r="AG2271" s="15"/>
      <c r="AH2271" s="16"/>
      <c r="AM2271" s="15"/>
      <c r="AN2271" s="16"/>
    </row>
    <row r="2272">
      <c r="A2272" s="13" t="s">
        <v>4051</v>
      </c>
      <c r="B2272" s="10">
        <v>38718.0</v>
      </c>
      <c r="C2272" s="11" t="s">
        <v>186</v>
      </c>
      <c r="D2272" s="11" t="s">
        <v>213</v>
      </c>
      <c r="E2272" s="41" t="s">
        <v>118</v>
      </c>
      <c r="F2272" s="11" t="s">
        <v>40</v>
      </c>
      <c r="G2272" s="11" t="s">
        <v>41</v>
      </c>
      <c r="H2272" s="30"/>
      <c r="I2272" s="30"/>
      <c r="J2272" s="11">
        <v>17.0</v>
      </c>
      <c r="K2272" s="12">
        <v>39083.0</v>
      </c>
      <c r="L2272" s="30"/>
      <c r="M2272" s="11">
        <v>468175.0</v>
      </c>
      <c r="N2272" s="11" t="s">
        <v>4052</v>
      </c>
      <c r="P2272" s="11">
        <v>0.0</v>
      </c>
      <c r="Q2272" s="14">
        <v>0.0</v>
      </c>
      <c r="R2272" s="41">
        <v>0.0</v>
      </c>
      <c r="S2272">
        <f t="shared" si="1"/>
        <v>2006</v>
      </c>
      <c r="T2272">
        <f t="shared" si="2"/>
        <v>1</v>
      </c>
      <c r="U2272">
        <f t="shared" si="3"/>
        <v>1</v>
      </c>
      <c r="AG2272" s="15"/>
      <c r="AH2272" s="16"/>
      <c r="AM2272" s="15"/>
      <c r="AN2272" s="16"/>
    </row>
    <row r="2273">
      <c r="A2273" s="13" t="s">
        <v>4053</v>
      </c>
      <c r="B2273" s="10">
        <v>38718.0</v>
      </c>
      <c r="C2273" s="11" t="s">
        <v>186</v>
      </c>
      <c r="D2273" s="11" t="s">
        <v>221</v>
      </c>
      <c r="E2273" s="11" t="s">
        <v>39</v>
      </c>
      <c r="F2273" s="11" t="s">
        <v>40</v>
      </c>
      <c r="G2273" s="11" t="s">
        <v>45</v>
      </c>
      <c r="H2273" s="11" t="s">
        <v>67</v>
      </c>
      <c r="I2273" s="11"/>
      <c r="J2273" s="11">
        <v>19.0</v>
      </c>
      <c r="K2273" s="12">
        <v>39617.0</v>
      </c>
      <c r="L2273" s="30"/>
      <c r="M2273" s="11">
        <v>457764.0</v>
      </c>
      <c r="N2273" s="11" t="s">
        <v>4054</v>
      </c>
      <c r="P2273" s="11">
        <v>0.0</v>
      </c>
      <c r="Q2273" s="14">
        <v>0.0</v>
      </c>
      <c r="R2273" s="41">
        <v>0.0</v>
      </c>
      <c r="S2273">
        <f t="shared" si="1"/>
        <v>2006</v>
      </c>
      <c r="T2273">
        <f t="shared" si="2"/>
        <v>1</v>
      </c>
      <c r="U2273">
        <f t="shared" si="3"/>
        <v>1</v>
      </c>
      <c r="AG2273" s="15"/>
      <c r="AH2273" s="16"/>
      <c r="AM2273" s="15"/>
      <c r="AN2273" s="16"/>
    </row>
    <row r="2274">
      <c r="A2274" s="13" t="s">
        <v>4055</v>
      </c>
      <c r="B2274" s="10">
        <v>38718.0</v>
      </c>
      <c r="C2274" s="11" t="s">
        <v>235</v>
      </c>
      <c r="D2274" s="11" t="s">
        <v>77</v>
      </c>
      <c r="E2274" s="30" t="s">
        <v>39</v>
      </c>
      <c r="F2274" s="11" t="s">
        <v>40</v>
      </c>
      <c r="G2274" s="41" t="s">
        <v>194</v>
      </c>
      <c r="H2274" s="30"/>
      <c r="I2274" s="30"/>
      <c r="J2274" s="11">
        <v>24.0</v>
      </c>
      <c r="K2274" s="12">
        <v>39277.0</v>
      </c>
      <c r="L2274" s="30"/>
      <c r="M2274" s="11">
        <v>434594.0</v>
      </c>
      <c r="N2274" s="11" t="s">
        <v>4056</v>
      </c>
      <c r="P2274" s="11">
        <v>0.0</v>
      </c>
      <c r="Q2274" s="14">
        <v>0.0</v>
      </c>
      <c r="R2274" s="41">
        <v>0.0</v>
      </c>
      <c r="S2274">
        <f t="shared" si="1"/>
        <v>2006</v>
      </c>
      <c r="T2274">
        <f t="shared" si="2"/>
        <v>1</v>
      </c>
      <c r="U2274">
        <f t="shared" si="3"/>
        <v>1</v>
      </c>
      <c r="AG2274" s="15"/>
      <c r="AH2274" s="16"/>
      <c r="AM2274" s="15"/>
      <c r="AN2274" s="16"/>
    </row>
    <row r="2275">
      <c r="A2275" s="13" t="s">
        <v>4057</v>
      </c>
      <c r="B2275" s="10">
        <v>38687.0</v>
      </c>
      <c r="C2275" s="11" t="s">
        <v>358</v>
      </c>
      <c r="D2275" s="11" t="s">
        <v>88</v>
      </c>
      <c r="E2275" s="11" t="s">
        <v>39</v>
      </c>
      <c r="F2275" s="11" t="s">
        <v>40</v>
      </c>
      <c r="G2275" s="11" t="s">
        <v>45</v>
      </c>
      <c r="H2275" s="11" t="s">
        <v>159</v>
      </c>
      <c r="I2275" s="11" t="s">
        <v>2131</v>
      </c>
      <c r="J2275" s="11">
        <v>23.0</v>
      </c>
      <c r="K2275" s="12">
        <v>39181.0</v>
      </c>
      <c r="L2275" s="11">
        <f t="shared" ref="L2275:L2276" si="238">ROUND(((K2275-B2275)/365)*12,0)</f>
        <v>16</v>
      </c>
      <c r="M2275" s="11">
        <v>458250.0</v>
      </c>
      <c r="N2275" s="11">
        <v>6164.0</v>
      </c>
      <c r="P2275" s="11">
        <v>80.0</v>
      </c>
      <c r="Q2275" s="14">
        <v>83.0</v>
      </c>
      <c r="R2275" s="41">
        <v>0.0</v>
      </c>
      <c r="S2275">
        <f t="shared" si="1"/>
        <v>2005</v>
      </c>
      <c r="T2275">
        <f t="shared" si="2"/>
        <v>12</v>
      </c>
      <c r="U2275">
        <f t="shared" si="3"/>
        <v>1</v>
      </c>
      <c r="AG2275" s="15"/>
      <c r="AH2275" s="16"/>
      <c r="AM2275" s="15"/>
      <c r="AN2275" s="16"/>
    </row>
    <row r="2276">
      <c r="A2276" s="13" t="s">
        <v>4058</v>
      </c>
      <c r="B2276" s="10">
        <v>38685.0</v>
      </c>
      <c r="C2276" s="11" t="s">
        <v>186</v>
      </c>
      <c r="D2276" s="11" t="s">
        <v>709</v>
      </c>
      <c r="E2276" s="41" t="s">
        <v>104</v>
      </c>
      <c r="F2276" s="11" t="s">
        <v>40</v>
      </c>
      <c r="G2276" s="30" t="s">
        <v>45</v>
      </c>
      <c r="H2276" s="30"/>
      <c r="I2276" s="11" t="s">
        <v>56</v>
      </c>
      <c r="J2276" s="11">
        <v>21.0</v>
      </c>
      <c r="K2276" s="12">
        <v>39177.0</v>
      </c>
      <c r="L2276" s="11">
        <f t="shared" si="238"/>
        <v>16</v>
      </c>
      <c r="M2276" s="11">
        <v>460003.0</v>
      </c>
      <c r="N2276" s="11">
        <v>5199.0</v>
      </c>
      <c r="P2276" s="11">
        <v>180.0</v>
      </c>
      <c r="Q2276" s="14">
        <v>563.0</v>
      </c>
      <c r="R2276" s="11">
        <v>0.0</v>
      </c>
      <c r="S2276">
        <f t="shared" si="1"/>
        <v>2005</v>
      </c>
      <c r="T2276">
        <f t="shared" si="2"/>
        <v>11</v>
      </c>
      <c r="U2276">
        <f t="shared" si="3"/>
        <v>29</v>
      </c>
      <c r="AG2276" s="15"/>
      <c r="AH2276" s="16"/>
      <c r="AM2276" s="15"/>
      <c r="AN2276" s="16"/>
    </row>
    <row r="2277">
      <c r="A2277" s="13" t="s">
        <v>4059</v>
      </c>
      <c r="B2277" s="10">
        <v>38643.0</v>
      </c>
      <c r="C2277" s="11" t="s">
        <v>83</v>
      </c>
      <c r="D2277" s="11" t="s">
        <v>38</v>
      </c>
      <c r="E2277" s="30" t="s">
        <v>39</v>
      </c>
      <c r="F2277" s="11" t="s">
        <v>40</v>
      </c>
      <c r="G2277" s="41" t="s">
        <v>41</v>
      </c>
      <c r="H2277" s="30"/>
      <c r="I2277" s="30"/>
      <c r="J2277" s="11">
        <v>35.0</v>
      </c>
      <c r="K2277" s="12">
        <v>39177.0</v>
      </c>
      <c r="L2277" s="30"/>
      <c r="M2277" s="11">
        <v>121099.0</v>
      </c>
      <c r="N2277" s="11">
        <v>1005.0</v>
      </c>
      <c r="O2277" s="13" t="s">
        <v>1332</v>
      </c>
      <c r="P2277" s="11">
        <v>87.0</v>
      </c>
      <c r="Q2277" s="45">
        <v>83.33299999999998</v>
      </c>
      <c r="R2277" s="41">
        <v>0.0</v>
      </c>
      <c r="S2277">
        <f t="shared" si="1"/>
        <v>2005</v>
      </c>
      <c r="T2277">
        <f t="shared" si="2"/>
        <v>10</v>
      </c>
      <c r="U2277">
        <f t="shared" si="3"/>
        <v>18</v>
      </c>
      <c r="AG2277" s="15"/>
      <c r="AH2277" s="16"/>
      <c r="AM2277" s="15"/>
      <c r="AN2277" s="16"/>
    </row>
    <row r="2278">
      <c r="A2278" s="13" t="s">
        <v>4060</v>
      </c>
      <c r="B2278" s="10">
        <v>38621.0</v>
      </c>
      <c r="C2278" s="11" t="s">
        <v>116</v>
      </c>
      <c r="D2278" s="11" t="s">
        <v>38</v>
      </c>
      <c r="E2278" s="30" t="s">
        <v>39</v>
      </c>
      <c r="F2278" s="11" t="s">
        <v>64</v>
      </c>
      <c r="G2278" s="30" t="s">
        <v>45</v>
      </c>
      <c r="H2278" s="11" t="s">
        <v>84</v>
      </c>
      <c r="I2278" s="11"/>
      <c r="J2278" s="11">
        <v>32.0</v>
      </c>
      <c r="K2278" s="12">
        <v>39655.0</v>
      </c>
      <c r="L2278" s="11">
        <f t="shared" ref="L2278:L2280" si="239">ROUND(((K2278-B2278)/365)*12,0)</f>
        <v>34</v>
      </c>
      <c r="M2278" s="11">
        <v>115399.0</v>
      </c>
      <c r="N2278" s="11">
        <v>430.0</v>
      </c>
      <c r="O2278" s="13" t="s">
        <v>1407</v>
      </c>
      <c r="P2278" s="11">
        <v>44.0</v>
      </c>
      <c r="Q2278" s="45">
        <v>194.33299999999997</v>
      </c>
      <c r="R2278" s="41">
        <v>0.0</v>
      </c>
      <c r="S2278">
        <f t="shared" si="1"/>
        <v>2005</v>
      </c>
      <c r="T2278">
        <f t="shared" si="2"/>
        <v>9</v>
      </c>
      <c r="U2278">
        <f t="shared" si="3"/>
        <v>26</v>
      </c>
      <c r="V2278" s="13"/>
      <c r="W2278" s="13"/>
      <c r="X2278" s="13"/>
      <c r="Y2278" s="13"/>
      <c r="Z2278" s="13"/>
      <c r="AA2278" s="13"/>
      <c r="AB2278" s="13"/>
      <c r="AC2278" s="13"/>
      <c r="AD2278" s="13"/>
      <c r="AE2278" s="13">
        <v>12.0</v>
      </c>
      <c r="AF2278" s="13">
        <v>12.0</v>
      </c>
      <c r="AG2278" s="50">
        <v>69.333</v>
      </c>
      <c r="AH2278" s="51">
        <v>0.032</v>
      </c>
      <c r="AI2278" s="13">
        <v>84.0</v>
      </c>
      <c r="AJ2278" s="13">
        <v>94.0</v>
      </c>
      <c r="AK2278" s="13">
        <v>13.0</v>
      </c>
      <c r="AL2278" s="13">
        <v>13.0</v>
      </c>
      <c r="AM2278" s="50">
        <v>78.0</v>
      </c>
      <c r="AN2278" s="51">
        <v>0.03</v>
      </c>
      <c r="AO2278" s="13">
        <v>115.0</v>
      </c>
      <c r="AP2278" s="13">
        <v>115.0</v>
      </c>
    </row>
    <row r="2279">
      <c r="A2279" s="13" t="s">
        <v>4061</v>
      </c>
      <c r="B2279" s="10">
        <v>38611.0</v>
      </c>
      <c r="C2279" s="11" t="s">
        <v>126</v>
      </c>
      <c r="D2279" s="11" t="s">
        <v>38</v>
      </c>
      <c r="E2279" s="41" t="s">
        <v>982</v>
      </c>
      <c r="F2279" s="11" t="s">
        <v>40</v>
      </c>
      <c r="G2279" s="11" t="s">
        <v>53</v>
      </c>
      <c r="H2279" s="30"/>
      <c r="I2279" s="30"/>
      <c r="J2279" s="11">
        <v>25.0</v>
      </c>
      <c r="K2279" s="12">
        <v>38888.0</v>
      </c>
      <c r="L2279" s="11">
        <f t="shared" si="239"/>
        <v>9</v>
      </c>
      <c r="M2279" s="11">
        <v>285131.0</v>
      </c>
      <c r="N2279" s="11">
        <v>656.0</v>
      </c>
      <c r="O2279" s="13" t="s">
        <v>4062</v>
      </c>
      <c r="P2279" s="11">
        <v>706.0</v>
      </c>
      <c r="Q2279" s="45">
        <v>2272.0</v>
      </c>
      <c r="R2279" s="41">
        <v>0.0</v>
      </c>
      <c r="S2279">
        <f t="shared" si="1"/>
        <v>2005</v>
      </c>
      <c r="T2279">
        <f t="shared" si="2"/>
        <v>9</v>
      </c>
      <c r="U2279">
        <f t="shared" si="3"/>
        <v>16</v>
      </c>
      <c r="AG2279" s="15"/>
      <c r="AH2279" s="16"/>
      <c r="AM2279" s="15"/>
      <c r="AN2279" s="16"/>
    </row>
    <row r="2280">
      <c r="A2280" s="13" t="s">
        <v>4063</v>
      </c>
      <c r="B2280" s="10">
        <v>38587.0</v>
      </c>
      <c r="C2280" s="11" t="s">
        <v>230</v>
      </c>
      <c r="D2280" s="11" t="s">
        <v>38</v>
      </c>
      <c r="E2280" s="30" t="s">
        <v>39</v>
      </c>
      <c r="F2280" s="11" t="s">
        <v>40</v>
      </c>
      <c r="G2280" s="41" t="s">
        <v>326</v>
      </c>
      <c r="H2280" s="30"/>
      <c r="I2280" s="30"/>
      <c r="J2280" s="11">
        <v>26.0</v>
      </c>
      <c r="K2280" s="12">
        <v>38986.0</v>
      </c>
      <c r="L2280" s="11">
        <f t="shared" si="239"/>
        <v>13</v>
      </c>
      <c r="M2280" s="11">
        <v>435658.0</v>
      </c>
      <c r="N2280" s="11">
        <v>8686.0</v>
      </c>
      <c r="O2280" s="13" t="s">
        <v>3309</v>
      </c>
      <c r="P2280" s="11">
        <v>50.0</v>
      </c>
      <c r="Q2280" s="14">
        <v>178.667</v>
      </c>
      <c r="R2280" s="41">
        <v>0.0</v>
      </c>
      <c r="S2280">
        <f t="shared" si="1"/>
        <v>2005</v>
      </c>
      <c r="T2280">
        <f t="shared" si="2"/>
        <v>8</v>
      </c>
      <c r="U2280">
        <f t="shared" si="3"/>
        <v>23</v>
      </c>
      <c r="V2280" s="13"/>
      <c r="W2280" s="13"/>
      <c r="X2280" s="13"/>
      <c r="Y2280" s="13"/>
      <c r="Z2280" s="13"/>
      <c r="AA2280" s="13"/>
      <c r="AB2280" s="13"/>
      <c r="AC2280" s="13"/>
      <c r="AD2280" s="13"/>
      <c r="AE2280" s="13">
        <v>2.0</v>
      </c>
      <c r="AF2280" s="13">
        <v>1.0</v>
      </c>
      <c r="AG2280" s="50">
        <v>2.0</v>
      </c>
      <c r="AH2280" s="51">
        <v>0.0</v>
      </c>
      <c r="AI2280" s="13">
        <v>0.0</v>
      </c>
      <c r="AJ2280" s="13">
        <v>83.0</v>
      </c>
      <c r="AK2280" s="13">
        <v>1.0</v>
      </c>
      <c r="AL2280" s="13">
        <v>0.0</v>
      </c>
      <c r="AM2280" s="50">
        <v>2.333</v>
      </c>
      <c r="AN2280" s="51">
        <v>0.091</v>
      </c>
      <c r="AO2280" s="13">
        <v>351.0</v>
      </c>
      <c r="AP2280" s="13">
        <v>52.0</v>
      </c>
    </row>
    <row r="2281">
      <c r="A2281" s="13" t="s">
        <v>4064</v>
      </c>
      <c r="B2281" s="10">
        <v>38565.0</v>
      </c>
      <c r="C2281" s="11" t="s">
        <v>37</v>
      </c>
      <c r="D2281" s="11" t="s">
        <v>38</v>
      </c>
      <c r="E2281" s="30" t="s">
        <v>39</v>
      </c>
      <c r="F2281" s="11" t="s">
        <v>40</v>
      </c>
      <c r="G2281" s="30" t="s">
        <v>45</v>
      </c>
      <c r="H2281" s="11" t="s">
        <v>84</v>
      </c>
      <c r="I2281" s="11" t="s">
        <v>1461</v>
      </c>
      <c r="J2281" s="11">
        <v>25.0</v>
      </c>
      <c r="K2281" s="30"/>
      <c r="L2281" s="30"/>
      <c r="M2281" s="11">
        <v>407486.0</v>
      </c>
      <c r="N2281" s="11">
        <v>1484.0</v>
      </c>
      <c r="O2281" s="13" t="s">
        <v>761</v>
      </c>
      <c r="P2281" s="11">
        <v>0.0</v>
      </c>
      <c r="Q2281" s="45">
        <v>0.0</v>
      </c>
      <c r="R2281" s="41">
        <v>0.0</v>
      </c>
      <c r="S2281">
        <f t="shared" si="1"/>
        <v>2005</v>
      </c>
      <c r="T2281">
        <f t="shared" si="2"/>
        <v>8</v>
      </c>
      <c r="U2281">
        <f t="shared" si="3"/>
        <v>1</v>
      </c>
      <c r="V2281" s="13"/>
      <c r="W2281" s="13"/>
      <c r="X2281" s="13"/>
      <c r="Y2281" s="13"/>
      <c r="Z2281" s="13"/>
      <c r="AA2281" s="13"/>
      <c r="AB2281" s="13"/>
      <c r="AC2281" s="13"/>
      <c r="AD2281" s="13"/>
      <c r="AE2281" s="13">
        <v>33.0</v>
      </c>
      <c r="AF2281" s="13">
        <v>0.0</v>
      </c>
      <c r="AG2281" s="50">
        <v>42.0</v>
      </c>
      <c r="AH2281" s="51">
        <v>0.132</v>
      </c>
      <c r="AI2281" s="13">
        <v>99.0</v>
      </c>
      <c r="AJ2281" s="13">
        <v>62.0</v>
      </c>
      <c r="AK2281" s="13">
        <v>0.0</v>
      </c>
      <c r="AL2281" s="13">
        <v>0.0</v>
      </c>
      <c r="AM2281" s="50">
        <v>0.0</v>
      </c>
      <c r="AN2281" s="51">
        <v>0.0</v>
      </c>
      <c r="AO2281" s="13">
        <v>0.0</v>
      </c>
      <c r="AP2281" s="13">
        <v>0.0</v>
      </c>
    </row>
    <row r="2282">
      <c r="A2282" s="13" t="s">
        <v>4065</v>
      </c>
      <c r="B2282" s="10">
        <v>38555.0</v>
      </c>
      <c r="C2282" s="11" t="s">
        <v>274</v>
      </c>
      <c r="D2282" s="11" t="s">
        <v>38</v>
      </c>
      <c r="E2282" s="41" t="s">
        <v>660</v>
      </c>
      <c r="F2282" s="11" t="s">
        <v>64</v>
      </c>
      <c r="G2282" s="11" t="s">
        <v>326</v>
      </c>
      <c r="H2282" s="30"/>
      <c r="I2282" s="30"/>
      <c r="J2282" s="11">
        <v>31.0</v>
      </c>
      <c r="K2282" s="30"/>
      <c r="L2282" s="30"/>
      <c r="M2282" s="11">
        <v>220194.0</v>
      </c>
      <c r="N2282" s="11">
        <v>1413.0</v>
      </c>
      <c r="O2282" s="13" t="s">
        <v>3309</v>
      </c>
      <c r="P2282" s="11">
        <v>0.0</v>
      </c>
      <c r="Q2282" s="45">
        <v>0.0</v>
      </c>
      <c r="R2282" s="41">
        <v>0.0</v>
      </c>
      <c r="S2282">
        <f t="shared" si="1"/>
        <v>2005</v>
      </c>
      <c r="T2282">
        <f t="shared" si="2"/>
        <v>7</v>
      </c>
      <c r="U2282">
        <f t="shared" si="3"/>
        <v>22</v>
      </c>
      <c r="AG2282" s="15"/>
      <c r="AH2282" s="16"/>
      <c r="AM2282" s="15"/>
      <c r="AN2282" s="16"/>
    </row>
    <row r="2283">
      <c r="A2283" s="13" t="s">
        <v>4066</v>
      </c>
      <c r="B2283" s="10">
        <v>38555.0</v>
      </c>
      <c r="C2283" s="11" t="s">
        <v>83</v>
      </c>
      <c r="D2283" s="11" t="s">
        <v>97</v>
      </c>
      <c r="E2283" s="30" t="s">
        <v>39</v>
      </c>
      <c r="F2283" s="11" t="s">
        <v>40</v>
      </c>
      <c r="G2283" s="30" t="s">
        <v>45</v>
      </c>
      <c r="H2283" s="11" t="s">
        <v>74</v>
      </c>
      <c r="I2283" s="11"/>
      <c r="J2283" s="11">
        <v>21.0</v>
      </c>
      <c r="K2283" s="12">
        <v>39255.0</v>
      </c>
      <c r="L2283" s="11">
        <f>ROUND(((K2283-B2283)/365)*12,0)</f>
        <v>23</v>
      </c>
      <c r="M2283" s="11">
        <v>449072.0</v>
      </c>
      <c r="N2283" s="11">
        <v>4845.0</v>
      </c>
      <c r="O2283" s="13" t="s">
        <v>1332</v>
      </c>
      <c r="P2283" s="11">
        <v>268.0</v>
      </c>
      <c r="Q2283" s="14">
        <v>387.333</v>
      </c>
      <c r="R2283" s="41">
        <v>0.0</v>
      </c>
      <c r="S2283">
        <f t="shared" si="1"/>
        <v>2005</v>
      </c>
      <c r="T2283">
        <f t="shared" si="2"/>
        <v>7</v>
      </c>
      <c r="U2283">
        <f t="shared" si="3"/>
        <v>22</v>
      </c>
      <c r="AG2283" s="15"/>
      <c r="AH2283" s="16"/>
      <c r="AM2283" s="15"/>
      <c r="AN2283" s="16"/>
    </row>
    <row r="2284">
      <c r="A2284" s="13" t="s">
        <v>4008</v>
      </c>
      <c r="B2284" s="10">
        <v>38554.0</v>
      </c>
      <c r="C2284" s="11" t="s">
        <v>358</v>
      </c>
      <c r="D2284" s="11" t="s">
        <v>38</v>
      </c>
      <c r="E2284" s="30" t="s">
        <v>39</v>
      </c>
      <c r="F2284" s="11" t="s">
        <v>64</v>
      </c>
      <c r="G2284" s="30" t="s">
        <v>45</v>
      </c>
      <c r="H2284" s="11" t="s">
        <v>236</v>
      </c>
      <c r="I2284" s="11" t="s">
        <v>2229</v>
      </c>
      <c r="J2284" s="11">
        <v>33.0</v>
      </c>
      <c r="K2284" s="30"/>
      <c r="L2284" s="30"/>
      <c r="M2284" s="11">
        <v>110230.0</v>
      </c>
      <c r="N2284" s="11">
        <v>6144.0</v>
      </c>
      <c r="O2284" s="13" t="s">
        <v>355</v>
      </c>
      <c r="P2284" s="11">
        <v>0.0</v>
      </c>
      <c r="Q2284" s="45">
        <v>0.0</v>
      </c>
      <c r="R2284" s="41">
        <v>0.0</v>
      </c>
      <c r="S2284">
        <f t="shared" si="1"/>
        <v>2005</v>
      </c>
      <c r="T2284">
        <f t="shared" si="2"/>
        <v>7</v>
      </c>
      <c r="U2284">
        <f t="shared" si="3"/>
        <v>21</v>
      </c>
      <c r="V2284" s="13"/>
      <c r="W2284" s="13"/>
      <c r="X2284" s="13"/>
      <c r="Y2284" s="13"/>
      <c r="Z2284" s="13"/>
      <c r="AA2284" s="13"/>
      <c r="AB2284" s="13"/>
      <c r="AC2284" s="13"/>
      <c r="AD2284" s="13"/>
      <c r="AE2284" s="13">
        <v>6.0</v>
      </c>
      <c r="AF2284" s="13">
        <v>6.0</v>
      </c>
      <c r="AG2284" s="50">
        <v>30.667</v>
      </c>
      <c r="AH2284" s="51">
        <v>0.098</v>
      </c>
      <c r="AI2284" s="13">
        <v>151.0</v>
      </c>
      <c r="AJ2284" s="13">
        <v>123.0</v>
      </c>
      <c r="AK2284" s="13">
        <v>0.0</v>
      </c>
      <c r="AL2284" s="13">
        <v>0.0</v>
      </c>
      <c r="AM2284" s="50">
        <v>0.0</v>
      </c>
      <c r="AN2284" s="51">
        <v>0.0</v>
      </c>
      <c r="AO2284" s="13">
        <v>0.0</v>
      </c>
      <c r="AP2284" s="13">
        <v>0.0</v>
      </c>
    </row>
    <row r="2285">
      <c r="A2285" s="13" t="s">
        <v>4067</v>
      </c>
      <c r="B2285" s="10">
        <v>38553.0</v>
      </c>
      <c r="C2285" s="11" t="s">
        <v>49</v>
      </c>
      <c r="D2285" s="11" t="s">
        <v>77</v>
      </c>
      <c r="E2285" s="30" t="s">
        <v>39</v>
      </c>
      <c r="F2285" s="11" t="s">
        <v>40</v>
      </c>
      <c r="G2285" s="30" t="s">
        <v>45</v>
      </c>
      <c r="H2285" s="11" t="s">
        <v>56</v>
      </c>
      <c r="I2285" s="11" t="s">
        <v>775</v>
      </c>
      <c r="J2285" s="11">
        <v>22.0</v>
      </c>
      <c r="K2285" s="12">
        <v>38933.0</v>
      </c>
      <c r="L2285" s="11">
        <f t="shared" ref="L2285:L2287" si="240">ROUND(((K2285-B2285)/365)*12,0)</f>
        <v>12</v>
      </c>
      <c r="M2285" s="11">
        <v>458950.0</v>
      </c>
      <c r="N2285" s="11">
        <v>8586.0</v>
      </c>
      <c r="P2285" s="11">
        <v>97.0</v>
      </c>
      <c r="Q2285" s="14">
        <v>371.0</v>
      </c>
      <c r="R2285" s="41">
        <v>0.0</v>
      </c>
      <c r="S2285">
        <f t="shared" si="1"/>
        <v>2005</v>
      </c>
      <c r="T2285">
        <f t="shared" si="2"/>
        <v>7</v>
      </c>
      <c r="U2285">
        <f t="shared" si="3"/>
        <v>20</v>
      </c>
      <c r="AG2285" s="15"/>
      <c r="AH2285" s="16"/>
      <c r="AM2285" s="15"/>
      <c r="AN2285" s="16"/>
    </row>
    <row r="2286">
      <c r="A2286" s="13" t="s">
        <v>4068</v>
      </c>
      <c r="B2286" s="10">
        <v>38551.0</v>
      </c>
      <c r="C2286" s="11" t="s">
        <v>44</v>
      </c>
      <c r="D2286" s="11" t="s">
        <v>77</v>
      </c>
      <c r="E2286" s="30" t="s">
        <v>39</v>
      </c>
      <c r="F2286" s="11" t="s">
        <v>40</v>
      </c>
      <c r="G2286" s="30" t="s">
        <v>45</v>
      </c>
      <c r="H2286" s="11" t="s">
        <v>67</v>
      </c>
      <c r="I2286" s="11"/>
      <c r="J2286" s="11">
        <v>22.0</v>
      </c>
      <c r="K2286" s="12">
        <v>39182.0</v>
      </c>
      <c r="L2286" s="11">
        <f t="shared" si="240"/>
        <v>21</v>
      </c>
      <c r="M2286" s="11">
        <v>455605.0</v>
      </c>
      <c r="N2286" s="11">
        <v>3685.0</v>
      </c>
      <c r="P2286" s="11">
        <v>24.0</v>
      </c>
      <c r="Q2286" s="14">
        <v>125.0</v>
      </c>
      <c r="R2286" s="41">
        <v>0.0</v>
      </c>
      <c r="S2286">
        <f t="shared" si="1"/>
        <v>2005</v>
      </c>
      <c r="T2286">
        <f t="shared" si="2"/>
        <v>7</v>
      </c>
      <c r="U2286">
        <f t="shared" si="3"/>
        <v>18</v>
      </c>
      <c r="AG2286" s="15"/>
      <c r="AH2286" s="16"/>
      <c r="AM2286" s="15"/>
      <c r="AN2286" s="16"/>
    </row>
    <row r="2287">
      <c r="A2287" s="13" t="s">
        <v>4069</v>
      </c>
      <c r="B2287" s="10">
        <v>38548.0</v>
      </c>
      <c r="C2287" s="11" t="s">
        <v>138</v>
      </c>
      <c r="D2287" s="11" t="s">
        <v>77</v>
      </c>
      <c r="E2287" s="30" t="s">
        <v>39</v>
      </c>
      <c r="F2287" s="11" t="s">
        <v>64</v>
      </c>
      <c r="G2287" s="30" t="s">
        <v>45</v>
      </c>
      <c r="H2287" s="11" t="s">
        <v>109</v>
      </c>
      <c r="I2287" s="11"/>
      <c r="J2287" s="11">
        <v>27.0</v>
      </c>
      <c r="K2287" s="12">
        <v>39318.0</v>
      </c>
      <c r="L2287" s="11">
        <f t="shared" si="240"/>
        <v>25</v>
      </c>
      <c r="M2287" s="11">
        <v>332292.0</v>
      </c>
      <c r="N2287" s="11">
        <v>160.0</v>
      </c>
      <c r="P2287" s="11">
        <v>75.0</v>
      </c>
      <c r="Q2287" s="14">
        <v>100.333</v>
      </c>
      <c r="R2287" s="41">
        <v>0.0</v>
      </c>
      <c r="S2287">
        <f t="shared" si="1"/>
        <v>2005</v>
      </c>
      <c r="T2287">
        <f t="shared" si="2"/>
        <v>7</v>
      </c>
      <c r="U2287">
        <f t="shared" si="3"/>
        <v>15</v>
      </c>
      <c r="AG2287" s="15"/>
      <c r="AH2287" s="16"/>
      <c r="AM2287" s="15"/>
      <c r="AN2287" s="16"/>
    </row>
    <row r="2288">
      <c r="A2288" s="13" t="s">
        <v>4070</v>
      </c>
      <c r="B2288" s="10">
        <v>38534.0</v>
      </c>
      <c r="C2288" s="11" t="s">
        <v>126</v>
      </c>
      <c r="D2288" s="11" t="s">
        <v>38</v>
      </c>
      <c r="E2288" s="30" t="s">
        <v>39</v>
      </c>
      <c r="F2288" s="11" t="s">
        <v>64</v>
      </c>
      <c r="G2288" s="30" t="s">
        <v>45</v>
      </c>
      <c r="H2288" s="11" t="s">
        <v>84</v>
      </c>
      <c r="I2288" s="11"/>
      <c r="J2288" s="11">
        <v>24.0</v>
      </c>
      <c r="K2288" s="30"/>
      <c r="L2288" s="30"/>
      <c r="M2288" s="11">
        <v>425663.0</v>
      </c>
      <c r="N2288" s="11">
        <v>2126.0</v>
      </c>
      <c r="O2288" s="13" t="s">
        <v>4062</v>
      </c>
      <c r="P2288" s="11">
        <v>0.0</v>
      </c>
      <c r="Q2288" s="45">
        <v>0.0</v>
      </c>
      <c r="R2288" s="41">
        <v>0.0</v>
      </c>
      <c r="S2288">
        <f t="shared" si="1"/>
        <v>2005</v>
      </c>
      <c r="T2288">
        <f t="shared" si="2"/>
        <v>7</v>
      </c>
      <c r="U2288">
        <f t="shared" si="3"/>
        <v>1</v>
      </c>
      <c r="V2288" s="13"/>
      <c r="W2288" s="13"/>
      <c r="X2288" s="13"/>
      <c r="Y2288" s="13"/>
      <c r="Z2288" s="13"/>
      <c r="AA2288" s="13"/>
      <c r="AB2288" s="13"/>
      <c r="AC2288" s="13"/>
      <c r="AD2288" s="13"/>
      <c r="AE2288" s="13">
        <v>4.0</v>
      </c>
      <c r="AF2288" s="13">
        <v>3.0</v>
      </c>
      <c r="AG2288" s="50">
        <v>18.0</v>
      </c>
      <c r="AH2288" s="51">
        <v>0.041</v>
      </c>
      <c r="AI2288" s="13">
        <v>84.0</v>
      </c>
      <c r="AJ2288" s="13">
        <v>77.0</v>
      </c>
      <c r="AK2288" s="13">
        <v>0.0</v>
      </c>
      <c r="AL2288" s="13">
        <v>0.0</v>
      </c>
      <c r="AM2288" s="50">
        <v>0.0</v>
      </c>
      <c r="AN2288" s="51">
        <v>0.0</v>
      </c>
      <c r="AO2288" s="13">
        <v>0.0</v>
      </c>
      <c r="AP2288" s="13">
        <v>0.0</v>
      </c>
    </row>
    <row r="2289">
      <c r="A2289" s="13" t="s">
        <v>3308</v>
      </c>
      <c r="B2289" s="10">
        <v>38534.0</v>
      </c>
      <c r="C2289" s="11" t="s">
        <v>150</v>
      </c>
      <c r="D2289" s="11" t="s">
        <v>38</v>
      </c>
      <c r="E2289" s="30" t="s">
        <v>39</v>
      </c>
      <c r="F2289" s="11" t="s">
        <v>64</v>
      </c>
      <c r="G2289" s="30" t="s">
        <v>45</v>
      </c>
      <c r="H2289" s="11" t="s">
        <v>67</v>
      </c>
      <c r="I2289" s="11" t="s">
        <v>878</v>
      </c>
      <c r="J2289" s="11">
        <v>28.0</v>
      </c>
      <c r="K2289" s="12">
        <v>38928.0</v>
      </c>
      <c r="L2289" s="11">
        <f t="shared" ref="L2289:L2291" si="241">ROUND(((K2289-B2289)/365)*12,0)</f>
        <v>13</v>
      </c>
      <c r="M2289" s="11">
        <v>150116.0</v>
      </c>
      <c r="N2289" s="11">
        <v>976.0</v>
      </c>
      <c r="O2289" s="13" t="s">
        <v>3309</v>
      </c>
      <c r="P2289" s="11">
        <v>194.0</v>
      </c>
      <c r="Q2289" s="14">
        <v>1149.667</v>
      </c>
      <c r="R2289" s="41">
        <v>0.0</v>
      </c>
      <c r="S2289">
        <f t="shared" si="1"/>
        <v>2005</v>
      </c>
      <c r="T2289">
        <f t="shared" si="2"/>
        <v>7</v>
      </c>
      <c r="U2289">
        <f t="shared" si="3"/>
        <v>1</v>
      </c>
      <c r="V2289" s="13"/>
      <c r="W2289" s="13"/>
      <c r="X2289" s="13"/>
      <c r="Y2289" s="13"/>
      <c r="Z2289" s="13"/>
      <c r="AA2289" s="13"/>
      <c r="AB2289" s="13"/>
      <c r="AC2289" s="13"/>
      <c r="AD2289" s="13"/>
      <c r="AE2289" s="13">
        <v>13.0</v>
      </c>
      <c r="AF2289" s="13">
        <v>13.0</v>
      </c>
      <c r="AG2289" s="50">
        <v>80.0</v>
      </c>
      <c r="AH2289" s="51">
        <v>0.101</v>
      </c>
      <c r="AI2289" s="13">
        <v>101.0</v>
      </c>
      <c r="AJ2289" s="13">
        <v>114.0</v>
      </c>
      <c r="AK2289" s="13">
        <v>12.0</v>
      </c>
      <c r="AL2289" s="13">
        <v>12.0</v>
      </c>
      <c r="AM2289" s="50">
        <v>56.667</v>
      </c>
      <c r="AN2289" s="51">
        <v>0.042</v>
      </c>
      <c r="AO2289" s="13">
        <v>121.0</v>
      </c>
      <c r="AP2289" s="13">
        <v>139.0</v>
      </c>
    </row>
    <row r="2290">
      <c r="A2290" s="13" t="s">
        <v>4071</v>
      </c>
      <c r="B2290" s="10">
        <v>38534.0</v>
      </c>
      <c r="C2290" s="11" t="s">
        <v>186</v>
      </c>
      <c r="D2290" s="11" t="s">
        <v>221</v>
      </c>
      <c r="E2290" s="30" t="s">
        <v>39</v>
      </c>
      <c r="F2290" s="11" t="s">
        <v>64</v>
      </c>
      <c r="G2290" s="30" t="s">
        <v>45</v>
      </c>
      <c r="H2290" s="11" t="s">
        <v>67</v>
      </c>
      <c r="I2290" s="11" t="s">
        <v>3715</v>
      </c>
      <c r="J2290" s="11">
        <v>25.0</v>
      </c>
      <c r="K2290" s="12">
        <v>39180.0</v>
      </c>
      <c r="L2290" s="11">
        <f t="shared" si="241"/>
        <v>21</v>
      </c>
      <c r="M2290" s="11">
        <v>235494.0</v>
      </c>
      <c r="N2290" s="11">
        <v>164.0</v>
      </c>
      <c r="P2290" s="11">
        <v>0.0</v>
      </c>
      <c r="Q2290" s="14">
        <v>0.0</v>
      </c>
      <c r="R2290" s="41">
        <v>0.0</v>
      </c>
      <c r="S2290">
        <f t="shared" si="1"/>
        <v>2005</v>
      </c>
      <c r="T2290">
        <f t="shared" si="2"/>
        <v>7</v>
      </c>
      <c r="U2290">
        <f t="shared" si="3"/>
        <v>1</v>
      </c>
      <c r="AG2290" s="15"/>
      <c r="AH2290" s="16"/>
      <c r="AM2290" s="15"/>
      <c r="AN2290" s="16"/>
    </row>
    <row r="2291">
      <c r="A2291" s="13" t="s">
        <v>4072</v>
      </c>
      <c r="B2291" s="10">
        <v>38531.0</v>
      </c>
      <c r="C2291" s="11" t="s">
        <v>143</v>
      </c>
      <c r="D2291" s="11" t="s">
        <v>58</v>
      </c>
      <c r="E2291" s="41" t="s">
        <v>104</v>
      </c>
      <c r="F2291" s="11" t="s">
        <v>40</v>
      </c>
      <c r="G2291" s="30" t="s">
        <v>45</v>
      </c>
      <c r="H2291" s="11" t="s">
        <v>109</v>
      </c>
      <c r="I2291" s="11"/>
      <c r="J2291" s="11">
        <v>28.0</v>
      </c>
      <c r="K2291" s="12">
        <v>38875.0</v>
      </c>
      <c r="L2291" s="11">
        <f t="shared" si="241"/>
        <v>11</v>
      </c>
      <c r="M2291" s="11">
        <v>150433.0</v>
      </c>
      <c r="N2291" s="11">
        <v>1074.0</v>
      </c>
      <c r="P2291" s="11">
        <v>0.0</v>
      </c>
      <c r="Q2291" s="14">
        <v>0.0</v>
      </c>
      <c r="R2291" s="41">
        <v>0.0</v>
      </c>
      <c r="S2291">
        <f t="shared" si="1"/>
        <v>2005</v>
      </c>
      <c r="T2291">
        <f t="shared" si="2"/>
        <v>6</v>
      </c>
      <c r="U2291">
        <f t="shared" si="3"/>
        <v>28</v>
      </c>
      <c r="AG2291" s="15"/>
      <c r="AH2291" s="16"/>
      <c r="AM2291" s="15"/>
      <c r="AN2291" s="16"/>
    </row>
    <row r="2292">
      <c r="A2292" s="13" t="s">
        <v>4073</v>
      </c>
      <c r="B2292" s="10">
        <v>38531.0</v>
      </c>
      <c r="C2292" s="11" t="s">
        <v>76</v>
      </c>
      <c r="D2292" s="11" t="s">
        <v>38</v>
      </c>
      <c r="E2292" s="11" t="s">
        <v>39</v>
      </c>
      <c r="F2292" s="11" t="s">
        <v>40</v>
      </c>
      <c r="G2292" s="11" t="s">
        <v>45</v>
      </c>
      <c r="H2292" s="11" t="s">
        <v>84</v>
      </c>
      <c r="I2292" s="11"/>
      <c r="J2292" s="11">
        <v>26.0</v>
      </c>
      <c r="K2292" s="12"/>
      <c r="L2292" s="11"/>
      <c r="M2292" s="11">
        <v>324892.0</v>
      </c>
      <c r="N2292" s="11">
        <v>800.0</v>
      </c>
      <c r="P2292" s="11">
        <v>0.0</v>
      </c>
      <c r="Q2292" s="14">
        <v>0.0</v>
      </c>
      <c r="R2292" s="41">
        <v>0.0</v>
      </c>
      <c r="S2292">
        <f t="shared" si="1"/>
        <v>2005</v>
      </c>
      <c r="T2292">
        <f t="shared" si="2"/>
        <v>6</v>
      </c>
      <c r="U2292">
        <f t="shared" si="3"/>
        <v>28</v>
      </c>
      <c r="AG2292" s="15"/>
      <c r="AH2292" s="16"/>
      <c r="AM2292" s="15"/>
      <c r="AN2292" s="16"/>
    </row>
    <row r="2293">
      <c r="A2293" s="13" t="s">
        <v>4074</v>
      </c>
      <c r="B2293" s="10">
        <v>38530.0</v>
      </c>
      <c r="C2293" s="11" t="s">
        <v>230</v>
      </c>
      <c r="D2293" s="11" t="s">
        <v>93</v>
      </c>
      <c r="E2293" s="30" t="s">
        <v>39</v>
      </c>
      <c r="F2293" s="11" t="s">
        <v>40</v>
      </c>
      <c r="G2293" s="30" t="s">
        <v>45</v>
      </c>
      <c r="H2293" s="11" t="s">
        <v>59</v>
      </c>
      <c r="I2293" s="11" t="s">
        <v>851</v>
      </c>
      <c r="J2293" s="11">
        <v>20.0</v>
      </c>
      <c r="K2293" s="12">
        <v>38893.0</v>
      </c>
      <c r="L2293" s="11">
        <f>ROUND(((K2293-B2293)/365)*12,0)</f>
        <v>12</v>
      </c>
      <c r="M2293" s="11">
        <v>460008.0</v>
      </c>
      <c r="N2293" s="11">
        <v>2385.0</v>
      </c>
      <c r="P2293" s="11">
        <v>166.0</v>
      </c>
      <c r="Q2293" s="14">
        <v>183.667</v>
      </c>
      <c r="R2293" s="11">
        <v>0.0</v>
      </c>
      <c r="S2293">
        <f t="shared" si="1"/>
        <v>2005</v>
      </c>
      <c r="T2293">
        <f t="shared" si="2"/>
        <v>6</v>
      </c>
      <c r="U2293">
        <f t="shared" si="3"/>
        <v>27</v>
      </c>
      <c r="AG2293" s="15"/>
      <c r="AH2293" s="16"/>
      <c r="AM2293" s="15"/>
      <c r="AN2293" s="16"/>
    </row>
    <row r="2294">
      <c r="A2294" s="13" t="s">
        <v>4075</v>
      </c>
      <c r="B2294" s="10">
        <v>38512.0</v>
      </c>
      <c r="C2294" s="11" t="s">
        <v>111</v>
      </c>
      <c r="D2294" s="11" t="s">
        <v>77</v>
      </c>
      <c r="E2294" s="30" t="s">
        <v>39</v>
      </c>
      <c r="F2294" s="11" t="s">
        <v>40</v>
      </c>
      <c r="G2294" s="30" t="s">
        <v>45</v>
      </c>
      <c r="H2294" s="11" t="s">
        <v>652</v>
      </c>
      <c r="I2294" s="11" t="s">
        <v>1216</v>
      </c>
      <c r="J2294" s="11">
        <v>23.0</v>
      </c>
      <c r="K2294" s="12">
        <v>39083.0</v>
      </c>
      <c r="L2294" s="11"/>
      <c r="M2294" s="11">
        <v>433580.0</v>
      </c>
      <c r="N2294" s="11" t="s">
        <v>4076</v>
      </c>
      <c r="P2294" s="11">
        <v>0.0</v>
      </c>
      <c r="Q2294" s="14">
        <v>0.0</v>
      </c>
      <c r="R2294" s="41">
        <v>0.0</v>
      </c>
      <c r="S2294">
        <f t="shared" si="1"/>
        <v>2005</v>
      </c>
      <c r="T2294">
        <f t="shared" si="2"/>
        <v>6</v>
      </c>
      <c r="U2294">
        <f t="shared" si="3"/>
        <v>9</v>
      </c>
      <c r="AG2294" s="15"/>
      <c r="AH2294" s="16"/>
      <c r="AM2294" s="15"/>
      <c r="AN2294" s="16"/>
    </row>
    <row r="2295">
      <c r="A2295" s="13" t="s">
        <v>4077</v>
      </c>
      <c r="B2295" s="10">
        <v>38509.0</v>
      </c>
      <c r="C2295" s="11" t="s">
        <v>274</v>
      </c>
      <c r="D2295" s="11" t="s">
        <v>38</v>
      </c>
      <c r="E2295" s="30" t="s">
        <v>39</v>
      </c>
      <c r="F2295" s="11" t="s">
        <v>40</v>
      </c>
      <c r="G2295" s="41" t="s">
        <v>41</v>
      </c>
      <c r="H2295" s="30"/>
      <c r="I2295" s="30"/>
      <c r="J2295" s="11">
        <v>31.0</v>
      </c>
      <c r="K2295" s="12">
        <v>38945.0</v>
      </c>
      <c r="L2295" s="11">
        <f t="shared" ref="L2295:L2298" si="242">ROUND(((K2295-B2295)/365)*12,0)</f>
        <v>14</v>
      </c>
      <c r="M2295" s="11">
        <v>136734.0</v>
      </c>
      <c r="N2295" s="11">
        <v>555.0</v>
      </c>
      <c r="O2295" s="13" t="s">
        <v>761</v>
      </c>
      <c r="P2295" s="11">
        <v>377.0</v>
      </c>
      <c r="Q2295" s="14">
        <v>350.667</v>
      </c>
      <c r="R2295" s="41">
        <v>0.0</v>
      </c>
      <c r="S2295">
        <f t="shared" si="1"/>
        <v>2005</v>
      </c>
      <c r="T2295">
        <f t="shared" si="2"/>
        <v>6</v>
      </c>
      <c r="U2295">
        <f t="shared" si="3"/>
        <v>6</v>
      </c>
      <c r="V2295" s="13"/>
      <c r="W2295" s="13"/>
      <c r="X2295" s="13"/>
      <c r="Y2295" s="13"/>
      <c r="Z2295" s="13"/>
      <c r="AA2295" s="13"/>
      <c r="AB2295" s="13"/>
      <c r="AC2295" s="13"/>
      <c r="AD2295" s="13"/>
      <c r="AE2295" s="13">
        <v>15.0</v>
      </c>
      <c r="AF2295" s="13">
        <v>0.0</v>
      </c>
      <c r="AG2295" s="50">
        <v>15.333</v>
      </c>
      <c r="AH2295" s="51">
        <v>0.077</v>
      </c>
      <c r="AI2295" s="13">
        <v>83.0</v>
      </c>
      <c r="AJ2295" s="13">
        <v>112.0</v>
      </c>
      <c r="AK2295" s="13">
        <v>14.0</v>
      </c>
      <c r="AL2295" s="13">
        <v>0.0</v>
      </c>
      <c r="AM2295" s="50">
        <v>10.0</v>
      </c>
      <c r="AN2295" s="51">
        <v>-0.068</v>
      </c>
      <c r="AO2295" s="13">
        <v>237.0</v>
      </c>
      <c r="AP2295" s="13">
        <v>169.0</v>
      </c>
    </row>
    <row r="2296">
      <c r="A2296" s="13" t="s">
        <v>4078</v>
      </c>
      <c r="B2296" s="10">
        <v>38508.0</v>
      </c>
      <c r="C2296" s="11" t="s">
        <v>235</v>
      </c>
      <c r="D2296" s="11" t="s">
        <v>77</v>
      </c>
      <c r="E2296" s="30" t="s">
        <v>39</v>
      </c>
      <c r="F2296" s="11" t="s">
        <v>40</v>
      </c>
      <c r="G2296" s="30" t="s">
        <v>45</v>
      </c>
      <c r="H2296" s="11" t="s">
        <v>129</v>
      </c>
      <c r="I2296" s="11" t="s">
        <v>4079</v>
      </c>
      <c r="J2296" s="11">
        <v>25.0</v>
      </c>
      <c r="K2296" s="12">
        <v>38816.0</v>
      </c>
      <c r="L2296" s="11">
        <f t="shared" si="242"/>
        <v>10</v>
      </c>
      <c r="M2296" s="11">
        <v>445090.0</v>
      </c>
      <c r="N2296" s="11">
        <v>4608.0</v>
      </c>
      <c r="P2296" s="11">
        <v>24.0</v>
      </c>
      <c r="Q2296" s="14">
        <v>28.0</v>
      </c>
      <c r="R2296" s="11">
        <v>0.0</v>
      </c>
      <c r="S2296">
        <f t="shared" si="1"/>
        <v>2005</v>
      </c>
      <c r="T2296">
        <f t="shared" si="2"/>
        <v>6</v>
      </c>
      <c r="U2296">
        <f t="shared" si="3"/>
        <v>5</v>
      </c>
      <c r="AG2296" s="15"/>
      <c r="AH2296" s="16"/>
      <c r="AM2296" s="15"/>
      <c r="AN2296" s="16"/>
    </row>
    <row r="2297">
      <c r="A2297" s="13" t="s">
        <v>4080</v>
      </c>
      <c r="B2297" s="10">
        <v>38488.0</v>
      </c>
      <c r="C2297" s="11" t="s">
        <v>186</v>
      </c>
      <c r="D2297" s="11" t="s">
        <v>38</v>
      </c>
      <c r="E2297" s="30" t="s">
        <v>39</v>
      </c>
      <c r="F2297" s="11" t="s">
        <v>40</v>
      </c>
      <c r="G2297" s="30" t="s">
        <v>45</v>
      </c>
      <c r="H2297" s="11" t="s">
        <v>159</v>
      </c>
      <c r="I2297" s="11" t="s">
        <v>4081</v>
      </c>
      <c r="J2297" s="11">
        <v>27.0</v>
      </c>
      <c r="K2297" s="12">
        <v>39238.0</v>
      </c>
      <c r="L2297" s="11">
        <f t="shared" si="242"/>
        <v>25</v>
      </c>
      <c r="M2297" s="11">
        <v>424426.0</v>
      </c>
      <c r="N2297" s="11">
        <v>1531.0</v>
      </c>
      <c r="P2297" s="11">
        <v>49.0</v>
      </c>
      <c r="Q2297" s="45">
        <v>41.0</v>
      </c>
      <c r="R2297" s="41">
        <v>0.0</v>
      </c>
      <c r="S2297">
        <f t="shared" si="1"/>
        <v>2005</v>
      </c>
      <c r="T2297">
        <f t="shared" si="2"/>
        <v>5</v>
      </c>
      <c r="U2297">
        <f t="shared" si="3"/>
        <v>16</v>
      </c>
      <c r="V2297" s="13"/>
      <c r="W2297" s="13"/>
      <c r="X2297" s="13"/>
      <c r="Y2297" s="13"/>
      <c r="Z2297" s="13"/>
      <c r="AA2297" s="13"/>
      <c r="AB2297" s="13"/>
      <c r="AC2297" s="13"/>
      <c r="AD2297" s="13"/>
      <c r="AE2297" s="13">
        <v>4.0</v>
      </c>
      <c r="AF2297" s="13">
        <v>0.0</v>
      </c>
      <c r="AG2297" s="50">
        <v>4.0</v>
      </c>
      <c r="AH2297" s="51">
        <v>-0.105</v>
      </c>
      <c r="AI2297" s="13">
        <v>247.0</v>
      </c>
      <c r="AJ2297" s="13">
        <v>125.0</v>
      </c>
      <c r="AK2297" s="13">
        <v>45.0</v>
      </c>
      <c r="AL2297" s="13">
        <v>0.0</v>
      </c>
      <c r="AM2297" s="50">
        <v>35.667</v>
      </c>
      <c r="AN2297" s="51">
        <v>-0.035</v>
      </c>
      <c r="AO2297" s="13">
        <v>108.0</v>
      </c>
      <c r="AP2297" s="13">
        <v>138.0</v>
      </c>
    </row>
    <row r="2298">
      <c r="A2298" s="13" t="s">
        <v>4082</v>
      </c>
      <c r="B2298" s="10">
        <v>38485.0</v>
      </c>
      <c r="C2298" s="11" t="s">
        <v>103</v>
      </c>
      <c r="D2298" s="11" t="s">
        <v>38</v>
      </c>
      <c r="E2298" s="30" t="s">
        <v>39</v>
      </c>
      <c r="F2298" s="11" t="s">
        <v>40</v>
      </c>
      <c r="G2298" s="41" t="s">
        <v>460</v>
      </c>
      <c r="H2298" s="30"/>
      <c r="I2298" s="30"/>
      <c r="J2298" s="11">
        <v>27.0</v>
      </c>
      <c r="K2298" s="12">
        <v>39281.0</v>
      </c>
      <c r="L2298" s="11">
        <f t="shared" si="242"/>
        <v>26</v>
      </c>
      <c r="M2298" s="11">
        <v>346797.0</v>
      </c>
      <c r="N2298" s="11">
        <v>718.0</v>
      </c>
      <c r="O2298" s="13" t="s">
        <v>355</v>
      </c>
      <c r="P2298" s="11">
        <v>479.0</v>
      </c>
      <c r="Q2298" s="14">
        <v>471.667</v>
      </c>
      <c r="R2298" s="11">
        <v>0.0</v>
      </c>
      <c r="S2298">
        <f t="shared" si="1"/>
        <v>2005</v>
      </c>
      <c r="T2298">
        <f t="shared" si="2"/>
        <v>5</v>
      </c>
      <c r="U2298">
        <f t="shared" si="3"/>
        <v>13</v>
      </c>
      <c r="V2298" s="13"/>
      <c r="W2298" s="13"/>
      <c r="X2298" s="13"/>
      <c r="Y2298" s="13"/>
      <c r="Z2298" s="13"/>
      <c r="AA2298" s="13"/>
      <c r="AB2298" s="13"/>
      <c r="AC2298" s="13"/>
      <c r="AD2298" s="13"/>
      <c r="AE2298" s="13">
        <v>36.0</v>
      </c>
      <c r="AF2298" s="13">
        <v>0.0</v>
      </c>
      <c r="AG2298" s="50">
        <v>39.333</v>
      </c>
      <c r="AH2298" s="51">
        <v>0.122</v>
      </c>
      <c r="AI2298" s="13">
        <v>94.0</v>
      </c>
      <c r="AJ2298" s="13">
        <v>89.0</v>
      </c>
      <c r="AK2298" s="13">
        <v>25.0</v>
      </c>
      <c r="AL2298" s="13">
        <v>0.0</v>
      </c>
      <c r="AM2298" s="50">
        <v>24.667</v>
      </c>
      <c r="AN2298" s="51">
        <v>0.083</v>
      </c>
      <c r="AO2298" s="13">
        <v>173.0</v>
      </c>
      <c r="AP2298" s="13">
        <v>100.0</v>
      </c>
    </row>
    <row r="2299">
      <c r="A2299" s="13" t="s">
        <v>4011</v>
      </c>
      <c r="B2299" s="10">
        <v>38483.0</v>
      </c>
      <c r="C2299" s="11" t="s">
        <v>186</v>
      </c>
      <c r="D2299" s="11" t="s">
        <v>38</v>
      </c>
      <c r="E2299" s="30" t="s">
        <v>39</v>
      </c>
      <c r="F2299" s="11" t="s">
        <v>40</v>
      </c>
      <c r="G2299" s="41" t="s">
        <v>41</v>
      </c>
      <c r="H2299" s="30"/>
      <c r="I2299" s="30"/>
      <c r="J2299" s="11">
        <v>31.0</v>
      </c>
      <c r="K2299" s="30"/>
      <c r="L2299" s="30"/>
      <c r="M2299" s="11">
        <v>110179.0</v>
      </c>
      <c r="N2299" s="11">
        <v>308.0</v>
      </c>
      <c r="O2299" s="13" t="s">
        <v>3309</v>
      </c>
      <c r="P2299" s="11">
        <v>0.0</v>
      </c>
      <c r="Q2299" s="45">
        <v>0.0</v>
      </c>
      <c r="R2299" s="41">
        <v>0.0</v>
      </c>
      <c r="S2299">
        <f t="shared" si="1"/>
        <v>2005</v>
      </c>
      <c r="T2299">
        <f t="shared" si="2"/>
        <v>5</v>
      </c>
      <c r="U2299">
        <f t="shared" si="3"/>
        <v>11</v>
      </c>
      <c r="V2299" s="13"/>
      <c r="W2299" s="13"/>
      <c r="X2299" s="13"/>
      <c r="Y2299" s="13"/>
      <c r="Z2299" s="13"/>
      <c r="AA2299" s="13"/>
      <c r="AB2299" s="13"/>
      <c r="AC2299" s="13"/>
      <c r="AD2299" s="13"/>
      <c r="AE2299" s="13">
        <v>6.0</v>
      </c>
      <c r="AF2299" s="13">
        <v>0.0</v>
      </c>
      <c r="AG2299" s="50">
        <v>5.0</v>
      </c>
      <c r="AH2299" s="51">
        <v>-0.121</v>
      </c>
      <c r="AI2299" s="13">
        <v>316.0</v>
      </c>
      <c r="AJ2299" s="13">
        <v>267.0</v>
      </c>
      <c r="AK2299" s="13">
        <v>0.0</v>
      </c>
      <c r="AL2299" s="13">
        <v>0.0</v>
      </c>
      <c r="AM2299" s="50">
        <v>0.0</v>
      </c>
      <c r="AN2299" s="51">
        <v>0.0</v>
      </c>
      <c r="AO2299" s="13">
        <v>0.0</v>
      </c>
      <c r="AP2299" s="13">
        <v>0.0</v>
      </c>
    </row>
    <row r="2300">
      <c r="A2300" s="13" t="s">
        <v>4083</v>
      </c>
      <c r="B2300" s="10">
        <v>38477.0</v>
      </c>
      <c r="C2300" s="11" t="s">
        <v>274</v>
      </c>
      <c r="D2300" s="11" t="s">
        <v>93</v>
      </c>
      <c r="E2300" s="30" t="s">
        <v>39</v>
      </c>
      <c r="F2300" s="11" t="s">
        <v>40</v>
      </c>
      <c r="G2300" s="30" t="s">
        <v>45</v>
      </c>
      <c r="H2300" s="11" t="s">
        <v>139</v>
      </c>
      <c r="I2300" s="11" t="s">
        <v>4084</v>
      </c>
      <c r="J2300" s="11">
        <v>21.0</v>
      </c>
      <c r="K2300" s="12">
        <v>38902.0</v>
      </c>
      <c r="L2300" s="11">
        <f t="shared" ref="L2300:L2304" si="243">ROUND(((K2300-B2300)/365)*12,0)</f>
        <v>14</v>
      </c>
      <c r="M2300" s="11">
        <v>457732.0</v>
      </c>
      <c r="N2300" s="11">
        <v>1368.0</v>
      </c>
      <c r="P2300" s="11">
        <v>265.0</v>
      </c>
      <c r="Q2300" s="14">
        <v>274.333</v>
      </c>
      <c r="R2300" s="41">
        <v>1.0</v>
      </c>
      <c r="S2300">
        <f t="shared" si="1"/>
        <v>2005</v>
      </c>
      <c r="T2300">
        <f t="shared" si="2"/>
        <v>5</v>
      </c>
      <c r="U2300">
        <f t="shared" si="3"/>
        <v>5</v>
      </c>
      <c r="AG2300" s="15"/>
      <c r="AH2300" s="16"/>
      <c r="AM2300" s="15"/>
      <c r="AN2300" s="16"/>
    </row>
    <row r="2301">
      <c r="A2301" s="13" t="s">
        <v>4085</v>
      </c>
      <c r="B2301" s="10">
        <v>38471.0</v>
      </c>
      <c r="C2301" s="11" t="s">
        <v>186</v>
      </c>
      <c r="D2301" s="11" t="s">
        <v>38</v>
      </c>
      <c r="E2301" s="30" t="s">
        <v>39</v>
      </c>
      <c r="F2301" s="11" t="s">
        <v>40</v>
      </c>
      <c r="G2301" s="41" t="s">
        <v>41</v>
      </c>
      <c r="H2301" s="30"/>
      <c r="I2301" s="30"/>
      <c r="J2301" s="11">
        <v>25.0</v>
      </c>
      <c r="K2301" s="12">
        <v>38968.0</v>
      </c>
      <c r="L2301" s="11">
        <f t="shared" si="243"/>
        <v>16</v>
      </c>
      <c r="M2301" s="11">
        <v>407911.0</v>
      </c>
      <c r="N2301" s="11">
        <v>1933.0</v>
      </c>
      <c r="P2301" s="11">
        <v>346.0</v>
      </c>
      <c r="Q2301" s="45">
        <v>335.0</v>
      </c>
      <c r="R2301" s="41">
        <v>0.0</v>
      </c>
      <c r="S2301">
        <f t="shared" si="1"/>
        <v>2005</v>
      </c>
      <c r="T2301">
        <f t="shared" si="2"/>
        <v>4</v>
      </c>
      <c r="U2301">
        <f t="shared" si="3"/>
        <v>29</v>
      </c>
      <c r="V2301" s="13"/>
      <c r="W2301" s="13"/>
      <c r="X2301" s="13"/>
      <c r="Y2301" s="13"/>
      <c r="Z2301" s="13"/>
      <c r="AA2301" s="13"/>
      <c r="AB2301" s="13"/>
      <c r="AC2301" s="13"/>
      <c r="AD2301" s="13"/>
      <c r="AE2301" s="13">
        <v>45.0</v>
      </c>
      <c r="AF2301" s="13">
        <v>0.0</v>
      </c>
      <c r="AG2301" s="50">
        <v>51.333</v>
      </c>
      <c r="AH2301" s="51">
        <v>0.148</v>
      </c>
      <c r="AI2301" s="13">
        <v>67.0</v>
      </c>
      <c r="AJ2301" s="13">
        <v>77.0</v>
      </c>
      <c r="AK2301" s="13">
        <v>8.0</v>
      </c>
      <c r="AL2301" s="13">
        <v>0.0</v>
      </c>
      <c r="AM2301" s="50">
        <v>7.333</v>
      </c>
      <c r="AN2301" s="51">
        <v>0.125</v>
      </c>
      <c r="AO2301" s="13">
        <v>103.0</v>
      </c>
      <c r="AP2301" s="13">
        <v>127.0</v>
      </c>
    </row>
    <row r="2302">
      <c r="A2302" s="13" t="s">
        <v>4086</v>
      </c>
      <c r="B2302" s="10">
        <v>38443.0</v>
      </c>
      <c r="C2302" s="11" t="s">
        <v>72</v>
      </c>
      <c r="D2302" s="11" t="s">
        <v>93</v>
      </c>
      <c r="E2302" s="30" t="s">
        <v>39</v>
      </c>
      <c r="F2302" s="11" t="s">
        <v>64</v>
      </c>
      <c r="G2302" s="30" t="s">
        <v>45</v>
      </c>
      <c r="H2302" s="11" t="s">
        <v>74</v>
      </c>
      <c r="I2302" s="11" t="s">
        <v>689</v>
      </c>
      <c r="J2302" s="11">
        <v>20.0</v>
      </c>
      <c r="K2302" s="12">
        <v>38892.0</v>
      </c>
      <c r="L2302" s="11">
        <f t="shared" si="243"/>
        <v>15</v>
      </c>
      <c r="M2302" s="11">
        <v>453241.0</v>
      </c>
      <c r="N2302" s="11">
        <v>886.0</v>
      </c>
      <c r="P2302" s="11">
        <v>7.0</v>
      </c>
      <c r="Q2302" s="14">
        <v>23.667</v>
      </c>
      <c r="R2302" s="11">
        <v>0.0</v>
      </c>
      <c r="S2302">
        <f t="shared" si="1"/>
        <v>2005</v>
      </c>
      <c r="T2302">
        <f t="shared" si="2"/>
        <v>4</v>
      </c>
      <c r="U2302">
        <f t="shared" si="3"/>
        <v>1</v>
      </c>
      <c r="AG2302" s="15"/>
      <c r="AH2302" s="16"/>
      <c r="AM2302" s="15"/>
      <c r="AN2302" s="16"/>
    </row>
    <row r="2303">
      <c r="A2303" s="13" t="s">
        <v>4087</v>
      </c>
      <c r="B2303" s="10">
        <v>38443.0</v>
      </c>
      <c r="C2303" s="11" t="s">
        <v>143</v>
      </c>
      <c r="D2303" s="11" t="s">
        <v>58</v>
      </c>
      <c r="E2303" s="41" t="s">
        <v>118</v>
      </c>
      <c r="F2303" s="11" t="s">
        <v>40</v>
      </c>
      <c r="G2303" s="11" t="s">
        <v>53</v>
      </c>
      <c r="H2303" s="30"/>
      <c r="I2303" s="30"/>
      <c r="J2303" s="11">
        <v>26.0</v>
      </c>
      <c r="K2303" s="12">
        <v>38900.0</v>
      </c>
      <c r="L2303" s="11">
        <f t="shared" si="243"/>
        <v>15</v>
      </c>
      <c r="M2303" s="11">
        <v>407887.0</v>
      </c>
      <c r="N2303" s="11">
        <v>1587.0</v>
      </c>
      <c r="P2303" s="11">
        <v>0.0</v>
      </c>
      <c r="Q2303" s="14">
        <v>0.0</v>
      </c>
      <c r="R2303" s="41">
        <v>0.0</v>
      </c>
      <c r="S2303">
        <f t="shared" si="1"/>
        <v>2005</v>
      </c>
      <c r="T2303">
        <f t="shared" si="2"/>
        <v>4</v>
      </c>
      <c r="U2303">
        <f t="shared" si="3"/>
        <v>1</v>
      </c>
      <c r="AG2303" s="15"/>
      <c r="AH2303" s="16"/>
      <c r="AM2303" s="15"/>
      <c r="AN2303" s="16"/>
    </row>
    <row r="2304">
      <c r="A2304" s="13" t="s">
        <v>4088</v>
      </c>
      <c r="B2304" s="10">
        <v>38422.0</v>
      </c>
      <c r="C2304" s="11" t="s">
        <v>76</v>
      </c>
      <c r="D2304" s="11" t="s">
        <v>38</v>
      </c>
      <c r="E2304" s="30" t="s">
        <v>39</v>
      </c>
      <c r="F2304" s="11" t="s">
        <v>40</v>
      </c>
      <c r="G2304" s="41" t="s">
        <v>41</v>
      </c>
      <c r="H2304" s="30"/>
      <c r="I2304" s="30"/>
      <c r="J2304" s="11">
        <v>25.0</v>
      </c>
      <c r="K2304" s="12">
        <v>39543.0</v>
      </c>
      <c r="L2304" s="11">
        <f t="shared" si="243"/>
        <v>37</v>
      </c>
      <c r="M2304" s="11">
        <v>407779.0</v>
      </c>
      <c r="N2304" s="11">
        <v>1530.0</v>
      </c>
      <c r="O2304" s="13" t="s">
        <v>761</v>
      </c>
      <c r="P2304" s="11">
        <v>11.0</v>
      </c>
      <c r="Q2304" s="45">
        <v>13.0</v>
      </c>
      <c r="R2304" s="41">
        <v>0.0</v>
      </c>
      <c r="S2304">
        <f t="shared" si="1"/>
        <v>2005</v>
      </c>
      <c r="T2304">
        <f t="shared" si="2"/>
        <v>3</v>
      </c>
      <c r="U2304">
        <f t="shared" si="3"/>
        <v>11</v>
      </c>
      <c r="V2304" s="13"/>
      <c r="W2304" s="13"/>
      <c r="X2304" s="13"/>
      <c r="Y2304" s="13"/>
      <c r="Z2304" s="13"/>
      <c r="AA2304" s="13"/>
      <c r="AB2304" s="13"/>
      <c r="AC2304" s="13"/>
      <c r="AD2304" s="13"/>
      <c r="AE2304" s="13">
        <v>45.0</v>
      </c>
      <c r="AF2304" s="13">
        <v>0.0</v>
      </c>
      <c r="AG2304" s="50">
        <v>49.333</v>
      </c>
      <c r="AH2304" s="51">
        <v>0.095</v>
      </c>
      <c r="AI2304" s="13">
        <v>125.0</v>
      </c>
      <c r="AJ2304" s="13">
        <v>129.0</v>
      </c>
      <c r="AK2304" s="13">
        <v>11.0</v>
      </c>
      <c r="AL2304" s="13">
        <v>0.0</v>
      </c>
      <c r="AM2304" s="50">
        <v>13.0</v>
      </c>
      <c r="AN2304" s="51">
        <v>0.054</v>
      </c>
      <c r="AO2304" s="13">
        <v>110.0</v>
      </c>
      <c r="AP2304" s="13">
        <v>142.0</v>
      </c>
    </row>
    <row r="2305">
      <c r="A2305" s="13" t="s">
        <v>2887</v>
      </c>
      <c r="B2305" s="10">
        <v>38353.0</v>
      </c>
      <c r="C2305" s="11" t="s">
        <v>116</v>
      </c>
      <c r="D2305" s="11" t="s">
        <v>97</v>
      </c>
      <c r="E2305" s="30" t="s">
        <v>39</v>
      </c>
      <c r="F2305" s="11" t="s">
        <v>64</v>
      </c>
      <c r="G2305" s="30" t="s">
        <v>45</v>
      </c>
      <c r="H2305" s="11" t="s">
        <v>84</v>
      </c>
      <c r="I2305" s="11" t="s">
        <v>2888</v>
      </c>
      <c r="J2305" s="11">
        <v>20.0</v>
      </c>
      <c r="K2305" s="12">
        <v>39195.0</v>
      </c>
      <c r="L2305" s="30"/>
      <c r="M2305" s="11">
        <v>458924.0</v>
      </c>
      <c r="N2305" s="11">
        <v>7175.0</v>
      </c>
      <c r="O2305" s="13" t="s">
        <v>761</v>
      </c>
      <c r="P2305" s="11">
        <v>230.0</v>
      </c>
      <c r="Q2305" s="14">
        <v>229.667</v>
      </c>
      <c r="R2305" s="41">
        <v>0.0</v>
      </c>
      <c r="S2305">
        <f t="shared" si="1"/>
        <v>2005</v>
      </c>
      <c r="T2305">
        <f t="shared" si="2"/>
        <v>1</v>
      </c>
      <c r="U2305">
        <f t="shared" si="3"/>
        <v>1</v>
      </c>
      <c r="Z2305" s="17"/>
      <c r="AG2305" s="15"/>
      <c r="AH2305" s="16"/>
      <c r="AM2305" s="15"/>
      <c r="AN2305" s="16"/>
    </row>
    <row r="2306">
      <c r="A2306" s="13" t="s">
        <v>4089</v>
      </c>
      <c r="B2306" s="10">
        <v>38353.0</v>
      </c>
      <c r="C2306" s="11" t="s">
        <v>138</v>
      </c>
      <c r="D2306" s="11" t="s">
        <v>93</v>
      </c>
      <c r="E2306" s="30" t="s">
        <v>39</v>
      </c>
      <c r="F2306" s="11" t="s">
        <v>40</v>
      </c>
      <c r="G2306" s="30" t="s">
        <v>45</v>
      </c>
      <c r="H2306" s="11" t="s">
        <v>957</v>
      </c>
      <c r="I2306" s="11" t="s">
        <v>864</v>
      </c>
      <c r="J2306" s="11">
        <v>21.0</v>
      </c>
      <c r="K2306" s="12">
        <v>38911.0</v>
      </c>
      <c r="L2306" s="30"/>
      <c r="M2306" s="11">
        <v>460072.0</v>
      </c>
      <c r="N2306" s="11">
        <v>5673.0</v>
      </c>
      <c r="P2306" s="11">
        <v>110.0</v>
      </c>
      <c r="Q2306" s="14">
        <v>248.667</v>
      </c>
      <c r="R2306" s="11">
        <v>0.0</v>
      </c>
      <c r="S2306">
        <f t="shared" si="1"/>
        <v>2005</v>
      </c>
      <c r="T2306">
        <f t="shared" si="2"/>
        <v>1</v>
      </c>
      <c r="U2306">
        <f t="shared" si="3"/>
        <v>1</v>
      </c>
      <c r="AG2306" s="15"/>
      <c r="AH2306" s="16"/>
      <c r="AM2306" s="15"/>
      <c r="AN2306" s="16"/>
    </row>
    <row r="2307">
      <c r="A2307" s="13" t="s">
        <v>4090</v>
      </c>
      <c r="B2307" s="10">
        <v>38353.0</v>
      </c>
      <c r="C2307" s="11" t="s">
        <v>72</v>
      </c>
      <c r="D2307" s="11" t="s">
        <v>58</v>
      </c>
      <c r="E2307" s="30" t="s">
        <v>39</v>
      </c>
      <c r="F2307" s="11" t="s">
        <v>64</v>
      </c>
      <c r="G2307" s="30" t="s">
        <v>45</v>
      </c>
      <c r="H2307" s="11" t="s">
        <v>67</v>
      </c>
      <c r="I2307" s="11" t="s">
        <v>56</v>
      </c>
      <c r="J2307" s="11">
        <v>26.0</v>
      </c>
      <c r="K2307" s="12">
        <v>38883.0</v>
      </c>
      <c r="L2307" s="30"/>
      <c r="M2307" s="11">
        <v>420672.0</v>
      </c>
      <c r="N2307" s="11">
        <v>1905.0</v>
      </c>
      <c r="P2307" s="11">
        <v>0.0</v>
      </c>
      <c r="Q2307" s="14">
        <v>0.0</v>
      </c>
      <c r="R2307" s="41">
        <v>0.0</v>
      </c>
      <c r="S2307">
        <f t="shared" si="1"/>
        <v>2005</v>
      </c>
      <c r="T2307">
        <f t="shared" si="2"/>
        <v>1</v>
      </c>
      <c r="U2307">
        <f t="shared" si="3"/>
        <v>1</v>
      </c>
      <c r="AG2307" s="15"/>
      <c r="AH2307" s="16"/>
      <c r="AM2307" s="15"/>
      <c r="AN2307" s="16"/>
    </row>
    <row r="2308">
      <c r="A2308" s="13" t="s">
        <v>4091</v>
      </c>
      <c r="B2308" s="10">
        <v>38353.0</v>
      </c>
      <c r="C2308" s="11" t="s">
        <v>72</v>
      </c>
      <c r="D2308" s="11" t="s">
        <v>213</v>
      </c>
      <c r="E2308" s="11" t="s">
        <v>39</v>
      </c>
      <c r="F2308" s="11" t="s">
        <v>40</v>
      </c>
      <c r="G2308" s="11" t="s">
        <v>53</v>
      </c>
      <c r="H2308" s="11"/>
      <c r="I2308" s="11"/>
      <c r="J2308" s="11">
        <v>18.0</v>
      </c>
      <c r="K2308" s="12">
        <v>38889.0</v>
      </c>
      <c r="L2308" s="30"/>
      <c r="M2308" s="11">
        <v>462515.0</v>
      </c>
      <c r="N2308" s="11">
        <v>6697.0</v>
      </c>
      <c r="P2308" s="11">
        <v>70.0</v>
      </c>
      <c r="Q2308" s="14">
        <v>82.667</v>
      </c>
      <c r="R2308" s="41">
        <v>1.0</v>
      </c>
      <c r="S2308">
        <f t="shared" si="1"/>
        <v>2005</v>
      </c>
      <c r="T2308">
        <f t="shared" si="2"/>
        <v>1</v>
      </c>
      <c r="U2308">
        <f t="shared" si="3"/>
        <v>1</v>
      </c>
      <c r="AG2308" s="15"/>
      <c r="AH2308" s="16"/>
      <c r="AM2308" s="15"/>
      <c r="AN2308" s="16"/>
    </row>
    <row r="2309">
      <c r="A2309" s="13" t="s">
        <v>4092</v>
      </c>
      <c r="B2309" s="10">
        <v>38353.0</v>
      </c>
      <c r="C2309" s="11" t="s">
        <v>167</v>
      </c>
      <c r="D2309" s="11" t="s">
        <v>77</v>
      </c>
      <c r="E2309" s="30" t="s">
        <v>39</v>
      </c>
      <c r="F2309" s="11" t="s">
        <v>40</v>
      </c>
      <c r="G2309" s="30" t="s">
        <v>45</v>
      </c>
      <c r="H2309" s="11" t="s">
        <v>56</v>
      </c>
      <c r="I2309" s="11" t="s">
        <v>4093</v>
      </c>
      <c r="J2309" s="11">
        <v>25.0</v>
      </c>
      <c r="K2309" s="12">
        <v>38813.0</v>
      </c>
      <c r="L2309" s="30"/>
      <c r="M2309" s="11">
        <v>457122.0</v>
      </c>
      <c r="N2309" s="11">
        <v>5188.0</v>
      </c>
      <c r="P2309" s="11">
        <v>40.0</v>
      </c>
      <c r="Q2309" s="14">
        <v>48.333</v>
      </c>
      <c r="R2309" s="41">
        <v>0.0</v>
      </c>
      <c r="S2309">
        <f t="shared" si="1"/>
        <v>2005</v>
      </c>
      <c r="T2309">
        <f t="shared" si="2"/>
        <v>1</v>
      </c>
      <c r="U2309">
        <f t="shared" si="3"/>
        <v>1</v>
      </c>
      <c r="AG2309" s="15"/>
      <c r="AH2309" s="16"/>
      <c r="AM2309" s="15"/>
      <c r="AN2309" s="16"/>
    </row>
    <row r="2310">
      <c r="A2310" s="13" t="s">
        <v>4094</v>
      </c>
      <c r="B2310" s="10">
        <v>38353.0</v>
      </c>
      <c r="C2310" s="11" t="s">
        <v>167</v>
      </c>
      <c r="D2310" s="11" t="s">
        <v>213</v>
      </c>
      <c r="E2310" s="30" t="s">
        <v>39</v>
      </c>
      <c r="F2310" s="11" t="s">
        <v>40</v>
      </c>
      <c r="G2310" s="41" t="s">
        <v>41</v>
      </c>
      <c r="H2310" s="30"/>
      <c r="I2310" s="30"/>
      <c r="J2310" s="11">
        <v>19.0</v>
      </c>
      <c r="K2310" s="12">
        <v>38891.0</v>
      </c>
      <c r="L2310" s="30"/>
      <c r="M2310" s="11">
        <v>456379.0</v>
      </c>
      <c r="N2310" s="11">
        <v>6324.0</v>
      </c>
      <c r="P2310" s="11">
        <v>264.0</v>
      </c>
      <c r="Q2310" s="14">
        <v>245.0</v>
      </c>
      <c r="R2310" s="41">
        <v>1.0</v>
      </c>
      <c r="S2310">
        <f t="shared" si="1"/>
        <v>2005</v>
      </c>
      <c r="T2310">
        <f t="shared" si="2"/>
        <v>1</v>
      </c>
      <c r="U2310">
        <f t="shared" si="3"/>
        <v>1</v>
      </c>
      <c r="AG2310" s="15"/>
      <c r="AH2310" s="16"/>
      <c r="AM2310" s="15"/>
      <c r="AN2310" s="16"/>
    </row>
    <row r="2311">
      <c r="A2311" s="13" t="s">
        <v>3346</v>
      </c>
      <c r="B2311" s="10">
        <v>38353.0</v>
      </c>
      <c r="C2311" s="11" t="s">
        <v>167</v>
      </c>
      <c r="D2311" s="11" t="s">
        <v>221</v>
      </c>
      <c r="E2311" s="11" t="s">
        <v>39</v>
      </c>
      <c r="F2311" s="11" t="s">
        <v>40</v>
      </c>
      <c r="G2311" s="11" t="s">
        <v>803</v>
      </c>
      <c r="H2311" s="11"/>
      <c r="I2311" s="11"/>
      <c r="J2311" s="11">
        <v>29.0</v>
      </c>
      <c r="K2311" s="12">
        <v>41449.0</v>
      </c>
      <c r="L2311" s="30"/>
      <c r="M2311" s="11">
        <v>547939.0</v>
      </c>
      <c r="N2311" s="11">
        <v>14445.0</v>
      </c>
      <c r="P2311" s="11">
        <v>0.0</v>
      </c>
      <c r="Q2311" s="14">
        <v>0.0</v>
      </c>
      <c r="R2311" s="41">
        <v>0.0</v>
      </c>
      <c r="S2311">
        <f t="shared" si="1"/>
        <v>2005</v>
      </c>
      <c r="T2311">
        <f t="shared" si="2"/>
        <v>1</v>
      </c>
      <c r="U2311">
        <f t="shared" si="3"/>
        <v>1</v>
      </c>
      <c r="AG2311" s="15"/>
      <c r="AH2311" s="16"/>
      <c r="AM2311" s="15"/>
      <c r="AN2311" s="16"/>
    </row>
    <row r="2312">
      <c r="A2312" s="13" t="s">
        <v>4095</v>
      </c>
      <c r="B2312" s="10">
        <v>38353.0</v>
      </c>
      <c r="C2312" s="11" t="s">
        <v>143</v>
      </c>
      <c r="D2312" s="11" t="s">
        <v>58</v>
      </c>
      <c r="E2312" s="41" t="s">
        <v>2062</v>
      </c>
      <c r="F2312" s="11" t="s">
        <v>40</v>
      </c>
      <c r="G2312" s="30" t="s">
        <v>45</v>
      </c>
      <c r="H2312" s="11" t="s">
        <v>67</v>
      </c>
      <c r="I2312" s="11" t="s">
        <v>3715</v>
      </c>
      <c r="J2312" s="11">
        <v>21.0</v>
      </c>
      <c r="K2312" s="12"/>
      <c r="L2312" s="30"/>
      <c r="M2312" s="11">
        <v>150399.0</v>
      </c>
      <c r="N2312" s="11">
        <v>1002606.0</v>
      </c>
      <c r="P2312" s="11">
        <v>0.0</v>
      </c>
      <c r="Q2312" s="14">
        <v>0.0</v>
      </c>
      <c r="R2312" s="41">
        <v>0.0</v>
      </c>
      <c r="S2312">
        <f t="shared" si="1"/>
        <v>2005</v>
      </c>
      <c r="T2312">
        <f t="shared" si="2"/>
        <v>1</v>
      </c>
      <c r="U2312">
        <f t="shared" si="3"/>
        <v>1</v>
      </c>
      <c r="AG2312" s="15"/>
      <c r="AH2312" s="16"/>
      <c r="AM2312" s="15"/>
      <c r="AN2312" s="16"/>
    </row>
    <row r="2313">
      <c r="A2313" s="13" t="s">
        <v>4096</v>
      </c>
      <c r="B2313" s="10">
        <v>38353.0</v>
      </c>
      <c r="C2313" s="11" t="s">
        <v>162</v>
      </c>
      <c r="D2313" s="11" t="s">
        <v>97</v>
      </c>
      <c r="E2313" s="41" t="s">
        <v>982</v>
      </c>
      <c r="F2313" s="11" t="s">
        <v>40</v>
      </c>
      <c r="G2313" s="30" t="s">
        <v>45</v>
      </c>
      <c r="H2313" s="11" t="s">
        <v>56</v>
      </c>
      <c r="I2313" s="11" t="s">
        <v>775</v>
      </c>
      <c r="J2313" s="11">
        <v>22.0</v>
      </c>
      <c r="K2313" s="12">
        <v>38813.0</v>
      </c>
      <c r="L2313" s="30"/>
      <c r="M2313" s="11">
        <v>457926.0</v>
      </c>
      <c r="N2313" s="11">
        <v>7412.0</v>
      </c>
      <c r="P2313" s="11">
        <v>473.0</v>
      </c>
      <c r="Q2313" s="14">
        <v>1305.0</v>
      </c>
      <c r="R2313" s="41">
        <v>1.0</v>
      </c>
      <c r="S2313">
        <f t="shared" si="1"/>
        <v>2005</v>
      </c>
      <c r="T2313">
        <f t="shared" si="2"/>
        <v>1</v>
      </c>
      <c r="U2313">
        <f t="shared" si="3"/>
        <v>1</v>
      </c>
      <c r="AG2313" s="15"/>
      <c r="AH2313" s="16"/>
      <c r="AM2313" s="15"/>
      <c r="AN2313" s="16"/>
    </row>
    <row r="2314">
      <c r="A2314" s="13" t="s">
        <v>4097</v>
      </c>
      <c r="B2314" s="10">
        <v>38353.0</v>
      </c>
      <c r="C2314" s="11" t="s">
        <v>162</v>
      </c>
      <c r="D2314" s="11" t="s">
        <v>97</v>
      </c>
      <c r="E2314" s="41" t="s">
        <v>104</v>
      </c>
      <c r="F2314" s="11" t="s">
        <v>40</v>
      </c>
      <c r="G2314" s="30" t="s">
        <v>45</v>
      </c>
      <c r="H2314" s="11" t="s">
        <v>159</v>
      </c>
      <c r="I2314" s="11" t="s">
        <v>637</v>
      </c>
      <c r="J2314" s="11">
        <v>22.0</v>
      </c>
      <c r="K2314" s="12">
        <v>38813.0</v>
      </c>
      <c r="L2314" s="30"/>
      <c r="M2314" s="11">
        <v>461874.0</v>
      </c>
      <c r="N2314" s="11">
        <v>7468.0</v>
      </c>
      <c r="P2314" s="11">
        <v>100.0</v>
      </c>
      <c r="Q2314" s="14">
        <v>299.0</v>
      </c>
      <c r="R2314" s="41">
        <v>0.0</v>
      </c>
      <c r="S2314">
        <f t="shared" si="1"/>
        <v>2005</v>
      </c>
      <c r="T2314">
        <f t="shared" si="2"/>
        <v>1</v>
      </c>
      <c r="U2314">
        <f t="shared" si="3"/>
        <v>1</v>
      </c>
      <c r="AG2314" s="15"/>
      <c r="AH2314" s="16"/>
      <c r="AM2314" s="15"/>
      <c r="AN2314" s="16"/>
    </row>
    <row r="2315">
      <c r="A2315" s="13" t="s">
        <v>4098</v>
      </c>
      <c r="B2315" s="10">
        <v>38353.0</v>
      </c>
      <c r="C2315" s="11" t="s">
        <v>111</v>
      </c>
      <c r="D2315" s="11" t="s">
        <v>77</v>
      </c>
      <c r="E2315" s="30" t="s">
        <v>39</v>
      </c>
      <c r="F2315" s="11" t="s">
        <v>40</v>
      </c>
      <c r="G2315" s="41" t="s">
        <v>41</v>
      </c>
      <c r="H2315" s="30"/>
      <c r="I2315" s="30"/>
      <c r="J2315" s="11">
        <v>21.0</v>
      </c>
      <c r="K2315" s="12">
        <v>39243.0</v>
      </c>
      <c r="L2315" s="30"/>
      <c r="M2315" s="11">
        <v>457452.0</v>
      </c>
      <c r="N2315" s="11">
        <v>5555.0</v>
      </c>
      <c r="P2315" s="11">
        <v>29.0</v>
      </c>
      <c r="Q2315" s="14">
        <v>36.667</v>
      </c>
      <c r="R2315" s="41">
        <v>0.0</v>
      </c>
      <c r="S2315">
        <f t="shared" si="1"/>
        <v>2005</v>
      </c>
      <c r="T2315">
        <f t="shared" si="2"/>
        <v>1</v>
      </c>
      <c r="U2315">
        <f t="shared" si="3"/>
        <v>1</v>
      </c>
      <c r="AG2315" s="15"/>
      <c r="AH2315" s="16"/>
      <c r="AM2315" s="15"/>
      <c r="AN2315" s="16"/>
    </row>
    <row r="2316">
      <c r="A2316" s="13" t="s">
        <v>4099</v>
      </c>
      <c r="B2316" s="10">
        <v>38353.0</v>
      </c>
      <c r="C2316" s="11" t="s">
        <v>111</v>
      </c>
      <c r="D2316" s="11" t="s">
        <v>213</v>
      </c>
      <c r="E2316" s="30" t="s">
        <v>39</v>
      </c>
      <c r="F2316" s="11" t="s">
        <v>40</v>
      </c>
      <c r="G2316" s="30" t="s">
        <v>45</v>
      </c>
      <c r="H2316" s="11" t="s">
        <v>163</v>
      </c>
      <c r="I2316" s="11" t="s">
        <v>127</v>
      </c>
      <c r="J2316" s="11">
        <v>19.0</v>
      </c>
      <c r="K2316" s="12">
        <v>39294.0</v>
      </c>
      <c r="L2316" s="30"/>
      <c r="M2316" s="11">
        <v>446367.0</v>
      </c>
      <c r="N2316" s="11">
        <v>6736.0</v>
      </c>
      <c r="O2316" s="13" t="s">
        <v>761</v>
      </c>
      <c r="P2316" s="11">
        <v>44.0</v>
      </c>
      <c r="Q2316" s="14">
        <v>48.333</v>
      </c>
      <c r="R2316" s="11">
        <v>0.0</v>
      </c>
      <c r="S2316">
        <f t="shared" si="1"/>
        <v>2005</v>
      </c>
      <c r="T2316">
        <f t="shared" si="2"/>
        <v>1</v>
      </c>
      <c r="U2316">
        <f t="shared" si="3"/>
        <v>1</v>
      </c>
      <c r="AG2316" s="15"/>
      <c r="AH2316" s="16"/>
      <c r="AM2316" s="15"/>
      <c r="AN2316" s="16"/>
    </row>
    <row r="2317">
      <c r="A2317" s="13" t="s">
        <v>4100</v>
      </c>
      <c r="B2317" s="10">
        <v>38353.0</v>
      </c>
      <c r="C2317" s="11" t="s">
        <v>52</v>
      </c>
      <c r="D2317" s="11" t="s">
        <v>93</v>
      </c>
      <c r="E2317" s="11" t="s">
        <v>39</v>
      </c>
      <c r="F2317" s="11" t="s">
        <v>64</v>
      </c>
      <c r="G2317" s="11" t="s">
        <v>45</v>
      </c>
      <c r="H2317" s="11" t="s">
        <v>67</v>
      </c>
      <c r="I2317" s="11" t="s">
        <v>3036</v>
      </c>
      <c r="J2317" s="11">
        <v>19.0</v>
      </c>
      <c r="K2317" s="12">
        <v>39619.0</v>
      </c>
      <c r="L2317" s="30"/>
      <c r="M2317" s="11">
        <v>488929.0</v>
      </c>
      <c r="N2317" s="11" t="s">
        <v>4101</v>
      </c>
      <c r="O2317" s="13" t="s">
        <v>3309</v>
      </c>
      <c r="P2317" s="11">
        <v>0.0</v>
      </c>
      <c r="Q2317" s="14">
        <v>0.0</v>
      </c>
      <c r="R2317" s="41">
        <v>0.0</v>
      </c>
      <c r="S2317">
        <f t="shared" si="1"/>
        <v>2005</v>
      </c>
      <c r="T2317">
        <f t="shared" si="2"/>
        <v>1</v>
      </c>
      <c r="U2317">
        <f t="shared" si="3"/>
        <v>1</v>
      </c>
      <c r="AG2317" s="15"/>
      <c r="AH2317" s="16"/>
      <c r="AM2317" s="15"/>
      <c r="AN2317" s="16"/>
    </row>
    <row r="2318">
      <c r="A2318" s="13" t="s">
        <v>4102</v>
      </c>
      <c r="B2318" s="10">
        <v>38353.0</v>
      </c>
      <c r="C2318" s="11" t="s">
        <v>126</v>
      </c>
      <c r="D2318" s="11" t="s">
        <v>97</v>
      </c>
      <c r="E2318" s="11" t="s">
        <v>39</v>
      </c>
      <c r="F2318" s="11" t="s">
        <v>40</v>
      </c>
      <c r="G2318" s="11" t="s">
        <v>45</v>
      </c>
      <c r="H2318" s="11" t="s">
        <v>56</v>
      </c>
      <c r="I2318" s="30"/>
      <c r="J2318" s="11">
        <v>19.0</v>
      </c>
      <c r="K2318" s="12">
        <v>39083.0</v>
      </c>
      <c r="L2318" s="11"/>
      <c r="M2318" s="11">
        <v>457915.0</v>
      </c>
      <c r="N2318" s="11">
        <v>7407.0</v>
      </c>
      <c r="P2318" s="11">
        <v>169.0</v>
      </c>
      <c r="Q2318" s="14">
        <v>177.667</v>
      </c>
      <c r="R2318" s="41">
        <v>1.0</v>
      </c>
      <c r="S2318">
        <f t="shared" si="1"/>
        <v>2005</v>
      </c>
      <c r="T2318">
        <f t="shared" si="2"/>
        <v>1</v>
      </c>
      <c r="U2318">
        <f t="shared" si="3"/>
        <v>1</v>
      </c>
      <c r="AG2318" s="15"/>
      <c r="AH2318" s="16"/>
      <c r="AM2318" s="15"/>
      <c r="AN2318" s="16"/>
    </row>
    <row r="2319">
      <c r="A2319" s="13" t="s">
        <v>4103</v>
      </c>
      <c r="B2319" s="10">
        <v>38353.0</v>
      </c>
      <c r="C2319" s="11" t="s">
        <v>126</v>
      </c>
      <c r="D2319" s="11" t="s">
        <v>58</v>
      </c>
      <c r="E2319" s="30" t="s">
        <v>39</v>
      </c>
      <c r="F2319" s="11" t="s">
        <v>64</v>
      </c>
      <c r="G2319" s="30" t="s">
        <v>45</v>
      </c>
      <c r="H2319" s="11" t="s">
        <v>84</v>
      </c>
      <c r="I2319" s="11"/>
      <c r="J2319" s="11">
        <v>23.0</v>
      </c>
      <c r="K2319" s="12">
        <v>38957.0</v>
      </c>
      <c r="L2319" s="30"/>
      <c r="M2319" s="11">
        <v>434702.0</v>
      </c>
      <c r="N2319" s="11" t="s">
        <v>4104</v>
      </c>
      <c r="P2319" s="11">
        <v>0.0</v>
      </c>
      <c r="Q2319" s="14">
        <v>0.0</v>
      </c>
      <c r="R2319" s="41">
        <v>0.0</v>
      </c>
      <c r="S2319">
        <f t="shared" si="1"/>
        <v>2005</v>
      </c>
      <c r="T2319">
        <f t="shared" si="2"/>
        <v>1</v>
      </c>
      <c r="U2319">
        <f t="shared" si="3"/>
        <v>1</v>
      </c>
      <c r="AG2319" s="15"/>
      <c r="AH2319" s="16"/>
      <c r="AM2319" s="15"/>
      <c r="AN2319" s="16"/>
    </row>
    <row r="2320">
      <c r="A2320" s="13" t="s">
        <v>4105</v>
      </c>
      <c r="B2320" s="10">
        <v>38353.0</v>
      </c>
      <c r="C2320" s="11" t="s">
        <v>37</v>
      </c>
      <c r="D2320" s="11" t="s">
        <v>88</v>
      </c>
      <c r="E2320" s="30" t="s">
        <v>39</v>
      </c>
      <c r="F2320" s="11" t="s">
        <v>40</v>
      </c>
      <c r="G2320" s="41" t="s">
        <v>153</v>
      </c>
      <c r="H2320" s="30"/>
      <c r="I2320" s="30"/>
      <c r="J2320" s="11">
        <v>20.0</v>
      </c>
      <c r="K2320" s="12">
        <v>38947.0</v>
      </c>
      <c r="L2320" s="11"/>
      <c r="M2320" s="11">
        <v>462995.0</v>
      </c>
      <c r="N2320" s="11">
        <v>5099.0</v>
      </c>
      <c r="P2320" s="11">
        <v>50.0</v>
      </c>
      <c r="Q2320" s="14">
        <v>183.667</v>
      </c>
      <c r="R2320" s="41">
        <v>0.0</v>
      </c>
      <c r="S2320">
        <f t="shared" si="1"/>
        <v>2005</v>
      </c>
      <c r="T2320">
        <f t="shared" si="2"/>
        <v>1</v>
      </c>
      <c r="U2320">
        <f t="shared" si="3"/>
        <v>1</v>
      </c>
      <c r="AG2320" s="15"/>
      <c r="AH2320" s="16"/>
      <c r="AM2320" s="15"/>
      <c r="AN2320" s="16"/>
    </row>
    <row r="2321">
      <c r="A2321" s="13" t="s">
        <v>4106</v>
      </c>
      <c r="B2321" s="10">
        <v>38353.0</v>
      </c>
      <c r="C2321" s="11" t="s">
        <v>37</v>
      </c>
      <c r="D2321" s="11" t="s">
        <v>77</v>
      </c>
      <c r="E2321" s="30" t="s">
        <v>39</v>
      </c>
      <c r="F2321" s="11" t="s">
        <v>40</v>
      </c>
      <c r="G2321" s="41" t="s">
        <v>53</v>
      </c>
      <c r="H2321" s="30"/>
      <c r="I2321" s="30"/>
      <c r="J2321" s="11">
        <v>22.0</v>
      </c>
      <c r="K2321" s="12">
        <v>39083.0</v>
      </c>
      <c r="L2321" s="30"/>
      <c r="M2321" s="11">
        <v>430613.0</v>
      </c>
      <c r="N2321" s="11">
        <v>2203.0</v>
      </c>
      <c r="P2321" s="11">
        <v>341.0</v>
      </c>
      <c r="Q2321" s="14">
        <v>339.333</v>
      </c>
      <c r="R2321" s="11">
        <v>0.0</v>
      </c>
      <c r="S2321">
        <f t="shared" si="1"/>
        <v>2005</v>
      </c>
      <c r="T2321">
        <f t="shared" si="2"/>
        <v>1</v>
      </c>
      <c r="U2321">
        <f t="shared" si="3"/>
        <v>1</v>
      </c>
      <c r="AG2321" s="15"/>
      <c r="AH2321" s="16"/>
      <c r="AM2321" s="15"/>
      <c r="AN2321" s="16"/>
    </row>
    <row r="2322">
      <c r="A2322" s="13" t="s">
        <v>4107</v>
      </c>
      <c r="B2322" s="10">
        <v>38353.0</v>
      </c>
      <c r="C2322" s="11" t="s">
        <v>55</v>
      </c>
      <c r="D2322" s="11" t="s">
        <v>77</v>
      </c>
      <c r="E2322" s="30" t="s">
        <v>39</v>
      </c>
      <c r="F2322" s="11" t="s">
        <v>40</v>
      </c>
      <c r="G2322" s="30" t="s">
        <v>45</v>
      </c>
      <c r="H2322" s="11" t="s">
        <v>317</v>
      </c>
      <c r="I2322" s="11" t="s">
        <v>3621</v>
      </c>
      <c r="J2322" s="11">
        <v>23.0</v>
      </c>
      <c r="K2322" s="12">
        <v>39181.0</v>
      </c>
      <c r="L2322" s="30"/>
      <c r="M2322" s="11">
        <v>430609.0</v>
      </c>
      <c r="N2322" s="11">
        <v>1913.0</v>
      </c>
      <c r="P2322" s="11">
        <v>0.0</v>
      </c>
      <c r="Q2322" s="14">
        <v>0.0</v>
      </c>
      <c r="R2322" s="41">
        <v>0.0</v>
      </c>
      <c r="S2322">
        <f t="shared" si="1"/>
        <v>2005</v>
      </c>
      <c r="T2322">
        <f t="shared" si="2"/>
        <v>1</v>
      </c>
      <c r="U2322">
        <f t="shared" si="3"/>
        <v>1</v>
      </c>
      <c r="AG2322" s="15"/>
      <c r="AH2322" s="16"/>
      <c r="AM2322" s="15"/>
      <c r="AN2322" s="16"/>
    </row>
    <row r="2323">
      <c r="A2323" s="13" t="s">
        <v>4108</v>
      </c>
      <c r="B2323" s="10">
        <v>38353.0</v>
      </c>
      <c r="C2323" s="11" t="s">
        <v>103</v>
      </c>
      <c r="D2323" s="11" t="s">
        <v>221</v>
      </c>
      <c r="E2323" s="30" t="s">
        <v>39</v>
      </c>
      <c r="F2323" s="11" t="s">
        <v>40</v>
      </c>
      <c r="G2323" s="41" t="s">
        <v>53</v>
      </c>
      <c r="H2323" s="30"/>
      <c r="I2323" s="30"/>
      <c r="J2323" s="11">
        <v>21.0</v>
      </c>
      <c r="K2323" s="12">
        <v>38832.0</v>
      </c>
      <c r="L2323" s="30"/>
      <c r="M2323" s="11">
        <v>469097.0</v>
      </c>
      <c r="N2323" s="11">
        <v>4230.0</v>
      </c>
      <c r="P2323" s="11">
        <v>15.0</v>
      </c>
      <c r="Q2323" s="14">
        <v>17.333</v>
      </c>
      <c r="R2323" s="41">
        <v>0.0</v>
      </c>
      <c r="S2323">
        <f t="shared" si="1"/>
        <v>2005</v>
      </c>
      <c r="T2323">
        <f t="shared" si="2"/>
        <v>1</v>
      </c>
      <c r="U2323">
        <f t="shared" si="3"/>
        <v>1</v>
      </c>
      <c r="AG2323" s="15"/>
      <c r="AH2323" s="16"/>
      <c r="AM2323" s="15"/>
      <c r="AN2323" s="16"/>
    </row>
    <row r="2324">
      <c r="A2324" s="13" t="s">
        <v>4109</v>
      </c>
      <c r="B2324" s="10">
        <v>38353.0</v>
      </c>
      <c r="C2324" s="11" t="s">
        <v>362</v>
      </c>
      <c r="D2324" s="11" t="s">
        <v>93</v>
      </c>
      <c r="E2324" s="30" t="s">
        <v>39</v>
      </c>
      <c r="F2324" s="11" t="s">
        <v>40</v>
      </c>
      <c r="G2324" s="30" t="s">
        <v>45</v>
      </c>
      <c r="H2324" s="11" t="s">
        <v>182</v>
      </c>
      <c r="I2324" s="11" t="s">
        <v>4110</v>
      </c>
      <c r="J2324" s="11">
        <v>20.0</v>
      </c>
      <c r="K2324" s="12">
        <v>39252.0</v>
      </c>
      <c r="L2324" s="30"/>
      <c r="M2324" s="11">
        <v>488707.0</v>
      </c>
      <c r="N2324" s="11" t="s">
        <v>4111</v>
      </c>
      <c r="P2324" s="11">
        <v>0.0</v>
      </c>
      <c r="Q2324" s="14">
        <v>0.0</v>
      </c>
      <c r="R2324" s="41">
        <v>0.0</v>
      </c>
      <c r="S2324">
        <f t="shared" si="1"/>
        <v>2005</v>
      </c>
      <c r="T2324">
        <f t="shared" si="2"/>
        <v>1</v>
      </c>
      <c r="U2324">
        <f t="shared" si="3"/>
        <v>1</v>
      </c>
      <c r="AG2324" s="15"/>
      <c r="AH2324" s="16"/>
      <c r="AM2324" s="15"/>
      <c r="AN2324" s="16"/>
    </row>
    <row r="2325">
      <c r="A2325" s="13" t="s">
        <v>4112</v>
      </c>
      <c r="B2325" s="10">
        <v>38353.0</v>
      </c>
      <c r="C2325" s="11" t="s">
        <v>156</v>
      </c>
      <c r="D2325" s="11" t="s">
        <v>709</v>
      </c>
      <c r="E2325" s="30" t="s">
        <v>39</v>
      </c>
      <c r="F2325" s="11" t="s">
        <v>40</v>
      </c>
      <c r="G2325" s="30" t="s">
        <v>45</v>
      </c>
      <c r="H2325" s="11" t="s">
        <v>56</v>
      </c>
      <c r="I2325" s="11" t="s">
        <v>775</v>
      </c>
      <c r="J2325" s="11">
        <v>22.0</v>
      </c>
      <c r="K2325" s="12">
        <v>39177.0</v>
      </c>
      <c r="L2325" s="30"/>
      <c r="M2325" s="11">
        <v>450304.0</v>
      </c>
      <c r="N2325" s="11" t="s">
        <v>4113</v>
      </c>
      <c r="P2325" s="11">
        <v>0.0</v>
      </c>
      <c r="Q2325" s="14">
        <v>0.0</v>
      </c>
      <c r="R2325" s="41">
        <v>0.0</v>
      </c>
      <c r="S2325">
        <f t="shared" si="1"/>
        <v>2005</v>
      </c>
      <c r="T2325">
        <f t="shared" si="2"/>
        <v>1</v>
      </c>
      <c r="U2325">
        <f t="shared" si="3"/>
        <v>1</v>
      </c>
      <c r="AG2325" s="15"/>
      <c r="AH2325" s="16"/>
      <c r="AM2325" s="15"/>
      <c r="AN2325" s="16"/>
    </row>
    <row r="2326">
      <c r="A2326" s="13" t="s">
        <v>4114</v>
      </c>
      <c r="B2326" s="10">
        <v>38353.0</v>
      </c>
      <c r="C2326" s="11" t="s">
        <v>156</v>
      </c>
      <c r="D2326" s="11" t="s">
        <v>88</v>
      </c>
      <c r="E2326" s="30" t="s">
        <v>39</v>
      </c>
      <c r="F2326" s="11" t="s">
        <v>40</v>
      </c>
      <c r="G2326" s="30" t="s">
        <v>45</v>
      </c>
      <c r="H2326" s="11" t="s">
        <v>67</v>
      </c>
      <c r="I2326" s="11" t="s">
        <v>302</v>
      </c>
      <c r="J2326" s="11">
        <v>21.0</v>
      </c>
      <c r="K2326" s="12">
        <v>38818.0</v>
      </c>
      <c r="L2326" s="30"/>
      <c r="M2326" s="11">
        <v>456138.0</v>
      </c>
      <c r="N2326" s="11" t="s">
        <v>4115</v>
      </c>
      <c r="P2326" s="11">
        <v>0.0</v>
      </c>
      <c r="Q2326" s="14">
        <v>0.0</v>
      </c>
      <c r="R2326" s="41">
        <v>0.0</v>
      </c>
      <c r="S2326">
        <f t="shared" si="1"/>
        <v>2005</v>
      </c>
      <c r="T2326">
        <f t="shared" si="2"/>
        <v>1</v>
      </c>
      <c r="U2326">
        <f t="shared" si="3"/>
        <v>1</v>
      </c>
      <c r="AG2326" s="15"/>
      <c r="AH2326" s="16"/>
      <c r="AM2326" s="15"/>
      <c r="AN2326" s="16"/>
    </row>
    <row r="2327">
      <c r="A2327" s="13" t="s">
        <v>4116</v>
      </c>
      <c r="B2327" s="10">
        <v>38353.0</v>
      </c>
      <c r="C2327" s="11" t="s">
        <v>156</v>
      </c>
      <c r="D2327" s="11" t="s">
        <v>38</v>
      </c>
      <c r="E2327" s="41" t="s">
        <v>118</v>
      </c>
      <c r="F2327" s="11" t="s">
        <v>40</v>
      </c>
      <c r="G2327" s="30" t="s">
        <v>45</v>
      </c>
      <c r="H2327" s="11" t="s">
        <v>89</v>
      </c>
      <c r="I2327" s="11"/>
      <c r="J2327" s="11">
        <v>23.0</v>
      </c>
      <c r="K2327" s="12">
        <v>38875.0</v>
      </c>
      <c r="L2327" s="30"/>
      <c r="M2327" s="11">
        <v>408306.0</v>
      </c>
      <c r="N2327" s="11">
        <v>1656.0</v>
      </c>
      <c r="O2327" s="13" t="s">
        <v>761</v>
      </c>
      <c r="P2327" s="11">
        <v>227.0</v>
      </c>
      <c r="Q2327" s="45">
        <v>816.0</v>
      </c>
      <c r="R2327" s="41">
        <v>0.0</v>
      </c>
      <c r="S2327">
        <f t="shared" si="1"/>
        <v>2005</v>
      </c>
      <c r="T2327">
        <f t="shared" si="2"/>
        <v>1</v>
      </c>
      <c r="U2327">
        <f t="shared" si="3"/>
        <v>1</v>
      </c>
      <c r="AG2327" s="15"/>
      <c r="AH2327" s="16"/>
      <c r="AM2327" s="15"/>
      <c r="AN2327" s="16"/>
    </row>
    <row r="2328">
      <c r="A2328" s="13" t="s">
        <v>4117</v>
      </c>
      <c r="B2328" s="10">
        <v>38353.0</v>
      </c>
      <c r="C2328" s="11" t="s">
        <v>186</v>
      </c>
      <c r="D2328" s="11" t="s">
        <v>93</v>
      </c>
      <c r="E2328" s="41" t="s">
        <v>118</v>
      </c>
      <c r="F2328" s="11" t="s">
        <v>40</v>
      </c>
      <c r="G2328" s="30" t="s">
        <v>45</v>
      </c>
      <c r="H2328" s="11" t="s">
        <v>317</v>
      </c>
      <c r="I2328" s="11" t="s">
        <v>669</v>
      </c>
      <c r="J2328" s="11">
        <v>21.0</v>
      </c>
      <c r="K2328" s="12">
        <v>38887.0</v>
      </c>
      <c r="L2328" s="30"/>
      <c r="M2328" s="11">
        <v>502226.0</v>
      </c>
      <c r="N2328" s="11">
        <v>9571.0</v>
      </c>
      <c r="P2328" s="11">
        <v>533.0</v>
      </c>
      <c r="Q2328" s="14">
        <v>1233.0</v>
      </c>
      <c r="R2328" s="41">
        <v>1.0</v>
      </c>
      <c r="S2328">
        <f t="shared" si="1"/>
        <v>2005</v>
      </c>
      <c r="T2328">
        <f t="shared" si="2"/>
        <v>1</v>
      </c>
      <c r="U2328">
        <f t="shared" si="3"/>
        <v>1</v>
      </c>
      <c r="AG2328" s="15"/>
      <c r="AH2328" s="16"/>
      <c r="AM2328" s="15"/>
      <c r="AN2328" s="16"/>
    </row>
    <row r="2329">
      <c r="A2329" s="13" t="s">
        <v>4118</v>
      </c>
      <c r="B2329" s="10">
        <v>38353.0</v>
      </c>
      <c r="C2329" s="11" t="s">
        <v>235</v>
      </c>
      <c r="D2329" s="11" t="s">
        <v>88</v>
      </c>
      <c r="E2329" s="11" t="s">
        <v>39</v>
      </c>
      <c r="F2329" s="11" t="s">
        <v>64</v>
      </c>
      <c r="G2329" s="11" t="s">
        <v>45</v>
      </c>
      <c r="H2329" s="11" t="s">
        <v>182</v>
      </c>
      <c r="I2329" s="11" t="s">
        <v>3520</v>
      </c>
      <c r="J2329" s="11">
        <v>23.0</v>
      </c>
      <c r="K2329" s="12">
        <v>38718.0</v>
      </c>
      <c r="L2329" s="11"/>
      <c r="M2329" s="11">
        <v>447838.0</v>
      </c>
      <c r="N2329" s="11" t="s">
        <v>4119</v>
      </c>
      <c r="O2329" s="13"/>
      <c r="P2329" s="11">
        <v>0.0</v>
      </c>
      <c r="Q2329" s="14">
        <v>0.0</v>
      </c>
      <c r="R2329" s="11">
        <v>0.0</v>
      </c>
      <c r="S2329">
        <f t="shared" si="1"/>
        <v>2005</v>
      </c>
      <c r="T2329">
        <f t="shared" si="2"/>
        <v>1</v>
      </c>
      <c r="U2329">
        <f t="shared" si="3"/>
        <v>1</v>
      </c>
      <c r="AG2329" s="15"/>
      <c r="AH2329" s="16"/>
      <c r="AM2329" s="15"/>
      <c r="AN2329" s="16"/>
    </row>
    <row r="2330">
      <c r="A2330" s="13" t="s">
        <v>4120</v>
      </c>
      <c r="B2330" s="10">
        <v>38300.0</v>
      </c>
      <c r="C2330" s="11" t="s">
        <v>162</v>
      </c>
      <c r="D2330" s="11" t="s">
        <v>38</v>
      </c>
      <c r="E2330" s="41" t="s">
        <v>982</v>
      </c>
      <c r="F2330" s="11" t="s">
        <v>40</v>
      </c>
      <c r="G2330" s="11" t="s">
        <v>53</v>
      </c>
      <c r="H2330" s="30"/>
      <c r="I2330" s="30"/>
      <c r="J2330" s="11">
        <v>23.0</v>
      </c>
      <c r="K2330" s="12">
        <v>38531.0</v>
      </c>
      <c r="L2330" s="11">
        <f t="shared" ref="L2330:L2340" si="244">ROUND(((K2330-B2330)/365)*12,0)</f>
        <v>8</v>
      </c>
      <c r="M2330" s="11">
        <v>408232.0</v>
      </c>
      <c r="N2330" s="11">
        <v>1718.0</v>
      </c>
      <c r="O2330" s="13" t="s">
        <v>355</v>
      </c>
      <c r="P2330" s="11">
        <v>131.0</v>
      </c>
      <c r="Q2330" s="45">
        <v>232.0</v>
      </c>
      <c r="R2330" s="41">
        <v>0.0</v>
      </c>
      <c r="S2330">
        <f t="shared" si="1"/>
        <v>2004</v>
      </c>
      <c r="T2330">
        <f t="shared" si="2"/>
        <v>11</v>
      </c>
      <c r="U2330">
        <f t="shared" si="3"/>
        <v>9</v>
      </c>
      <c r="AG2330" s="15"/>
      <c r="AH2330" s="16"/>
      <c r="AM2330" s="15"/>
      <c r="AN2330" s="16"/>
    </row>
    <row r="2331">
      <c r="A2331" s="13" t="s">
        <v>4121</v>
      </c>
      <c r="B2331" s="10">
        <v>38290.0</v>
      </c>
      <c r="C2331" s="11" t="s">
        <v>72</v>
      </c>
      <c r="D2331" s="11" t="s">
        <v>38</v>
      </c>
      <c r="E2331" s="30" t="s">
        <v>39</v>
      </c>
      <c r="F2331" s="11" t="s">
        <v>40</v>
      </c>
      <c r="G2331" s="30" t="s">
        <v>45</v>
      </c>
      <c r="H2331" s="11" t="s">
        <v>56</v>
      </c>
      <c r="I2331" s="11" t="s">
        <v>4122</v>
      </c>
      <c r="J2331" s="11">
        <v>28.0</v>
      </c>
      <c r="K2331" s="12">
        <v>38569.0</v>
      </c>
      <c r="L2331" s="11">
        <f t="shared" si="244"/>
        <v>9</v>
      </c>
      <c r="M2331" s="11">
        <v>150182.0</v>
      </c>
      <c r="N2331" s="11">
        <v>361.0</v>
      </c>
      <c r="O2331" s="13" t="s">
        <v>355</v>
      </c>
      <c r="P2331" s="11">
        <v>75.0</v>
      </c>
      <c r="Q2331" s="45">
        <v>68.0</v>
      </c>
      <c r="R2331" s="41">
        <v>0.0</v>
      </c>
      <c r="S2331">
        <f t="shared" si="1"/>
        <v>2004</v>
      </c>
      <c r="T2331">
        <f t="shared" si="2"/>
        <v>10</v>
      </c>
      <c r="U2331">
        <f t="shared" si="3"/>
        <v>30</v>
      </c>
      <c r="AG2331" s="15"/>
      <c r="AH2331" s="16"/>
      <c r="AM2331" s="15"/>
      <c r="AN2331" s="16"/>
    </row>
    <row r="2332">
      <c r="A2332" s="13" t="s">
        <v>4123</v>
      </c>
      <c r="B2332" s="10">
        <v>38273.0</v>
      </c>
      <c r="C2332" s="11" t="s">
        <v>138</v>
      </c>
      <c r="D2332" s="11" t="s">
        <v>38</v>
      </c>
      <c r="E2332" s="30" t="s">
        <v>39</v>
      </c>
      <c r="F2332" s="11" t="s">
        <v>40</v>
      </c>
      <c r="G2332" s="30" t="s">
        <v>45</v>
      </c>
      <c r="H2332" s="11" t="s">
        <v>56</v>
      </c>
      <c r="I2332" s="11"/>
      <c r="J2332" s="11">
        <v>26.0</v>
      </c>
      <c r="K2332" s="12">
        <v>38548.0</v>
      </c>
      <c r="L2332" s="11">
        <f t="shared" si="244"/>
        <v>9</v>
      </c>
      <c r="M2332" s="11">
        <v>115169.0</v>
      </c>
      <c r="N2332" s="11">
        <v>602.0</v>
      </c>
      <c r="O2332" s="13" t="s">
        <v>355</v>
      </c>
      <c r="P2332" s="11">
        <v>41.0</v>
      </c>
      <c r="Q2332" s="14">
        <v>49.667</v>
      </c>
      <c r="R2332" s="41">
        <v>0.0</v>
      </c>
      <c r="S2332">
        <f t="shared" si="1"/>
        <v>2004</v>
      </c>
      <c r="T2332">
        <f t="shared" si="2"/>
        <v>10</v>
      </c>
      <c r="U2332">
        <f t="shared" si="3"/>
        <v>13</v>
      </c>
      <c r="AG2332" s="15"/>
      <c r="AH2332" s="16"/>
      <c r="AM2332" s="15"/>
      <c r="AN2332" s="16"/>
    </row>
    <row r="2333">
      <c r="A2333" s="13" t="s">
        <v>2960</v>
      </c>
      <c r="B2333" s="10">
        <v>38252.0</v>
      </c>
      <c r="C2333" s="11" t="s">
        <v>362</v>
      </c>
      <c r="D2333" s="11" t="s">
        <v>58</v>
      </c>
      <c r="E2333" s="30" t="s">
        <v>39</v>
      </c>
      <c r="F2333" s="11" t="s">
        <v>64</v>
      </c>
      <c r="G2333" s="30" t="s">
        <v>45</v>
      </c>
      <c r="H2333" s="11" t="s">
        <v>84</v>
      </c>
      <c r="I2333" s="11"/>
      <c r="J2333" s="11">
        <v>21.0</v>
      </c>
      <c r="K2333" s="12">
        <v>38816.0</v>
      </c>
      <c r="L2333" s="11">
        <f t="shared" si="244"/>
        <v>19</v>
      </c>
      <c r="M2333" s="11">
        <v>430634.0</v>
      </c>
      <c r="N2333" s="11">
        <v>1886.0</v>
      </c>
      <c r="P2333" s="11">
        <v>357.0</v>
      </c>
      <c r="Q2333" s="14">
        <v>301.0</v>
      </c>
      <c r="R2333" s="41">
        <v>0.0</v>
      </c>
      <c r="S2333">
        <f t="shared" si="1"/>
        <v>2004</v>
      </c>
      <c r="T2333">
        <f t="shared" si="2"/>
        <v>9</v>
      </c>
      <c r="U2333">
        <f t="shared" si="3"/>
        <v>22</v>
      </c>
      <c r="AG2333" s="15"/>
      <c r="AH2333" s="16"/>
      <c r="AM2333" s="15"/>
      <c r="AN2333" s="16"/>
    </row>
    <row r="2334">
      <c r="A2334" s="13" t="s">
        <v>3728</v>
      </c>
      <c r="B2334" s="10">
        <v>38238.0</v>
      </c>
      <c r="C2334" s="11" t="s">
        <v>76</v>
      </c>
      <c r="D2334" s="11" t="s">
        <v>38</v>
      </c>
      <c r="E2334" s="30" t="s">
        <v>39</v>
      </c>
      <c r="F2334" s="11" t="s">
        <v>40</v>
      </c>
      <c r="G2334" s="41" t="s">
        <v>194</v>
      </c>
      <c r="H2334" s="30"/>
      <c r="I2334" s="30"/>
      <c r="J2334" s="11">
        <v>23.0</v>
      </c>
      <c r="K2334" s="12">
        <v>38864.0</v>
      </c>
      <c r="L2334" s="11">
        <f t="shared" si="244"/>
        <v>21</v>
      </c>
      <c r="M2334" s="11">
        <v>429718.0</v>
      </c>
      <c r="N2334" s="11">
        <v>1882.0</v>
      </c>
      <c r="O2334" s="13" t="s">
        <v>761</v>
      </c>
      <c r="P2334" s="11">
        <v>37.0</v>
      </c>
      <c r="Q2334" s="45">
        <v>209.33299999999997</v>
      </c>
      <c r="R2334" s="41">
        <v>0.0</v>
      </c>
      <c r="S2334">
        <f t="shared" si="1"/>
        <v>2004</v>
      </c>
      <c r="T2334">
        <f t="shared" si="2"/>
        <v>9</v>
      </c>
      <c r="U2334">
        <f t="shared" si="3"/>
        <v>8</v>
      </c>
      <c r="AG2334" s="15"/>
      <c r="AH2334" s="16"/>
      <c r="AM2334" s="15"/>
      <c r="AN2334" s="16"/>
    </row>
    <row r="2335">
      <c r="A2335" s="13" t="s">
        <v>4124</v>
      </c>
      <c r="B2335" s="10">
        <v>38235.0</v>
      </c>
      <c r="C2335" s="11" t="s">
        <v>76</v>
      </c>
      <c r="D2335" s="11" t="s">
        <v>88</v>
      </c>
      <c r="E2335" s="30" t="s">
        <v>39</v>
      </c>
      <c r="F2335" s="11" t="s">
        <v>40</v>
      </c>
      <c r="G2335" s="30" t="s">
        <v>45</v>
      </c>
      <c r="H2335" s="11" t="s">
        <v>56</v>
      </c>
      <c r="I2335" s="11"/>
      <c r="J2335" s="11">
        <v>19.0</v>
      </c>
      <c r="K2335" s="12">
        <v>38816.0</v>
      </c>
      <c r="L2335" s="11">
        <f t="shared" si="244"/>
        <v>19</v>
      </c>
      <c r="M2335" s="11">
        <v>425847.0</v>
      </c>
      <c r="N2335" s="11" t="s">
        <v>4125</v>
      </c>
      <c r="P2335" s="11">
        <v>0.0</v>
      </c>
      <c r="Q2335" s="14">
        <v>0.0</v>
      </c>
      <c r="R2335" s="41">
        <v>0.0</v>
      </c>
      <c r="S2335">
        <f t="shared" si="1"/>
        <v>2004</v>
      </c>
      <c r="T2335">
        <f t="shared" si="2"/>
        <v>9</v>
      </c>
      <c r="U2335">
        <f t="shared" si="3"/>
        <v>5</v>
      </c>
      <c r="AG2335" s="15"/>
      <c r="AH2335" s="16"/>
      <c r="AM2335" s="15"/>
      <c r="AN2335" s="16"/>
    </row>
    <row r="2336">
      <c r="A2336" s="13" t="s">
        <v>3188</v>
      </c>
      <c r="B2336" s="10">
        <v>38231.0</v>
      </c>
      <c r="C2336" s="11" t="s">
        <v>111</v>
      </c>
      <c r="D2336" s="11" t="s">
        <v>58</v>
      </c>
      <c r="E2336" s="30" t="s">
        <v>39</v>
      </c>
      <c r="F2336" s="11" t="s">
        <v>40</v>
      </c>
      <c r="G2336" s="30" t="s">
        <v>45</v>
      </c>
      <c r="H2336" s="11" t="s">
        <v>317</v>
      </c>
      <c r="I2336" s="11"/>
      <c r="J2336" s="11">
        <v>25.0</v>
      </c>
      <c r="K2336" s="12">
        <v>38851.0</v>
      </c>
      <c r="L2336" s="11">
        <f t="shared" si="244"/>
        <v>20</v>
      </c>
      <c r="M2336" s="11">
        <v>400076.0</v>
      </c>
      <c r="N2336" s="11">
        <v>1613.0</v>
      </c>
      <c r="O2336" s="13" t="s">
        <v>3309</v>
      </c>
      <c r="P2336" s="11">
        <v>44.0</v>
      </c>
      <c r="Q2336" s="14">
        <v>99.667</v>
      </c>
      <c r="R2336" s="41">
        <v>0.0</v>
      </c>
      <c r="S2336">
        <f t="shared" si="1"/>
        <v>2004</v>
      </c>
      <c r="T2336">
        <f t="shared" si="2"/>
        <v>9</v>
      </c>
      <c r="U2336">
        <f t="shared" si="3"/>
        <v>1</v>
      </c>
      <c r="AG2336" s="15"/>
      <c r="AH2336" s="16"/>
      <c r="AM2336" s="15"/>
      <c r="AN2336" s="16"/>
    </row>
    <row r="2337">
      <c r="A2337" s="13" t="s">
        <v>4126</v>
      </c>
      <c r="B2337" s="10">
        <v>38216.0</v>
      </c>
      <c r="C2337" s="11" t="s">
        <v>230</v>
      </c>
      <c r="D2337" s="11" t="s">
        <v>38</v>
      </c>
      <c r="E2337" s="30" t="s">
        <v>39</v>
      </c>
      <c r="F2337" s="11" t="s">
        <v>40</v>
      </c>
      <c r="G2337" s="41" t="s">
        <v>41</v>
      </c>
      <c r="H2337" s="30"/>
      <c r="I2337" s="30"/>
      <c r="J2337" s="11">
        <v>24.0</v>
      </c>
      <c r="K2337" s="12">
        <v>38605.0</v>
      </c>
      <c r="L2337" s="11">
        <f t="shared" si="244"/>
        <v>13</v>
      </c>
      <c r="M2337" s="11">
        <v>400089.0</v>
      </c>
      <c r="N2337" s="11">
        <v>1100.0</v>
      </c>
      <c r="O2337" s="13" t="s">
        <v>3309</v>
      </c>
      <c r="P2337" s="11">
        <v>535.0</v>
      </c>
      <c r="Q2337" s="14">
        <v>532.667</v>
      </c>
      <c r="R2337" s="11">
        <v>0.0</v>
      </c>
      <c r="S2337">
        <f t="shared" si="1"/>
        <v>2004</v>
      </c>
      <c r="T2337">
        <f t="shared" si="2"/>
        <v>8</v>
      </c>
      <c r="U2337">
        <f t="shared" si="3"/>
        <v>17</v>
      </c>
      <c r="AG2337" s="15"/>
      <c r="AH2337" s="16"/>
      <c r="AM2337" s="15"/>
      <c r="AN2337" s="16"/>
    </row>
    <row r="2338">
      <c r="A2338" s="13" t="s">
        <v>4127</v>
      </c>
      <c r="B2338" s="10">
        <v>38200.0</v>
      </c>
      <c r="C2338" s="11" t="s">
        <v>101</v>
      </c>
      <c r="D2338" s="11" t="s">
        <v>38</v>
      </c>
      <c r="E2338" s="41" t="s">
        <v>118</v>
      </c>
      <c r="F2338" s="11" t="s">
        <v>40</v>
      </c>
      <c r="G2338" s="30" t="s">
        <v>45</v>
      </c>
      <c r="H2338" s="11" t="s">
        <v>84</v>
      </c>
      <c r="I2338" s="11" t="s">
        <v>4128</v>
      </c>
      <c r="J2338" s="11">
        <v>36.0</v>
      </c>
      <c r="K2338" s="12">
        <v>38446.0</v>
      </c>
      <c r="L2338" s="11">
        <f t="shared" si="244"/>
        <v>8</v>
      </c>
      <c r="M2338" s="11">
        <v>114935.0</v>
      </c>
      <c r="N2338" s="11">
        <v>55.0</v>
      </c>
      <c r="O2338" s="13" t="s">
        <v>2929</v>
      </c>
      <c r="P2338" s="11">
        <v>583.0</v>
      </c>
      <c r="Q2338" s="45">
        <v>2253.0</v>
      </c>
      <c r="R2338" s="41">
        <v>0.0</v>
      </c>
      <c r="S2338">
        <f t="shared" si="1"/>
        <v>2004</v>
      </c>
      <c r="T2338">
        <f t="shared" si="2"/>
        <v>8</v>
      </c>
      <c r="U2338">
        <f t="shared" si="3"/>
        <v>1</v>
      </c>
      <c r="AG2338" s="15"/>
      <c r="AH2338" s="16"/>
      <c r="AM2338" s="15"/>
      <c r="AN2338" s="16"/>
    </row>
    <row r="2339">
      <c r="A2339" s="13" t="s">
        <v>4129</v>
      </c>
      <c r="B2339" s="10">
        <v>38197.0</v>
      </c>
      <c r="C2339" s="11" t="s">
        <v>44</v>
      </c>
      <c r="D2339" s="11" t="s">
        <v>38</v>
      </c>
      <c r="E2339" s="30" t="s">
        <v>39</v>
      </c>
      <c r="F2339" s="11" t="s">
        <v>64</v>
      </c>
      <c r="G2339" s="30" t="s">
        <v>45</v>
      </c>
      <c r="H2339" s="11" t="s">
        <v>317</v>
      </c>
      <c r="I2339" s="11" t="s">
        <v>4130</v>
      </c>
      <c r="J2339" s="11">
        <v>27.0</v>
      </c>
      <c r="K2339" s="12">
        <v>39247.0</v>
      </c>
      <c r="L2339" s="11">
        <f t="shared" si="244"/>
        <v>35</v>
      </c>
      <c r="M2339" s="11">
        <v>408037.0</v>
      </c>
      <c r="N2339" s="11">
        <v>1763.0</v>
      </c>
      <c r="O2339" s="13" t="s">
        <v>761</v>
      </c>
      <c r="P2339" s="11">
        <v>8.0</v>
      </c>
      <c r="Q2339" s="45">
        <v>26.333000000000006</v>
      </c>
      <c r="R2339" s="41">
        <v>0.0</v>
      </c>
      <c r="S2339">
        <f t="shared" si="1"/>
        <v>2004</v>
      </c>
      <c r="T2339">
        <f t="shared" si="2"/>
        <v>7</v>
      </c>
      <c r="U2339">
        <f t="shared" si="3"/>
        <v>29</v>
      </c>
      <c r="AG2339" s="15"/>
      <c r="AH2339" s="16"/>
      <c r="AM2339" s="15"/>
      <c r="AN2339" s="16"/>
    </row>
    <row r="2340">
      <c r="A2340" s="13" t="s">
        <v>4131</v>
      </c>
      <c r="B2340" s="10">
        <v>38188.0</v>
      </c>
      <c r="C2340" s="11" t="s">
        <v>138</v>
      </c>
      <c r="D2340" s="11" t="s">
        <v>709</v>
      </c>
      <c r="E2340" s="30" t="s">
        <v>39</v>
      </c>
      <c r="F2340" s="11" t="s">
        <v>40</v>
      </c>
      <c r="G2340" s="30" t="s">
        <v>45</v>
      </c>
      <c r="H2340" s="11" t="s">
        <v>139</v>
      </c>
      <c r="I2340" s="11" t="s">
        <v>4132</v>
      </c>
      <c r="J2340" s="11">
        <v>21.0</v>
      </c>
      <c r="K2340" s="12">
        <v>38524.0</v>
      </c>
      <c r="L2340" s="11">
        <f t="shared" si="244"/>
        <v>11</v>
      </c>
      <c r="M2340" s="11">
        <v>460597.0</v>
      </c>
      <c r="N2340" s="11">
        <v>6007.0</v>
      </c>
      <c r="P2340" s="11">
        <v>61.0</v>
      </c>
      <c r="Q2340" s="14">
        <v>59.0</v>
      </c>
      <c r="R2340" s="41">
        <v>0.0</v>
      </c>
      <c r="S2340">
        <f t="shared" si="1"/>
        <v>2004</v>
      </c>
      <c r="T2340">
        <f t="shared" si="2"/>
        <v>7</v>
      </c>
      <c r="U2340">
        <f t="shared" si="3"/>
        <v>20</v>
      </c>
      <c r="AG2340" s="15"/>
      <c r="AH2340" s="16"/>
      <c r="AM2340" s="15"/>
      <c r="AN2340" s="16"/>
    </row>
    <row r="2341">
      <c r="A2341" s="13" t="s">
        <v>3996</v>
      </c>
      <c r="B2341" s="10">
        <v>38181.0</v>
      </c>
      <c r="C2341" s="11" t="s">
        <v>83</v>
      </c>
      <c r="D2341" s="11" t="s">
        <v>38</v>
      </c>
      <c r="E2341" s="30" t="s">
        <v>39</v>
      </c>
      <c r="F2341" s="11" t="s">
        <v>40</v>
      </c>
      <c r="G2341" s="30" t="s">
        <v>45</v>
      </c>
      <c r="H2341" s="11" t="s">
        <v>67</v>
      </c>
      <c r="I2341" s="11" t="s">
        <v>3997</v>
      </c>
      <c r="J2341" s="11">
        <v>29.0</v>
      </c>
      <c r="K2341" s="12"/>
      <c r="L2341" s="11"/>
      <c r="M2341" s="11">
        <v>150221.0</v>
      </c>
      <c r="N2341" s="11">
        <v>1457.0</v>
      </c>
      <c r="O2341" s="13" t="s">
        <v>1332</v>
      </c>
      <c r="P2341" s="11">
        <v>0.0</v>
      </c>
      <c r="Q2341" s="45">
        <v>0.0</v>
      </c>
      <c r="R2341" s="41">
        <v>0.0</v>
      </c>
      <c r="S2341">
        <f t="shared" si="1"/>
        <v>2004</v>
      </c>
      <c r="T2341">
        <f t="shared" si="2"/>
        <v>7</v>
      </c>
      <c r="U2341">
        <f t="shared" si="3"/>
        <v>13</v>
      </c>
      <c r="AG2341" s="15"/>
      <c r="AH2341" s="16"/>
      <c r="AM2341" s="15"/>
      <c r="AN2341" s="16"/>
    </row>
    <row r="2342">
      <c r="A2342" s="13" t="s">
        <v>4133</v>
      </c>
      <c r="B2342" s="10">
        <v>38176.0</v>
      </c>
      <c r="C2342" s="11" t="s">
        <v>186</v>
      </c>
      <c r="D2342" s="11" t="s">
        <v>38</v>
      </c>
      <c r="E2342" s="11" t="s">
        <v>39</v>
      </c>
      <c r="F2342" s="11" t="s">
        <v>40</v>
      </c>
      <c r="G2342" s="11" t="s">
        <v>45</v>
      </c>
      <c r="H2342" s="11" t="s">
        <v>159</v>
      </c>
      <c r="I2342" s="11" t="s">
        <v>637</v>
      </c>
      <c r="J2342" s="11">
        <v>32.0</v>
      </c>
      <c r="K2342" s="12">
        <v>38550.0</v>
      </c>
      <c r="L2342" s="11">
        <f t="shared" ref="L2342:L2343" si="245">ROUND(((K2342-B2342)/365)*12,0)</f>
        <v>12</v>
      </c>
      <c r="M2342" s="11">
        <v>120717.0</v>
      </c>
      <c r="N2342" s="11">
        <v>1271.0</v>
      </c>
      <c r="P2342" s="11">
        <v>5.0</v>
      </c>
      <c r="Q2342" s="14">
        <v>3.333</v>
      </c>
      <c r="R2342" s="41">
        <v>0.0</v>
      </c>
      <c r="S2342">
        <f t="shared" si="1"/>
        <v>2004</v>
      </c>
      <c r="T2342">
        <f t="shared" si="2"/>
        <v>7</v>
      </c>
      <c r="U2342">
        <f t="shared" si="3"/>
        <v>8</v>
      </c>
      <c r="AG2342" s="15"/>
      <c r="AH2342" s="16"/>
      <c r="AM2342" s="15"/>
      <c r="AN2342" s="16"/>
    </row>
    <row r="2343">
      <c r="A2343" s="13" t="s">
        <v>4134</v>
      </c>
      <c r="B2343" s="10">
        <v>38169.0</v>
      </c>
      <c r="C2343" s="11" t="s">
        <v>274</v>
      </c>
      <c r="D2343" s="11" t="s">
        <v>77</v>
      </c>
      <c r="E2343" s="30" t="s">
        <v>39</v>
      </c>
      <c r="F2343" s="11" t="s">
        <v>40</v>
      </c>
      <c r="G2343" s="30" t="s">
        <v>45</v>
      </c>
      <c r="H2343" s="11" t="s">
        <v>222</v>
      </c>
      <c r="I2343" s="11" t="s">
        <v>133</v>
      </c>
      <c r="J2343" s="11">
        <v>23.0</v>
      </c>
      <c r="K2343" s="12">
        <v>38573.0</v>
      </c>
      <c r="L2343" s="11">
        <f t="shared" si="245"/>
        <v>13</v>
      </c>
      <c r="M2343" s="11">
        <v>455005.0</v>
      </c>
      <c r="N2343" s="11">
        <v>4754.0</v>
      </c>
      <c r="P2343" s="11">
        <v>4.0</v>
      </c>
      <c r="Q2343" s="14">
        <v>16.667</v>
      </c>
      <c r="R2343" s="41">
        <v>0.0</v>
      </c>
      <c r="S2343">
        <f t="shared" si="1"/>
        <v>2004</v>
      </c>
      <c r="T2343">
        <f t="shared" si="2"/>
        <v>7</v>
      </c>
      <c r="U2343">
        <f t="shared" si="3"/>
        <v>1</v>
      </c>
      <c r="AG2343" s="15"/>
      <c r="AH2343" s="16"/>
      <c r="AM2343" s="15"/>
      <c r="AN2343" s="16"/>
    </row>
    <row r="2344">
      <c r="A2344" s="13" t="s">
        <v>4135</v>
      </c>
      <c r="B2344" s="10">
        <v>38167.0</v>
      </c>
      <c r="C2344" s="11" t="s">
        <v>49</v>
      </c>
      <c r="D2344" s="11" t="s">
        <v>58</v>
      </c>
      <c r="E2344" s="11" t="s">
        <v>39</v>
      </c>
      <c r="F2344" s="11" t="s">
        <v>40</v>
      </c>
      <c r="G2344" s="11" t="s">
        <v>45</v>
      </c>
      <c r="H2344" s="11" t="s">
        <v>182</v>
      </c>
      <c r="I2344" s="11" t="s">
        <v>4136</v>
      </c>
      <c r="J2344" s="11">
        <v>30.0</v>
      </c>
      <c r="K2344" s="12"/>
      <c r="L2344" s="11"/>
      <c r="M2344" s="11">
        <v>339492.0</v>
      </c>
      <c r="N2344" s="11">
        <v>1422.0</v>
      </c>
      <c r="P2344" s="11">
        <v>0.0</v>
      </c>
      <c r="Q2344" s="14">
        <v>0.0</v>
      </c>
      <c r="R2344" s="11">
        <v>0.0</v>
      </c>
      <c r="S2344">
        <f t="shared" si="1"/>
        <v>2004</v>
      </c>
      <c r="T2344">
        <f t="shared" si="2"/>
        <v>6</v>
      </c>
      <c r="U2344">
        <f t="shared" si="3"/>
        <v>29</v>
      </c>
      <c r="AG2344" s="15"/>
      <c r="AH2344" s="16"/>
      <c r="AM2344" s="15"/>
      <c r="AN2344" s="16"/>
    </row>
    <row r="2345">
      <c r="A2345" s="13" t="s">
        <v>4137</v>
      </c>
      <c r="B2345" s="10">
        <v>38155.0</v>
      </c>
      <c r="C2345" s="11" t="s">
        <v>346</v>
      </c>
      <c r="D2345" s="11" t="s">
        <v>213</v>
      </c>
      <c r="E2345" s="30" t="s">
        <v>39</v>
      </c>
      <c r="F2345" s="11" t="s">
        <v>40</v>
      </c>
      <c r="G2345" s="30" t="s">
        <v>45</v>
      </c>
      <c r="H2345" s="11" t="s">
        <v>566</v>
      </c>
      <c r="I2345" s="11"/>
      <c r="J2345" s="11">
        <v>17.0</v>
      </c>
      <c r="K2345" s="12">
        <v>38529.0</v>
      </c>
      <c r="L2345" s="11">
        <f t="shared" ref="L2345:L2348" si="246">ROUND(((K2345-B2345)/365)*12,0)</f>
        <v>12</v>
      </c>
      <c r="M2345" s="11">
        <v>444440.0</v>
      </c>
      <c r="N2345" s="11">
        <v>6879.0</v>
      </c>
      <c r="P2345" s="11">
        <v>4.0</v>
      </c>
      <c r="Q2345" s="14">
        <v>18.0</v>
      </c>
      <c r="R2345" s="41">
        <v>0.0</v>
      </c>
      <c r="S2345">
        <f t="shared" si="1"/>
        <v>2004</v>
      </c>
      <c r="T2345">
        <f t="shared" si="2"/>
        <v>6</v>
      </c>
      <c r="U2345">
        <f t="shared" si="3"/>
        <v>17</v>
      </c>
      <c r="AG2345" s="15"/>
      <c r="AH2345" s="16"/>
      <c r="AM2345" s="15"/>
      <c r="AN2345" s="16"/>
    </row>
    <row r="2346">
      <c r="A2346" s="13" t="s">
        <v>4138</v>
      </c>
      <c r="B2346" s="10">
        <v>38131.0</v>
      </c>
      <c r="C2346" s="11" t="s">
        <v>72</v>
      </c>
      <c r="D2346" s="11" t="s">
        <v>58</v>
      </c>
      <c r="E2346" s="30" t="s">
        <v>39</v>
      </c>
      <c r="F2346" s="11" t="s">
        <v>40</v>
      </c>
      <c r="G2346" s="30" t="s">
        <v>45</v>
      </c>
      <c r="H2346" s="11" t="s">
        <v>163</v>
      </c>
      <c r="I2346" s="11"/>
      <c r="J2346" s="11">
        <v>27.0</v>
      </c>
      <c r="K2346" s="12">
        <v>38917.0</v>
      </c>
      <c r="L2346" s="11">
        <f t="shared" si="246"/>
        <v>26</v>
      </c>
      <c r="M2346" s="11">
        <v>425126.0</v>
      </c>
      <c r="N2346" s="11">
        <v>1625.0</v>
      </c>
      <c r="P2346" s="11">
        <v>4.0</v>
      </c>
      <c r="Q2346" s="14">
        <v>15.667</v>
      </c>
      <c r="R2346" s="41">
        <v>0.0</v>
      </c>
      <c r="S2346">
        <f t="shared" si="1"/>
        <v>2004</v>
      </c>
      <c r="T2346">
        <f t="shared" si="2"/>
        <v>5</v>
      </c>
      <c r="U2346">
        <f t="shared" si="3"/>
        <v>24</v>
      </c>
      <c r="AG2346" s="15"/>
      <c r="AH2346" s="16"/>
      <c r="AM2346" s="15"/>
      <c r="AN2346" s="16"/>
    </row>
    <row r="2347">
      <c r="A2347" s="13" t="s">
        <v>4139</v>
      </c>
      <c r="B2347" s="10">
        <v>38121.0</v>
      </c>
      <c r="C2347" s="11" t="s">
        <v>235</v>
      </c>
      <c r="D2347" s="11" t="s">
        <v>77</v>
      </c>
      <c r="E2347" s="30" t="s">
        <v>39</v>
      </c>
      <c r="F2347" s="11" t="s">
        <v>40</v>
      </c>
      <c r="G2347" s="30" t="s">
        <v>45</v>
      </c>
      <c r="H2347" s="11" t="s">
        <v>163</v>
      </c>
      <c r="I2347" s="11"/>
      <c r="J2347" s="11">
        <v>22.0</v>
      </c>
      <c r="K2347" s="12">
        <v>38532.0</v>
      </c>
      <c r="L2347" s="11">
        <f t="shared" si="246"/>
        <v>14</v>
      </c>
      <c r="M2347" s="11">
        <v>430661.0</v>
      </c>
      <c r="N2347" s="11">
        <v>8600.0</v>
      </c>
      <c r="P2347" s="11">
        <v>290.0</v>
      </c>
      <c r="Q2347" s="14">
        <v>650.333</v>
      </c>
      <c r="R2347" s="41">
        <v>1.0</v>
      </c>
      <c r="S2347">
        <f t="shared" si="1"/>
        <v>2004</v>
      </c>
      <c r="T2347">
        <f t="shared" si="2"/>
        <v>5</v>
      </c>
      <c r="U2347">
        <f t="shared" si="3"/>
        <v>14</v>
      </c>
      <c r="AG2347" s="15"/>
      <c r="AH2347" s="16"/>
      <c r="AM2347" s="15"/>
      <c r="AN2347" s="16"/>
    </row>
    <row r="2348">
      <c r="A2348" s="13" t="s">
        <v>4140</v>
      </c>
      <c r="B2348" s="10">
        <v>38108.0</v>
      </c>
      <c r="C2348" s="11" t="s">
        <v>230</v>
      </c>
      <c r="D2348" s="11" t="s">
        <v>58</v>
      </c>
      <c r="E2348" s="11" t="s">
        <v>39</v>
      </c>
      <c r="F2348" s="11" t="s">
        <v>40</v>
      </c>
      <c r="G2348" s="11" t="s">
        <v>45</v>
      </c>
      <c r="H2348" s="11" t="s">
        <v>112</v>
      </c>
      <c r="I2348" s="11" t="s">
        <v>4141</v>
      </c>
      <c r="J2348" s="11">
        <v>27.0</v>
      </c>
      <c r="K2348" s="12">
        <v>38814.0</v>
      </c>
      <c r="L2348" s="11">
        <f t="shared" si="246"/>
        <v>23</v>
      </c>
      <c r="M2348" s="11">
        <v>425475.0</v>
      </c>
      <c r="N2348" s="11">
        <v>1788.0</v>
      </c>
      <c r="O2348" s="13"/>
      <c r="P2348" s="11">
        <v>0.0</v>
      </c>
      <c r="Q2348" s="14">
        <v>0.0</v>
      </c>
      <c r="R2348" s="41">
        <v>0.0</v>
      </c>
      <c r="S2348">
        <f t="shared" si="1"/>
        <v>2004</v>
      </c>
      <c r="T2348">
        <f t="shared" si="2"/>
        <v>5</v>
      </c>
      <c r="U2348">
        <f t="shared" si="3"/>
        <v>1</v>
      </c>
      <c r="AG2348" s="15"/>
      <c r="AH2348" s="16"/>
      <c r="AM2348" s="15"/>
      <c r="AN2348" s="16"/>
    </row>
    <row r="2349">
      <c r="A2349" s="13" t="s">
        <v>802</v>
      </c>
      <c r="B2349" s="10">
        <v>38107.0</v>
      </c>
      <c r="C2349" s="11" t="s">
        <v>126</v>
      </c>
      <c r="D2349" s="11" t="s">
        <v>213</v>
      </c>
      <c r="E2349" s="11" t="s">
        <v>39</v>
      </c>
      <c r="F2349" s="11" t="s">
        <v>64</v>
      </c>
      <c r="G2349" s="11" t="s">
        <v>803</v>
      </c>
      <c r="H2349" s="30"/>
      <c r="I2349" s="30"/>
      <c r="J2349" s="11">
        <v>17.0</v>
      </c>
      <c r="K2349" s="12">
        <v>41366.0</v>
      </c>
      <c r="L2349" s="30"/>
      <c r="M2349" s="11">
        <v>547943.0</v>
      </c>
      <c r="N2349" s="11">
        <v>14444.0</v>
      </c>
      <c r="P2349" s="11">
        <v>82.0</v>
      </c>
      <c r="Q2349" s="14">
        <v>475.333</v>
      </c>
      <c r="R2349" s="41">
        <v>1.0</v>
      </c>
      <c r="S2349">
        <f t="shared" si="1"/>
        <v>2004</v>
      </c>
      <c r="T2349">
        <f t="shared" si="2"/>
        <v>4</v>
      </c>
      <c r="U2349">
        <f t="shared" si="3"/>
        <v>30</v>
      </c>
      <c r="AG2349" s="15"/>
      <c r="AH2349" s="16"/>
      <c r="AM2349" s="15"/>
      <c r="AN2349" s="16"/>
    </row>
    <row r="2350">
      <c r="A2350" s="13" t="s">
        <v>4142</v>
      </c>
      <c r="B2350" s="10">
        <v>38106.0</v>
      </c>
      <c r="C2350" s="11" t="s">
        <v>111</v>
      </c>
      <c r="D2350" s="11" t="s">
        <v>38</v>
      </c>
      <c r="E2350" s="30" t="s">
        <v>39</v>
      </c>
      <c r="F2350" s="11" t="s">
        <v>40</v>
      </c>
      <c r="G2350" s="41" t="s">
        <v>41</v>
      </c>
      <c r="H2350" s="30"/>
      <c r="I2350" s="30"/>
      <c r="J2350" s="11">
        <v>27.0</v>
      </c>
      <c r="K2350" s="12">
        <v>38515.0</v>
      </c>
      <c r="L2350" s="11">
        <f t="shared" ref="L2350:L2351" si="247">ROUND(((K2350-B2350)/365)*12,0)</f>
        <v>13</v>
      </c>
      <c r="M2350" s="11">
        <v>407845.0</v>
      </c>
      <c r="N2350" s="11">
        <v>494.0</v>
      </c>
      <c r="O2350" s="13" t="s">
        <v>761</v>
      </c>
      <c r="P2350" s="11">
        <v>781.0</v>
      </c>
      <c r="Q2350" s="14">
        <v>773.333</v>
      </c>
      <c r="R2350" s="41">
        <v>1.0</v>
      </c>
      <c r="S2350">
        <f t="shared" si="1"/>
        <v>2004</v>
      </c>
      <c r="T2350">
        <f t="shared" si="2"/>
        <v>4</v>
      </c>
      <c r="U2350">
        <f t="shared" si="3"/>
        <v>29</v>
      </c>
      <c r="AG2350" s="15"/>
      <c r="AH2350" s="16"/>
      <c r="AM2350" s="15"/>
      <c r="AN2350" s="16"/>
    </row>
    <row r="2351">
      <c r="A2351" s="13" t="s">
        <v>4143</v>
      </c>
      <c r="B2351" s="10">
        <v>38099.0</v>
      </c>
      <c r="C2351" s="11" t="s">
        <v>108</v>
      </c>
      <c r="D2351" s="11" t="s">
        <v>38</v>
      </c>
      <c r="E2351" s="30" t="s">
        <v>39</v>
      </c>
      <c r="F2351" s="11" t="s">
        <v>40</v>
      </c>
      <c r="G2351" s="41" t="s">
        <v>41</v>
      </c>
      <c r="H2351" s="30"/>
      <c r="I2351" s="30"/>
      <c r="J2351" s="11">
        <v>25.0</v>
      </c>
      <c r="K2351" s="12">
        <v>38597.0</v>
      </c>
      <c r="L2351" s="11">
        <f t="shared" si="247"/>
        <v>16</v>
      </c>
      <c r="M2351" s="11">
        <v>425428.0</v>
      </c>
      <c r="N2351" s="11">
        <v>1827.0</v>
      </c>
      <c r="O2351" s="13" t="s">
        <v>761</v>
      </c>
      <c r="P2351" s="11">
        <v>3.0</v>
      </c>
      <c r="Q2351" s="14">
        <v>6.667</v>
      </c>
      <c r="R2351" s="41">
        <v>0.0</v>
      </c>
      <c r="S2351">
        <f t="shared" si="1"/>
        <v>2004</v>
      </c>
      <c r="T2351">
        <f t="shared" si="2"/>
        <v>4</v>
      </c>
      <c r="U2351">
        <f t="shared" si="3"/>
        <v>22</v>
      </c>
      <c r="AG2351" s="15"/>
      <c r="AH2351" s="16"/>
      <c r="AM2351" s="15"/>
      <c r="AN2351" s="16"/>
    </row>
    <row r="2352">
      <c r="A2352" s="13" t="s">
        <v>4144</v>
      </c>
      <c r="B2352" s="10">
        <v>38078.0</v>
      </c>
      <c r="C2352" s="11" t="s">
        <v>138</v>
      </c>
      <c r="D2352" s="11" t="s">
        <v>213</v>
      </c>
      <c r="E2352" s="30" t="s">
        <v>39</v>
      </c>
      <c r="F2352" s="11" t="s">
        <v>40</v>
      </c>
      <c r="G2352" s="41" t="s">
        <v>41</v>
      </c>
      <c r="H2352" s="30"/>
      <c r="I2352" s="30"/>
      <c r="J2352" s="11">
        <v>17.0</v>
      </c>
      <c r="K2352" s="12">
        <v>38900.0</v>
      </c>
      <c r="L2352" s="30"/>
      <c r="M2352" s="11">
        <v>474039.0</v>
      </c>
      <c r="N2352" s="11">
        <v>1330.0</v>
      </c>
      <c r="P2352" s="11">
        <v>85.0</v>
      </c>
      <c r="Q2352" s="14">
        <v>94.0</v>
      </c>
      <c r="R2352" s="41">
        <v>1.0</v>
      </c>
      <c r="S2352">
        <f t="shared" si="1"/>
        <v>2004</v>
      </c>
      <c r="T2352">
        <f t="shared" si="2"/>
        <v>4</v>
      </c>
      <c r="U2352">
        <f t="shared" si="3"/>
        <v>1</v>
      </c>
      <c r="AG2352" s="15"/>
      <c r="AH2352" s="16"/>
      <c r="AM2352" s="15"/>
      <c r="AN2352" s="16"/>
    </row>
    <row r="2353">
      <c r="A2353" s="13" t="s">
        <v>4145</v>
      </c>
      <c r="B2353" s="10">
        <v>38077.0</v>
      </c>
      <c r="C2353" s="11" t="s">
        <v>103</v>
      </c>
      <c r="D2353" s="11" t="s">
        <v>93</v>
      </c>
      <c r="E2353" s="30" t="s">
        <v>39</v>
      </c>
      <c r="F2353" s="11" t="s">
        <v>64</v>
      </c>
      <c r="G2353" s="30" t="s">
        <v>45</v>
      </c>
      <c r="H2353" s="11" t="s">
        <v>133</v>
      </c>
      <c r="I2353" s="11" t="s">
        <v>133</v>
      </c>
      <c r="J2353" s="11">
        <v>21.0</v>
      </c>
      <c r="K2353" s="12">
        <v>38538.0</v>
      </c>
      <c r="L2353" s="11">
        <f t="shared" ref="L2353:L2357" si="248">ROUND(((K2353-B2353)/365)*12,0)</f>
        <v>15</v>
      </c>
      <c r="M2353" s="11">
        <v>488846.0</v>
      </c>
      <c r="N2353" s="11">
        <v>4064.0</v>
      </c>
      <c r="P2353" s="11">
        <v>436.0</v>
      </c>
      <c r="Q2353" s="14">
        <v>725.0</v>
      </c>
      <c r="R2353" s="41">
        <v>1.0</v>
      </c>
      <c r="S2353">
        <f t="shared" si="1"/>
        <v>2004</v>
      </c>
      <c r="T2353">
        <f t="shared" si="2"/>
        <v>3</v>
      </c>
      <c r="U2353">
        <f t="shared" si="3"/>
        <v>31</v>
      </c>
      <c r="AG2353" s="15"/>
      <c r="AH2353" s="16"/>
      <c r="AM2353" s="15"/>
      <c r="AN2353" s="16"/>
    </row>
    <row r="2354">
      <c r="A2354" s="13" t="s">
        <v>4146</v>
      </c>
      <c r="B2354" s="10">
        <v>38075.0</v>
      </c>
      <c r="C2354" s="11" t="s">
        <v>358</v>
      </c>
      <c r="D2354" s="11" t="s">
        <v>38</v>
      </c>
      <c r="E2354" s="30" t="s">
        <v>39</v>
      </c>
      <c r="F2354" s="11" t="s">
        <v>40</v>
      </c>
      <c r="G2354" s="41" t="s">
        <v>41</v>
      </c>
      <c r="H2354" s="30"/>
      <c r="I2354" s="30"/>
      <c r="J2354" s="11">
        <v>23.0</v>
      </c>
      <c r="K2354" s="12">
        <v>38828.0</v>
      </c>
      <c r="L2354" s="11">
        <f t="shared" si="248"/>
        <v>25</v>
      </c>
      <c r="M2354" s="11">
        <v>407900.0</v>
      </c>
      <c r="N2354" s="11">
        <v>586.0</v>
      </c>
      <c r="O2354" s="13" t="s">
        <v>3309</v>
      </c>
      <c r="P2354" s="11">
        <v>3.0</v>
      </c>
      <c r="Q2354" s="14">
        <v>7.667</v>
      </c>
      <c r="R2354" s="41">
        <v>0.0</v>
      </c>
      <c r="S2354">
        <f t="shared" si="1"/>
        <v>2004</v>
      </c>
      <c r="T2354">
        <f t="shared" si="2"/>
        <v>3</v>
      </c>
      <c r="U2354">
        <f t="shared" si="3"/>
        <v>29</v>
      </c>
      <c r="AG2354" s="15"/>
      <c r="AH2354" s="16"/>
      <c r="AM2354" s="15"/>
      <c r="AN2354" s="16"/>
    </row>
    <row r="2355">
      <c r="A2355" s="13" t="s">
        <v>4147</v>
      </c>
      <c r="B2355" s="10">
        <v>38061.0</v>
      </c>
      <c r="C2355" s="11" t="s">
        <v>192</v>
      </c>
      <c r="D2355" s="11" t="s">
        <v>77</v>
      </c>
      <c r="E2355" s="41" t="s">
        <v>1358</v>
      </c>
      <c r="F2355" s="11" t="s">
        <v>64</v>
      </c>
      <c r="G2355" s="30" t="s">
        <v>45</v>
      </c>
      <c r="H2355" s="11" t="s">
        <v>109</v>
      </c>
      <c r="I2355" s="11" t="s">
        <v>4148</v>
      </c>
      <c r="J2355" s="11">
        <v>24.0</v>
      </c>
      <c r="K2355" s="12">
        <v>38446.0</v>
      </c>
      <c r="L2355" s="11">
        <f t="shared" si="248"/>
        <v>13</v>
      </c>
      <c r="M2355" s="11">
        <v>430622.0</v>
      </c>
      <c r="N2355" s="11">
        <v>1940.0</v>
      </c>
      <c r="P2355" s="11">
        <v>476.0</v>
      </c>
      <c r="Q2355" s="14">
        <v>1272.0</v>
      </c>
      <c r="R2355" s="41">
        <v>0.0</v>
      </c>
      <c r="S2355">
        <f t="shared" si="1"/>
        <v>2004</v>
      </c>
      <c r="T2355">
        <f t="shared" si="2"/>
        <v>3</v>
      </c>
      <c r="U2355">
        <f t="shared" si="3"/>
        <v>15</v>
      </c>
      <c r="AG2355" s="15"/>
      <c r="AH2355" s="16"/>
      <c r="AM2355" s="15"/>
      <c r="AN2355" s="16"/>
    </row>
    <row r="2356">
      <c r="A2356" s="13" t="s">
        <v>4149</v>
      </c>
      <c r="B2356" s="10">
        <v>38053.0</v>
      </c>
      <c r="C2356" s="11" t="s">
        <v>143</v>
      </c>
      <c r="D2356" s="11" t="s">
        <v>77</v>
      </c>
      <c r="E2356" s="30" t="s">
        <v>39</v>
      </c>
      <c r="F2356" s="11" t="s">
        <v>64</v>
      </c>
      <c r="G2356" s="30" t="s">
        <v>45</v>
      </c>
      <c r="H2356" s="11" t="s">
        <v>243</v>
      </c>
      <c r="I2356" s="11"/>
      <c r="J2356" s="11">
        <v>23.0</v>
      </c>
      <c r="K2356" s="12">
        <v>38450.0</v>
      </c>
      <c r="L2356" s="11">
        <f t="shared" si="248"/>
        <v>13</v>
      </c>
      <c r="M2356" s="11">
        <v>408096.0</v>
      </c>
      <c r="N2356" s="11" t="s">
        <v>4150</v>
      </c>
      <c r="P2356" s="11">
        <v>0.0</v>
      </c>
      <c r="Q2356" s="14">
        <v>0.0</v>
      </c>
      <c r="R2356" s="41">
        <v>0.0</v>
      </c>
      <c r="S2356">
        <f t="shared" si="1"/>
        <v>2004</v>
      </c>
      <c r="T2356">
        <f t="shared" si="2"/>
        <v>3</v>
      </c>
      <c r="U2356">
        <f t="shared" si="3"/>
        <v>7</v>
      </c>
      <c r="AG2356" s="15"/>
      <c r="AH2356" s="16"/>
      <c r="AM2356" s="15"/>
      <c r="AN2356" s="16"/>
    </row>
    <row r="2357">
      <c r="A2357" s="13" t="s">
        <v>4151</v>
      </c>
      <c r="B2357" s="10">
        <v>38050.0</v>
      </c>
      <c r="C2357" s="11" t="s">
        <v>111</v>
      </c>
      <c r="D2357" s="11" t="s">
        <v>38</v>
      </c>
      <c r="E2357" s="30" t="s">
        <v>39</v>
      </c>
      <c r="F2357" s="11" t="s">
        <v>40</v>
      </c>
      <c r="G2357" s="30" t="s">
        <v>45</v>
      </c>
      <c r="H2357" s="11" t="s">
        <v>236</v>
      </c>
      <c r="I2357" s="11" t="s">
        <v>4152</v>
      </c>
      <c r="J2357" s="11">
        <v>27.0</v>
      </c>
      <c r="K2357" s="12">
        <v>38487.0</v>
      </c>
      <c r="L2357" s="11">
        <f t="shared" si="248"/>
        <v>14</v>
      </c>
      <c r="M2357" s="11">
        <v>400050.0</v>
      </c>
      <c r="N2357" s="11">
        <v>1668.0</v>
      </c>
      <c r="O2357" s="13" t="s">
        <v>761</v>
      </c>
      <c r="P2357" s="11">
        <v>121.0</v>
      </c>
      <c r="Q2357" s="45">
        <v>142.0</v>
      </c>
      <c r="R2357" s="41">
        <v>0.0</v>
      </c>
      <c r="S2357">
        <f t="shared" si="1"/>
        <v>2004</v>
      </c>
      <c r="T2357">
        <f t="shared" si="2"/>
        <v>3</v>
      </c>
      <c r="U2357">
        <f t="shared" si="3"/>
        <v>4</v>
      </c>
      <c r="AG2357" s="15"/>
      <c r="AH2357" s="16"/>
      <c r="AM2357" s="15"/>
      <c r="AN2357" s="16"/>
    </row>
    <row r="2358">
      <c r="A2358" s="13" t="s">
        <v>4153</v>
      </c>
      <c r="B2358" s="10">
        <v>37987.0</v>
      </c>
      <c r="C2358" s="11" t="s">
        <v>101</v>
      </c>
      <c r="D2358" s="11" t="s">
        <v>77</v>
      </c>
      <c r="E2358" s="30" t="s">
        <v>39</v>
      </c>
      <c r="F2358" s="11" t="s">
        <v>40</v>
      </c>
      <c r="G2358" s="30" t="s">
        <v>45</v>
      </c>
      <c r="H2358" s="11" t="s">
        <v>236</v>
      </c>
      <c r="I2358" s="11" t="s">
        <v>4154</v>
      </c>
      <c r="J2358" s="11">
        <v>23.0</v>
      </c>
      <c r="K2358" s="12">
        <v>38603.0</v>
      </c>
      <c r="L2358" s="30"/>
      <c r="M2358" s="11">
        <v>430962.0</v>
      </c>
      <c r="N2358" s="11">
        <v>4426.0</v>
      </c>
      <c r="P2358" s="11">
        <v>119.0</v>
      </c>
      <c r="Q2358" s="14">
        <v>268.0</v>
      </c>
      <c r="R2358" s="41">
        <v>0.0</v>
      </c>
      <c r="S2358">
        <f t="shared" si="1"/>
        <v>2004</v>
      </c>
      <c r="T2358">
        <f t="shared" si="2"/>
        <v>1</v>
      </c>
      <c r="U2358">
        <f t="shared" si="3"/>
        <v>1</v>
      </c>
      <c r="AG2358" s="15"/>
      <c r="AH2358" s="16"/>
      <c r="AM2358" s="15"/>
      <c r="AN2358" s="16"/>
    </row>
    <row r="2359">
      <c r="A2359" s="13" t="s">
        <v>4155</v>
      </c>
      <c r="B2359" s="10">
        <v>37987.0</v>
      </c>
      <c r="C2359" s="11" t="s">
        <v>101</v>
      </c>
      <c r="D2359" s="11" t="s">
        <v>93</v>
      </c>
      <c r="E2359" s="11" t="s">
        <v>39</v>
      </c>
      <c r="F2359" s="11" t="s">
        <v>64</v>
      </c>
      <c r="G2359" s="11" t="s">
        <v>45</v>
      </c>
      <c r="H2359" s="11" t="s">
        <v>84</v>
      </c>
      <c r="I2359" s="11" t="s">
        <v>512</v>
      </c>
      <c r="J2359" s="11">
        <v>19.0</v>
      </c>
      <c r="K2359" s="12">
        <v>39258.0</v>
      </c>
      <c r="L2359" s="30"/>
      <c r="M2359" s="11">
        <v>453186.0</v>
      </c>
      <c r="N2359" s="11">
        <v>885.0</v>
      </c>
      <c r="O2359" s="13" t="s">
        <v>4156</v>
      </c>
      <c r="P2359" s="11">
        <v>50.0</v>
      </c>
      <c r="Q2359" s="14">
        <v>46.667</v>
      </c>
      <c r="R2359" s="41">
        <v>0.0</v>
      </c>
      <c r="S2359">
        <f t="shared" si="1"/>
        <v>2004</v>
      </c>
      <c r="T2359">
        <f t="shared" si="2"/>
        <v>1</v>
      </c>
      <c r="U2359">
        <f t="shared" si="3"/>
        <v>1</v>
      </c>
      <c r="AG2359" s="15"/>
      <c r="AH2359" s="16"/>
      <c r="AM2359" s="15"/>
      <c r="AN2359" s="16"/>
    </row>
    <row r="2360">
      <c r="A2360" s="13" t="s">
        <v>4157</v>
      </c>
      <c r="B2360" s="10">
        <v>37987.0</v>
      </c>
      <c r="C2360" s="11" t="s">
        <v>116</v>
      </c>
      <c r="D2360" s="11" t="s">
        <v>97</v>
      </c>
      <c r="E2360" s="11" t="s">
        <v>39</v>
      </c>
      <c r="F2360" s="11" t="s">
        <v>64</v>
      </c>
      <c r="G2360" s="11" t="s">
        <v>45</v>
      </c>
      <c r="H2360" s="11" t="s">
        <v>67</v>
      </c>
      <c r="I2360" s="11"/>
      <c r="J2360" s="11">
        <v>19.0</v>
      </c>
      <c r="K2360" s="12">
        <v>38718.0</v>
      </c>
      <c r="L2360" s="30"/>
      <c r="M2360" s="11">
        <v>457456.0</v>
      </c>
      <c r="N2360" s="11">
        <v>5559.0</v>
      </c>
      <c r="P2360" s="11">
        <v>72.0</v>
      </c>
      <c r="Q2360" s="14">
        <v>337.0</v>
      </c>
      <c r="R2360" s="11">
        <v>0.0</v>
      </c>
      <c r="S2360">
        <f t="shared" si="1"/>
        <v>2004</v>
      </c>
      <c r="T2360">
        <f t="shared" si="2"/>
        <v>1</v>
      </c>
      <c r="U2360">
        <f t="shared" si="3"/>
        <v>1</v>
      </c>
      <c r="AG2360" s="15"/>
      <c r="AH2360" s="16"/>
      <c r="AM2360" s="15"/>
      <c r="AN2360" s="16"/>
    </row>
    <row r="2361">
      <c r="A2361" s="13" t="s">
        <v>4158</v>
      </c>
      <c r="B2361" s="10">
        <v>37987.0</v>
      </c>
      <c r="C2361" s="11" t="s">
        <v>72</v>
      </c>
      <c r="D2361" s="11" t="s">
        <v>97</v>
      </c>
      <c r="E2361" s="30" t="s">
        <v>39</v>
      </c>
      <c r="F2361" s="11" t="s">
        <v>40</v>
      </c>
      <c r="G2361" s="30" t="s">
        <v>45</v>
      </c>
      <c r="H2361" s="11" t="s">
        <v>84</v>
      </c>
      <c r="I2361" s="11"/>
      <c r="J2361" s="11">
        <v>21.0</v>
      </c>
      <c r="K2361" s="12"/>
      <c r="L2361" s="30"/>
      <c r="M2361" s="11">
        <v>444142.0</v>
      </c>
      <c r="N2361" s="11"/>
      <c r="P2361" s="11">
        <v>0.0</v>
      </c>
      <c r="Q2361" s="14">
        <v>0.0</v>
      </c>
      <c r="R2361" s="41">
        <v>0.0</v>
      </c>
      <c r="S2361">
        <f t="shared" si="1"/>
        <v>2004</v>
      </c>
      <c r="T2361">
        <f t="shared" si="2"/>
        <v>1</v>
      </c>
      <c r="U2361">
        <f t="shared" si="3"/>
        <v>1</v>
      </c>
      <c r="AG2361" s="15"/>
      <c r="AH2361" s="16"/>
      <c r="AM2361" s="15"/>
      <c r="AN2361" s="16"/>
    </row>
    <row r="2362">
      <c r="A2362" s="13" t="s">
        <v>4159</v>
      </c>
      <c r="B2362" s="10">
        <v>37987.0</v>
      </c>
      <c r="C2362" s="11" t="s">
        <v>162</v>
      </c>
      <c r="D2362" s="11" t="s">
        <v>88</v>
      </c>
      <c r="E2362" s="30" t="s">
        <v>39</v>
      </c>
      <c r="F2362" s="11" t="s">
        <v>64</v>
      </c>
      <c r="G2362" s="30" t="s">
        <v>45</v>
      </c>
      <c r="H2362" s="11" t="s">
        <v>67</v>
      </c>
      <c r="I2362" s="11" t="s">
        <v>4160</v>
      </c>
      <c r="J2362" s="11">
        <v>22.0</v>
      </c>
      <c r="K2362" s="12">
        <v>38450.0</v>
      </c>
      <c r="L2362" s="30"/>
      <c r="M2362" s="11">
        <v>430597.0</v>
      </c>
      <c r="N2362" s="11">
        <v>8598.0</v>
      </c>
      <c r="P2362" s="11">
        <v>87.0</v>
      </c>
      <c r="Q2362" s="14">
        <v>151.0</v>
      </c>
      <c r="R2362" s="41">
        <v>0.0</v>
      </c>
      <c r="S2362">
        <f t="shared" si="1"/>
        <v>2004</v>
      </c>
      <c r="T2362">
        <f t="shared" si="2"/>
        <v>1</v>
      </c>
      <c r="U2362">
        <f t="shared" si="3"/>
        <v>1</v>
      </c>
      <c r="AG2362" s="15"/>
      <c r="AH2362" s="16"/>
      <c r="AM2362" s="15"/>
      <c r="AN2362" s="16"/>
    </row>
    <row r="2363">
      <c r="A2363" s="13" t="s">
        <v>4161</v>
      </c>
      <c r="B2363" s="10">
        <v>37987.0</v>
      </c>
      <c r="C2363" s="11" t="s">
        <v>162</v>
      </c>
      <c r="D2363" s="11" t="s">
        <v>77</v>
      </c>
      <c r="E2363" s="30" t="s">
        <v>39</v>
      </c>
      <c r="F2363" s="11" t="s">
        <v>40</v>
      </c>
      <c r="G2363" s="41" t="s">
        <v>194</v>
      </c>
      <c r="H2363" s="30"/>
      <c r="I2363" s="30"/>
      <c r="J2363" s="11">
        <v>27.0</v>
      </c>
      <c r="K2363" s="30"/>
      <c r="L2363" s="30"/>
      <c r="M2363" s="11">
        <v>463562.0</v>
      </c>
      <c r="N2363" s="11"/>
      <c r="P2363" s="11">
        <v>0.0</v>
      </c>
      <c r="Q2363" s="14">
        <v>0.0</v>
      </c>
      <c r="R2363" s="41">
        <v>0.0</v>
      </c>
      <c r="S2363">
        <f t="shared" si="1"/>
        <v>2004</v>
      </c>
      <c r="T2363">
        <f t="shared" si="2"/>
        <v>1</v>
      </c>
      <c r="U2363">
        <f t="shared" si="3"/>
        <v>1</v>
      </c>
      <c r="AG2363" s="15"/>
      <c r="AH2363" s="16"/>
      <c r="AM2363" s="15"/>
      <c r="AN2363" s="16"/>
    </row>
    <row r="2364">
      <c r="A2364" s="13" t="s">
        <v>4162</v>
      </c>
      <c r="B2364" s="10">
        <v>37987.0</v>
      </c>
      <c r="C2364" s="11" t="s">
        <v>44</v>
      </c>
      <c r="D2364" s="11" t="s">
        <v>213</v>
      </c>
      <c r="E2364" s="30" t="s">
        <v>39</v>
      </c>
      <c r="F2364" s="11" t="s">
        <v>40</v>
      </c>
      <c r="G2364" s="30" t="s">
        <v>45</v>
      </c>
      <c r="H2364" s="11" t="s">
        <v>222</v>
      </c>
      <c r="I2364" s="11" t="s">
        <v>222</v>
      </c>
      <c r="J2364" s="11">
        <v>20.0</v>
      </c>
      <c r="K2364" s="12">
        <v>39262.0</v>
      </c>
      <c r="L2364" s="30"/>
      <c r="M2364" s="11">
        <v>456955.0</v>
      </c>
      <c r="N2364" s="11" t="s">
        <v>4163</v>
      </c>
      <c r="P2364" s="11">
        <v>0.0</v>
      </c>
      <c r="Q2364" s="14">
        <v>0.0</v>
      </c>
      <c r="R2364" s="41">
        <v>0.0</v>
      </c>
      <c r="S2364">
        <f t="shared" si="1"/>
        <v>2004</v>
      </c>
      <c r="T2364">
        <f t="shared" si="2"/>
        <v>1</v>
      </c>
      <c r="U2364">
        <f t="shared" si="3"/>
        <v>1</v>
      </c>
      <c r="AG2364" s="15"/>
      <c r="AH2364" s="16"/>
      <c r="AM2364" s="15"/>
      <c r="AN2364" s="16"/>
    </row>
    <row r="2365">
      <c r="A2365" s="13" t="s">
        <v>4164</v>
      </c>
      <c r="B2365" s="10">
        <v>37987.0</v>
      </c>
      <c r="C2365" s="11" t="s">
        <v>111</v>
      </c>
      <c r="D2365" s="11" t="s">
        <v>77</v>
      </c>
      <c r="E2365" s="30" t="s">
        <v>39</v>
      </c>
      <c r="F2365" s="11" t="s">
        <v>40</v>
      </c>
      <c r="G2365" s="30" t="s">
        <v>45</v>
      </c>
      <c r="H2365" s="11" t="s">
        <v>73</v>
      </c>
      <c r="I2365" s="11" t="s">
        <v>4165</v>
      </c>
      <c r="J2365" s="11">
        <v>23.0</v>
      </c>
      <c r="K2365" s="12">
        <v>38550.0</v>
      </c>
      <c r="L2365" s="30"/>
      <c r="M2365" s="11">
        <v>425830.0</v>
      </c>
      <c r="N2365" s="11" t="s">
        <v>4166</v>
      </c>
      <c r="P2365" s="11">
        <v>0.0</v>
      </c>
      <c r="Q2365" s="14">
        <v>0.0</v>
      </c>
      <c r="R2365" s="41">
        <v>0.0</v>
      </c>
      <c r="S2365">
        <f t="shared" si="1"/>
        <v>2004</v>
      </c>
      <c r="T2365">
        <f t="shared" si="2"/>
        <v>1</v>
      </c>
      <c r="U2365">
        <f t="shared" si="3"/>
        <v>1</v>
      </c>
      <c r="AG2365" s="15"/>
      <c r="AH2365" s="16"/>
      <c r="AM2365" s="15"/>
      <c r="AN2365" s="16"/>
    </row>
    <row r="2366">
      <c r="A2366" s="13" t="s">
        <v>4167</v>
      </c>
      <c r="B2366" s="10">
        <v>37987.0</v>
      </c>
      <c r="C2366" s="11" t="s">
        <v>346</v>
      </c>
      <c r="D2366" s="11" t="s">
        <v>88</v>
      </c>
      <c r="E2366" s="30" t="s">
        <v>39</v>
      </c>
      <c r="F2366" s="11" t="s">
        <v>64</v>
      </c>
      <c r="G2366" s="30" t="s">
        <v>45</v>
      </c>
      <c r="H2366" s="11" t="s">
        <v>84</v>
      </c>
      <c r="I2366" s="11"/>
      <c r="J2366" s="11">
        <v>21.0</v>
      </c>
      <c r="K2366" s="12">
        <v>38452.0</v>
      </c>
      <c r="L2366" s="30"/>
      <c r="M2366" s="11">
        <v>445229.0</v>
      </c>
      <c r="N2366" s="11" t="s">
        <v>4168</v>
      </c>
      <c r="P2366" s="11">
        <v>0.0</v>
      </c>
      <c r="Q2366" s="14">
        <v>0.0</v>
      </c>
      <c r="R2366" s="41">
        <v>0.0</v>
      </c>
      <c r="S2366">
        <f t="shared" si="1"/>
        <v>2004</v>
      </c>
      <c r="T2366">
        <f t="shared" si="2"/>
        <v>1</v>
      </c>
      <c r="U2366">
        <f t="shared" si="3"/>
        <v>1</v>
      </c>
      <c r="AG2366" s="15"/>
      <c r="AH2366" s="16"/>
      <c r="AM2366" s="15"/>
      <c r="AN2366" s="16"/>
    </row>
    <row r="2367">
      <c r="A2367" s="13" t="s">
        <v>4169</v>
      </c>
      <c r="B2367" s="10">
        <v>37987.0</v>
      </c>
      <c r="C2367" s="11" t="s">
        <v>126</v>
      </c>
      <c r="D2367" s="11" t="s">
        <v>88</v>
      </c>
      <c r="E2367" s="30" t="s">
        <v>39</v>
      </c>
      <c r="F2367" s="11" t="s">
        <v>64</v>
      </c>
      <c r="G2367" s="30" t="s">
        <v>45</v>
      </c>
      <c r="H2367" s="11" t="s">
        <v>89</v>
      </c>
      <c r="I2367" s="11"/>
      <c r="J2367" s="11">
        <v>20.0</v>
      </c>
      <c r="K2367" s="12">
        <v>38591.0</v>
      </c>
      <c r="L2367" s="30"/>
      <c r="M2367" s="11">
        <v>445589.0</v>
      </c>
      <c r="N2367" s="11" t="s">
        <v>4170</v>
      </c>
      <c r="P2367" s="11">
        <v>0.0</v>
      </c>
      <c r="Q2367" s="14">
        <v>0.0</v>
      </c>
      <c r="R2367" s="41">
        <v>0.0</v>
      </c>
      <c r="S2367">
        <f t="shared" si="1"/>
        <v>2004</v>
      </c>
      <c r="T2367">
        <f t="shared" si="2"/>
        <v>1</v>
      </c>
      <c r="U2367">
        <f t="shared" si="3"/>
        <v>1</v>
      </c>
      <c r="AG2367" s="15"/>
      <c r="AH2367" s="16"/>
      <c r="AM2367" s="15"/>
      <c r="AN2367" s="16"/>
    </row>
    <row r="2368">
      <c r="A2368" s="13" t="s">
        <v>4171</v>
      </c>
      <c r="B2368" s="10">
        <v>37987.0</v>
      </c>
      <c r="C2368" s="11" t="s">
        <v>126</v>
      </c>
      <c r="D2368" s="11" t="s">
        <v>213</v>
      </c>
      <c r="E2368" s="30" t="s">
        <v>39</v>
      </c>
      <c r="F2368" s="11" t="s">
        <v>40</v>
      </c>
      <c r="G2368" s="41" t="s">
        <v>41</v>
      </c>
      <c r="H2368" s="30"/>
      <c r="I2368" s="30"/>
      <c r="J2368" s="11">
        <v>19.0</v>
      </c>
      <c r="K2368" s="12">
        <v>38353.0</v>
      </c>
      <c r="L2368" s="30"/>
      <c r="M2368" s="11">
        <v>464340.0</v>
      </c>
      <c r="N2368" s="11" t="s">
        <v>4172</v>
      </c>
      <c r="P2368" s="11">
        <v>0.0</v>
      </c>
      <c r="Q2368" s="14">
        <v>0.0</v>
      </c>
      <c r="R2368" s="41">
        <v>0.0</v>
      </c>
      <c r="S2368">
        <f t="shared" si="1"/>
        <v>2004</v>
      </c>
      <c r="T2368">
        <f t="shared" si="2"/>
        <v>1</v>
      </c>
      <c r="U2368">
        <f t="shared" si="3"/>
        <v>1</v>
      </c>
      <c r="AG2368" s="15"/>
      <c r="AH2368" s="16"/>
      <c r="AM2368" s="15"/>
      <c r="AN2368" s="16"/>
    </row>
    <row r="2369">
      <c r="A2369" s="13" t="s">
        <v>4173</v>
      </c>
      <c r="B2369" s="10">
        <v>37987.0</v>
      </c>
      <c r="C2369" s="11" t="s">
        <v>37</v>
      </c>
      <c r="D2369" s="11" t="s">
        <v>97</v>
      </c>
      <c r="E2369" s="30" t="s">
        <v>39</v>
      </c>
      <c r="F2369" s="11" t="s">
        <v>40</v>
      </c>
      <c r="G2369" s="30" t="s">
        <v>45</v>
      </c>
      <c r="H2369" s="11" t="s">
        <v>317</v>
      </c>
      <c r="I2369" s="11" t="s">
        <v>3621</v>
      </c>
      <c r="J2369" s="11">
        <v>21.0</v>
      </c>
      <c r="K2369" s="12">
        <v>38459.0</v>
      </c>
      <c r="L2369" s="30"/>
      <c r="M2369" s="11">
        <v>445971.0</v>
      </c>
      <c r="N2369" s="11">
        <v>3775.0</v>
      </c>
      <c r="P2369" s="11">
        <v>57.0</v>
      </c>
      <c r="Q2369" s="14">
        <v>58.0</v>
      </c>
      <c r="R2369" s="41">
        <v>0.0</v>
      </c>
      <c r="S2369">
        <f t="shared" si="1"/>
        <v>2004</v>
      </c>
      <c r="T2369">
        <f t="shared" si="2"/>
        <v>1</v>
      </c>
      <c r="U2369">
        <f t="shared" si="3"/>
        <v>1</v>
      </c>
      <c r="AG2369" s="15"/>
      <c r="AH2369" s="16"/>
      <c r="AM2369" s="15"/>
      <c r="AN2369" s="16"/>
    </row>
    <row r="2370">
      <c r="A2370" s="13" t="s">
        <v>4174</v>
      </c>
      <c r="B2370" s="10">
        <v>37987.0</v>
      </c>
      <c r="C2370" s="11" t="s">
        <v>37</v>
      </c>
      <c r="D2370" s="11" t="s">
        <v>88</v>
      </c>
      <c r="E2370" s="11" t="s">
        <v>39</v>
      </c>
      <c r="F2370" s="11" t="s">
        <v>40</v>
      </c>
      <c r="G2370" s="11" t="s">
        <v>45</v>
      </c>
      <c r="H2370" s="11" t="s">
        <v>317</v>
      </c>
      <c r="I2370" s="11" t="s">
        <v>4175</v>
      </c>
      <c r="J2370" s="11">
        <v>22.0</v>
      </c>
      <c r="K2370" s="12">
        <v>38353.0</v>
      </c>
      <c r="L2370" s="30"/>
      <c r="M2370" s="11">
        <v>430616.0</v>
      </c>
      <c r="N2370" s="11" t="s">
        <v>4176</v>
      </c>
      <c r="P2370" s="11">
        <v>0.0</v>
      </c>
      <c r="Q2370" s="14">
        <v>0.0</v>
      </c>
      <c r="R2370" s="41">
        <v>0.0</v>
      </c>
      <c r="S2370">
        <f t="shared" si="1"/>
        <v>2004</v>
      </c>
      <c r="T2370">
        <f t="shared" si="2"/>
        <v>1</v>
      </c>
      <c r="U2370">
        <f t="shared" si="3"/>
        <v>1</v>
      </c>
      <c r="AG2370" s="15"/>
      <c r="AH2370" s="16"/>
      <c r="AM2370" s="15"/>
      <c r="AN2370" s="16"/>
    </row>
    <row r="2371">
      <c r="A2371" s="13" t="s">
        <v>4177</v>
      </c>
      <c r="B2371" s="10">
        <v>37987.0</v>
      </c>
      <c r="C2371" s="11" t="s">
        <v>55</v>
      </c>
      <c r="D2371" s="11" t="s">
        <v>213</v>
      </c>
      <c r="E2371" s="30" t="s">
        <v>39</v>
      </c>
      <c r="F2371" s="11" t="s">
        <v>64</v>
      </c>
      <c r="G2371" s="30" t="s">
        <v>45</v>
      </c>
      <c r="H2371" s="11" t="s">
        <v>139</v>
      </c>
      <c r="I2371" s="11" t="s">
        <v>4178</v>
      </c>
      <c r="J2371" s="11">
        <v>16.0</v>
      </c>
      <c r="K2371" s="12">
        <v>38890.0</v>
      </c>
      <c r="L2371" s="30"/>
      <c r="M2371" s="11">
        <v>488722.0</v>
      </c>
      <c r="N2371" s="11">
        <v>4553.0</v>
      </c>
      <c r="P2371" s="11">
        <v>71.0</v>
      </c>
      <c r="Q2371" s="14">
        <v>51.0</v>
      </c>
      <c r="R2371" s="41">
        <v>0.0</v>
      </c>
      <c r="S2371">
        <f t="shared" si="1"/>
        <v>2004</v>
      </c>
      <c r="T2371">
        <f t="shared" si="2"/>
        <v>1</v>
      </c>
      <c r="U2371">
        <f t="shared" si="3"/>
        <v>1</v>
      </c>
      <c r="AG2371" s="15"/>
      <c r="AH2371" s="16"/>
      <c r="AM2371" s="15"/>
      <c r="AN2371" s="16"/>
    </row>
    <row r="2372">
      <c r="A2372" s="13" t="s">
        <v>4179</v>
      </c>
      <c r="B2372" s="10">
        <v>37987.0</v>
      </c>
      <c r="C2372" s="11" t="s">
        <v>103</v>
      </c>
      <c r="D2372" s="11" t="s">
        <v>97</v>
      </c>
      <c r="E2372" s="30" t="s">
        <v>39</v>
      </c>
      <c r="F2372" s="11" t="s">
        <v>40</v>
      </c>
      <c r="G2372" s="41" t="s">
        <v>225</v>
      </c>
      <c r="H2372" s="30"/>
      <c r="I2372" s="30"/>
      <c r="J2372" s="11">
        <v>20.0</v>
      </c>
      <c r="K2372" s="12">
        <v>38455.0</v>
      </c>
      <c r="L2372" s="30"/>
      <c r="M2372" s="11">
        <v>434879.0</v>
      </c>
      <c r="N2372" s="11" t="s">
        <v>4180</v>
      </c>
      <c r="P2372" s="11">
        <v>0.0</v>
      </c>
      <c r="Q2372" s="14">
        <v>0.0</v>
      </c>
      <c r="R2372" s="41">
        <v>0.0</v>
      </c>
      <c r="S2372">
        <f t="shared" si="1"/>
        <v>2004</v>
      </c>
      <c r="T2372">
        <f t="shared" si="2"/>
        <v>1</v>
      </c>
      <c r="U2372">
        <f t="shared" si="3"/>
        <v>1</v>
      </c>
      <c r="AG2372" s="15"/>
      <c r="AH2372" s="16"/>
      <c r="AM2372" s="15"/>
      <c r="AN2372" s="16"/>
    </row>
    <row r="2373">
      <c r="A2373" s="13" t="s">
        <v>4181</v>
      </c>
      <c r="B2373" s="10">
        <v>37987.0</v>
      </c>
      <c r="C2373" s="11" t="s">
        <v>103</v>
      </c>
      <c r="D2373" s="11" t="s">
        <v>93</v>
      </c>
      <c r="E2373" s="30" t="s">
        <v>39</v>
      </c>
      <c r="F2373" s="11" t="s">
        <v>40</v>
      </c>
      <c r="G2373" s="30" t="s">
        <v>45</v>
      </c>
      <c r="H2373" s="11" t="s">
        <v>56</v>
      </c>
      <c r="I2373" s="11" t="s">
        <v>645</v>
      </c>
      <c r="J2373" s="11">
        <v>19.0</v>
      </c>
      <c r="K2373" s="12">
        <v>38938.0</v>
      </c>
      <c r="L2373" s="30"/>
      <c r="M2373" s="11">
        <v>453249.0</v>
      </c>
      <c r="N2373" s="11">
        <v>6865.0</v>
      </c>
      <c r="P2373" s="11">
        <v>157.0</v>
      </c>
      <c r="Q2373" s="14">
        <v>222.0</v>
      </c>
      <c r="R2373" s="11">
        <v>0.0</v>
      </c>
      <c r="S2373">
        <f t="shared" si="1"/>
        <v>2004</v>
      </c>
      <c r="T2373">
        <f t="shared" si="2"/>
        <v>1</v>
      </c>
      <c r="U2373">
        <f t="shared" si="3"/>
        <v>1</v>
      </c>
      <c r="AG2373" s="15"/>
      <c r="AH2373" s="16"/>
      <c r="AM2373" s="15"/>
      <c r="AN2373" s="16"/>
    </row>
    <row r="2374">
      <c r="A2374" s="13" t="s">
        <v>4182</v>
      </c>
      <c r="B2374" s="10">
        <v>37987.0</v>
      </c>
      <c r="C2374" s="11" t="s">
        <v>362</v>
      </c>
      <c r="D2374" s="11" t="s">
        <v>221</v>
      </c>
      <c r="E2374" s="30" t="s">
        <v>39</v>
      </c>
      <c r="F2374" s="11" t="s">
        <v>40</v>
      </c>
      <c r="G2374" s="41" t="s">
        <v>194</v>
      </c>
      <c r="H2374" s="30"/>
      <c r="I2374" s="30"/>
      <c r="J2374" s="11">
        <v>19.0</v>
      </c>
      <c r="K2374" s="12">
        <v>38531.0</v>
      </c>
      <c r="L2374" s="30"/>
      <c r="M2374" s="11">
        <v>451783.0</v>
      </c>
      <c r="N2374" s="11">
        <v>6200.0</v>
      </c>
      <c r="P2374" s="11">
        <v>0.0</v>
      </c>
      <c r="Q2374" s="14">
        <v>0.0</v>
      </c>
      <c r="R2374" s="41">
        <v>0.0</v>
      </c>
      <c r="S2374">
        <f t="shared" si="1"/>
        <v>2004</v>
      </c>
      <c r="T2374">
        <f t="shared" si="2"/>
        <v>1</v>
      </c>
      <c r="U2374">
        <f t="shared" si="3"/>
        <v>1</v>
      </c>
      <c r="AG2374" s="15"/>
      <c r="AH2374" s="16"/>
      <c r="AM2374" s="15"/>
      <c r="AN2374" s="16"/>
    </row>
    <row r="2375">
      <c r="A2375" s="13" t="s">
        <v>4183</v>
      </c>
      <c r="B2375" s="10">
        <v>37987.0</v>
      </c>
      <c r="C2375" s="11" t="s">
        <v>175</v>
      </c>
      <c r="D2375" s="11" t="s">
        <v>93</v>
      </c>
      <c r="E2375" s="30" t="s">
        <v>39</v>
      </c>
      <c r="F2375" s="11" t="s">
        <v>40</v>
      </c>
      <c r="G2375" s="30" t="s">
        <v>45</v>
      </c>
      <c r="H2375" s="11" t="s">
        <v>729</v>
      </c>
      <c r="I2375" s="11" t="s">
        <v>1023</v>
      </c>
      <c r="J2375" s="11">
        <v>19.0</v>
      </c>
      <c r="K2375" s="12">
        <v>39252.0</v>
      </c>
      <c r="L2375" s="30"/>
      <c r="M2375" s="11">
        <v>460156.0</v>
      </c>
      <c r="N2375" s="11">
        <v>2267.0</v>
      </c>
      <c r="P2375" s="11">
        <v>173.0</v>
      </c>
      <c r="Q2375" s="14">
        <v>167.0</v>
      </c>
      <c r="R2375" s="11">
        <v>0.0</v>
      </c>
      <c r="S2375">
        <f t="shared" si="1"/>
        <v>2004</v>
      </c>
      <c r="T2375">
        <f t="shared" si="2"/>
        <v>1</v>
      </c>
      <c r="U2375">
        <f t="shared" si="3"/>
        <v>1</v>
      </c>
      <c r="AG2375" s="15"/>
      <c r="AH2375" s="16"/>
      <c r="AM2375" s="15"/>
      <c r="AN2375" s="16"/>
    </row>
    <row r="2376">
      <c r="A2376" s="13" t="s">
        <v>4184</v>
      </c>
      <c r="B2376" s="10">
        <v>37987.0</v>
      </c>
      <c r="C2376" s="11" t="s">
        <v>83</v>
      </c>
      <c r="D2376" s="11" t="s">
        <v>58</v>
      </c>
      <c r="E2376" s="30" t="s">
        <v>39</v>
      </c>
      <c r="F2376" s="11" t="s">
        <v>64</v>
      </c>
      <c r="G2376" s="30" t="s">
        <v>45</v>
      </c>
      <c r="H2376" s="11" t="s">
        <v>84</v>
      </c>
      <c r="I2376" s="11" t="s">
        <v>4185</v>
      </c>
      <c r="J2376" s="11">
        <v>33.0</v>
      </c>
      <c r="K2376" s="30"/>
      <c r="L2376" s="30"/>
      <c r="M2376" s="11">
        <v>150227.0</v>
      </c>
      <c r="N2376" s="11">
        <v>1687.0</v>
      </c>
      <c r="O2376" s="13" t="s">
        <v>3309</v>
      </c>
      <c r="P2376" s="11">
        <v>0.0</v>
      </c>
      <c r="Q2376" s="14">
        <v>0.0</v>
      </c>
      <c r="R2376" s="41">
        <v>0.0</v>
      </c>
      <c r="S2376">
        <f t="shared" si="1"/>
        <v>2004</v>
      </c>
      <c r="T2376">
        <f t="shared" si="2"/>
        <v>1</v>
      </c>
      <c r="U2376">
        <f t="shared" si="3"/>
        <v>1</v>
      </c>
      <c r="AG2376" s="15"/>
      <c r="AH2376" s="16"/>
      <c r="AM2376" s="15"/>
      <c r="AN2376" s="16"/>
    </row>
    <row r="2377">
      <c r="A2377" s="13" t="s">
        <v>1032</v>
      </c>
      <c r="B2377" s="10">
        <v>37930.0</v>
      </c>
      <c r="C2377" s="11" t="s">
        <v>230</v>
      </c>
      <c r="D2377" s="11" t="s">
        <v>93</v>
      </c>
      <c r="E2377" s="30" t="s">
        <v>39</v>
      </c>
      <c r="F2377" s="11" t="s">
        <v>40</v>
      </c>
      <c r="G2377" s="41" t="s">
        <v>194</v>
      </c>
      <c r="H2377" s="30"/>
      <c r="I2377" s="30"/>
      <c r="J2377" s="11">
        <v>20.0</v>
      </c>
      <c r="K2377" s="12">
        <v>39190.0</v>
      </c>
      <c r="L2377" s="30"/>
      <c r="M2377" s="11">
        <v>446099.0</v>
      </c>
      <c r="N2377" s="11">
        <v>9059.0</v>
      </c>
      <c r="P2377" s="11">
        <v>493.0</v>
      </c>
      <c r="Q2377" s="14">
        <v>470.667</v>
      </c>
      <c r="R2377" s="41">
        <v>1.0</v>
      </c>
      <c r="S2377">
        <f t="shared" si="1"/>
        <v>2003</v>
      </c>
      <c r="T2377">
        <f t="shared" si="2"/>
        <v>11</v>
      </c>
      <c r="U2377">
        <f t="shared" si="3"/>
        <v>5</v>
      </c>
      <c r="AG2377" s="15"/>
      <c r="AH2377" s="16"/>
      <c r="AM2377" s="15"/>
      <c r="AN2377" s="16"/>
    </row>
    <row r="2378">
      <c r="A2378" s="13" t="s">
        <v>4186</v>
      </c>
      <c r="B2378" s="10">
        <v>37902.0</v>
      </c>
      <c r="C2378" s="11" t="s">
        <v>103</v>
      </c>
      <c r="D2378" s="11" t="s">
        <v>38</v>
      </c>
      <c r="E2378" s="30" t="s">
        <v>39</v>
      </c>
      <c r="F2378" s="11" t="s">
        <v>40</v>
      </c>
      <c r="G2378" s="30" t="s">
        <v>45</v>
      </c>
      <c r="H2378" s="11" t="s">
        <v>222</v>
      </c>
      <c r="I2378" s="11" t="s">
        <v>878</v>
      </c>
      <c r="J2378" s="11">
        <v>38.0</v>
      </c>
      <c r="K2378" s="12">
        <v>38184.0</v>
      </c>
      <c r="L2378" s="11">
        <f t="shared" ref="L2378:L2383" si="249">ROUND(((K2378-B2378)/365)*12,0)</f>
        <v>9</v>
      </c>
      <c r="M2378" s="11">
        <v>114097.0</v>
      </c>
      <c r="N2378" s="11">
        <v>988.0</v>
      </c>
      <c r="O2378" s="13" t="s">
        <v>3309</v>
      </c>
      <c r="P2378" s="11">
        <v>23.0</v>
      </c>
      <c r="Q2378" s="14">
        <v>18.667</v>
      </c>
      <c r="R2378" s="41">
        <v>0.0</v>
      </c>
      <c r="S2378">
        <f t="shared" si="1"/>
        <v>2003</v>
      </c>
      <c r="T2378">
        <f t="shared" si="2"/>
        <v>10</v>
      </c>
      <c r="U2378">
        <f t="shared" si="3"/>
        <v>8</v>
      </c>
      <c r="AG2378" s="15"/>
      <c r="AH2378" s="16"/>
      <c r="AM2378" s="15"/>
      <c r="AN2378" s="16"/>
    </row>
    <row r="2379">
      <c r="A2379" s="13" t="s">
        <v>4187</v>
      </c>
      <c r="B2379" s="10">
        <v>37900.0</v>
      </c>
      <c r="C2379" s="11" t="s">
        <v>167</v>
      </c>
      <c r="D2379" s="11" t="s">
        <v>38</v>
      </c>
      <c r="E2379" s="41" t="s">
        <v>2062</v>
      </c>
      <c r="F2379" s="11" t="s">
        <v>40</v>
      </c>
      <c r="G2379" s="30" t="s">
        <v>45</v>
      </c>
      <c r="H2379" s="11" t="s">
        <v>46</v>
      </c>
      <c r="I2379" s="11" t="s">
        <v>4188</v>
      </c>
      <c r="J2379" s="11">
        <v>33.0</v>
      </c>
      <c r="K2379" s="12">
        <v>38082.0</v>
      </c>
      <c r="L2379" s="11">
        <f t="shared" si="249"/>
        <v>6</v>
      </c>
      <c r="M2379" s="11">
        <v>124523.0</v>
      </c>
      <c r="N2379" s="11">
        <v>78.0</v>
      </c>
      <c r="O2379" s="13" t="s">
        <v>355</v>
      </c>
      <c r="P2379" s="11">
        <v>281.0</v>
      </c>
      <c r="Q2379" s="45">
        <v>1037.0</v>
      </c>
      <c r="R2379" s="41">
        <v>0.0</v>
      </c>
      <c r="S2379">
        <f t="shared" si="1"/>
        <v>2003</v>
      </c>
      <c r="T2379">
        <f t="shared" si="2"/>
        <v>10</v>
      </c>
      <c r="U2379">
        <f t="shared" si="3"/>
        <v>6</v>
      </c>
      <c r="AG2379" s="15"/>
      <c r="AH2379" s="16"/>
      <c r="AM2379" s="15"/>
      <c r="AN2379" s="16"/>
    </row>
    <row r="2380">
      <c r="A2380" s="13" t="s">
        <v>4189</v>
      </c>
      <c r="B2380" s="10">
        <v>37895.0</v>
      </c>
      <c r="C2380" s="11" t="s">
        <v>150</v>
      </c>
      <c r="D2380" s="11" t="s">
        <v>97</v>
      </c>
      <c r="E2380" s="30" t="s">
        <v>39</v>
      </c>
      <c r="F2380" s="11" t="s">
        <v>40</v>
      </c>
      <c r="G2380" s="30" t="s">
        <v>45</v>
      </c>
      <c r="H2380" s="11" t="s">
        <v>56</v>
      </c>
      <c r="I2380" s="11"/>
      <c r="J2380" s="11">
        <v>20.0</v>
      </c>
      <c r="K2380" s="12">
        <v>38451.0</v>
      </c>
      <c r="L2380" s="11">
        <f t="shared" si="249"/>
        <v>18</v>
      </c>
      <c r="M2380" s="11">
        <v>434564.0</v>
      </c>
      <c r="N2380" s="11">
        <v>8742.0</v>
      </c>
      <c r="P2380" s="11">
        <v>9.0</v>
      </c>
      <c r="Q2380" s="14">
        <v>15.333</v>
      </c>
      <c r="R2380" s="41">
        <v>0.0</v>
      </c>
      <c r="S2380">
        <f t="shared" si="1"/>
        <v>2003</v>
      </c>
      <c r="T2380">
        <f t="shared" si="2"/>
        <v>10</v>
      </c>
      <c r="U2380">
        <f t="shared" si="3"/>
        <v>1</v>
      </c>
      <c r="AG2380" s="15"/>
      <c r="AH2380" s="16"/>
      <c r="AM2380" s="15"/>
      <c r="AN2380" s="16"/>
    </row>
    <row r="2381">
      <c r="A2381" s="13" t="s">
        <v>4190</v>
      </c>
      <c r="B2381" s="10">
        <v>37885.0</v>
      </c>
      <c r="C2381" s="11" t="s">
        <v>44</v>
      </c>
      <c r="D2381" s="11" t="s">
        <v>38</v>
      </c>
      <c r="E2381" s="30" t="s">
        <v>39</v>
      </c>
      <c r="F2381" s="11" t="s">
        <v>64</v>
      </c>
      <c r="G2381" s="30" t="s">
        <v>45</v>
      </c>
      <c r="H2381" s="11" t="s">
        <v>67</v>
      </c>
      <c r="I2381" s="11" t="s">
        <v>3746</v>
      </c>
      <c r="J2381" s="11">
        <v>23.0</v>
      </c>
      <c r="K2381" s="12">
        <v>38827.0</v>
      </c>
      <c r="L2381" s="11">
        <f t="shared" si="249"/>
        <v>31</v>
      </c>
      <c r="M2381" s="11">
        <v>407896.0</v>
      </c>
      <c r="N2381" s="11">
        <v>410.0</v>
      </c>
      <c r="O2381" s="13" t="s">
        <v>3309</v>
      </c>
      <c r="P2381" s="11">
        <v>63.0</v>
      </c>
      <c r="Q2381" s="45">
        <v>113.33299999999998</v>
      </c>
      <c r="R2381" s="41">
        <v>0.0</v>
      </c>
      <c r="S2381">
        <f t="shared" si="1"/>
        <v>2003</v>
      </c>
      <c r="T2381">
        <f t="shared" si="2"/>
        <v>9</v>
      </c>
      <c r="U2381">
        <f t="shared" si="3"/>
        <v>21</v>
      </c>
      <c r="AG2381" s="15"/>
      <c r="AH2381" s="16"/>
      <c r="AM2381" s="15"/>
      <c r="AN2381" s="16"/>
    </row>
    <row r="2382">
      <c r="A2382" s="13" t="s">
        <v>4191</v>
      </c>
      <c r="B2382" s="10">
        <v>37880.0</v>
      </c>
      <c r="C2382" s="11" t="s">
        <v>62</v>
      </c>
      <c r="D2382" s="11" t="s">
        <v>38</v>
      </c>
      <c r="E2382" s="30" t="s">
        <v>39</v>
      </c>
      <c r="F2382" s="11" t="s">
        <v>40</v>
      </c>
      <c r="G2382" s="30" t="s">
        <v>45</v>
      </c>
      <c r="H2382" s="11" t="s">
        <v>67</v>
      </c>
      <c r="I2382" s="11" t="s">
        <v>3520</v>
      </c>
      <c r="J2382" s="11">
        <v>22.0</v>
      </c>
      <c r="K2382" s="12">
        <v>38263.0</v>
      </c>
      <c r="L2382" s="11">
        <f t="shared" si="249"/>
        <v>13</v>
      </c>
      <c r="M2382" s="11">
        <v>425817.0</v>
      </c>
      <c r="N2382" s="11">
        <v>1688.0</v>
      </c>
      <c r="P2382" s="11">
        <v>4.0</v>
      </c>
      <c r="Q2382" s="14">
        <v>11.33</v>
      </c>
      <c r="R2382" s="41">
        <v>0.0</v>
      </c>
      <c r="S2382">
        <f t="shared" si="1"/>
        <v>2003</v>
      </c>
      <c r="T2382">
        <f t="shared" si="2"/>
        <v>9</v>
      </c>
      <c r="U2382">
        <f t="shared" si="3"/>
        <v>16</v>
      </c>
      <c r="AG2382" s="15"/>
      <c r="AH2382" s="16"/>
      <c r="AM2382" s="15"/>
      <c r="AN2382" s="16"/>
    </row>
    <row r="2383">
      <c r="A2383" s="13" t="s">
        <v>4192</v>
      </c>
      <c r="B2383" s="10">
        <v>37875.0</v>
      </c>
      <c r="C2383" s="11" t="s">
        <v>103</v>
      </c>
      <c r="D2383" s="11" t="s">
        <v>38</v>
      </c>
      <c r="E2383" s="30" t="s">
        <v>39</v>
      </c>
      <c r="F2383" s="11" t="s">
        <v>40</v>
      </c>
      <c r="G2383" s="30" t="s">
        <v>45</v>
      </c>
      <c r="H2383" s="11" t="s">
        <v>84</v>
      </c>
      <c r="I2383" s="11" t="s">
        <v>4193</v>
      </c>
      <c r="J2383" s="11">
        <v>27.0</v>
      </c>
      <c r="K2383" s="12">
        <v>38450.0</v>
      </c>
      <c r="L2383" s="11">
        <f t="shared" si="249"/>
        <v>19</v>
      </c>
      <c r="M2383" s="11">
        <v>150222.0</v>
      </c>
      <c r="N2383" s="11">
        <v>740.0</v>
      </c>
      <c r="O2383" s="13" t="s">
        <v>761</v>
      </c>
      <c r="P2383" s="11">
        <v>44.0</v>
      </c>
      <c r="Q2383" s="14">
        <v>206.667</v>
      </c>
      <c r="R2383" s="41">
        <v>0.0</v>
      </c>
      <c r="S2383">
        <f t="shared" si="1"/>
        <v>2003</v>
      </c>
      <c r="T2383">
        <f t="shared" si="2"/>
        <v>9</v>
      </c>
      <c r="U2383">
        <f t="shared" si="3"/>
        <v>11</v>
      </c>
      <c r="AG2383" s="15"/>
      <c r="AH2383" s="16"/>
      <c r="AM2383" s="15"/>
      <c r="AN2383" s="16"/>
    </row>
    <row r="2384">
      <c r="A2384" s="13" t="s">
        <v>4064</v>
      </c>
      <c r="B2384" s="10">
        <v>37873.0</v>
      </c>
      <c r="C2384" s="11" t="s">
        <v>37</v>
      </c>
      <c r="D2384" s="11" t="s">
        <v>38</v>
      </c>
      <c r="E2384" s="30" t="s">
        <v>39</v>
      </c>
      <c r="F2384" s="11" t="s">
        <v>40</v>
      </c>
      <c r="G2384" s="30" t="s">
        <v>45</v>
      </c>
      <c r="H2384" s="11" t="s">
        <v>84</v>
      </c>
      <c r="I2384" s="11" t="s">
        <v>1461</v>
      </c>
      <c r="J2384" s="11">
        <v>23.0</v>
      </c>
      <c r="K2384" s="30"/>
      <c r="L2384" s="30"/>
      <c r="M2384" s="11">
        <v>407486.0</v>
      </c>
      <c r="N2384" s="11">
        <v>1484.0</v>
      </c>
      <c r="O2384" s="13" t="s">
        <v>761</v>
      </c>
      <c r="P2384" s="11">
        <v>0.0</v>
      </c>
      <c r="Q2384" s="45">
        <v>0.0</v>
      </c>
      <c r="R2384" s="41">
        <v>0.0</v>
      </c>
      <c r="S2384">
        <f t="shared" si="1"/>
        <v>2003</v>
      </c>
      <c r="T2384">
        <f t="shared" si="2"/>
        <v>9</v>
      </c>
      <c r="U2384">
        <f t="shared" si="3"/>
        <v>9</v>
      </c>
      <c r="AG2384" s="15"/>
      <c r="AH2384" s="16"/>
      <c r="AM2384" s="15"/>
      <c r="AN2384" s="16"/>
    </row>
    <row r="2385">
      <c r="A2385" s="13" t="s">
        <v>4194</v>
      </c>
      <c r="B2385" s="10">
        <v>37869.0</v>
      </c>
      <c r="C2385" s="11" t="s">
        <v>358</v>
      </c>
      <c r="D2385" s="11" t="s">
        <v>38</v>
      </c>
      <c r="E2385" s="30" t="s">
        <v>39</v>
      </c>
      <c r="F2385" s="11" t="s">
        <v>40</v>
      </c>
      <c r="G2385" s="41" t="s">
        <v>41</v>
      </c>
      <c r="H2385" s="30"/>
      <c r="I2385" s="30"/>
      <c r="J2385" s="11">
        <v>25.0</v>
      </c>
      <c r="K2385" s="12">
        <v>38448.0</v>
      </c>
      <c r="L2385" s="11">
        <f>ROUND(((K2385-B2385)/365)*12,0)</f>
        <v>19</v>
      </c>
      <c r="M2385" s="11">
        <v>424465.0</v>
      </c>
      <c r="N2385" s="11">
        <v>1528.0</v>
      </c>
      <c r="P2385" s="11">
        <v>54.0</v>
      </c>
      <c r="Q2385" s="14">
        <v>288.667</v>
      </c>
      <c r="R2385" s="41">
        <v>0.0</v>
      </c>
      <c r="S2385">
        <f t="shared" si="1"/>
        <v>2003</v>
      </c>
      <c r="T2385">
        <f t="shared" si="2"/>
        <v>9</v>
      </c>
      <c r="U2385">
        <f t="shared" si="3"/>
        <v>5</v>
      </c>
      <c r="AG2385" s="15"/>
      <c r="AH2385" s="16"/>
      <c r="AM2385" s="15"/>
      <c r="AN2385" s="16"/>
    </row>
    <row r="2386">
      <c r="A2386" s="13" t="s">
        <v>4195</v>
      </c>
      <c r="B2386" s="10">
        <v>37859.0</v>
      </c>
      <c r="C2386" s="11" t="s">
        <v>44</v>
      </c>
      <c r="D2386" s="11" t="s">
        <v>58</v>
      </c>
      <c r="E2386" s="30" t="s">
        <v>39</v>
      </c>
      <c r="F2386" s="11" t="s">
        <v>40</v>
      </c>
      <c r="G2386" s="30" t="s">
        <v>45</v>
      </c>
      <c r="H2386" s="11" t="s">
        <v>112</v>
      </c>
      <c r="I2386" s="11" t="s">
        <v>4196</v>
      </c>
      <c r="J2386" s="11">
        <v>25.0</v>
      </c>
      <c r="K2386" s="12">
        <v>37987.0</v>
      </c>
      <c r="L2386" s="30"/>
      <c r="M2386" s="11">
        <v>425226.0</v>
      </c>
      <c r="N2386" s="11">
        <v>1646.0</v>
      </c>
      <c r="P2386" s="11">
        <v>235.0</v>
      </c>
      <c r="Q2386" s="14">
        <v>429.0</v>
      </c>
      <c r="R2386" s="41">
        <v>0.0</v>
      </c>
      <c r="S2386">
        <f t="shared" si="1"/>
        <v>2003</v>
      </c>
      <c r="T2386">
        <f t="shared" si="2"/>
        <v>8</v>
      </c>
      <c r="U2386">
        <f t="shared" si="3"/>
        <v>26</v>
      </c>
      <c r="AG2386" s="15"/>
      <c r="AH2386" s="16"/>
      <c r="AM2386" s="15"/>
      <c r="AN2386" s="16"/>
    </row>
    <row r="2387">
      <c r="A2387" s="13" t="s">
        <v>4197</v>
      </c>
      <c r="B2387" s="10">
        <v>37844.0</v>
      </c>
      <c r="C2387" s="11" t="s">
        <v>186</v>
      </c>
      <c r="D2387" s="11" t="s">
        <v>77</v>
      </c>
      <c r="E2387" s="30" t="s">
        <v>39</v>
      </c>
      <c r="F2387" s="11" t="s">
        <v>64</v>
      </c>
      <c r="G2387" s="30" t="s">
        <v>45</v>
      </c>
      <c r="H2387" s="11" t="s">
        <v>67</v>
      </c>
      <c r="I2387" s="11" t="s">
        <v>4198</v>
      </c>
      <c r="J2387" s="11">
        <v>22.0</v>
      </c>
      <c r="K2387" s="12">
        <v>38474.0</v>
      </c>
      <c r="L2387" s="11">
        <f t="shared" ref="L2387:L2388" si="250">ROUND(((K2387-B2387)/365)*12,0)</f>
        <v>21</v>
      </c>
      <c r="M2387" s="11">
        <v>450351.0</v>
      </c>
      <c r="N2387" s="11">
        <v>3580.0</v>
      </c>
      <c r="P2387" s="11">
        <v>444.0</v>
      </c>
      <c r="Q2387" s="14">
        <v>1430.333</v>
      </c>
      <c r="R2387" s="11">
        <v>0.0</v>
      </c>
      <c r="S2387">
        <f t="shared" si="1"/>
        <v>2003</v>
      </c>
      <c r="T2387">
        <f t="shared" si="2"/>
        <v>8</v>
      </c>
      <c r="U2387">
        <f t="shared" si="3"/>
        <v>11</v>
      </c>
      <c r="AG2387" s="15"/>
      <c r="AH2387" s="16"/>
      <c r="AM2387" s="15"/>
      <c r="AN2387" s="16"/>
    </row>
    <row r="2388">
      <c r="A2388" s="13" t="s">
        <v>4199</v>
      </c>
      <c r="B2388" s="10">
        <v>37837.0</v>
      </c>
      <c r="C2388" s="11" t="s">
        <v>162</v>
      </c>
      <c r="D2388" s="11" t="s">
        <v>38</v>
      </c>
      <c r="E2388" s="30" t="s">
        <v>39</v>
      </c>
      <c r="F2388" s="11" t="s">
        <v>40</v>
      </c>
      <c r="G2388" s="41" t="s">
        <v>194</v>
      </c>
      <c r="H2388" s="30"/>
      <c r="I2388" s="30"/>
      <c r="J2388" s="11">
        <v>26.0</v>
      </c>
      <c r="K2388" s="12">
        <v>38200.0</v>
      </c>
      <c r="L2388" s="11">
        <f t="shared" si="250"/>
        <v>12</v>
      </c>
      <c r="M2388" s="11">
        <v>133225.0</v>
      </c>
      <c r="N2388" s="11">
        <v>517.0</v>
      </c>
      <c r="O2388" s="13" t="s">
        <v>355</v>
      </c>
      <c r="P2388" s="11">
        <v>384.0</v>
      </c>
      <c r="Q2388" s="45">
        <v>1423.0</v>
      </c>
      <c r="R2388" s="41">
        <v>0.0</v>
      </c>
      <c r="S2388">
        <f t="shared" si="1"/>
        <v>2003</v>
      </c>
      <c r="T2388">
        <f t="shared" si="2"/>
        <v>8</v>
      </c>
      <c r="U2388">
        <f t="shared" si="3"/>
        <v>4</v>
      </c>
      <c r="AG2388" s="15"/>
      <c r="AH2388" s="16"/>
      <c r="AM2388" s="15"/>
      <c r="AN2388" s="16"/>
    </row>
    <row r="2389">
      <c r="A2389" s="13" t="s">
        <v>4200</v>
      </c>
      <c r="B2389" s="10">
        <v>37832.0</v>
      </c>
      <c r="C2389" s="11" t="s">
        <v>192</v>
      </c>
      <c r="D2389" s="11" t="s">
        <v>38</v>
      </c>
      <c r="E2389" s="30" t="s">
        <v>39</v>
      </c>
      <c r="F2389" s="11" t="s">
        <v>64</v>
      </c>
      <c r="G2389" s="30" t="s">
        <v>45</v>
      </c>
      <c r="H2389" s="11" t="s">
        <v>566</v>
      </c>
      <c r="I2389" s="11" t="s">
        <v>258</v>
      </c>
      <c r="J2389" s="11">
        <v>34.0</v>
      </c>
      <c r="K2389" s="30"/>
      <c r="L2389" s="30"/>
      <c r="M2389" s="11">
        <v>119673.0</v>
      </c>
      <c r="N2389" s="11">
        <v>441.0</v>
      </c>
      <c r="O2389" s="13" t="s">
        <v>355</v>
      </c>
      <c r="P2389" s="11">
        <v>0.0</v>
      </c>
      <c r="Q2389" s="45">
        <v>0.0</v>
      </c>
      <c r="R2389" s="41">
        <v>0.0</v>
      </c>
      <c r="S2389">
        <f t="shared" si="1"/>
        <v>2003</v>
      </c>
      <c r="T2389">
        <f t="shared" si="2"/>
        <v>7</v>
      </c>
      <c r="U2389">
        <f t="shared" si="3"/>
        <v>30</v>
      </c>
      <c r="AG2389" s="15"/>
      <c r="AH2389" s="16"/>
      <c r="AM2389" s="15"/>
      <c r="AN2389" s="16"/>
    </row>
    <row r="2390">
      <c r="A2390" s="13" t="s">
        <v>4201</v>
      </c>
      <c r="B2390" s="10">
        <v>37825.0</v>
      </c>
      <c r="C2390" s="11" t="s">
        <v>186</v>
      </c>
      <c r="D2390" s="11" t="s">
        <v>38</v>
      </c>
      <c r="E2390" s="41" t="s">
        <v>118</v>
      </c>
      <c r="F2390" s="11" t="s">
        <v>64</v>
      </c>
      <c r="G2390" s="30" t="s">
        <v>45</v>
      </c>
      <c r="H2390" s="11" t="s">
        <v>243</v>
      </c>
      <c r="I2390" s="11" t="s">
        <v>3676</v>
      </c>
      <c r="J2390" s="11">
        <v>34.0</v>
      </c>
      <c r="K2390" s="30"/>
      <c r="L2390" s="30"/>
      <c r="M2390" s="11">
        <v>115114.0</v>
      </c>
      <c r="N2390" s="11">
        <v>1252.0</v>
      </c>
      <c r="P2390" s="11">
        <v>0.0</v>
      </c>
      <c r="Q2390" s="45">
        <v>0.0</v>
      </c>
      <c r="R2390" s="41">
        <v>0.0</v>
      </c>
      <c r="S2390">
        <f t="shared" si="1"/>
        <v>2003</v>
      </c>
      <c r="T2390">
        <f t="shared" si="2"/>
        <v>7</v>
      </c>
      <c r="U2390">
        <f t="shared" si="3"/>
        <v>23</v>
      </c>
      <c r="AG2390" s="15"/>
      <c r="AH2390" s="16"/>
      <c r="AM2390" s="15"/>
      <c r="AN2390" s="16"/>
    </row>
    <row r="2391">
      <c r="A2391" s="13" t="s">
        <v>4202</v>
      </c>
      <c r="B2391" s="10">
        <v>37818.0</v>
      </c>
      <c r="C2391" s="11" t="s">
        <v>83</v>
      </c>
      <c r="D2391" s="11" t="s">
        <v>77</v>
      </c>
      <c r="E2391" s="41" t="s">
        <v>118</v>
      </c>
      <c r="F2391" s="11" t="s">
        <v>64</v>
      </c>
      <c r="G2391" s="30" t="s">
        <v>45</v>
      </c>
      <c r="H2391" s="11" t="s">
        <v>84</v>
      </c>
      <c r="I2391" s="11"/>
      <c r="J2391" s="11">
        <v>23.0</v>
      </c>
      <c r="K2391" s="12">
        <v>37987.0</v>
      </c>
      <c r="L2391" s="11"/>
      <c r="M2391" s="11">
        <v>150449.0</v>
      </c>
      <c r="N2391" s="11">
        <v>1142.0</v>
      </c>
      <c r="P2391" s="11">
        <v>603.0</v>
      </c>
      <c r="Q2391" s="14">
        <v>2021.0</v>
      </c>
      <c r="R2391" s="41">
        <v>0.0</v>
      </c>
      <c r="S2391">
        <f t="shared" si="1"/>
        <v>2003</v>
      </c>
      <c r="T2391">
        <f t="shared" si="2"/>
        <v>7</v>
      </c>
      <c r="U2391">
        <f t="shared" si="3"/>
        <v>16</v>
      </c>
      <c r="AG2391" s="15"/>
      <c r="AH2391" s="16"/>
      <c r="AM2391" s="15"/>
      <c r="AN2391" s="16"/>
    </row>
    <row r="2392">
      <c r="A2392" s="13" t="s">
        <v>4203</v>
      </c>
      <c r="B2392" s="10">
        <v>37803.0</v>
      </c>
      <c r="C2392" s="11" t="s">
        <v>116</v>
      </c>
      <c r="D2392" s="11" t="s">
        <v>77</v>
      </c>
      <c r="E2392" s="30" t="s">
        <v>39</v>
      </c>
      <c r="F2392" s="11" t="s">
        <v>40</v>
      </c>
      <c r="G2392" s="30" t="s">
        <v>45</v>
      </c>
      <c r="H2392" s="11" t="s">
        <v>231</v>
      </c>
      <c r="I2392" s="11" t="s">
        <v>619</v>
      </c>
      <c r="J2392" s="11">
        <v>32.0</v>
      </c>
      <c r="K2392" s="12">
        <v>38157.0</v>
      </c>
      <c r="L2392" s="11">
        <f t="shared" ref="L2392:L2397" si="251">ROUND(((K2392-B2392)/365)*12,0)</f>
        <v>12</v>
      </c>
      <c r="M2392" s="11">
        <v>111838.0</v>
      </c>
      <c r="N2392" s="11">
        <v>594.0</v>
      </c>
      <c r="O2392" s="13" t="s">
        <v>761</v>
      </c>
      <c r="P2392" s="11">
        <v>149.0</v>
      </c>
      <c r="Q2392" s="14">
        <v>904.0</v>
      </c>
      <c r="R2392" s="41">
        <v>0.0</v>
      </c>
      <c r="S2392">
        <f t="shared" si="1"/>
        <v>2003</v>
      </c>
      <c r="T2392">
        <f t="shared" si="2"/>
        <v>7</v>
      </c>
      <c r="U2392">
        <f t="shared" si="3"/>
        <v>1</v>
      </c>
      <c r="AG2392" s="15"/>
      <c r="AH2392" s="16"/>
      <c r="AM2392" s="15"/>
      <c r="AN2392" s="16"/>
    </row>
    <row r="2393">
      <c r="A2393" s="13" t="s">
        <v>4204</v>
      </c>
      <c r="B2393" s="10">
        <v>37798.0</v>
      </c>
      <c r="C2393" s="11" t="s">
        <v>156</v>
      </c>
      <c r="D2393" s="11" t="s">
        <v>38</v>
      </c>
      <c r="E2393" s="30" t="s">
        <v>39</v>
      </c>
      <c r="F2393" s="11" t="s">
        <v>40</v>
      </c>
      <c r="G2393" s="30" t="s">
        <v>45</v>
      </c>
      <c r="H2393" s="11" t="s">
        <v>320</v>
      </c>
      <c r="I2393" s="11"/>
      <c r="J2393" s="11">
        <v>22.0</v>
      </c>
      <c r="K2393" s="12">
        <v>38447.0</v>
      </c>
      <c r="L2393" s="11">
        <f t="shared" si="251"/>
        <v>21</v>
      </c>
      <c r="M2393" s="11">
        <v>425528.0</v>
      </c>
      <c r="N2393" s="11">
        <v>1657.0</v>
      </c>
      <c r="O2393" s="13" t="s">
        <v>3309</v>
      </c>
      <c r="P2393" s="11">
        <v>165.0</v>
      </c>
      <c r="Q2393" s="14">
        <v>391.667</v>
      </c>
      <c r="R2393" s="41">
        <v>0.0</v>
      </c>
      <c r="S2393">
        <f t="shared" si="1"/>
        <v>2003</v>
      </c>
      <c r="T2393">
        <f t="shared" si="2"/>
        <v>6</v>
      </c>
      <c r="U2393">
        <f t="shared" si="3"/>
        <v>26</v>
      </c>
      <c r="AG2393" s="15"/>
      <c r="AH2393" s="16"/>
      <c r="AM2393" s="15"/>
      <c r="AN2393" s="16"/>
    </row>
    <row r="2394">
      <c r="A2394" s="13" t="s">
        <v>4205</v>
      </c>
      <c r="B2394" s="10">
        <v>37789.0</v>
      </c>
      <c r="C2394" s="11" t="s">
        <v>76</v>
      </c>
      <c r="D2394" s="11" t="s">
        <v>38</v>
      </c>
      <c r="E2394" s="30" t="s">
        <v>39</v>
      </c>
      <c r="F2394" s="11" t="s">
        <v>40</v>
      </c>
      <c r="G2394" s="30" t="s">
        <v>45</v>
      </c>
      <c r="H2394" s="11" t="s">
        <v>56</v>
      </c>
      <c r="I2394" s="11" t="s">
        <v>265</v>
      </c>
      <c r="J2394" s="11">
        <v>27.0</v>
      </c>
      <c r="K2394" s="12">
        <v>38598.0</v>
      </c>
      <c r="L2394" s="11">
        <f t="shared" si="251"/>
        <v>27</v>
      </c>
      <c r="M2394" s="11">
        <v>232994.0</v>
      </c>
      <c r="N2394" s="11">
        <v>897.0</v>
      </c>
      <c r="P2394" s="11">
        <v>8.0</v>
      </c>
      <c r="Q2394" s="14">
        <v>6.0</v>
      </c>
      <c r="R2394" s="41">
        <v>0.0</v>
      </c>
      <c r="S2394">
        <f t="shared" si="1"/>
        <v>2003</v>
      </c>
      <c r="T2394">
        <f t="shared" si="2"/>
        <v>6</v>
      </c>
      <c r="U2394">
        <f t="shared" si="3"/>
        <v>17</v>
      </c>
      <c r="AG2394" s="15"/>
      <c r="AH2394" s="16"/>
      <c r="AM2394" s="15"/>
      <c r="AN2394" s="16"/>
    </row>
    <row r="2395">
      <c r="A2395" s="13" t="s">
        <v>4206</v>
      </c>
      <c r="B2395" s="10">
        <v>37787.0</v>
      </c>
      <c r="C2395" s="11" t="s">
        <v>235</v>
      </c>
      <c r="D2395" s="11" t="s">
        <v>38</v>
      </c>
      <c r="E2395" s="11" t="s">
        <v>39</v>
      </c>
      <c r="F2395" s="11" t="s">
        <v>40</v>
      </c>
      <c r="G2395" s="11" t="s">
        <v>45</v>
      </c>
      <c r="H2395" s="11" t="s">
        <v>320</v>
      </c>
      <c r="I2395" s="11" t="s">
        <v>1599</v>
      </c>
      <c r="J2395" s="11">
        <v>34.0</v>
      </c>
      <c r="K2395" s="12">
        <v>38486.0</v>
      </c>
      <c r="L2395" s="11">
        <f t="shared" si="251"/>
        <v>23</v>
      </c>
      <c r="M2395" s="11">
        <v>150034.0</v>
      </c>
      <c r="N2395" s="11">
        <v>1202.0</v>
      </c>
      <c r="P2395" s="11">
        <v>20.0</v>
      </c>
      <c r="Q2395" s="14">
        <v>22.333</v>
      </c>
      <c r="R2395" s="41">
        <v>0.0</v>
      </c>
      <c r="S2395">
        <f t="shared" si="1"/>
        <v>2003</v>
      </c>
      <c r="T2395">
        <f t="shared" si="2"/>
        <v>6</v>
      </c>
      <c r="U2395">
        <f t="shared" si="3"/>
        <v>15</v>
      </c>
      <c r="AG2395" s="15"/>
      <c r="AH2395" s="16"/>
      <c r="AM2395" s="15"/>
      <c r="AN2395" s="16"/>
    </row>
    <row r="2396">
      <c r="A2396" s="13" t="s">
        <v>4207</v>
      </c>
      <c r="B2396" s="10">
        <v>37778.0</v>
      </c>
      <c r="C2396" s="11" t="s">
        <v>186</v>
      </c>
      <c r="D2396" s="11" t="s">
        <v>88</v>
      </c>
      <c r="E2396" s="30" t="s">
        <v>39</v>
      </c>
      <c r="F2396" s="11" t="s">
        <v>40</v>
      </c>
      <c r="G2396" s="30" t="s">
        <v>45</v>
      </c>
      <c r="H2396" s="11" t="s">
        <v>301</v>
      </c>
      <c r="I2396" s="11"/>
      <c r="J2396" s="11">
        <v>20.0</v>
      </c>
      <c r="K2396" s="12">
        <v>39179.0</v>
      </c>
      <c r="L2396" s="11">
        <f t="shared" si="251"/>
        <v>46</v>
      </c>
      <c r="M2396" s="11">
        <v>458494.0</v>
      </c>
      <c r="N2396" s="11" t="s">
        <v>4208</v>
      </c>
      <c r="P2396" s="11">
        <v>0.0</v>
      </c>
      <c r="Q2396" s="14">
        <v>0.0</v>
      </c>
      <c r="R2396" s="41">
        <v>0.0</v>
      </c>
      <c r="S2396">
        <f t="shared" si="1"/>
        <v>2003</v>
      </c>
      <c r="T2396">
        <f t="shared" si="2"/>
        <v>6</v>
      </c>
      <c r="U2396">
        <f t="shared" si="3"/>
        <v>6</v>
      </c>
      <c r="AG2396" s="15"/>
      <c r="AH2396" s="16"/>
      <c r="AM2396" s="15"/>
      <c r="AN2396" s="16"/>
    </row>
    <row r="2397">
      <c r="A2397" s="13" t="s">
        <v>4209</v>
      </c>
      <c r="B2397" s="10">
        <v>37770.0</v>
      </c>
      <c r="C2397" s="11" t="s">
        <v>52</v>
      </c>
      <c r="D2397" s="11" t="s">
        <v>38</v>
      </c>
      <c r="E2397" s="30" t="s">
        <v>39</v>
      </c>
      <c r="F2397" s="11" t="s">
        <v>40</v>
      </c>
      <c r="G2397" s="30" t="s">
        <v>45</v>
      </c>
      <c r="H2397" s="11" t="s">
        <v>127</v>
      </c>
      <c r="I2397" s="11" t="s">
        <v>1936</v>
      </c>
      <c r="J2397" s="11">
        <v>31.0</v>
      </c>
      <c r="K2397" s="12">
        <v>38448.0</v>
      </c>
      <c r="L2397" s="11">
        <f t="shared" si="251"/>
        <v>22</v>
      </c>
      <c r="M2397" s="11">
        <v>119215.0</v>
      </c>
      <c r="N2397" s="11">
        <v>480.0</v>
      </c>
      <c r="O2397" s="13" t="s">
        <v>761</v>
      </c>
      <c r="P2397" s="11">
        <v>188.0</v>
      </c>
      <c r="Q2397" s="45">
        <v>701.3330000000001</v>
      </c>
      <c r="R2397" s="41">
        <v>0.0</v>
      </c>
      <c r="S2397">
        <f t="shared" si="1"/>
        <v>2003</v>
      </c>
      <c r="T2397">
        <f t="shared" si="2"/>
        <v>5</v>
      </c>
      <c r="U2397">
        <f t="shared" si="3"/>
        <v>29</v>
      </c>
      <c r="AG2397" s="15"/>
      <c r="AH2397" s="16"/>
      <c r="AM2397" s="15"/>
      <c r="AN2397" s="16"/>
    </row>
    <row r="2398">
      <c r="A2398" s="13" t="s">
        <v>4210</v>
      </c>
      <c r="B2398" s="10">
        <v>37769.0</v>
      </c>
      <c r="C2398" s="11" t="s">
        <v>101</v>
      </c>
      <c r="D2398" s="11" t="s">
        <v>88</v>
      </c>
      <c r="E2398" s="30" t="s">
        <v>39</v>
      </c>
      <c r="F2398" s="11" t="s">
        <v>40</v>
      </c>
      <c r="G2398" s="30" t="s">
        <v>45</v>
      </c>
      <c r="H2398" s="11" t="s">
        <v>163</v>
      </c>
      <c r="I2398" s="11" t="s">
        <v>4211</v>
      </c>
      <c r="J2398" s="11">
        <v>24.0</v>
      </c>
      <c r="K2398" s="12">
        <v>37987.0</v>
      </c>
      <c r="L2398" s="30"/>
      <c r="M2398" s="11">
        <v>408072.0</v>
      </c>
      <c r="N2398" s="11">
        <v>3915.0</v>
      </c>
      <c r="P2398" s="11">
        <v>125.0</v>
      </c>
      <c r="Q2398" s="14">
        <v>133.0</v>
      </c>
      <c r="R2398" s="41">
        <v>0.0</v>
      </c>
      <c r="S2398">
        <f t="shared" si="1"/>
        <v>2003</v>
      </c>
      <c r="T2398">
        <f t="shared" si="2"/>
        <v>5</v>
      </c>
      <c r="U2398">
        <f t="shared" si="3"/>
        <v>28</v>
      </c>
      <c r="AG2398" s="15"/>
      <c r="AH2398" s="16"/>
      <c r="AM2398" s="15"/>
      <c r="AN2398" s="16"/>
    </row>
    <row r="2399">
      <c r="A2399" s="13" t="s">
        <v>4212</v>
      </c>
      <c r="B2399" s="10">
        <v>37742.0</v>
      </c>
      <c r="C2399" s="11" t="s">
        <v>37</v>
      </c>
      <c r="D2399" s="11" t="s">
        <v>38</v>
      </c>
      <c r="E2399" s="30" t="s">
        <v>39</v>
      </c>
      <c r="F2399" s="11" t="s">
        <v>40</v>
      </c>
      <c r="G2399" s="41" t="s">
        <v>225</v>
      </c>
      <c r="H2399" s="30"/>
      <c r="I2399" s="30"/>
      <c r="J2399" s="11">
        <v>34.0</v>
      </c>
      <c r="K2399" s="30"/>
      <c r="L2399" s="30"/>
      <c r="M2399" s="11">
        <v>111191.0</v>
      </c>
      <c r="N2399" s="11">
        <v>1001161.0</v>
      </c>
      <c r="O2399" s="13" t="s">
        <v>761</v>
      </c>
      <c r="P2399" s="11">
        <v>0.0</v>
      </c>
      <c r="Q2399" s="14">
        <v>0.0</v>
      </c>
      <c r="R2399" s="41">
        <v>0.0</v>
      </c>
      <c r="S2399">
        <f t="shared" si="1"/>
        <v>2003</v>
      </c>
      <c r="T2399">
        <f t="shared" si="2"/>
        <v>5</v>
      </c>
      <c r="U2399">
        <f t="shared" si="3"/>
        <v>1</v>
      </c>
      <c r="AG2399" s="15"/>
      <c r="AH2399" s="16"/>
      <c r="AM2399" s="15"/>
      <c r="AN2399" s="16"/>
    </row>
    <row r="2400">
      <c r="A2400" s="13" t="s">
        <v>4213</v>
      </c>
      <c r="B2400" s="10">
        <v>37740.0</v>
      </c>
      <c r="C2400" s="11" t="s">
        <v>37</v>
      </c>
      <c r="D2400" s="11" t="s">
        <v>38</v>
      </c>
      <c r="E2400" s="30" t="s">
        <v>39</v>
      </c>
      <c r="F2400" s="11" t="s">
        <v>40</v>
      </c>
      <c r="G2400" s="30" t="s">
        <v>45</v>
      </c>
      <c r="H2400" s="11" t="s">
        <v>669</v>
      </c>
      <c r="I2400" s="11"/>
      <c r="J2400" s="11">
        <v>26.0</v>
      </c>
      <c r="K2400" s="12">
        <v>38141.0</v>
      </c>
      <c r="L2400" s="11">
        <f>ROUND(((K2400-B2400)/365)*12,0)</f>
        <v>13</v>
      </c>
      <c r="M2400" s="11">
        <v>150359.0</v>
      </c>
      <c r="N2400" s="11">
        <v>512.0</v>
      </c>
      <c r="O2400" s="13" t="s">
        <v>761</v>
      </c>
      <c r="P2400" s="11">
        <v>353.0</v>
      </c>
      <c r="Q2400" s="14">
        <v>2206.667</v>
      </c>
      <c r="R2400" s="11">
        <v>0.0</v>
      </c>
      <c r="S2400">
        <f t="shared" si="1"/>
        <v>2003</v>
      </c>
      <c r="T2400">
        <f t="shared" si="2"/>
        <v>4</v>
      </c>
      <c r="U2400">
        <f t="shared" si="3"/>
        <v>29</v>
      </c>
      <c r="AG2400" s="15"/>
      <c r="AH2400" s="16"/>
      <c r="AM2400" s="15"/>
      <c r="AN2400" s="16"/>
    </row>
    <row r="2401">
      <c r="A2401" s="13" t="s">
        <v>4214</v>
      </c>
      <c r="B2401" s="10">
        <v>37720.0</v>
      </c>
      <c r="C2401" s="11" t="s">
        <v>108</v>
      </c>
      <c r="D2401" s="11" t="s">
        <v>58</v>
      </c>
      <c r="E2401" s="11" t="s">
        <v>39</v>
      </c>
      <c r="F2401" s="11" t="s">
        <v>64</v>
      </c>
      <c r="G2401" s="11" t="s">
        <v>45</v>
      </c>
      <c r="H2401" s="11" t="s">
        <v>127</v>
      </c>
      <c r="I2401" s="11" t="s">
        <v>359</v>
      </c>
      <c r="J2401" s="11">
        <v>28.0</v>
      </c>
      <c r="K2401" s="12">
        <v>37987.0</v>
      </c>
      <c r="L2401" s="11"/>
      <c r="M2401" s="11">
        <v>150287.0</v>
      </c>
      <c r="N2401" s="11">
        <v>1007451.0</v>
      </c>
      <c r="O2401" s="13"/>
      <c r="P2401" s="11">
        <v>0.0</v>
      </c>
      <c r="Q2401" s="14">
        <v>0.0</v>
      </c>
      <c r="R2401" s="11">
        <v>0.0</v>
      </c>
      <c r="S2401">
        <f t="shared" si="1"/>
        <v>2003</v>
      </c>
      <c r="T2401">
        <f t="shared" si="2"/>
        <v>4</v>
      </c>
      <c r="U2401">
        <f t="shared" si="3"/>
        <v>9</v>
      </c>
      <c r="AG2401" s="15"/>
      <c r="AH2401" s="16"/>
      <c r="AM2401" s="15"/>
      <c r="AN2401" s="16"/>
    </row>
    <row r="2402">
      <c r="A2402" s="13" t="s">
        <v>4215</v>
      </c>
      <c r="B2402" s="10">
        <v>37705.0</v>
      </c>
      <c r="C2402" s="11" t="s">
        <v>346</v>
      </c>
      <c r="D2402" s="11" t="s">
        <v>38</v>
      </c>
      <c r="E2402" s="30" t="s">
        <v>39</v>
      </c>
      <c r="F2402" s="11" t="s">
        <v>40</v>
      </c>
      <c r="G2402" s="30" t="s">
        <v>45</v>
      </c>
      <c r="H2402" s="11" t="s">
        <v>67</v>
      </c>
      <c r="I2402" s="11" t="s">
        <v>4216</v>
      </c>
      <c r="J2402" s="11">
        <v>27.0</v>
      </c>
      <c r="K2402" s="12">
        <v>38118.0</v>
      </c>
      <c r="L2402" s="11">
        <f>ROUND(((K2402-B2402)/365)*12,0)</f>
        <v>14</v>
      </c>
      <c r="M2402" s="11">
        <v>277184.0</v>
      </c>
      <c r="N2402" s="11">
        <v>42.0</v>
      </c>
      <c r="O2402" s="13" t="s">
        <v>3309</v>
      </c>
      <c r="P2402" s="11">
        <v>183.0</v>
      </c>
      <c r="Q2402" s="45">
        <v>222.0</v>
      </c>
      <c r="R2402" s="41">
        <v>0.0</v>
      </c>
      <c r="S2402">
        <f t="shared" si="1"/>
        <v>2003</v>
      </c>
      <c r="T2402">
        <f t="shared" si="2"/>
        <v>3</v>
      </c>
      <c r="U2402">
        <f t="shared" si="3"/>
        <v>25</v>
      </c>
      <c r="AG2402" s="15"/>
      <c r="AH2402" s="16"/>
      <c r="AM2402" s="15"/>
      <c r="AN2402" s="16"/>
    </row>
    <row r="2403">
      <c r="A2403" s="13" t="s">
        <v>4217</v>
      </c>
      <c r="B2403" s="10">
        <v>37698.0</v>
      </c>
      <c r="C2403" s="11" t="s">
        <v>186</v>
      </c>
      <c r="D2403" s="11" t="s">
        <v>93</v>
      </c>
      <c r="E2403" s="11" t="s">
        <v>39</v>
      </c>
      <c r="F2403" s="11" t="s">
        <v>40</v>
      </c>
      <c r="G2403" s="11" t="s">
        <v>45</v>
      </c>
      <c r="H2403" s="11" t="s">
        <v>84</v>
      </c>
      <c r="I2403" s="11" t="s">
        <v>391</v>
      </c>
      <c r="J2403" s="11">
        <v>21.0</v>
      </c>
      <c r="K2403" s="12">
        <v>38353.0</v>
      </c>
      <c r="L2403" s="30"/>
      <c r="M2403" s="11">
        <v>451196.0</v>
      </c>
      <c r="N2403" s="11" t="s">
        <v>4218</v>
      </c>
      <c r="P2403" s="11">
        <v>0.0</v>
      </c>
      <c r="Q2403" s="14">
        <v>0.0</v>
      </c>
      <c r="R2403" s="11">
        <v>0.0</v>
      </c>
      <c r="S2403">
        <f t="shared" si="1"/>
        <v>2003</v>
      </c>
      <c r="T2403">
        <f t="shared" si="2"/>
        <v>3</v>
      </c>
      <c r="U2403">
        <f t="shared" si="3"/>
        <v>18</v>
      </c>
      <c r="AG2403" s="15"/>
      <c r="AH2403" s="16"/>
      <c r="AM2403" s="15"/>
      <c r="AN2403" s="16"/>
    </row>
    <row r="2404">
      <c r="A2404" s="13" t="s">
        <v>4070</v>
      </c>
      <c r="B2404" s="10">
        <v>37685.0</v>
      </c>
      <c r="C2404" s="11" t="s">
        <v>44</v>
      </c>
      <c r="D2404" s="11" t="s">
        <v>88</v>
      </c>
      <c r="E2404" s="30" t="s">
        <v>39</v>
      </c>
      <c r="F2404" s="11" t="s">
        <v>64</v>
      </c>
      <c r="G2404" s="30" t="s">
        <v>45</v>
      </c>
      <c r="H2404" s="11" t="s">
        <v>84</v>
      </c>
      <c r="I2404" s="11"/>
      <c r="J2404" s="11">
        <v>22.0</v>
      </c>
      <c r="K2404" s="12">
        <v>37987.0</v>
      </c>
      <c r="L2404" s="30"/>
      <c r="M2404" s="11">
        <v>425663.0</v>
      </c>
      <c r="N2404" s="11">
        <v>2126.0</v>
      </c>
      <c r="P2404" s="11">
        <v>4.0</v>
      </c>
      <c r="Q2404" s="14">
        <v>18.0</v>
      </c>
      <c r="R2404" s="41">
        <v>0.0</v>
      </c>
      <c r="S2404">
        <f t="shared" si="1"/>
        <v>2003</v>
      </c>
      <c r="T2404">
        <f t="shared" si="2"/>
        <v>3</v>
      </c>
      <c r="U2404">
        <f t="shared" si="3"/>
        <v>5</v>
      </c>
      <c r="AG2404" s="15"/>
      <c r="AH2404" s="16"/>
      <c r="AM2404" s="15"/>
      <c r="AN2404" s="16"/>
    </row>
    <row r="2405">
      <c r="A2405" s="13" t="s">
        <v>4219</v>
      </c>
      <c r="B2405" s="10">
        <v>37622.0</v>
      </c>
      <c r="C2405" s="11" t="s">
        <v>72</v>
      </c>
      <c r="D2405" s="11" t="s">
        <v>88</v>
      </c>
      <c r="E2405" s="30" t="s">
        <v>39</v>
      </c>
      <c r="F2405" s="11" t="s">
        <v>40</v>
      </c>
      <c r="G2405" s="30" t="s">
        <v>45</v>
      </c>
      <c r="H2405" s="11" t="s">
        <v>729</v>
      </c>
      <c r="I2405" s="11"/>
      <c r="J2405" s="11">
        <v>21.0</v>
      </c>
      <c r="K2405" s="12">
        <v>37987.0</v>
      </c>
      <c r="L2405" s="30"/>
      <c r="M2405" s="11">
        <v>434668.0</v>
      </c>
      <c r="N2405" s="11">
        <v>3180.0</v>
      </c>
      <c r="P2405" s="11">
        <v>298.0</v>
      </c>
      <c r="Q2405" s="14">
        <v>292.667</v>
      </c>
      <c r="R2405" s="41">
        <v>0.0</v>
      </c>
      <c r="S2405">
        <f t="shared" si="1"/>
        <v>2003</v>
      </c>
      <c r="T2405">
        <f t="shared" si="2"/>
        <v>1</v>
      </c>
      <c r="U2405">
        <f t="shared" si="3"/>
        <v>1</v>
      </c>
      <c r="AG2405" s="15"/>
      <c r="AH2405" s="16"/>
      <c r="AM2405" s="15"/>
      <c r="AN2405" s="16"/>
    </row>
    <row r="2406">
      <c r="A2406" s="13" t="s">
        <v>4220</v>
      </c>
      <c r="B2406" s="10">
        <v>37622.0</v>
      </c>
      <c r="C2406" s="11" t="s">
        <v>72</v>
      </c>
      <c r="D2406" s="11" t="s">
        <v>213</v>
      </c>
      <c r="E2406" s="30" t="s">
        <v>39</v>
      </c>
      <c r="F2406" s="11" t="s">
        <v>40</v>
      </c>
      <c r="G2406" s="41" t="s">
        <v>53</v>
      </c>
      <c r="H2406" s="30"/>
      <c r="I2406" s="30"/>
      <c r="J2406" s="11">
        <v>19.0</v>
      </c>
      <c r="K2406" s="12">
        <v>37987.0</v>
      </c>
      <c r="L2406" s="30"/>
      <c r="M2406" s="11">
        <v>434671.0</v>
      </c>
      <c r="N2406" s="11">
        <v>3284.0</v>
      </c>
      <c r="P2406" s="11">
        <v>284.0</v>
      </c>
      <c r="Q2406" s="14">
        <v>1592.667</v>
      </c>
      <c r="R2406" s="41">
        <v>1.0</v>
      </c>
      <c r="S2406">
        <f t="shared" si="1"/>
        <v>2003</v>
      </c>
      <c r="T2406">
        <f t="shared" si="2"/>
        <v>1</v>
      </c>
      <c r="U2406">
        <f t="shared" si="3"/>
        <v>1</v>
      </c>
      <c r="AG2406" s="15"/>
      <c r="AH2406" s="16"/>
      <c r="AM2406" s="15"/>
      <c r="AN2406" s="16"/>
    </row>
    <row r="2407">
      <c r="A2407" s="13" t="s">
        <v>4221</v>
      </c>
      <c r="B2407" s="10">
        <v>37622.0</v>
      </c>
      <c r="C2407" s="11" t="s">
        <v>167</v>
      </c>
      <c r="D2407" s="11" t="s">
        <v>709</v>
      </c>
      <c r="E2407" s="30" t="s">
        <v>39</v>
      </c>
      <c r="F2407" s="11" t="s">
        <v>64</v>
      </c>
      <c r="G2407" s="30" t="s">
        <v>45</v>
      </c>
      <c r="H2407" s="11" t="s">
        <v>236</v>
      </c>
      <c r="I2407" s="11" t="s">
        <v>98</v>
      </c>
      <c r="J2407" s="11">
        <v>22.0</v>
      </c>
      <c r="K2407" s="12">
        <v>37987.0</v>
      </c>
      <c r="L2407" s="30"/>
      <c r="M2407" s="11">
        <v>434883.0</v>
      </c>
      <c r="N2407" s="11" t="s">
        <v>4222</v>
      </c>
      <c r="P2407" s="11">
        <v>0.0</v>
      </c>
      <c r="Q2407" s="14">
        <v>0.0</v>
      </c>
      <c r="R2407" s="41">
        <v>0.0</v>
      </c>
      <c r="S2407">
        <f t="shared" si="1"/>
        <v>2003</v>
      </c>
      <c r="T2407">
        <f t="shared" si="2"/>
        <v>1</v>
      </c>
      <c r="U2407">
        <f t="shared" si="3"/>
        <v>1</v>
      </c>
      <c r="AG2407" s="15"/>
      <c r="AH2407" s="16"/>
      <c r="AM2407" s="15"/>
      <c r="AN2407" s="16"/>
    </row>
    <row r="2408">
      <c r="A2408" s="13" t="s">
        <v>4223</v>
      </c>
      <c r="B2408" s="10">
        <v>37622.0</v>
      </c>
      <c r="C2408" s="11" t="s">
        <v>44</v>
      </c>
      <c r="D2408" s="11" t="s">
        <v>93</v>
      </c>
      <c r="E2408" s="30" t="s">
        <v>39</v>
      </c>
      <c r="F2408" s="11" t="s">
        <v>64</v>
      </c>
      <c r="G2408" s="30" t="s">
        <v>45</v>
      </c>
      <c r="H2408" s="11" t="s">
        <v>236</v>
      </c>
      <c r="I2408" s="11" t="s">
        <v>237</v>
      </c>
      <c r="J2408" s="11">
        <v>19.0</v>
      </c>
      <c r="K2408" s="12">
        <v>37987.0</v>
      </c>
      <c r="L2408" s="30"/>
      <c r="M2408" s="11">
        <v>460260.0</v>
      </c>
      <c r="N2408" s="11">
        <v>7322.0</v>
      </c>
      <c r="P2408" s="11">
        <v>5.0</v>
      </c>
      <c r="Q2408" s="14">
        <v>28.333</v>
      </c>
      <c r="R2408" s="41">
        <v>0.0</v>
      </c>
      <c r="S2408">
        <f t="shared" si="1"/>
        <v>2003</v>
      </c>
      <c r="T2408">
        <f t="shared" si="2"/>
        <v>1</v>
      </c>
      <c r="U2408">
        <f t="shared" si="3"/>
        <v>1</v>
      </c>
      <c r="AG2408" s="15"/>
      <c r="AH2408" s="16"/>
      <c r="AM2408" s="15"/>
      <c r="AN2408" s="16"/>
    </row>
    <row r="2409">
      <c r="A2409" s="13" t="s">
        <v>4224</v>
      </c>
      <c r="B2409" s="10">
        <v>37622.0</v>
      </c>
      <c r="C2409" s="11" t="s">
        <v>52</v>
      </c>
      <c r="D2409" s="11" t="s">
        <v>58</v>
      </c>
      <c r="E2409" s="30" t="s">
        <v>39</v>
      </c>
      <c r="F2409" s="11" t="s">
        <v>40</v>
      </c>
      <c r="G2409" s="30" t="s">
        <v>45</v>
      </c>
      <c r="H2409" s="11" t="s">
        <v>236</v>
      </c>
      <c r="I2409" s="11"/>
      <c r="J2409" s="11">
        <v>25.0</v>
      </c>
      <c r="K2409" s="12">
        <v>37987.0</v>
      </c>
      <c r="L2409" s="30"/>
      <c r="M2409" s="11">
        <v>407838.0</v>
      </c>
      <c r="N2409" s="11">
        <v>2040.0</v>
      </c>
      <c r="P2409" s="11">
        <v>7.0</v>
      </c>
      <c r="Q2409" s="14">
        <v>32.667</v>
      </c>
      <c r="R2409" s="41">
        <v>0.0</v>
      </c>
      <c r="S2409">
        <f t="shared" si="1"/>
        <v>2003</v>
      </c>
      <c r="T2409">
        <f t="shared" si="2"/>
        <v>1</v>
      </c>
      <c r="U2409">
        <f t="shared" si="3"/>
        <v>1</v>
      </c>
      <c r="AG2409" s="15"/>
      <c r="AH2409" s="16"/>
      <c r="AM2409" s="15"/>
      <c r="AN2409" s="16"/>
    </row>
    <row r="2410">
      <c r="A2410" s="13" t="s">
        <v>4225</v>
      </c>
      <c r="B2410" s="10">
        <v>37622.0</v>
      </c>
      <c r="C2410" s="11" t="s">
        <v>358</v>
      </c>
      <c r="D2410" s="11" t="s">
        <v>88</v>
      </c>
      <c r="E2410" s="30" t="s">
        <v>39</v>
      </c>
      <c r="F2410" s="11" t="s">
        <v>40</v>
      </c>
      <c r="G2410" s="30" t="s">
        <v>45</v>
      </c>
      <c r="H2410" s="11" t="s">
        <v>67</v>
      </c>
      <c r="I2410" s="11"/>
      <c r="J2410" s="11">
        <v>21.0</v>
      </c>
      <c r="K2410" s="12">
        <v>37987.0</v>
      </c>
      <c r="L2410" s="30"/>
      <c r="M2410" s="11">
        <v>408043.0</v>
      </c>
      <c r="N2410" s="11" t="s">
        <v>4226</v>
      </c>
      <c r="P2410" s="11">
        <v>0.0</v>
      </c>
      <c r="Q2410" s="14">
        <v>0.0</v>
      </c>
      <c r="R2410" s="41">
        <v>0.0</v>
      </c>
      <c r="S2410">
        <f t="shared" si="1"/>
        <v>2003</v>
      </c>
      <c r="T2410">
        <f t="shared" si="2"/>
        <v>1</v>
      </c>
      <c r="U2410">
        <f t="shared" si="3"/>
        <v>1</v>
      </c>
      <c r="AG2410" s="15"/>
      <c r="AH2410" s="16"/>
      <c r="AM2410" s="15"/>
      <c r="AN2410" s="16"/>
    </row>
    <row r="2411">
      <c r="A2411" s="13" t="s">
        <v>4227</v>
      </c>
      <c r="B2411" s="10">
        <v>37622.0</v>
      </c>
      <c r="C2411" s="11" t="s">
        <v>346</v>
      </c>
      <c r="D2411" s="11" t="s">
        <v>213</v>
      </c>
      <c r="E2411" s="11" t="s">
        <v>39</v>
      </c>
      <c r="F2411" s="11" t="s">
        <v>40</v>
      </c>
      <c r="G2411" s="11" t="s">
        <v>45</v>
      </c>
      <c r="H2411" s="11" t="s">
        <v>84</v>
      </c>
      <c r="I2411" s="30"/>
      <c r="J2411" s="11">
        <v>17.0</v>
      </c>
      <c r="K2411" s="12">
        <v>38353.0</v>
      </c>
      <c r="L2411" s="30"/>
      <c r="M2411" s="11">
        <v>445001.0</v>
      </c>
      <c r="N2411" s="11">
        <v>6950.0</v>
      </c>
      <c r="O2411" s="13"/>
      <c r="P2411" s="11">
        <v>50.0</v>
      </c>
      <c r="Q2411" s="14">
        <v>64.667</v>
      </c>
      <c r="R2411" s="11">
        <v>0.0</v>
      </c>
      <c r="S2411">
        <f t="shared" si="1"/>
        <v>2003</v>
      </c>
      <c r="T2411">
        <f t="shared" si="2"/>
        <v>1</v>
      </c>
      <c r="U2411">
        <f t="shared" si="3"/>
        <v>1</v>
      </c>
      <c r="AG2411" s="15"/>
      <c r="AH2411" s="16"/>
      <c r="AM2411" s="15"/>
      <c r="AN2411" s="16"/>
    </row>
    <row r="2412">
      <c r="A2412" s="13" t="s">
        <v>4228</v>
      </c>
      <c r="B2412" s="10">
        <v>37622.0</v>
      </c>
      <c r="C2412" s="11" t="s">
        <v>126</v>
      </c>
      <c r="D2412" s="11" t="s">
        <v>88</v>
      </c>
      <c r="E2412" s="30" t="s">
        <v>39</v>
      </c>
      <c r="F2412" s="11" t="s">
        <v>64</v>
      </c>
      <c r="G2412" s="41" t="s">
        <v>245</v>
      </c>
      <c r="H2412" s="30"/>
      <c r="I2412" s="30"/>
      <c r="J2412" s="11">
        <v>21.0</v>
      </c>
      <c r="K2412" s="12">
        <v>38452.0</v>
      </c>
      <c r="L2412" s="30"/>
      <c r="M2412" s="11">
        <v>425539.0</v>
      </c>
      <c r="N2412" s="11">
        <v>7016.0</v>
      </c>
      <c r="P2412" s="11">
        <v>218.0</v>
      </c>
      <c r="Q2412" s="14">
        <v>292.333</v>
      </c>
      <c r="R2412" s="41">
        <v>0.0</v>
      </c>
      <c r="S2412">
        <f t="shared" si="1"/>
        <v>2003</v>
      </c>
      <c r="T2412">
        <f t="shared" si="2"/>
        <v>1</v>
      </c>
      <c r="U2412">
        <f t="shared" si="3"/>
        <v>1</v>
      </c>
      <c r="AG2412" s="15"/>
      <c r="AH2412" s="16"/>
      <c r="AM2412" s="15"/>
      <c r="AN2412" s="16"/>
    </row>
    <row r="2413">
      <c r="A2413" s="13" t="s">
        <v>4229</v>
      </c>
      <c r="B2413" s="10">
        <v>37622.0</v>
      </c>
      <c r="C2413" s="11" t="s">
        <v>126</v>
      </c>
      <c r="D2413" s="11" t="s">
        <v>38</v>
      </c>
      <c r="E2413" s="30" t="s">
        <v>39</v>
      </c>
      <c r="F2413" s="11" t="s">
        <v>40</v>
      </c>
      <c r="G2413" s="30" t="s">
        <v>45</v>
      </c>
      <c r="H2413" s="11" t="s">
        <v>74</v>
      </c>
      <c r="I2413" s="11" t="s">
        <v>4230</v>
      </c>
      <c r="J2413" s="11">
        <v>35.0</v>
      </c>
      <c r="K2413" s="12">
        <v>38238.0</v>
      </c>
      <c r="L2413" s="30"/>
      <c r="M2413" s="11">
        <v>110351.0</v>
      </c>
      <c r="N2413" s="11">
        <v>637.0</v>
      </c>
      <c r="P2413" s="11">
        <v>2.0</v>
      </c>
      <c r="Q2413" s="45">
        <v>2.0</v>
      </c>
      <c r="R2413" s="41">
        <v>0.0</v>
      </c>
      <c r="S2413">
        <f t="shared" si="1"/>
        <v>2003</v>
      </c>
      <c r="T2413">
        <f t="shared" si="2"/>
        <v>1</v>
      </c>
      <c r="U2413">
        <f t="shared" si="3"/>
        <v>1</v>
      </c>
      <c r="AG2413" s="15"/>
      <c r="AH2413" s="16"/>
      <c r="AM2413" s="15"/>
      <c r="AN2413" s="16"/>
    </row>
    <row r="2414">
      <c r="A2414" s="13" t="s">
        <v>3409</v>
      </c>
      <c r="B2414" s="10">
        <v>37622.0</v>
      </c>
      <c r="C2414" s="11" t="s">
        <v>126</v>
      </c>
      <c r="D2414" s="11" t="s">
        <v>221</v>
      </c>
      <c r="E2414" s="30" t="s">
        <v>39</v>
      </c>
      <c r="F2414" s="11" t="s">
        <v>40</v>
      </c>
      <c r="G2414" s="41" t="s">
        <v>326</v>
      </c>
      <c r="H2414" s="30"/>
      <c r="I2414" s="30"/>
      <c r="J2414" s="11">
        <v>19.0</v>
      </c>
      <c r="K2414" s="12">
        <v>38580.0</v>
      </c>
      <c r="L2414" s="30"/>
      <c r="M2414" s="11">
        <v>465657.0</v>
      </c>
      <c r="N2414" s="11">
        <v>6941.0</v>
      </c>
      <c r="O2414" s="13" t="s">
        <v>4062</v>
      </c>
      <c r="P2414" s="11">
        <v>298.0</v>
      </c>
      <c r="Q2414" s="14">
        <v>315.333</v>
      </c>
      <c r="R2414" s="41">
        <v>0.0</v>
      </c>
      <c r="S2414">
        <f t="shared" si="1"/>
        <v>2003</v>
      </c>
      <c r="T2414">
        <f t="shared" si="2"/>
        <v>1</v>
      </c>
      <c r="U2414">
        <f t="shared" si="3"/>
        <v>1</v>
      </c>
      <c r="AG2414" s="15"/>
      <c r="AH2414" s="16"/>
      <c r="AM2414" s="15"/>
      <c r="AN2414" s="16"/>
    </row>
    <row r="2415">
      <c r="A2415" s="13" t="s">
        <v>4231</v>
      </c>
      <c r="B2415" s="10">
        <v>37622.0</v>
      </c>
      <c r="C2415" s="11" t="s">
        <v>55</v>
      </c>
      <c r="D2415" s="11" t="s">
        <v>77</v>
      </c>
      <c r="E2415" s="30" t="s">
        <v>39</v>
      </c>
      <c r="F2415" s="11" t="s">
        <v>40</v>
      </c>
      <c r="G2415" s="30" t="s">
        <v>45</v>
      </c>
      <c r="H2415" s="11" t="s">
        <v>317</v>
      </c>
      <c r="I2415" s="11" t="s">
        <v>317</v>
      </c>
      <c r="J2415" s="11">
        <v>24.0</v>
      </c>
      <c r="K2415" s="12"/>
      <c r="L2415" s="30"/>
      <c r="M2415" s="11">
        <v>424947.0</v>
      </c>
      <c r="N2415" s="11">
        <v>1599.0</v>
      </c>
      <c r="P2415" s="11">
        <v>0.0</v>
      </c>
      <c r="Q2415" s="14">
        <v>0.0</v>
      </c>
      <c r="R2415" s="41">
        <v>0.0</v>
      </c>
      <c r="S2415">
        <f t="shared" si="1"/>
        <v>2003</v>
      </c>
      <c r="T2415">
        <f t="shared" si="2"/>
        <v>1</v>
      </c>
      <c r="U2415">
        <f t="shared" si="3"/>
        <v>1</v>
      </c>
      <c r="AG2415" s="15"/>
      <c r="AH2415" s="16"/>
      <c r="AM2415" s="15"/>
      <c r="AN2415" s="16"/>
    </row>
    <row r="2416">
      <c r="A2416" s="13" t="s">
        <v>4232</v>
      </c>
      <c r="B2416" s="10">
        <v>37622.0</v>
      </c>
      <c r="C2416" s="11" t="s">
        <v>55</v>
      </c>
      <c r="D2416" s="11" t="s">
        <v>38</v>
      </c>
      <c r="E2416" s="30" t="s">
        <v>39</v>
      </c>
      <c r="F2416" s="11" t="s">
        <v>40</v>
      </c>
      <c r="G2416" s="30" t="s">
        <v>45</v>
      </c>
      <c r="H2416" s="11" t="s">
        <v>317</v>
      </c>
      <c r="I2416" s="11"/>
      <c r="J2416" s="11">
        <v>28.0</v>
      </c>
      <c r="K2416" s="30"/>
      <c r="L2416" s="30"/>
      <c r="M2416" s="11">
        <v>284565.0</v>
      </c>
      <c r="N2416" s="11">
        <v>1497.0</v>
      </c>
      <c r="O2416" s="13" t="s">
        <v>3309</v>
      </c>
      <c r="P2416" s="11">
        <v>0.0</v>
      </c>
      <c r="Q2416" s="45">
        <v>0.0</v>
      </c>
      <c r="R2416" s="41">
        <v>0.0</v>
      </c>
      <c r="S2416">
        <f t="shared" si="1"/>
        <v>2003</v>
      </c>
      <c r="T2416">
        <f t="shared" si="2"/>
        <v>1</v>
      </c>
      <c r="U2416">
        <f t="shared" si="3"/>
        <v>1</v>
      </c>
      <c r="AG2416" s="15"/>
      <c r="AH2416" s="16"/>
      <c r="AM2416" s="15"/>
      <c r="AN2416" s="16"/>
    </row>
    <row r="2417">
      <c r="A2417" s="13" t="s">
        <v>4233</v>
      </c>
      <c r="B2417" s="10">
        <v>37622.0</v>
      </c>
      <c r="C2417" s="11" t="s">
        <v>175</v>
      </c>
      <c r="D2417" s="11" t="s">
        <v>77</v>
      </c>
      <c r="E2417" s="30" t="s">
        <v>39</v>
      </c>
      <c r="F2417" s="11" t="s">
        <v>64</v>
      </c>
      <c r="G2417" s="30" t="s">
        <v>45</v>
      </c>
      <c r="H2417" s="11" t="s">
        <v>729</v>
      </c>
      <c r="I2417" s="11" t="s">
        <v>440</v>
      </c>
      <c r="J2417" s="11">
        <v>22.0</v>
      </c>
      <c r="K2417" s="12">
        <v>38449.0</v>
      </c>
      <c r="L2417" s="30"/>
      <c r="M2417" s="11">
        <v>430685.0</v>
      </c>
      <c r="N2417" s="11" t="s">
        <v>4234</v>
      </c>
      <c r="P2417" s="11">
        <v>0.0</v>
      </c>
      <c r="Q2417" s="14">
        <v>0.0</v>
      </c>
      <c r="R2417" s="41">
        <v>0.0</v>
      </c>
      <c r="S2417">
        <f t="shared" si="1"/>
        <v>2003</v>
      </c>
      <c r="T2417">
        <f t="shared" si="2"/>
        <v>1</v>
      </c>
      <c r="U2417">
        <f t="shared" si="3"/>
        <v>1</v>
      </c>
      <c r="AG2417" s="15"/>
      <c r="AH2417" s="16"/>
      <c r="AM2417" s="15"/>
      <c r="AN2417" s="16"/>
    </row>
    <row r="2418">
      <c r="A2418" s="13" t="s">
        <v>3599</v>
      </c>
      <c r="B2418" s="10">
        <v>37622.0</v>
      </c>
      <c r="C2418" s="11" t="s">
        <v>230</v>
      </c>
      <c r="D2418" s="11" t="s">
        <v>93</v>
      </c>
      <c r="E2418" s="30" t="s">
        <v>39</v>
      </c>
      <c r="F2418" s="11" t="s">
        <v>40</v>
      </c>
      <c r="G2418" s="30" t="s">
        <v>45</v>
      </c>
      <c r="H2418" s="11" t="s">
        <v>231</v>
      </c>
      <c r="I2418" s="11" t="s">
        <v>3139</v>
      </c>
      <c r="J2418" s="11">
        <v>19.0</v>
      </c>
      <c r="K2418" s="12">
        <v>39083.0</v>
      </c>
      <c r="L2418" s="30"/>
      <c r="M2418" s="11">
        <v>518875.0</v>
      </c>
      <c r="N2418" s="11">
        <v>7773.0</v>
      </c>
      <c r="P2418" s="11">
        <v>63.0</v>
      </c>
      <c r="Q2418" s="14">
        <v>71.0</v>
      </c>
      <c r="R2418" s="41">
        <v>0.0</v>
      </c>
      <c r="S2418">
        <f t="shared" si="1"/>
        <v>2003</v>
      </c>
      <c r="T2418">
        <f t="shared" si="2"/>
        <v>1</v>
      </c>
      <c r="U2418">
        <f t="shared" si="3"/>
        <v>1</v>
      </c>
      <c r="AG2418" s="15"/>
      <c r="AH2418" s="16"/>
      <c r="AM2418" s="15"/>
      <c r="AN2418" s="16"/>
    </row>
    <row r="2419">
      <c r="A2419" s="13" t="s">
        <v>3400</v>
      </c>
      <c r="B2419" s="10">
        <v>37622.0</v>
      </c>
      <c r="C2419" s="11" t="s">
        <v>62</v>
      </c>
      <c r="D2419" s="11" t="s">
        <v>93</v>
      </c>
      <c r="E2419" s="30" t="s">
        <v>39</v>
      </c>
      <c r="F2419" s="11" t="s">
        <v>40</v>
      </c>
      <c r="G2419" s="30" t="s">
        <v>45</v>
      </c>
      <c r="H2419" s="11" t="s">
        <v>2291</v>
      </c>
      <c r="I2419" s="11" t="s">
        <v>619</v>
      </c>
      <c r="J2419" s="11">
        <v>21.0</v>
      </c>
      <c r="K2419" s="12">
        <v>37987.0</v>
      </c>
      <c r="L2419" s="30"/>
      <c r="M2419" s="11">
        <v>451216.0</v>
      </c>
      <c r="N2419" s="11">
        <v>6485.0</v>
      </c>
      <c r="P2419" s="11">
        <v>315.0</v>
      </c>
      <c r="Q2419" s="14">
        <v>320.0</v>
      </c>
      <c r="R2419" s="41">
        <v>0.0</v>
      </c>
      <c r="S2419">
        <f t="shared" si="1"/>
        <v>2003</v>
      </c>
      <c r="T2419">
        <f t="shared" si="2"/>
        <v>1</v>
      </c>
      <c r="U2419">
        <f t="shared" si="3"/>
        <v>1</v>
      </c>
      <c r="AG2419" s="15"/>
      <c r="AH2419" s="16"/>
      <c r="AM2419" s="15"/>
      <c r="AN2419" s="16"/>
    </row>
    <row r="2420">
      <c r="A2420" s="13" t="s">
        <v>4235</v>
      </c>
      <c r="B2420" s="10">
        <v>37622.0</v>
      </c>
      <c r="C2420" s="11" t="s">
        <v>186</v>
      </c>
      <c r="D2420" s="11" t="s">
        <v>77</v>
      </c>
      <c r="E2420" s="30" t="s">
        <v>39</v>
      </c>
      <c r="F2420" s="11" t="s">
        <v>64</v>
      </c>
      <c r="G2420" s="30" t="s">
        <v>45</v>
      </c>
      <c r="H2420" s="11" t="s">
        <v>84</v>
      </c>
      <c r="I2420" s="11" t="s">
        <v>4236</v>
      </c>
      <c r="J2420" s="11">
        <v>22.0</v>
      </c>
      <c r="K2420" s="12">
        <v>37987.0</v>
      </c>
      <c r="L2420" s="30"/>
      <c r="M2420" s="11">
        <v>420684.0</v>
      </c>
      <c r="N2420" s="11">
        <v>1634.0</v>
      </c>
      <c r="P2420" s="11">
        <v>0.0</v>
      </c>
      <c r="Q2420" s="14">
        <v>0.0</v>
      </c>
      <c r="R2420" s="41">
        <v>0.0</v>
      </c>
      <c r="S2420">
        <f t="shared" si="1"/>
        <v>2003</v>
      </c>
      <c r="T2420">
        <f t="shared" si="2"/>
        <v>1</v>
      </c>
      <c r="U2420">
        <f t="shared" si="3"/>
        <v>1</v>
      </c>
      <c r="AG2420" s="15"/>
      <c r="AH2420" s="16"/>
      <c r="AM2420" s="15"/>
      <c r="AN2420" s="16"/>
    </row>
    <row r="2421">
      <c r="A2421" s="13" t="s">
        <v>4237</v>
      </c>
      <c r="B2421" s="10">
        <v>37622.0</v>
      </c>
      <c r="C2421" s="11" t="s">
        <v>186</v>
      </c>
      <c r="D2421" s="11" t="s">
        <v>93</v>
      </c>
      <c r="E2421" s="11" t="s">
        <v>39</v>
      </c>
      <c r="F2421" s="11" t="s">
        <v>40</v>
      </c>
      <c r="G2421" s="11" t="s">
        <v>45</v>
      </c>
      <c r="H2421" s="11" t="s">
        <v>84</v>
      </c>
      <c r="I2421" s="11" t="s">
        <v>512</v>
      </c>
      <c r="J2421" s="11">
        <v>21.0</v>
      </c>
      <c r="K2421" s="12">
        <v>38527.0</v>
      </c>
      <c r="L2421" s="30"/>
      <c r="M2421" s="11">
        <v>457639.0</v>
      </c>
      <c r="N2421" s="11" t="s">
        <v>4238</v>
      </c>
      <c r="O2421" s="13" t="s">
        <v>4156</v>
      </c>
      <c r="P2421" s="11">
        <v>0.0</v>
      </c>
      <c r="Q2421" s="14">
        <v>0.0</v>
      </c>
      <c r="R2421" s="41">
        <v>0.0</v>
      </c>
      <c r="S2421">
        <f t="shared" si="1"/>
        <v>2003</v>
      </c>
      <c r="T2421">
        <f t="shared" si="2"/>
        <v>1</v>
      </c>
      <c r="U2421">
        <f t="shared" si="3"/>
        <v>1</v>
      </c>
      <c r="AG2421" s="15"/>
      <c r="AH2421" s="16"/>
      <c r="AM2421" s="15"/>
      <c r="AN2421" s="16"/>
    </row>
    <row r="2422">
      <c r="A2422" s="13" t="s">
        <v>4239</v>
      </c>
      <c r="B2422" s="10">
        <v>37622.0</v>
      </c>
      <c r="C2422" s="11" t="s">
        <v>186</v>
      </c>
      <c r="D2422" s="11" t="s">
        <v>221</v>
      </c>
      <c r="E2422" s="30" t="s">
        <v>39</v>
      </c>
      <c r="F2422" s="11" t="s">
        <v>40</v>
      </c>
      <c r="G2422" s="30" t="s">
        <v>45</v>
      </c>
      <c r="H2422" s="11" t="s">
        <v>67</v>
      </c>
      <c r="I2422" s="11" t="s">
        <v>4240</v>
      </c>
      <c r="J2422" s="11">
        <v>20.0</v>
      </c>
      <c r="K2422" s="12">
        <v>37987.0</v>
      </c>
      <c r="L2422" s="30"/>
      <c r="M2422" s="11">
        <v>444857.0</v>
      </c>
      <c r="N2422" s="11">
        <v>6283.0</v>
      </c>
      <c r="P2422" s="11">
        <v>342.0</v>
      </c>
      <c r="Q2422" s="14">
        <v>1386.333</v>
      </c>
      <c r="R2422" s="41">
        <v>1.0</v>
      </c>
      <c r="S2422">
        <f t="shared" si="1"/>
        <v>2003</v>
      </c>
      <c r="T2422">
        <f t="shared" si="2"/>
        <v>1</v>
      </c>
      <c r="U2422">
        <f t="shared" si="3"/>
        <v>1</v>
      </c>
      <c r="AG2422" s="15"/>
      <c r="AH2422" s="16"/>
      <c r="AM2422" s="15"/>
      <c r="AN2422" s="16"/>
    </row>
    <row r="2423">
      <c r="A2423" s="13" t="s">
        <v>4241</v>
      </c>
      <c r="B2423" s="10">
        <v>37622.0</v>
      </c>
      <c r="C2423" s="11" t="s">
        <v>235</v>
      </c>
      <c r="D2423" s="11" t="s">
        <v>88</v>
      </c>
      <c r="E2423" s="30" t="s">
        <v>39</v>
      </c>
      <c r="F2423" s="11" t="s">
        <v>40</v>
      </c>
      <c r="G2423" s="41" t="s">
        <v>41</v>
      </c>
      <c r="H2423" s="30"/>
      <c r="I2423" s="30"/>
      <c r="J2423" s="11">
        <v>22.0</v>
      </c>
      <c r="K2423" s="12">
        <v>37987.0</v>
      </c>
      <c r="L2423" s="30"/>
      <c r="M2423" s="11">
        <v>425564.0</v>
      </c>
      <c r="N2423" s="11">
        <v>2091.0</v>
      </c>
      <c r="P2423" s="11">
        <v>40.0</v>
      </c>
      <c r="Q2423" s="14">
        <v>49.333</v>
      </c>
      <c r="R2423" s="41">
        <v>0.0</v>
      </c>
      <c r="S2423">
        <f t="shared" si="1"/>
        <v>2003</v>
      </c>
      <c r="T2423">
        <f t="shared" si="2"/>
        <v>1</v>
      </c>
      <c r="U2423">
        <f t="shared" si="3"/>
        <v>1</v>
      </c>
      <c r="AG2423" s="15"/>
      <c r="AH2423" s="16"/>
      <c r="AM2423" s="15"/>
      <c r="AN2423" s="16"/>
    </row>
    <row r="2424">
      <c r="A2424" s="13" t="s">
        <v>4242</v>
      </c>
      <c r="B2424" s="10">
        <v>37622.0</v>
      </c>
      <c r="C2424" s="11" t="s">
        <v>76</v>
      </c>
      <c r="D2424" s="11" t="s">
        <v>221</v>
      </c>
      <c r="E2424" s="30" t="s">
        <v>39</v>
      </c>
      <c r="F2424" s="11" t="s">
        <v>40</v>
      </c>
      <c r="G2424" s="41" t="s">
        <v>53</v>
      </c>
      <c r="H2424" s="30"/>
      <c r="I2424" s="30"/>
      <c r="J2424" s="11">
        <v>21.0</v>
      </c>
      <c r="K2424" s="12">
        <v>37987.0</v>
      </c>
      <c r="L2424" s="30"/>
      <c r="M2424" s="11">
        <v>451482.0</v>
      </c>
      <c r="N2424" s="11">
        <v>4222.0</v>
      </c>
      <c r="P2424" s="11">
        <v>100.0</v>
      </c>
      <c r="Q2424" s="14">
        <v>542.0</v>
      </c>
      <c r="R2424" s="41">
        <v>0.0</v>
      </c>
      <c r="S2424">
        <f t="shared" si="1"/>
        <v>2003</v>
      </c>
      <c r="T2424">
        <f t="shared" si="2"/>
        <v>1</v>
      </c>
      <c r="U2424">
        <f t="shared" si="3"/>
        <v>1</v>
      </c>
      <c r="AG2424" s="15"/>
      <c r="AH2424" s="16"/>
      <c r="AM2424" s="15"/>
      <c r="AN2424" s="16"/>
    </row>
    <row r="2425">
      <c r="A2425" s="13" t="s">
        <v>4243</v>
      </c>
      <c r="B2425" s="10">
        <v>37599.0</v>
      </c>
      <c r="C2425" s="11" t="s">
        <v>44</v>
      </c>
      <c r="D2425" s="11" t="s">
        <v>38</v>
      </c>
      <c r="E2425" s="30" t="s">
        <v>39</v>
      </c>
      <c r="F2425" s="11" t="s">
        <v>40</v>
      </c>
      <c r="G2425" s="30" t="s">
        <v>45</v>
      </c>
      <c r="H2425" s="11" t="s">
        <v>957</v>
      </c>
      <c r="I2425" s="11" t="s">
        <v>957</v>
      </c>
      <c r="J2425" s="11">
        <v>33.0</v>
      </c>
      <c r="K2425" s="12">
        <v>38174.0</v>
      </c>
      <c r="L2425" s="11">
        <f>ROUND(((K2425-B2425)/365)*12,0)</f>
        <v>19</v>
      </c>
      <c r="M2425" s="11">
        <v>124233.0</v>
      </c>
      <c r="N2425" s="11">
        <v>413.0</v>
      </c>
      <c r="O2425" s="13" t="s">
        <v>3309</v>
      </c>
      <c r="P2425" s="11">
        <v>208.0</v>
      </c>
      <c r="Q2425" s="45">
        <v>196.0</v>
      </c>
      <c r="R2425" s="41">
        <v>0.0</v>
      </c>
      <c r="S2425">
        <f t="shared" si="1"/>
        <v>2002</v>
      </c>
      <c r="T2425">
        <f t="shared" si="2"/>
        <v>12</v>
      </c>
      <c r="U2425">
        <f t="shared" si="3"/>
        <v>9</v>
      </c>
      <c r="AG2425" s="15"/>
      <c r="AH2425" s="16"/>
      <c r="AM2425" s="15"/>
      <c r="AN2425" s="16"/>
    </row>
    <row r="2426">
      <c r="A2426" s="13" t="s">
        <v>4244</v>
      </c>
      <c r="B2426" s="10">
        <v>37509.0</v>
      </c>
      <c r="C2426" s="11" t="s">
        <v>138</v>
      </c>
      <c r="D2426" s="11" t="s">
        <v>77</v>
      </c>
      <c r="E2426" s="30" t="s">
        <v>39</v>
      </c>
      <c r="F2426" s="11" t="s">
        <v>64</v>
      </c>
      <c r="G2426" s="41" t="s">
        <v>194</v>
      </c>
      <c r="H2426" s="30"/>
      <c r="I2426" s="30"/>
      <c r="J2426" s="11">
        <v>23.0</v>
      </c>
      <c r="K2426" s="12">
        <v>37987.0</v>
      </c>
      <c r="L2426" s="11"/>
      <c r="M2426" s="11">
        <v>407853.0</v>
      </c>
      <c r="N2426" s="11">
        <v>126.0</v>
      </c>
      <c r="P2426" s="11">
        <v>239.0</v>
      </c>
      <c r="Q2426" s="14">
        <v>1303.0</v>
      </c>
      <c r="R2426" s="11">
        <v>0.0</v>
      </c>
      <c r="S2426">
        <f t="shared" si="1"/>
        <v>2002</v>
      </c>
      <c r="T2426">
        <f t="shared" si="2"/>
        <v>9</v>
      </c>
      <c r="U2426">
        <f t="shared" si="3"/>
        <v>10</v>
      </c>
      <c r="AG2426" s="15"/>
      <c r="AH2426" s="16"/>
      <c r="AM2426" s="15"/>
      <c r="AN2426" s="16"/>
    </row>
    <row r="2427">
      <c r="A2427" s="13" t="s">
        <v>4245</v>
      </c>
      <c r="B2427" s="10">
        <v>37500.0</v>
      </c>
      <c r="C2427" s="11" t="s">
        <v>111</v>
      </c>
      <c r="D2427" s="11" t="s">
        <v>38</v>
      </c>
      <c r="E2427" s="30" t="s">
        <v>39</v>
      </c>
      <c r="F2427" s="11" t="s">
        <v>40</v>
      </c>
      <c r="G2427" s="30" t="s">
        <v>45</v>
      </c>
      <c r="H2427" s="11" t="s">
        <v>652</v>
      </c>
      <c r="I2427" s="11" t="s">
        <v>2723</v>
      </c>
      <c r="J2427" s="11">
        <v>35.0</v>
      </c>
      <c r="K2427" s="12">
        <v>38105.0</v>
      </c>
      <c r="L2427" s="11">
        <f>ROUND(((K2427-B2427)/365)*12,0)</f>
        <v>20</v>
      </c>
      <c r="M2427" s="11">
        <v>111492.0</v>
      </c>
      <c r="N2427" s="11">
        <v>551.0</v>
      </c>
      <c r="O2427" s="13" t="s">
        <v>2059</v>
      </c>
      <c r="P2427" s="11">
        <v>288.0</v>
      </c>
      <c r="Q2427" s="45">
        <v>317.0</v>
      </c>
      <c r="R2427" s="41">
        <v>0.0</v>
      </c>
      <c r="S2427">
        <f t="shared" si="1"/>
        <v>2002</v>
      </c>
      <c r="T2427">
        <f t="shared" si="2"/>
        <v>9</v>
      </c>
      <c r="U2427">
        <f t="shared" si="3"/>
        <v>1</v>
      </c>
      <c r="AG2427" s="15"/>
      <c r="AH2427" s="16"/>
      <c r="AM2427" s="15"/>
      <c r="AN2427" s="16"/>
    </row>
    <row r="2428">
      <c r="A2428" s="13" t="s">
        <v>4246</v>
      </c>
      <c r="B2428" s="10">
        <v>37500.0</v>
      </c>
      <c r="C2428" s="11" t="s">
        <v>362</v>
      </c>
      <c r="D2428" s="11" t="s">
        <v>77</v>
      </c>
      <c r="E2428" s="41" t="s">
        <v>104</v>
      </c>
      <c r="F2428" s="11" t="s">
        <v>40</v>
      </c>
      <c r="G2428" s="30" t="s">
        <v>45</v>
      </c>
      <c r="H2428" s="11" t="s">
        <v>84</v>
      </c>
      <c r="I2428" s="11"/>
      <c r="J2428" s="11">
        <v>22.0</v>
      </c>
      <c r="K2428" s="12">
        <v>37622.0</v>
      </c>
      <c r="L2428" s="11"/>
      <c r="M2428" s="11">
        <v>407399.0</v>
      </c>
      <c r="N2428" s="11">
        <v>992.0</v>
      </c>
      <c r="P2428" s="11">
        <v>32.0</v>
      </c>
      <c r="Q2428" s="14">
        <v>63.0</v>
      </c>
      <c r="R2428" s="41">
        <v>0.0</v>
      </c>
      <c r="S2428">
        <f t="shared" si="1"/>
        <v>2002</v>
      </c>
      <c r="T2428">
        <f t="shared" si="2"/>
        <v>9</v>
      </c>
      <c r="U2428">
        <f t="shared" si="3"/>
        <v>1</v>
      </c>
      <c r="AG2428" s="15"/>
      <c r="AH2428" s="16"/>
      <c r="AM2428" s="15"/>
      <c r="AN2428" s="16"/>
    </row>
    <row r="2429">
      <c r="A2429" s="13" t="s">
        <v>4247</v>
      </c>
      <c r="B2429" s="10">
        <v>37491.0</v>
      </c>
      <c r="C2429" s="11" t="s">
        <v>37</v>
      </c>
      <c r="D2429" s="11" t="s">
        <v>221</v>
      </c>
      <c r="E2429" s="30" t="s">
        <v>39</v>
      </c>
      <c r="F2429" s="11" t="s">
        <v>64</v>
      </c>
      <c r="G2429" s="41" t="s">
        <v>41</v>
      </c>
      <c r="H2429" s="30"/>
      <c r="I2429" s="30"/>
      <c r="J2429" s="11">
        <v>25.0</v>
      </c>
      <c r="K2429" s="12">
        <v>37622.0</v>
      </c>
      <c r="L2429" s="30"/>
      <c r="M2429" s="11">
        <v>407299.0</v>
      </c>
      <c r="N2429" s="11">
        <v>1000408.0</v>
      </c>
      <c r="P2429" s="11">
        <v>0.0</v>
      </c>
      <c r="Q2429" s="14">
        <v>0.0</v>
      </c>
      <c r="R2429" s="41">
        <v>0.0</v>
      </c>
      <c r="S2429">
        <f t="shared" si="1"/>
        <v>2002</v>
      </c>
      <c r="T2429">
        <f t="shared" si="2"/>
        <v>8</v>
      </c>
      <c r="U2429">
        <f t="shared" si="3"/>
        <v>23</v>
      </c>
      <c r="AG2429" s="15"/>
      <c r="AH2429" s="16"/>
      <c r="AM2429" s="15"/>
      <c r="AN2429" s="16"/>
    </row>
    <row r="2430">
      <c r="A2430" s="13" t="s">
        <v>4248</v>
      </c>
      <c r="B2430" s="10">
        <v>37476.0</v>
      </c>
      <c r="C2430" s="11" t="s">
        <v>167</v>
      </c>
      <c r="D2430" s="11" t="s">
        <v>38</v>
      </c>
      <c r="E2430" s="30" t="s">
        <v>39</v>
      </c>
      <c r="F2430" s="11" t="s">
        <v>40</v>
      </c>
      <c r="G2430" s="30" t="s">
        <v>45</v>
      </c>
      <c r="H2430" s="11" t="s">
        <v>735</v>
      </c>
      <c r="I2430" s="11" t="s">
        <v>4249</v>
      </c>
      <c r="J2430" s="11">
        <v>32.0</v>
      </c>
      <c r="K2430" s="12">
        <v>38108.0</v>
      </c>
      <c r="L2430" s="11">
        <f>ROUND(((K2430-B2430)/365)*12,0)</f>
        <v>21</v>
      </c>
      <c r="M2430" s="11">
        <v>117758.0</v>
      </c>
      <c r="N2430" s="11">
        <v>287.0</v>
      </c>
      <c r="O2430" s="13" t="s">
        <v>761</v>
      </c>
      <c r="P2430" s="11">
        <v>129.0</v>
      </c>
      <c r="Q2430" s="14">
        <v>687.667</v>
      </c>
      <c r="R2430" s="41">
        <v>0.0</v>
      </c>
      <c r="S2430">
        <f t="shared" si="1"/>
        <v>2002</v>
      </c>
      <c r="T2430">
        <f t="shared" si="2"/>
        <v>8</v>
      </c>
      <c r="U2430">
        <f t="shared" si="3"/>
        <v>8</v>
      </c>
      <c r="AG2430" s="15"/>
      <c r="AH2430" s="16"/>
      <c r="AM2430" s="15"/>
      <c r="AN2430" s="16"/>
    </row>
    <row r="2431">
      <c r="A2431" s="13" t="s">
        <v>4250</v>
      </c>
      <c r="B2431" s="10">
        <v>37475.0</v>
      </c>
      <c r="C2431" s="11" t="s">
        <v>167</v>
      </c>
      <c r="D2431" s="11" t="s">
        <v>58</v>
      </c>
      <c r="E2431" s="30" t="s">
        <v>39</v>
      </c>
      <c r="F2431" s="11" t="s">
        <v>40</v>
      </c>
      <c r="G2431" s="30" t="s">
        <v>45</v>
      </c>
      <c r="H2431" s="11" t="s">
        <v>276</v>
      </c>
      <c r="I2431" s="11" t="s">
        <v>4251</v>
      </c>
      <c r="J2431" s="11">
        <v>24.0</v>
      </c>
      <c r="K2431" s="12">
        <v>37987.0</v>
      </c>
      <c r="L2431" s="30"/>
      <c r="M2431" s="11">
        <v>400130.0</v>
      </c>
      <c r="N2431" s="11">
        <v>269.0</v>
      </c>
      <c r="P2431" s="11">
        <v>0.0</v>
      </c>
      <c r="Q2431" s="14">
        <v>0.0</v>
      </c>
      <c r="R2431" s="41">
        <v>0.0</v>
      </c>
      <c r="S2431">
        <f t="shared" si="1"/>
        <v>2002</v>
      </c>
      <c r="T2431">
        <f t="shared" si="2"/>
        <v>8</v>
      </c>
      <c r="U2431">
        <f t="shared" si="3"/>
        <v>7</v>
      </c>
      <c r="AG2431" s="15"/>
      <c r="AH2431" s="16"/>
      <c r="AM2431" s="15"/>
      <c r="AN2431" s="16"/>
    </row>
    <row r="2432">
      <c r="A2432" s="13" t="s">
        <v>4252</v>
      </c>
      <c r="B2432" s="10">
        <v>37467.0</v>
      </c>
      <c r="C2432" s="11" t="s">
        <v>186</v>
      </c>
      <c r="D2432" s="11" t="s">
        <v>38</v>
      </c>
      <c r="E2432" s="30" t="s">
        <v>39</v>
      </c>
      <c r="F2432" s="11" t="s">
        <v>40</v>
      </c>
      <c r="G2432" s="41" t="s">
        <v>194</v>
      </c>
      <c r="H2432" s="30"/>
      <c r="I2432" s="30"/>
      <c r="J2432" s="11">
        <v>29.0</v>
      </c>
      <c r="K2432" s="12"/>
      <c r="L2432" s="30"/>
      <c r="M2432" s="11">
        <v>150293.0</v>
      </c>
      <c r="N2432" s="11">
        <v>1014446.0</v>
      </c>
      <c r="P2432" s="11">
        <v>0.0</v>
      </c>
      <c r="Q2432" s="45">
        <v>0.0</v>
      </c>
      <c r="R2432" s="41">
        <v>0.0</v>
      </c>
      <c r="S2432">
        <f t="shared" si="1"/>
        <v>2002</v>
      </c>
      <c r="T2432">
        <f t="shared" si="2"/>
        <v>7</v>
      </c>
      <c r="U2432">
        <f t="shared" si="3"/>
        <v>30</v>
      </c>
      <c r="AG2432" s="15"/>
      <c r="AH2432" s="16"/>
      <c r="AM2432" s="15"/>
      <c r="AN2432" s="16"/>
    </row>
    <row r="2433">
      <c r="A2433" s="13" t="s">
        <v>4253</v>
      </c>
      <c r="B2433" s="10">
        <v>37438.0</v>
      </c>
      <c r="C2433" s="11" t="s">
        <v>167</v>
      </c>
      <c r="D2433" s="11" t="s">
        <v>77</v>
      </c>
      <c r="E2433" s="30" t="s">
        <v>39</v>
      </c>
      <c r="F2433" s="11" t="s">
        <v>40</v>
      </c>
      <c r="G2433" s="30" t="s">
        <v>45</v>
      </c>
      <c r="H2433" s="11" t="s">
        <v>119</v>
      </c>
      <c r="I2433" s="11" t="s">
        <v>689</v>
      </c>
      <c r="J2433" s="11">
        <v>24.0</v>
      </c>
      <c r="K2433" s="12">
        <v>37987.0</v>
      </c>
      <c r="L2433" s="30"/>
      <c r="M2433" s="11">
        <v>279908.0</v>
      </c>
      <c r="N2433" s="11"/>
      <c r="P2433" s="11">
        <v>0.0</v>
      </c>
      <c r="Q2433" s="14">
        <v>0.0</v>
      </c>
      <c r="R2433" s="41">
        <v>0.0</v>
      </c>
      <c r="S2433">
        <f t="shared" si="1"/>
        <v>2002</v>
      </c>
      <c r="T2433">
        <f t="shared" si="2"/>
        <v>7</v>
      </c>
      <c r="U2433">
        <f t="shared" si="3"/>
        <v>1</v>
      </c>
      <c r="AG2433" s="15"/>
      <c r="AH2433" s="16"/>
      <c r="AM2433" s="15"/>
      <c r="AN2433" s="16"/>
    </row>
    <row r="2434">
      <c r="A2434" s="13" t="s">
        <v>4254</v>
      </c>
      <c r="B2434" s="10">
        <v>37435.0</v>
      </c>
      <c r="C2434" s="11" t="s">
        <v>111</v>
      </c>
      <c r="D2434" s="11" t="s">
        <v>38</v>
      </c>
      <c r="E2434" s="30" t="s">
        <v>39</v>
      </c>
      <c r="F2434" s="11" t="s">
        <v>40</v>
      </c>
      <c r="G2434" s="30" t="s">
        <v>45</v>
      </c>
      <c r="H2434" s="11" t="s">
        <v>67</v>
      </c>
      <c r="I2434" s="11" t="s">
        <v>4255</v>
      </c>
      <c r="J2434" s="11">
        <v>31.0</v>
      </c>
      <c r="K2434" s="12">
        <v>37821.0</v>
      </c>
      <c r="L2434" s="11">
        <f>ROUND(((K2434-B2434)/365)*12,0)</f>
        <v>13</v>
      </c>
      <c r="M2434" s="11">
        <v>120285.0</v>
      </c>
      <c r="N2434" s="11">
        <v>485.0</v>
      </c>
      <c r="P2434" s="11">
        <v>56.0</v>
      </c>
      <c r="Q2434" s="45">
        <v>59.333000000000006</v>
      </c>
      <c r="R2434" s="41">
        <v>0.0</v>
      </c>
      <c r="S2434">
        <f t="shared" si="1"/>
        <v>2002</v>
      </c>
      <c r="T2434">
        <f t="shared" si="2"/>
        <v>6</v>
      </c>
      <c r="U2434">
        <f t="shared" si="3"/>
        <v>28</v>
      </c>
      <c r="AG2434" s="15"/>
      <c r="AH2434" s="16"/>
      <c r="AM2434" s="15"/>
      <c r="AN2434" s="16"/>
    </row>
    <row r="2435">
      <c r="A2435" s="13" t="s">
        <v>3716</v>
      </c>
      <c r="B2435" s="10">
        <v>37426.0</v>
      </c>
      <c r="C2435" s="11" t="s">
        <v>49</v>
      </c>
      <c r="D2435" s="11" t="s">
        <v>58</v>
      </c>
      <c r="E2435" s="30" t="s">
        <v>39</v>
      </c>
      <c r="F2435" s="11" t="s">
        <v>40</v>
      </c>
      <c r="G2435" s="30" t="s">
        <v>45</v>
      </c>
      <c r="H2435" s="11" t="s">
        <v>222</v>
      </c>
      <c r="I2435" s="11" t="s">
        <v>222</v>
      </c>
      <c r="J2435" s="11">
        <v>24.0</v>
      </c>
      <c r="K2435" s="12">
        <v>37622.0</v>
      </c>
      <c r="L2435" s="30"/>
      <c r="M2435" s="11">
        <v>407884.0</v>
      </c>
      <c r="N2435" s="11">
        <v>1527.0</v>
      </c>
      <c r="P2435" s="11">
        <v>239.0</v>
      </c>
      <c r="Q2435" s="14">
        <v>248.0</v>
      </c>
      <c r="R2435" s="41">
        <v>0.0</v>
      </c>
      <c r="S2435">
        <f t="shared" si="1"/>
        <v>2002</v>
      </c>
      <c r="T2435">
        <f t="shared" si="2"/>
        <v>6</v>
      </c>
      <c r="U2435">
        <f t="shared" si="3"/>
        <v>19</v>
      </c>
      <c r="AG2435" s="15"/>
      <c r="AH2435" s="16"/>
      <c r="AM2435" s="15"/>
      <c r="AN2435" s="16"/>
    </row>
    <row r="2436">
      <c r="A2436" s="13" t="s">
        <v>4256</v>
      </c>
      <c r="B2436" s="10">
        <v>37417.0</v>
      </c>
      <c r="C2436" s="11" t="s">
        <v>230</v>
      </c>
      <c r="D2436" s="11" t="s">
        <v>77</v>
      </c>
      <c r="E2436" s="30" t="s">
        <v>39</v>
      </c>
      <c r="F2436" s="11" t="s">
        <v>64</v>
      </c>
      <c r="G2436" s="30" t="s">
        <v>45</v>
      </c>
      <c r="H2436" s="11" t="s">
        <v>129</v>
      </c>
      <c r="I2436" s="11" t="s">
        <v>4257</v>
      </c>
      <c r="J2436" s="11">
        <v>25.0</v>
      </c>
      <c r="K2436" s="12">
        <v>37622.0</v>
      </c>
      <c r="L2436" s="30"/>
      <c r="M2436" s="11">
        <v>407819.0</v>
      </c>
      <c r="N2436" s="11">
        <v>1918.0</v>
      </c>
      <c r="P2436" s="11">
        <v>748.0</v>
      </c>
      <c r="Q2436" s="14">
        <v>662.667</v>
      </c>
      <c r="R2436" s="11">
        <v>0.0</v>
      </c>
      <c r="S2436">
        <f t="shared" si="1"/>
        <v>2002</v>
      </c>
      <c r="T2436">
        <f t="shared" si="2"/>
        <v>6</v>
      </c>
      <c r="U2436">
        <f t="shared" si="3"/>
        <v>10</v>
      </c>
      <c r="AG2436" s="15"/>
      <c r="AH2436" s="16"/>
      <c r="AM2436" s="15"/>
      <c r="AN2436" s="16"/>
    </row>
    <row r="2437">
      <c r="A2437" s="13" t="s">
        <v>4258</v>
      </c>
      <c r="B2437" s="10">
        <v>37412.0</v>
      </c>
      <c r="C2437" s="11" t="s">
        <v>175</v>
      </c>
      <c r="D2437" s="11" t="s">
        <v>38</v>
      </c>
      <c r="E2437" s="30" t="s">
        <v>39</v>
      </c>
      <c r="F2437" s="11" t="s">
        <v>40</v>
      </c>
      <c r="G2437" s="30" t="s">
        <v>45</v>
      </c>
      <c r="H2437" s="11" t="s">
        <v>84</v>
      </c>
      <c r="I2437" s="11" t="s">
        <v>4259</v>
      </c>
      <c r="J2437" s="11">
        <v>29.0</v>
      </c>
      <c r="K2437" s="12">
        <v>37771.0</v>
      </c>
      <c r="L2437" s="11">
        <f t="shared" ref="L2437:L2440" si="252">ROUND(((K2437-B2437)/365)*12,0)</f>
        <v>12</v>
      </c>
      <c r="M2437" s="11">
        <v>328092.0</v>
      </c>
      <c r="N2437" s="11">
        <v>1055.0</v>
      </c>
      <c r="P2437" s="11">
        <v>3.0</v>
      </c>
      <c r="Q2437" s="45">
        <v>10.332999999999998</v>
      </c>
      <c r="R2437" s="41">
        <v>0.0</v>
      </c>
      <c r="S2437">
        <f t="shared" si="1"/>
        <v>2002</v>
      </c>
      <c r="T2437">
        <f t="shared" si="2"/>
        <v>6</v>
      </c>
      <c r="U2437">
        <f t="shared" si="3"/>
        <v>5</v>
      </c>
      <c r="AG2437" s="15"/>
      <c r="AH2437" s="16"/>
      <c r="AM2437" s="15"/>
      <c r="AN2437" s="16"/>
    </row>
    <row r="2438">
      <c r="A2438" s="13" t="s">
        <v>4260</v>
      </c>
      <c r="B2438" s="10">
        <v>37406.0</v>
      </c>
      <c r="C2438" s="11" t="s">
        <v>62</v>
      </c>
      <c r="D2438" s="11" t="s">
        <v>38</v>
      </c>
      <c r="E2438" s="30" t="s">
        <v>39</v>
      </c>
      <c r="F2438" s="11" t="s">
        <v>64</v>
      </c>
      <c r="G2438" s="30" t="s">
        <v>45</v>
      </c>
      <c r="H2438" s="11" t="s">
        <v>133</v>
      </c>
      <c r="I2438" s="11" t="s">
        <v>4261</v>
      </c>
      <c r="J2438" s="11">
        <v>32.0</v>
      </c>
      <c r="K2438" s="12">
        <v>37776.0</v>
      </c>
      <c r="L2438" s="11">
        <f t="shared" si="252"/>
        <v>12</v>
      </c>
      <c r="M2438" s="11">
        <v>112270.0</v>
      </c>
      <c r="N2438" s="11">
        <v>1111.0</v>
      </c>
      <c r="O2438" s="13" t="s">
        <v>761</v>
      </c>
      <c r="P2438" s="11">
        <v>168.0</v>
      </c>
      <c r="Q2438" s="14">
        <v>107.667</v>
      </c>
      <c r="R2438" s="41">
        <v>0.0</v>
      </c>
      <c r="S2438">
        <f t="shared" si="1"/>
        <v>2002</v>
      </c>
      <c r="T2438">
        <f t="shared" si="2"/>
        <v>5</v>
      </c>
      <c r="U2438">
        <f t="shared" si="3"/>
        <v>30</v>
      </c>
      <c r="AG2438" s="15"/>
      <c r="AH2438" s="16"/>
      <c r="AM2438" s="15"/>
      <c r="AN2438" s="16"/>
    </row>
    <row r="2439">
      <c r="A2439" s="13" t="s">
        <v>3850</v>
      </c>
      <c r="B2439" s="10">
        <v>37393.0</v>
      </c>
      <c r="C2439" s="11" t="s">
        <v>101</v>
      </c>
      <c r="D2439" s="11" t="s">
        <v>58</v>
      </c>
      <c r="E2439" s="30" t="s">
        <v>39</v>
      </c>
      <c r="F2439" s="11" t="s">
        <v>64</v>
      </c>
      <c r="G2439" s="30" t="s">
        <v>45</v>
      </c>
      <c r="H2439" s="11" t="s">
        <v>729</v>
      </c>
      <c r="I2439" s="11" t="s">
        <v>999</v>
      </c>
      <c r="J2439" s="11">
        <v>23.0</v>
      </c>
      <c r="K2439" s="12">
        <v>37745.0</v>
      </c>
      <c r="L2439" s="11">
        <f t="shared" si="252"/>
        <v>12</v>
      </c>
      <c r="M2439" s="11">
        <v>425626.0</v>
      </c>
      <c r="N2439" s="11">
        <v>1701.0</v>
      </c>
      <c r="O2439" s="13" t="s">
        <v>761</v>
      </c>
      <c r="P2439" s="11">
        <v>124.0</v>
      </c>
      <c r="Q2439" s="14">
        <v>711.667</v>
      </c>
      <c r="R2439" s="41">
        <v>0.0</v>
      </c>
      <c r="S2439">
        <f t="shared" si="1"/>
        <v>2002</v>
      </c>
      <c r="T2439">
        <f t="shared" si="2"/>
        <v>5</v>
      </c>
      <c r="U2439">
        <f t="shared" si="3"/>
        <v>17</v>
      </c>
      <c r="AG2439" s="15"/>
      <c r="AH2439" s="16"/>
      <c r="AM2439" s="15"/>
      <c r="AN2439" s="16"/>
    </row>
    <row r="2440">
      <c r="A2440" s="13" t="s">
        <v>4262</v>
      </c>
      <c r="B2440" s="10">
        <v>37391.0</v>
      </c>
      <c r="C2440" s="11" t="s">
        <v>49</v>
      </c>
      <c r="D2440" s="11" t="s">
        <v>38</v>
      </c>
      <c r="E2440" s="30" t="s">
        <v>39</v>
      </c>
      <c r="F2440" s="11" t="s">
        <v>64</v>
      </c>
      <c r="G2440" s="30" t="s">
        <v>45</v>
      </c>
      <c r="H2440" s="11" t="s">
        <v>59</v>
      </c>
      <c r="I2440" s="11" t="s">
        <v>851</v>
      </c>
      <c r="J2440" s="11">
        <v>41.0</v>
      </c>
      <c r="K2440" s="12">
        <v>37771.0</v>
      </c>
      <c r="L2440" s="11">
        <f t="shared" si="252"/>
        <v>12</v>
      </c>
      <c r="M2440" s="11">
        <v>114374.0</v>
      </c>
      <c r="N2440" s="11">
        <v>874.0</v>
      </c>
      <c r="O2440" s="13" t="s">
        <v>3309</v>
      </c>
      <c r="P2440" s="11">
        <v>121.0</v>
      </c>
      <c r="Q2440" s="45">
        <v>95.33299999999998</v>
      </c>
      <c r="R2440" s="41">
        <v>0.0</v>
      </c>
      <c r="S2440">
        <f t="shared" si="1"/>
        <v>2002</v>
      </c>
      <c r="T2440">
        <f t="shared" si="2"/>
        <v>5</v>
      </c>
      <c r="U2440">
        <f t="shared" si="3"/>
        <v>15</v>
      </c>
      <c r="AG2440" s="15"/>
      <c r="AH2440" s="16"/>
      <c r="AM2440" s="15"/>
      <c r="AN2440" s="16"/>
    </row>
    <row r="2441">
      <c r="A2441" s="13" t="s">
        <v>4263</v>
      </c>
      <c r="B2441" s="10">
        <v>37370.0</v>
      </c>
      <c r="C2441" s="11" t="s">
        <v>156</v>
      </c>
      <c r="D2441" s="11" t="s">
        <v>38</v>
      </c>
      <c r="E2441" s="30" t="s">
        <v>39</v>
      </c>
      <c r="F2441" s="11" t="s">
        <v>40</v>
      </c>
      <c r="G2441" s="30" t="s">
        <v>45</v>
      </c>
      <c r="H2441" s="11" t="s">
        <v>84</v>
      </c>
      <c r="I2441" s="11" t="s">
        <v>4264</v>
      </c>
      <c r="J2441" s="11">
        <v>35.0</v>
      </c>
      <c r="K2441" s="30"/>
      <c r="L2441" s="30"/>
      <c r="M2441" s="11">
        <v>113782.0</v>
      </c>
      <c r="N2441" s="11">
        <v>1003714.0</v>
      </c>
      <c r="O2441" s="13" t="s">
        <v>662</v>
      </c>
      <c r="P2441" s="11">
        <v>0.0</v>
      </c>
      <c r="Q2441" s="45">
        <v>0.0</v>
      </c>
      <c r="R2441" s="41">
        <v>0.0</v>
      </c>
      <c r="S2441">
        <f t="shared" si="1"/>
        <v>2002</v>
      </c>
      <c r="T2441">
        <f t="shared" si="2"/>
        <v>4</v>
      </c>
      <c r="U2441">
        <f t="shared" si="3"/>
        <v>24</v>
      </c>
      <c r="AG2441" s="15"/>
      <c r="AH2441" s="16"/>
      <c r="AM2441" s="15"/>
      <c r="AN2441" s="16"/>
    </row>
    <row r="2442">
      <c r="A2442" s="13" t="s">
        <v>4265</v>
      </c>
      <c r="B2442" s="10">
        <v>37367.0</v>
      </c>
      <c r="C2442" s="11" t="s">
        <v>162</v>
      </c>
      <c r="D2442" s="11" t="s">
        <v>38</v>
      </c>
      <c r="E2442" s="30" t="s">
        <v>39</v>
      </c>
      <c r="F2442" s="11" t="s">
        <v>40</v>
      </c>
      <c r="G2442" s="30" t="s">
        <v>45</v>
      </c>
      <c r="H2442" s="11" t="s">
        <v>59</v>
      </c>
      <c r="I2442" s="11" t="s">
        <v>537</v>
      </c>
      <c r="J2442" s="11">
        <v>35.0</v>
      </c>
      <c r="K2442" s="30"/>
      <c r="L2442" s="30"/>
      <c r="M2442" s="11">
        <v>115487.0</v>
      </c>
      <c r="N2442" s="11">
        <v>1005374.0</v>
      </c>
      <c r="O2442" s="13" t="s">
        <v>1407</v>
      </c>
      <c r="P2442" s="11">
        <v>0.0</v>
      </c>
      <c r="Q2442" s="45">
        <v>0.0</v>
      </c>
      <c r="R2442" s="41">
        <v>0.0</v>
      </c>
      <c r="S2442">
        <f t="shared" si="1"/>
        <v>2002</v>
      </c>
      <c r="T2442">
        <f t="shared" si="2"/>
        <v>4</v>
      </c>
      <c r="U2442">
        <f t="shared" si="3"/>
        <v>21</v>
      </c>
      <c r="AG2442" s="15"/>
      <c r="AH2442" s="16"/>
      <c r="AM2442" s="15"/>
      <c r="AN2442" s="16"/>
    </row>
    <row r="2443">
      <c r="A2443" s="13" t="s">
        <v>4266</v>
      </c>
      <c r="B2443" s="10">
        <v>37347.0</v>
      </c>
      <c r="C2443" s="11" t="s">
        <v>103</v>
      </c>
      <c r="D2443" s="11" t="s">
        <v>38</v>
      </c>
      <c r="E2443" s="11" t="s">
        <v>39</v>
      </c>
      <c r="F2443" s="11" t="s">
        <v>64</v>
      </c>
      <c r="G2443" s="11" t="s">
        <v>45</v>
      </c>
      <c r="H2443" s="11" t="s">
        <v>46</v>
      </c>
      <c r="I2443" s="11" t="s">
        <v>4267</v>
      </c>
      <c r="J2443" s="11">
        <v>27.0</v>
      </c>
      <c r="K2443" s="12"/>
      <c r="L2443" s="30"/>
      <c r="M2443" s="11">
        <v>137004.0</v>
      </c>
      <c r="N2443" s="11">
        <v>1003603.0</v>
      </c>
      <c r="P2443" s="11">
        <v>0.0</v>
      </c>
      <c r="Q2443" s="14">
        <v>0.0</v>
      </c>
      <c r="R2443" s="41">
        <v>0.0</v>
      </c>
      <c r="S2443">
        <f t="shared" si="1"/>
        <v>2002</v>
      </c>
      <c r="T2443">
        <f t="shared" si="2"/>
        <v>4</v>
      </c>
      <c r="U2443">
        <f t="shared" si="3"/>
        <v>1</v>
      </c>
      <c r="AG2443" s="15"/>
      <c r="AH2443" s="16"/>
      <c r="AM2443" s="15"/>
      <c r="AN2443" s="16"/>
    </row>
    <row r="2444">
      <c r="A2444" s="13" t="s">
        <v>4268</v>
      </c>
      <c r="B2444" s="10">
        <v>37315.0</v>
      </c>
      <c r="C2444" s="11" t="s">
        <v>62</v>
      </c>
      <c r="D2444" s="11" t="s">
        <v>88</v>
      </c>
      <c r="E2444" s="30" t="s">
        <v>39</v>
      </c>
      <c r="F2444" s="11" t="s">
        <v>64</v>
      </c>
      <c r="G2444" s="30" t="s">
        <v>45</v>
      </c>
      <c r="H2444" s="11" t="s">
        <v>957</v>
      </c>
      <c r="I2444" s="11" t="s">
        <v>957</v>
      </c>
      <c r="J2444" s="11">
        <v>24.0</v>
      </c>
      <c r="K2444" s="12">
        <v>37622.0</v>
      </c>
      <c r="L2444" s="30"/>
      <c r="M2444" s="11">
        <v>435620.0</v>
      </c>
      <c r="N2444" s="11">
        <v>2766.0</v>
      </c>
      <c r="P2444" s="11">
        <v>222.0</v>
      </c>
      <c r="Q2444" s="14">
        <v>189.0</v>
      </c>
      <c r="R2444" s="41">
        <v>0.0</v>
      </c>
      <c r="S2444">
        <f t="shared" si="1"/>
        <v>2002</v>
      </c>
      <c r="T2444">
        <f t="shared" si="2"/>
        <v>2</v>
      </c>
      <c r="U2444">
        <f t="shared" si="3"/>
        <v>28</v>
      </c>
      <c r="AG2444" s="15"/>
      <c r="AH2444" s="16"/>
      <c r="AM2444" s="15"/>
      <c r="AN2444" s="16"/>
    </row>
    <row r="2445">
      <c r="A2445" s="13" t="s">
        <v>4269</v>
      </c>
      <c r="B2445" s="10">
        <v>37272.0</v>
      </c>
      <c r="C2445" s="11" t="s">
        <v>167</v>
      </c>
      <c r="D2445" s="11" t="s">
        <v>38</v>
      </c>
      <c r="E2445" s="30" t="s">
        <v>39</v>
      </c>
      <c r="F2445" s="11" t="s">
        <v>64</v>
      </c>
      <c r="G2445" s="30" t="s">
        <v>45</v>
      </c>
      <c r="H2445" s="11" t="s">
        <v>652</v>
      </c>
      <c r="I2445" s="11" t="s">
        <v>878</v>
      </c>
      <c r="J2445" s="11">
        <v>24.0</v>
      </c>
      <c r="K2445" s="12">
        <v>38468.0</v>
      </c>
      <c r="L2445" s="11">
        <f>ROUND(((K2445-B2445)/365)*12,0)</f>
        <v>39</v>
      </c>
      <c r="M2445" s="11">
        <v>349193.0</v>
      </c>
      <c r="N2445" s="11">
        <v>296.0</v>
      </c>
      <c r="P2445" s="11">
        <v>466.0</v>
      </c>
      <c r="Q2445" s="45">
        <v>338.0</v>
      </c>
      <c r="R2445" s="41">
        <v>0.0</v>
      </c>
      <c r="S2445">
        <f t="shared" si="1"/>
        <v>2002</v>
      </c>
      <c r="T2445">
        <f t="shared" si="2"/>
        <v>1</v>
      </c>
      <c r="U2445">
        <f t="shared" si="3"/>
        <v>16</v>
      </c>
      <c r="AG2445" s="15"/>
      <c r="AH2445" s="16"/>
      <c r="AM2445" s="15"/>
      <c r="AN2445" s="16"/>
    </row>
    <row r="2446">
      <c r="A2446" s="13" t="s">
        <v>4270</v>
      </c>
      <c r="B2446" s="10">
        <v>37257.0</v>
      </c>
      <c r="C2446" s="11" t="s">
        <v>72</v>
      </c>
      <c r="D2446" s="11" t="s">
        <v>213</v>
      </c>
      <c r="E2446" s="30" t="s">
        <v>39</v>
      </c>
      <c r="F2446" s="11" t="s">
        <v>40</v>
      </c>
      <c r="G2446" s="41" t="s">
        <v>53</v>
      </c>
      <c r="H2446" s="30"/>
      <c r="I2446" s="30"/>
      <c r="J2446" s="11">
        <v>18.0</v>
      </c>
      <c r="K2446" s="12">
        <v>37987.0</v>
      </c>
      <c r="L2446" s="30"/>
      <c r="M2446" s="11">
        <v>445984.0</v>
      </c>
      <c r="N2446" s="11">
        <v>3308.0</v>
      </c>
      <c r="P2446" s="11">
        <v>2.0</v>
      </c>
      <c r="Q2446" s="14">
        <v>2.0</v>
      </c>
      <c r="R2446" s="41">
        <v>0.0</v>
      </c>
      <c r="S2446">
        <f t="shared" si="1"/>
        <v>2002</v>
      </c>
      <c r="T2446">
        <f t="shared" si="2"/>
        <v>1</v>
      </c>
      <c r="U2446">
        <f t="shared" si="3"/>
        <v>1</v>
      </c>
      <c r="AG2446" s="15"/>
      <c r="AH2446" s="16"/>
      <c r="AM2446" s="15"/>
      <c r="AN2446" s="16"/>
    </row>
    <row r="2447">
      <c r="A2447" s="13" t="s">
        <v>4271</v>
      </c>
      <c r="B2447" s="10">
        <v>37257.0</v>
      </c>
      <c r="C2447" s="11" t="s">
        <v>167</v>
      </c>
      <c r="D2447" s="11" t="s">
        <v>58</v>
      </c>
      <c r="E2447" s="30" t="s">
        <v>39</v>
      </c>
      <c r="F2447" s="11" t="s">
        <v>64</v>
      </c>
      <c r="G2447" s="30" t="s">
        <v>45</v>
      </c>
      <c r="H2447" s="11" t="s">
        <v>56</v>
      </c>
      <c r="I2447" s="11" t="s">
        <v>4272</v>
      </c>
      <c r="J2447" s="11">
        <v>26.0</v>
      </c>
      <c r="K2447" s="12">
        <v>37759.0</v>
      </c>
      <c r="L2447" s="30"/>
      <c r="M2447" s="11">
        <v>150041.0</v>
      </c>
      <c r="N2447" s="11">
        <v>1714.0</v>
      </c>
      <c r="P2447" s="11">
        <v>90.0</v>
      </c>
      <c r="Q2447" s="14">
        <v>83.667</v>
      </c>
      <c r="R2447" s="41">
        <v>0.0</v>
      </c>
      <c r="S2447">
        <f t="shared" si="1"/>
        <v>2002</v>
      </c>
      <c r="T2447">
        <f t="shared" si="2"/>
        <v>1</v>
      </c>
      <c r="U2447">
        <f t="shared" si="3"/>
        <v>1</v>
      </c>
      <c r="AG2447" s="15"/>
      <c r="AH2447" s="16"/>
      <c r="AM2447" s="15"/>
      <c r="AN2447" s="16"/>
    </row>
    <row r="2448">
      <c r="A2448" s="13" t="s">
        <v>4273</v>
      </c>
      <c r="B2448" s="10">
        <v>37257.0</v>
      </c>
      <c r="C2448" s="11" t="s">
        <v>143</v>
      </c>
      <c r="D2448" s="11" t="s">
        <v>77</v>
      </c>
      <c r="E2448" s="30" t="s">
        <v>39</v>
      </c>
      <c r="F2448" s="11" t="s">
        <v>40</v>
      </c>
      <c r="G2448" s="30" t="s">
        <v>45</v>
      </c>
      <c r="H2448" s="11" t="s">
        <v>67</v>
      </c>
      <c r="I2448" s="11" t="s">
        <v>4274</v>
      </c>
      <c r="J2448" s="11">
        <v>24.0</v>
      </c>
      <c r="K2448" s="12">
        <v>37622.0</v>
      </c>
      <c r="L2448" s="30"/>
      <c r="M2448" s="11">
        <v>434117.0</v>
      </c>
      <c r="N2448" s="11">
        <v>2920.0</v>
      </c>
      <c r="P2448" s="11">
        <v>14.0</v>
      </c>
      <c r="Q2448" s="14">
        <v>13.667</v>
      </c>
      <c r="R2448" s="41">
        <v>0.0</v>
      </c>
      <c r="S2448">
        <f t="shared" si="1"/>
        <v>2002</v>
      </c>
      <c r="T2448">
        <f t="shared" si="2"/>
        <v>1</v>
      </c>
      <c r="U2448">
        <f t="shared" si="3"/>
        <v>1</v>
      </c>
      <c r="AG2448" s="15"/>
      <c r="AH2448" s="16"/>
      <c r="AM2448" s="15"/>
      <c r="AN2448" s="16"/>
    </row>
    <row r="2449">
      <c r="A2449" s="13" t="s">
        <v>4275</v>
      </c>
      <c r="B2449" s="10">
        <v>37257.0</v>
      </c>
      <c r="C2449" s="11" t="s">
        <v>111</v>
      </c>
      <c r="D2449" s="11" t="s">
        <v>88</v>
      </c>
      <c r="E2449" s="30" t="s">
        <v>39</v>
      </c>
      <c r="F2449" s="11" t="s">
        <v>40</v>
      </c>
      <c r="G2449" s="30" t="s">
        <v>45</v>
      </c>
      <c r="H2449" s="11" t="s">
        <v>129</v>
      </c>
      <c r="I2449" s="11" t="s">
        <v>2621</v>
      </c>
      <c r="J2449" s="11">
        <v>23.0</v>
      </c>
      <c r="K2449" s="12">
        <v>37622.0</v>
      </c>
      <c r="L2449" s="30"/>
      <c r="M2449" s="11">
        <v>454598.0</v>
      </c>
      <c r="N2449" s="11"/>
      <c r="P2449" s="11">
        <v>0.0</v>
      </c>
      <c r="Q2449" s="14">
        <v>0.0</v>
      </c>
      <c r="R2449" s="41">
        <v>0.0</v>
      </c>
      <c r="S2449">
        <f t="shared" si="1"/>
        <v>2002</v>
      </c>
      <c r="T2449">
        <f t="shared" si="2"/>
        <v>1</v>
      </c>
      <c r="U2449">
        <f t="shared" si="3"/>
        <v>1</v>
      </c>
      <c r="AG2449" s="15"/>
      <c r="AH2449" s="16"/>
      <c r="AM2449" s="15"/>
      <c r="AN2449" s="16"/>
    </row>
    <row r="2450">
      <c r="A2450" s="13" t="s">
        <v>4276</v>
      </c>
      <c r="B2450" s="10">
        <v>37257.0</v>
      </c>
      <c r="C2450" s="11" t="s">
        <v>37</v>
      </c>
      <c r="D2450" s="11" t="s">
        <v>58</v>
      </c>
      <c r="E2450" s="11" t="s">
        <v>39</v>
      </c>
      <c r="F2450" s="11" t="s">
        <v>40</v>
      </c>
      <c r="G2450" s="11" t="s">
        <v>45</v>
      </c>
      <c r="H2450" s="11" t="s">
        <v>262</v>
      </c>
      <c r="I2450" s="11" t="s">
        <v>4277</v>
      </c>
      <c r="J2450" s="11">
        <v>32.0</v>
      </c>
      <c r="K2450" s="12">
        <v>37622.0</v>
      </c>
      <c r="L2450" s="30"/>
      <c r="M2450" s="11">
        <v>459017.0</v>
      </c>
      <c r="N2450" s="11">
        <v>1012114.0</v>
      </c>
      <c r="P2450" s="11">
        <v>0.0</v>
      </c>
      <c r="Q2450" s="14">
        <v>0.0</v>
      </c>
      <c r="R2450" s="41">
        <v>0.0</v>
      </c>
      <c r="S2450">
        <f t="shared" si="1"/>
        <v>2002</v>
      </c>
      <c r="T2450">
        <f t="shared" si="2"/>
        <v>1</v>
      </c>
      <c r="U2450">
        <f t="shared" si="3"/>
        <v>1</v>
      </c>
      <c r="AG2450" s="15"/>
      <c r="AH2450" s="16"/>
      <c r="AM2450" s="15"/>
      <c r="AN2450" s="16"/>
    </row>
    <row r="2451">
      <c r="A2451" s="13" t="s">
        <v>4278</v>
      </c>
      <c r="B2451" s="10">
        <v>37257.0</v>
      </c>
      <c r="C2451" s="11" t="s">
        <v>37</v>
      </c>
      <c r="D2451" s="11" t="s">
        <v>38</v>
      </c>
      <c r="E2451" s="30" t="s">
        <v>39</v>
      </c>
      <c r="F2451" s="11" t="s">
        <v>40</v>
      </c>
      <c r="G2451" s="30" t="s">
        <v>45</v>
      </c>
      <c r="H2451" s="11" t="s">
        <v>59</v>
      </c>
      <c r="I2451" s="11" t="s">
        <v>1071</v>
      </c>
      <c r="J2451" s="11">
        <v>25.0</v>
      </c>
      <c r="K2451" s="12">
        <v>38226.0</v>
      </c>
      <c r="L2451" s="30"/>
      <c r="M2451" s="11">
        <v>276351.0</v>
      </c>
      <c r="N2451" s="11">
        <v>521.0</v>
      </c>
      <c r="O2451" s="13" t="s">
        <v>761</v>
      </c>
      <c r="P2451" s="11">
        <v>567.0</v>
      </c>
      <c r="Q2451" s="14">
        <v>634.333</v>
      </c>
      <c r="R2451" s="41">
        <v>1.0</v>
      </c>
      <c r="S2451">
        <f t="shared" si="1"/>
        <v>2002</v>
      </c>
      <c r="T2451">
        <f t="shared" si="2"/>
        <v>1</v>
      </c>
      <c r="U2451">
        <f t="shared" si="3"/>
        <v>1</v>
      </c>
      <c r="AG2451" s="15"/>
      <c r="AH2451" s="16"/>
      <c r="AM2451" s="15"/>
      <c r="AN2451" s="16"/>
    </row>
    <row r="2452">
      <c r="A2452" s="13" t="s">
        <v>4279</v>
      </c>
      <c r="B2452" s="10">
        <v>37257.0</v>
      </c>
      <c r="C2452" s="11" t="s">
        <v>108</v>
      </c>
      <c r="D2452" s="11" t="s">
        <v>58</v>
      </c>
      <c r="E2452" s="30" t="s">
        <v>39</v>
      </c>
      <c r="F2452" s="11" t="s">
        <v>64</v>
      </c>
      <c r="G2452" s="30" t="s">
        <v>45</v>
      </c>
      <c r="H2452" s="11" t="s">
        <v>265</v>
      </c>
      <c r="I2452" s="11" t="s">
        <v>1491</v>
      </c>
      <c r="J2452" s="11">
        <v>23.0</v>
      </c>
      <c r="K2452" s="12">
        <v>37622.0</v>
      </c>
      <c r="L2452" s="30"/>
      <c r="M2452" s="11">
        <v>407799.0</v>
      </c>
      <c r="N2452" s="11">
        <v>814.0</v>
      </c>
      <c r="P2452" s="11">
        <v>58.0</v>
      </c>
      <c r="Q2452" s="14">
        <v>316.0</v>
      </c>
      <c r="R2452" s="41">
        <v>0.0</v>
      </c>
      <c r="S2452">
        <f t="shared" si="1"/>
        <v>2002</v>
      </c>
      <c r="T2452">
        <f t="shared" si="2"/>
        <v>1</v>
      </c>
      <c r="U2452">
        <f t="shared" si="3"/>
        <v>1</v>
      </c>
      <c r="AG2452" s="15"/>
      <c r="AH2452" s="16"/>
      <c r="AM2452" s="15"/>
      <c r="AN2452" s="16"/>
    </row>
    <row r="2453">
      <c r="A2453" s="13" t="s">
        <v>3393</v>
      </c>
      <c r="B2453" s="10">
        <v>37257.0</v>
      </c>
      <c r="C2453" s="11" t="s">
        <v>150</v>
      </c>
      <c r="D2453" s="11" t="s">
        <v>213</v>
      </c>
      <c r="E2453" s="11" t="s">
        <v>39</v>
      </c>
      <c r="F2453" s="11" t="s">
        <v>40</v>
      </c>
      <c r="G2453" s="11" t="s">
        <v>45</v>
      </c>
      <c r="H2453" s="11" t="s">
        <v>67</v>
      </c>
      <c r="I2453" s="11" t="s">
        <v>1432</v>
      </c>
      <c r="J2453" s="11">
        <v>16.0</v>
      </c>
      <c r="K2453" s="12">
        <v>39618.0</v>
      </c>
      <c r="L2453" s="30"/>
      <c r="M2453" s="11">
        <v>446421.0</v>
      </c>
      <c r="N2453" s="11" t="s">
        <v>3394</v>
      </c>
      <c r="P2453" s="11">
        <v>0.0</v>
      </c>
      <c r="Q2453" s="14">
        <v>0.0</v>
      </c>
      <c r="R2453" s="41">
        <v>0.0</v>
      </c>
      <c r="S2453">
        <f t="shared" si="1"/>
        <v>2002</v>
      </c>
      <c r="T2453">
        <f t="shared" si="2"/>
        <v>1</v>
      </c>
      <c r="U2453">
        <f t="shared" si="3"/>
        <v>1</v>
      </c>
      <c r="AG2453" s="15"/>
      <c r="AH2453" s="16"/>
      <c r="AM2453" s="15"/>
      <c r="AN2453" s="16"/>
    </row>
    <row r="2454">
      <c r="A2454" s="13" t="s">
        <v>4280</v>
      </c>
      <c r="B2454" s="10">
        <v>37257.0</v>
      </c>
      <c r="C2454" s="11" t="s">
        <v>362</v>
      </c>
      <c r="D2454" s="11" t="s">
        <v>38</v>
      </c>
      <c r="E2454" s="30" t="s">
        <v>39</v>
      </c>
      <c r="F2454" s="11" t="s">
        <v>40</v>
      </c>
      <c r="G2454" s="30" t="s">
        <v>45</v>
      </c>
      <c r="H2454" s="11" t="s">
        <v>109</v>
      </c>
      <c r="I2454" s="11" t="s">
        <v>4281</v>
      </c>
      <c r="J2454" s="11">
        <v>24.0</v>
      </c>
      <c r="K2454" s="12">
        <v>37787.0</v>
      </c>
      <c r="L2454" s="30"/>
      <c r="M2454" s="11">
        <v>285064.0</v>
      </c>
      <c r="N2454" s="11">
        <v>1011.0</v>
      </c>
      <c r="O2454" s="13" t="s">
        <v>761</v>
      </c>
      <c r="P2454" s="11">
        <v>270.0</v>
      </c>
      <c r="Q2454" s="14">
        <v>1149.333</v>
      </c>
      <c r="R2454" s="11">
        <v>0.0</v>
      </c>
      <c r="S2454">
        <f t="shared" si="1"/>
        <v>2002</v>
      </c>
      <c r="T2454">
        <f t="shared" si="2"/>
        <v>1</v>
      </c>
      <c r="U2454">
        <f t="shared" si="3"/>
        <v>1</v>
      </c>
      <c r="AG2454" s="15"/>
      <c r="AH2454" s="16"/>
      <c r="AM2454" s="15"/>
      <c r="AN2454" s="16"/>
    </row>
    <row r="2455">
      <c r="A2455" s="13" t="s">
        <v>4282</v>
      </c>
      <c r="B2455" s="10">
        <v>37257.0</v>
      </c>
      <c r="C2455" s="11" t="s">
        <v>175</v>
      </c>
      <c r="D2455" s="11" t="s">
        <v>93</v>
      </c>
      <c r="E2455" s="11" t="s">
        <v>39</v>
      </c>
      <c r="F2455" s="11" t="s">
        <v>40</v>
      </c>
      <c r="G2455" s="11" t="s">
        <v>45</v>
      </c>
      <c r="H2455" s="11" t="s">
        <v>231</v>
      </c>
      <c r="I2455" s="11" t="s">
        <v>4283</v>
      </c>
      <c r="J2455" s="11">
        <v>18.0</v>
      </c>
      <c r="K2455" s="12">
        <v>37987.0</v>
      </c>
      <c r="L2455" s="30"/>
      <c r="M2455" s="11">
        <v>447755.0</v>
      </c>
      <c r="N2455" s="11">
        <v>11827.0</v>
      </c>
      <c r="P2455" s="11">
        <v>190.0</v>
      </c>
      <c r="Q2455" s="14">
        <v>194.667</v>
      </c>
      <c r="R2455" s="11">
        <v>0.0</v>
      </c>
      <c r="S2455">
        <f t="shared" si="1"/>
        <v>2002</v>
      </c>
      <c r="T2455">
        <f t="shared" si="2"/>
        <v>1</v>
      </c>
      <c r="U2455">
        <f t="shared" si="3"/>
        <v>1</v>
      </c>
      <c r="AG2455" s="15"/>
      <c r="AH2455" s="16"/>
      <c r="AM2455" s="15"/>
      <c r="AN2455" s="16"/>
    </row>
    <row r="2456">
      <c r="A2456" s="13" t="s">
        <v>4284</v>
      </c>
      <c r="B2456" s="10">
        <v>37257.0</v>
      </c>
      <c r="C2456" s="11" t="s">
        <v>175</v>
      </c>
      <c r="D2456" s="11" t="s">
        <v>38</v>
      </c>
      <c r="E2456" s="30" t="s">
        <v>39</v>
      </c>
      <c r="F2456" s="11" t="s">
        <v>40</v>
      </c>
      <c r="G2456" s="30" t="s">
        <v>45</v>
      </c>
      <c r="H2456" s="11" t="s">
        <v>231</v>
      </c>
      <c r="I2456" s="11" t="s">
        <v>1216</v>
      </c>
      <c r="J2456" s="11">
        <v>32.0</v>
      </c>
      <c r="K2456" s="12">
        <v>37785.0</v>
      </c>
      <c r="L2456" s="30"/>
      <c r="M2456" s="11">
        <v>116496.0</v>
      </c>
      <c r="N2456" s="11">
        <v>1037.0</v>
      </c>
      <c r="P2456" s="11">
        <v>39.0</v>
      </c>
      <c r="Q2456" s="45">
        <v>138.33299999999997</v>
      </c>
      <c r="R2456" s="41">
        <v>0.0</v>
      </c>
      <c r="S2456">
        <f t="shared" si="1"/>
        <v>2002</v>
      </c>
      <c r="T2456">
        <f t="shared" si="2"/>
        <v>1</v>
      </c>
      <c r="U2456">
        <f t="shared" si="3"/>
        <v>1</v>
      </c>
      <c r="AG2456" s="15"/>
      <c r="AH2456" s="16"/>
      <c r="AM2456" s="15"/>
      <c r="AN2456" s="16"/>
    </row>
    <row r="2457">
      <c r="A2457" s="13" t="s">
        <v>4285</v>
      </c>
      <c r="B2457" s="10">
        <v>37257.0</v>
      </c>
      <c r="C2457" s="11" t="s">
        <v>230</v>
      </c>
      <c r="D2457" s="11" t="s">
        <v>88</v>
      </c>
      <c r="E2457" s="30" t="s">
        <v>39</v>
      </c>
      <c r="F2457" s="11" t="s">
        <v>40</v>
      </c>
      <c r="G2457" s="41" t="s">
        <v>803</v>
      </c>
      <c r="H2457" s="30"/>
      <c r="I2457" s="30"/>
      <c r="J2457" s="11">
        <v>22.0</v>
      </c>
      <c r="K2457" s="12">
        <v>37622.0</v>
      </c>
      <c r="L2457" s="30"/>
      <c r="M2457" s="11">
        <v>430657.0</v>
      </c>
      <c r="N2457" s="11">
        <v>8214.0</v>
      </c>
      <c r="P2457" s="11">
        <v>59.0</v>
      </c>
      <c r="Q2457" s="14">
        <v>279.667</v>
      </c>
      <c r="R2457" s="41">
        <v>0.0</v>
      </c>
      <c r="S2457">
        <f t="shared" si="1"/>
        <v>2002</v>
      </c>
      <c r="T2457">
        <f t="shared" si="2"/>
        <v>1</v>
      </c>
      <c r="U2457">
        <f t="shared" si="3"/>
        <v>1</v>
      </c>
      <c r="AG2457" s="15"/>
      <c r="AH2457" s="16"/>
      <c r="AM2457" s="15"/>
      <c r="AN2457" s="16"/>
    </row>
    <row r="2458">
      <c r="A2458" s="13" t="s">
        <v>4286</v>
      </c>
      <c r="B2458" s="10">
        <v>37257.0</v>
      </c>
      <c r="C2458" s="11" t="s">
        <v>156</v>
      </c>
      <c r="D2458" s="11" t="s">
        <v>93</v>
      </c>
      <c r="E2458" s="30" t="s">
        <v>39</v>
      </c>
      <c r="F2458" s="11" t="s">
        <v>64</v>
      </c>
      <c r="G2458" s="30" t="s">
        <v>45</v>
      </c>
      <c r="H2458" s="11" t="s">
        <v>67</v>
      </c>
      <c r="I2458" s="11" t="s">
        <v>1793</v>
      </c>
      <c r="J2458" s="11">
        <v>22.0</v>
      </c>
      <c r="K2458" s="12">
        <v>37622.0</v>
      </c>
      <c r="L2458" s="30"/>
      <c r="M2458" s="11">
        <v>450864.0</v>
      </c>
      <c r="N2458" s="11">
        <v>2744.0</v>
      </c>
      <c r="P2458" s="11">
        <v>9.0</v>
      </c>
      <c r="Q2458" s="14">
        <v>32.0</v>
      </c>
      <c r="R2458" s="41">
        <v>0.0</v>
      </c>
      <c r="S2458">
        <f t="shared" si="1"/>
        <v>2002</v>
      </c>
      <c r="T2458">
        <f t="shared" si="2"/>
        <v>1</v>
      </c>
      <c r="U2458">
        <f t="shared" si="3"/>
        <v>1</v>
      </c>
      <c r="AG2458" s="15"/>
      <c r="AH2458" s="16"/>
      <c r="AM2458" s="15"/>
      <c r="AN2458" s="16"/>
    </row>
    <row r="2459">
      <c r="A2459" s="13" t="s">
        <v>4287</v>
      </c>
      <c r="B2459" s="10">
        <v>37257.0</v>
      </c>
      <c r="C2459" s="11" t="s">
        <v>76</v>
      </c>
      <c r="D2459" s="11" t="s">
        <v>213</v>
      </c>
      <c r="E2459" s="30" t="s">
        <v>39</v>
      </c>
      <c r="F2459" s="11" t="s">
        <v>40</v>
      </c>
      <c r="G2459" s="30" t="s">
        <v>45</v>
      </c>
      <c r="H2459" s="11" t="s">
        <v>412</v>
      </c>
      <c r="I2459" s="11" t="s">
        <v>2267</v>
      </c>
      <c r="J2459" s="11">
        <v>18.0</v>
      </c>
      <c r="K2459" s="12">
        <v>39083.0</v>
      </c>
      <c r="L2459" s="30"/>
      <c r="M2459" s="11">
        <v>519338.0</v>
      </c>
      <c r="N2459" s="11" t="s">
        <v>4288</v>
      </c>
      <c r="P2459" s="11">
        <v>0.0</v>
      </c>
      <c r="Q2459" s="14">
        <v>0.0</v>
      </c>
      <c r="R2459" s="41">
        <v>0.0</v>
      </c>
      <c r="S2459">
        <f t="shared" si="1"/>
        <v>2002</v>
      </c>
      <c r="T2459">
        <f t="shared" si="2"/>
        <v>1</v>
      </c>
      <c r="U2459">
        <f t="shared" si="3"/>
        <v>1</v>
      </c>
      <c r="AG2459" s="15"/>
      <c r="AH2459" s="16"/>
      <c r="AM2459" s="15"/>
      <c r="AN2459" s="16"/>
    </row>
    <row r="2460">
      <c r="A2460" s="19" t="s">
        <v>4289</v>
      </c>
      <c r="B2460" s="20">
        <v>37196.0</v>
      </c>
      <c r="C2460" s="21" t="s">
        <v>83</v>
      </c>
      <c r="D2460" s="21" t="s">
        <v>93</v>
      </c>
      <c r="E2460" s="28" t="s">
        <v>39</v>
      </c>
      <c r="F2460" s="21" t="s">
        <v>40</v>
      </c>
      <c r="G2460" s="28" t="s">
        <v>803</v>
      </c>
      <c r="H2460" s="21"/>
      <c r="I2460" s="21"/>
      <c r="J2460" s="21">
        <v>18.0</v>
      </c>
      <c r="K2460" s="22">
        <v>38353.0</v>
      </c>
      <c r="L2460" s="24"/>
      <c r="M2460" s="21">
        <v>493200.0</v>
      </c>
      <c r="N2460" s="21">
        <v>18719.0</v>
      </c>
      <c r="O2460" s="24"/>
      <c r="P2460" s="21">
        <v>138.0</v>
      </c>
      <c r="Q2460" s="23">
        <v>139.0</v>
      </c>
      <c r="R2460" s="21">
        <v>1.0</v>
      </c>
      <c r="S2460" s="33">
        <f t="shared" si="1"/>
        <v>2001</v>
      </c>
      <c r="T2460" s="33">
        <f t="shared" si="2"/>
        <v>11</v>
      </c>
      <c r="U2460" s="33">
        <f t="shared" si="3"/>
        <v>1</v>
      </c>
      <c r="V2460" s="24"/>
      <c r="W2460" s="24"/>
      <c r="X2460" s="24"/>
      <c r="Y2460" s="24"/>
      <c r="Z2460" s="24"/>
      <c r="AA2460" s="24"/>
      <c r="AB2460" s="24"/>
      <c r="AC2460" s="24"/>
      <c r="AD2460" s="24"/>
      <c r="AE2460" s="24"/>
      <c r="AF2460" s="24"/>
      <c r="AG2460" s="26"/>
      <c r="AH2460" s="27"/>
      <c r="AI2460" s="24"/>
      <c r="AJ2460" s="24"/>
      <c r="AK2460" s="24"/>
      <c r="AL2460" s="24"/>
      <c r="AM2460" s="26"/>
      <c r="AN2460" s="27"/>
      <c r="AO2460" s="24"/>
      <c r="AP2460" s="24"/>
    </row>
    <row r="2461">
      <c r="A2461" s="13" t="s">
        <v>4290</v>
      </c>
      <c r="B2461" s="10">
        <v>37169.0</v>
      </c>
      <c r="C2461" s="11" t="s">
        <v>83</v>
      </c>
      <c r="D2461" s="11" t="s">
        <v>88</v>
      </c>
      <c r="E2461" s="30" t="s">
        <v>39</v>
      </c>
      <c r="F2461" s="11" t="s">
        <v>64</v>
      </c>
      <c r="G2461" s="30" t="s">
        <v>45</v>
      </c>
      <c r="H2461" s="11" t="s">
        <v>127</v>
      </c>
      <c r="I2461" s="11"/>
      <c r="J2461" s="11">
        <v>19.0</v>
      </c>
      <c r="K2461" s="12">
        <v>37622.0</v>
      </c>
      <c r="L2461" s="30"/>
      <c r="M2461" s="11">
        <v>429780.0</v>
      </c>
      <c r="N2461" s="11">
        <v>2141.0</v>
      </c>
      <c r="P2461" s="11">
        <v>97.0</v>
      </c>
      <c r="Q2461" s="14">
        <v>396.667</v>
      </c>
      <c r="R2461" s="41">
        <v>0.0</v>
      </c>
      <c r="S2461">
        <f t="shared" si="1"/>
        <v>2001</v>
      </c>
      <c r="T2461">
        <f t="shared" si="2"/>
        <v>10</v>
      </c>
      <c r="U2461">
        <f t="shared" si="3"/>
        <v>5</v>
      </c>
      <c r="AG2461" s="15"/>
      <c r="AH2461" s="16"/>
      <c r="AM2461" s="15"/>
      <c r="AN2461" s="16"/>
    </row>
    <row r="2462">
      <c r="A2462" s="13" t="s">
        <v>4291</v>
      </c>
      <c r="B2462" s="10">
        <v>37166.0</v>
      </c>
      <c r="C2462" s="11" t="s">
        <v>156</v>
      </c>
      <c r="D2462" s="11" t="s">
        <v>58</v>
      </c>
      <c r="E2462" s="11" t="s">
        <v>39</v>
      </c>
      <c r="F2462" s="11" t="s">
        <v>40</v>
      </c>
      <c r="G2462" s="11" t="s">
        <v>45</v>
      </c>
      <c r="H2462" s="11" t="s">
        <v>729</v>
      </c>
      <c r="I2462" s="30"/>
      <c r="J2462" s="11">
        <v>25.0</v>
      </c>
      <c r="K2462" s="12">
        <v>37987.0</v>
      </c>
      <c r="L2462" s="11"/>
      <c r="M2462" s="11">
        <v>121450.0</v>
      </c>
      <c r="N2462" s="11">
        <v>1011201.0</v>
      </c>
      <c r="P2462" s="11">
        <v>0.0</v>
      </c>
      <c r="Q2462" s="14">
        <v>0.0</v>
      </c>
      <c r="R2462" s="41">
        <v>0.0</v>
      </c>
      <c r="S2462">
        <f t="shared" si="1"/>
        <v>2001</v>
      </c>
      <c r="T2462">
        <f t="shared" si="2"/>
        <v>10</v>
      </c>
      <c r="U2462">
        <f t="shared" si="3"/>
        <v>2</v>
      </c>
      <c r="AG2462" s="15"/>
      <c r="AH2462" s="16"/>
      <c r="AM2462" s="15"/>
      <c r="AN2462" s="16"/>
    </row>
    <row r="2463">
      <c r="A2463" s="13" t="s">
        <v>4292</v>
      </c>
      <c r="B2463" s="10">
        <v>37165.0</v>
      </c>
      <c r="C2463" s="11" t="s">
        <v>362</v>
      </c>
      <c r="D2463" s="11" t="s">
        <v>88</v>
      </c>
      <c r="E2463" s="30" t="s">
        <v>39</v>
      </c>
      <c r="F2463" s="11" t="s">
        <v>40</v>
      </c>
      <c r="G2463" s="30" t="s">
        <v>45</v>
      </c>
      <c r="H2463" s="11" t="s">
        <v>84</v>
      </c>
      <c r="I2463" s="11"/>
      <c r="J2463" s="11">
        <v>20.0</v>
      </c>
      <c r="K2463" s="12">
        <v>37622.0</v>
      </c>
      <c r="L2463" s="30"/>
      <c r="M2463" s="11">
        <v>425490.0</v>
      </c>
      <c r="N2463" s="11"/>
      <c r="P2463" s="11">
        <v>0.0</v>
      </c>
      <c r="Q2463" s="14">
        <v>0.0</v>
      </c>
      <c r="R2463" s="41">
        <v>0.0</v>
      </c>
      <c r="S2463">
        <f t="shared" si="1"/>
        <v>2001</v>
      </c>
      <c r="T2463">
        <f t="shared" si="2"/>
        <v>10</v>
      </c>
      <c r="U2463">
        <f t="shared" si="3"/>
        <v>1</v>
      </c>
      <c r="AG2463" s="15"/>
      <c r="AH2463" s="16"/>
      <c r="AM2463" s="15"/>
      <c r="AN2463" s="16"/>
    </row>
    <row r="2464">
      <c r="A2464" s="13" t="s">
        <v>4293</v>
      </c>
      <c r="B2464" s="10">
        <v>37165.0</v>
      </c>
      <c r="C2464" s="11" t="s">
        <v>235</v>
      </c>
      <c r="D2464" s="11" t="s">
        <v>38</v>
      </c>
      <c r="E2464" s="30" t="s">
        <v>39</v>
      </c>
      <c r="F2464" s="11" t="s">
        <v>64</v>
      </c>
      <c r="G2464" s="41" t="s">
        <v>4294</v>
      </c>
      <c r="H2464" s="30"/>
      <c r="I2464" s="30"/>
      <c r="J2464" s="11">
        <v>33.0</v>
      </c>
      <c r="K2464" s="12">
        <v>37713.0</v>
      </c>
      <c r="L2464" s="11">
        <f t="shared" ref="L2464:L2467" si="253">ROUND(((K2464-B2464)/365)*12,0)</f>
        <v>18</v>
      </c>
      <c r="M2464" s="11">
        <v>120183.0</v>
      </c>
      <c r="N2464" s="11">
        <v>1675.0</v>
      </c>
      <c r="P2464" s="11">
        <v>22.0</v>
      </c>
      <c r="Q2464" s="45">
        <v>18.0</v>
      </c>
      <c r="R2464" s="41">
        <v>0.0</v>
      </c>
      <c r="S2464">
        <f t="shared" si="1"/>
        <v>2001</v>
      </c>
      <c r="T2464">
        <f t="shared" si="2"/>
        <v>10</v>
      </c>
      <c r="U2464">
        <f t="shared" si="3"/>
        <v>1</v>
      </c>
      <c r="AG2464" s="15"/>
      <c r="AH2464" s="16"/>
      <c r="AM2464" s="15"/>
      <c r="AN2464" s="16"/>
    </row>
    <row r="2465">
      <c r="A2465" s="13" t="s">
        <v>4295</v>
      </c>
      <c r="B2465" s="10">
        <v>37124.0</v>
      </c>
      <c r="C2465" s="11" t="s">
        <v>175</v>
      </c>
      <c r="D2465" s="11" t="s">
        <v>38</v>
      </c>
      <c r="E2465" s="30" t="s">
        <v>39</v>
      </c>
      <c r="F2465" s="11" t="s">
        <v>40</v>
      </c>
      <c r="G2465" s="30" t="s">
        <v>45</v>
      </c>
      <c r="H2465" s="11" t="s">
        <v>182</v>
      </c>
      <c r="I2465" s="11"/>
      <c r="J2465" s="11">
        <v>23.0</v>
      </c>
      <c r="K2465" s="12">
        <v>37500.0</v>
      </c>
      <c r="L2465" s="11">
        <f t="shared" si="253"/>
        <v>12</v>
      </c>
      <c r="M2465" s="11">
        <v>284566.0</v>
      </c>
      <c r="N2465" s="11">
        <v>1029.0</v>
      </c>
      <c r="P2465" s="11">
        <v>170.0</v>
      </c>
      <c r="Q2465" s="45">
        <v>927.0</v>
      </c>
      <c r="R2465" s="41">
        <v>0.0</v>
      </c>
      <c r="S2465">
        <f t="shared" si="1"/>
        <v>2001</v>
      </c>
      <c r="T2465">
        <f t="shared" si="2"/>
        <v>8</v>
      </c>
      <c r="U2465">
        <f t="shared" si="3"/>
        <v>21</v>
      </c>
      <c r="AG2465" s="15"/>
      <c r="AH2465" s="16"/>
      <c r="AM2465" s="15"/>
      <c r="AN2465" s="16"/>
    </row>
    <row r="2466">
      <c r="A2466" s="13" t="s">
        <v>4296</v>
      </c>
      <c r="B2466" s="10">
        <v>37112.0</v>
      </c>
      <c r="C2466" s="11" t="s">
        <v>138</v>
      </c>
      <c r="D2466" s="11" t="s">
        <v>38</v>
      </c>
      <c r="E2466" s="30" t="s">
        <v>39</v>
      </c>
      <c r="F2466" s="11" t="s">
        <v>40</v>
      </c>
      <c r="G2466" s="30" t="s">
        <v>45</v>
      </c>
      <c r="H2466" s="11" t="s">
        <v>129</v>
      </c>
      <c r="I2466" s="11"/>
      <c r="J2466" s="11">
        <v>32.0</v>
      </c>
      <c r="K2466" s="12">
        <v>37507.0</v>
      </c>
      <c r="L2466" s="11">
        <f t="shared" si="253"/>
        <v>13</v>
      </c>
      <c r="M2466" s="11">
        <v>115797.0</v>
      </c>
      <c r="N2466" s="11">
        <v>145.0</v>
      </c>
      <c r="O2466" s="13" t="s">
        <v>761</v>
      </c>
      <c r="P2466" s="11">
        <v>50.0</v>
      </c>
      <c r="Q2466" s="45">
        <v>263.0</v>
      </c>
      <c r="R2466" s="41">
        <v>0.0</v>
      </c>
      <c r="S2466">
        <f t="shared" si="1"/>
        <v>2001</v>
      </c>
      <c r="T2466">
        <f t="shared" si="2"/>
        <v>8</v>
      </c>
      <c r="U2466">
        <f t="shared" si="3"/>
        <v>9</v>
      </c>
      <c r="AG2466" s="15"/>
      <c r="AH2466" s="16"/>
      <c r="AM2466" s="15"/>
      <c r="AN2466" s="16"/>
    </row>
    <row r="2467">
      <c r="A2467" s="13" t="s">
        <v>4297</v>
      </c>
      <c r="B2467" s="10">
        <v>37104.0</v>
      </c>
      <c r="C2467" s="11" t="s">
        <v>175</v>
      </c>
      <c r="D2467" s="11" t="s">
        <v>38</v>
      </c>
      <c r="E2467" s="30" t="s">
        <v>39</v>
      </c>
      <c r="F2467" s="11" t="s">
        <v>64</v>
      </c>
      <c r="G2467" s="30" t="s">
        <v>45</v>
      </c>
      <c r="H2467" s="11" t="s">
        <v>56</v>
      </c>
      <c r="I2467" s="11"/>
      <c r="J2467" s="11">
        <v>24.0</v>
      </c>
      <c r="K2467" s="12">
        <v>37477.0</v>
      </c>
      <c r="L2467" s="11">
        <f t="shared" si="253"/>
        <v>12</v>
      </c>
      <c r="M2467" s="11">
        <v>276526.0</v>
      </c>
      <c r="N2467" s="11">
        <v>1060.0</v>
      </c>
      <c r="O2467" s="13" t="s">
        <v>3309</v>
      </c>
      <c r="P2467" s="11">
        <v>36.0</v>
      </c>
      <c r="Q2467" s="45">
        <v>23.333000000000006</v>
      </c>
      <c r="R2467" s="41">
        <v>0.0</v>
      </c>
      <c r="S2467">
        <f t="shared" si="1"/>
        <v>2001</v>
      </c>
      <c r="T2467">
        <f t="shared" si="2"/>
        <v>8</v>
      </c>
      <c r="U2467">
        <f t="shared" si="3"/>
        <v>1</v>
      </c>
      <c r="AG2467" s="15"/>
      <c r="AH2467" s="16"/>
      <c r="AM2467" s="15"/>
      <c r="AN2467" s="16"/>
    </row>
    <row r="2468">
      <c r="A2468" s="19" t="s">
        <v>4298</v>
      </c>
      <c r="B2468" s="20">
        <v>37096.0</v>
      </c>
      <c r="C2468" s="21" t="s">
        <v>192</v>
      </c>
      <c r="D2468" s="21" t="s">
        <v>88</v>
      </c>
      <c r="E2468" s="28" t="s">
        <v>118</v>
      </c>
      <c r="F2468" s="21" t="s">
        <v>40</v>
      </c>
      <c r="G2468" s="28" t="s">
        <v>45</v>
      </c>
      <c r="H2468" s="21" t="s">
        <v>112</v>
      </c>
      <c r="I2468" s="21"/>
      <c r="J2468" s="21">
        <v>21.0</v>
      </c>
      <c r="K2468" s="22">
        <v>37257.0</v>
      </c>
      <c r="L2468" s="21"/>
      <c r="M2468" s="21">
        <v>407812.0</v>
      </c>
      <c r="N2468" s="21">
        <v>1873.0</v>
      </c>
      <c r="O2468" s="19" t="s">
        <v>761</v>
      </c>
      <c r="P2468" s="21">
        <v>1878.0</v>
      </c>
      <c r="Q2468" s="23">
        <v>7916.0</v>
      </c>
      <c r="R2468" s="21">
        <v>1.0</v>
      </c>
      <c r="S2468" s="33">
        <f t="shared" si="1"/>
        <v>2001</v>
      </c>
      <c r="T2468" s="33">
        <f t="shared" si="2"/>
        <v>7</v>
      </c>
      <c r="U2468">
        <f t="shared" si="3"/>
        <v>24</v>
      </c>
      <c r="V2468" s="24"/>
      <c r="W2468" s="24"/>
      <c r="X2468" s="24"/>
      <c r="Y2468" s="24"/>
      <c r="Z2468" s="24"/>
      <c r="AA2468" s="24"/>
      <c r="AB2468" s="24"/>
      <c r="AC2468" s="24"/>
      <c r="AD2468" s="24"/>
      <c r="AE2468" s="24"/>
      <c r="AF2468" s="24"/>
      <c r="AG2468" s="26"/>
      <c r="AH2468" s="27"/>
      <c r="AI2468" s="24"/>
      <c r="AJ2468" s="24"/>
      <c r="AK2468" s="24"/>
      <c r="AL2468" s="24"/>
      <c r="AM2468" s="26"/>
      <c r="AN2468" s="27"/>
      <c r="AO2468" s="24"/>
      <c r="AP2468" s="24"/>
    </row>
    <row r="2469">
      <c r="A2469" s="13" t="s">
        <v>4299</v>
      </c>
      <c r="B2469" s="10">
        <v>37081.0</v>
      </c>
      <c r="C2469" s="11" t="s">
        <v>126</v>
      </c>
      <c r="D2469" s="11" t="s">
        <v>38</v>
      </c>
      <c r="E2469" s="30" t="s">
        <v>39</v>
      </c>
      <c r="F2469" s="11" t="s">
        <v>40</v>
      </c>
      <c r="G2469" s="30" t="s">
        <v>45</v>
      </c>
      <c r="H2469" s="11" t="s">
        <v>119</v>
      </c>
      <c r="I2469" s="11" t="s">
        <v>689</v>
      </c>
      <c r="J2469" s="11">
        <v>29.0</v>
      </c>
      <c r="K2469" s="12">
        <v>37715.0</v>
      </c>
      <c r="L2469" s="11">
        <f t="shared" ref="L2469:L2471" si="254">ROUND(((K2469-B2469)/365)*12,0)</f>
        <v>21</v>
      </c>
      <c r="M2469" s="11">
        <v>113554.0</v>
      </c>
      <c r="N2469" s="11">
        <v>647.0</v>
      </c>
      <c r="O2469" s="13" t="s">
        <v>4062</v>
      </c>
      <c r="P2469" s="11">
        <v>70.0</v>
      </c>
      <c r="Q2469" s="45">
        <v>111.0</v>
      </c>
      <c r="R2469" s="41">
        <v>0.0</v>
      </c>
      <c r="S2469">
        <f t="shared" si="1"/>
        <v>2001</v>
      </c>
      <c r="T2469">
        <f t="shared" si="2"/>
        <v>7</v>
      </c>
      <c r="U2469">
        <f t="shared" si="3"/>
        <v>9</v>
      </c>
      <c r="AG2469" s="15"/>
      <c r="AH2469" s="16"/>
      <c r="AM2469" s="15"/>
      <c r="AN2469" s="16"/>
    </row>
    <row r="2470">
      <c r="A2470" s="13" t="s">
        <v>4300</v>
      </c>
      <c r="B2470" s="10">
        <v>37061.0</v>
      </c>
      <c r="C2470" s="11" t="s">
        <v>101</v>
      </c>
      <c r="D2470" s="11" t="s">
        <v>38</v>
      </c>
      <c r="E2470" s="30" t="s">
        <v>39</v>
      </c>
      <c r="F2470" s="11" t="s">
        <v>40</v>
      </c>
      <c r="G2470" s="30" t="s">
        <v>45</v>
      </c>
      <c r="H2470" s="11" t="s">
        <v>129</v>
      </c>
      <c r="I2470" s="11"/>
      <c r="J2470" s="11">
        <v>27.0</v>
      </c>
      <c r="K2470" s="12">
        <v>37435.0</v>
      </c>
      <c r="L2470" s="11">
        <f t="shared" si="254"/>
        <v>12</v>
      </c>
      <c r="M2470" s="11">
        <v>118256.0</v>
      </c>
      <c r="N2470" s="11">
        <v>64.0</v>
      </c>
      <c r="P2470" s="11">
        <v>127.0</v>
      </c>
      <c r="Q2470" s="14">
        <v>118.667</v>
      </c>
      <c r="R2470" s="41">
        <v>0.0</v>
      </c>
      <c r="S2470">
        <f t="shared" si="1"/>
        <v>2001</v>
      </c>
      <c r="T2470">
        <f t="shared" si="2"/>
        <v>6</v>
      </c>
      <c r="U2470">
        <f t="shared" si="3"/>
        <v>19</v>
      </c>
      <c r="AG2470" s="15"/>
      <c r="AH2470" s="16"/>
      <c r="AM2470" s="15"/>
      <c r="AN2470" s="16"/>
    </row>
    <row r="2471">
      <c r="A2471" s="13" t="s">
        <v>4301</v>
      </c>
      <c r="B2471" s="10">
        <v>37033.0</v>
      </c>
      <c r="C2471" s="11" t="s">
        <v>362</v>
      </c>
      <c r="D2471" s="11" t="s">
        <v>38</v>
      </c>
      <c r="E2471" s="30" t="s">
        <v>39</v>
      </c>
      <c r="F2471" s="11" t="s">
        <v>40</v>
      </c>
      <c r="G2471" s="30" t="s">
        <v>45</v>
      </c>
      <c r="H2471" s="11" t="s">
        <v>163</v>
      </c>
      <c r="I2471" s="11" t="s">
        <v>864</v>
      </c>
      <c r="J2471" s="11">
        <v>26.0</v>
      </c>
      <c r="K2471" s="12">
        <v>37389.0</v>
      </c>
      <c r="L2471" s="11">
        <f t="shared" si="254"/>
        <v>12</v>
      </c>
      <c r="M2471" s="11">
        <v>150249.0</v>
      </c>
      <c r="N2471" s="11">
        <v>982.0</v>
      </c>
      <c r="O2471" s="13" t="s">
        <v>761</v>
      </c>
      <c r="P2471" s="11">
        <v>143.0</v>
      </c>
      <c r="Q2471" s="45">
        <v>829.3330000000001</v>
      </c>
      <c r="R2471" s="41">
        <v>0.0</v>
      </c>
      <c r="S2471">
        <f t="shared" si="1"/>
        <v>2001</v>
      </c>
      <c r="T2471">
        <f t="shared" si="2"/>
        <v>5</v>
      </c>
      <c r="U2471">
        <f t="shared" si="3"/>
        <v>22</v>
      </c>
      <c r="AG2471" s="15"/>
      <c r="AH2471" s="16"/>
      <c r="AM2471" s="15"/>
      <c r="AN2471" s="16"/>
    </row>
    <row r="2472">
      <c r="A2472" s="13" t="s">
        <v>4263</v>
      </c>
      <c r="B2472" s="10">
        <v>37012.0</v>
      </c>
      <c r="C2472" s="11" t="s">
        <v>156</v>
      </c>
      <c r="D2472" s="11" t="s">
        <v>38</v>
      </c>
      <c r="E2472" s="30" t="s">
        <v>39</v>
      </c>
      <c r="F2472" s="11" t="s">
        <v>40</v>
      </c>
      <c r="G2472" s="30" t="s">
        <v>45</v>
      </c>
      <c r="H2472" s="11" t="s">
        <v>84</v>
      </c>
      <c r="I2472" s="11" t="s">
        <v>4264</v>
      </c>
      <c r="J2472" s="11">
        <v>34.0</v>
      </c>
      <c r="K2472" s="30"/>
      <c r="L2472" s="30"/>
      <c r="M2472" s="11">
        <v>113782.0</v>
      </c>
      <c r="N2472" s="11">
        <v>1003714.0</v>
      </c>
      <c r="O2472" s="13" t="s">
        <v>761</v>
      </c>
      <c r="P2472" s="11">
        <v>0.0</v>
      </c>
      <c r="Q2472" s="45">
        <v>0.0</v>
      </c>
      <c r="R2472" s="41">
        <v>0.0</v>
      </c>
      <c r="S2472">
        <f t="shared" si="1"/>
        <v>2001</v>
      </c>
      <c r="T2472">
        <f t="shared" si="2"/>
        <v>5</v>
      </c>
      <c r="U2472">
        <f t="shared" si="3"/>
        <v>1</v>
      </c>
      <c r="AG2472" s="15"/>
      <c r="AH2472" s="16"/>
      <c r="AM2472" s="15"/>
      <c r="AN2472" s="16"/>
    </row>
    <row r="2473">
      <c r="A2473" s="13" t="s">
        <v>4245</v>
      </c>
      <c r="B2473" s="10">
        <v>37008.0</v>
      </c>
      <c r="C2473" s="11" t="s">
        <v>111</v>
      </c>
      <c r="D2473" s="11" t="s">
        <v>38</v>
      </c>
      <c r="E2473" s="30" t="s">
        <v>39</v>
      </c>
      <c r="F2473" s="11" t="s">
        <v>40</v>
      </c>
      <c r="G2473" s="30" t="s">
        <v>45</v>
      </c>
      <c r="H2473" s="11" t="s">
        <v>652</v>
      </c>
      <c r="I2473" s="11" t="s">
        <v>2723</v>
      </c>
      <c r="J2473" s="11">
        <v>35.0</v>
      </c>
      <c r="K2473" s="12"/>
      <c r="L2473" s="11"/>
      <c r="M2473" s="11">
        <v>111492.0</v>
      </c>
      <c r="N2473" s="11">
        <v>551.0</v>
      </c>
      <c r="O2473" s="13" t="s">
        <v>2059</v>
      </c>
      <c r="P2473" s="11">
        <v>0.0</v>
      </c>
      <c r="Q2473" s="45">
        <v>0.0</v>
      </c>
      <c r="R2473" s="41">
        <v>0.0</v>
      </c>
      <c r="S2473">
        <f t="shared" si="1"/>
        <v>2001</v>
      </c>
      <c r="T2473">
        <f t="shared" si="2"/>
        <v>4</v>
      </c>
      <c r="U2473">
        <f t="shared" si="3"/>
        <v>27</v>
      </c>
      <c r="AG2473" s="15"/>
      <c r="AH2473" s="16"/>
      <c r="AM2473" s="15"/>
      <c r="AN2473" s="16"/>
    </row>
    <row r="2474">
      <c r="A2474" s="13" t="s">
        <v>4302</v>
      </c>
      <c r="B2474" s="10">
        <v>36994.0</v>
      </c>
      <c r="C2474" s="11" t="s">
        <v>55</v>
      </c>
      <c r="D2474" s="11" t="s">
        <v>38</v>
      </c>
      <c r="E2474" s="11" t="s">
        <v>39</v>
      </c>
      <c r="F2474" s="11" t="s">
        <v>40</v>
      </c>
      <c r="G2474" s="11" t="s">
        <v>41</v>
      </c>
      <c r="H2474" s="11"/>
      <c r="I2474" s="11"/>
      <c r="J2474" s="11">
        <v>28.0</v>
      </c>
      <c r="K2474" s="12">
        <v>37395.0</v>
      </c>
      <c r="L2474" s="11">
        <f t="shared" ref="L2474:L2475" si="255">ROUND(((K2474-B2474)/365)*12,0)</f>
        <v>13</v>
      </c>
      <c r="M2474" s="11">
        <v>136304.0</v>
      </c>
      <c r="N2474" s="11">
        <v>681.0</v>
      </c>
      <c r="O2474" s="13"/>
      <c r="P2474" s="11">
        <v>148.0</v>
      </c>
      <c r="Q2474" s="14">
        <v>151.333</v>
      </c>
      <c r="R2474" s="41">
        <v>0.0</v>
      </c>
      <c r="S2474">
        <f t="shared" si="1"/>
        <v>2001</v>
      </c>
      <c r="T2474">
        <f t="shared" si="2"/>
        <v>4</v>
      </c>
      <c r="U2474">
        <f t="shared" si="3"/>
        <v>13</v>
      </c>
      <c r="AG2474" s="15"/>
      <c r="AH2474" s="16"/>
      <c r="AM2474" s="15"/>
      <c r="AN2474" s="16"/>
    </row>
    <row r="2475">
      <c r="A2475" s="13" t="s">
        <v>4121</v>
      </c>
      <c r="B2475" s="10">
        <v>36993.0</v>
      </c>
      <c r="C2475" s="11" t="s">
        <v>162</v>
      </c>
      <c r="D2475" s="11" t="s">
        <v>38</v>
      </c>
      <c r="E2475" s="30" t="s">
        <v>39</v>
      </c>
      <c r="F2475" s="11" t="s">
        <v>40</v>
      </c>
      <c r="G2475" s="30" t="s">
        <v>45</v>
      </c>
      <c r="H2475" s="11" t="s">
        <v>56</v>
      </c>
      <c r="I2475" s="11" t="s">
        <v>4122</v>
      </c>
      <c r="J2475" s="11">
        <v>25.0</v>
      </c>
      <c r="K2475" s="12">
        <v>37347.0</v>
      </c>
      <c r="L2475" s="11">
        <f t="shared" si="255"/>
        <v>12</v>
      </c>
      <c r="M2475" s="11">
        <v>150182.0</v>
      </c>
      <c r="N2475" s="11">
        <v>361.0</v>
      </c>
      <c r="O2475" s="13" t="s">
        <v>761</v>
      </c>
      <c r="P2475" s="11">
        <v>157.0</v>
      </c>
      <c r="Q2475" s="45">
        <v>165.33299999999997</v>
      </c>
      <c r="R2475" s="41">
        <v>0.0</v>
      </c>
      <c r="S2475">
        <f t="shared" si="1"/>
        <v>2001</v>
      </c>
      <c r="T2475">
        <f t="shared" si="2"/>
        <v>4</v>
      </c>
      <c r="U2475">
        <f t="shared" si="3"/>
        <v>12</v>
      </c>
      <c r="AG2475" s="15"/>
      <c r="AH2475" s="16"/>
      <c r="AM2475" s="15"/>
      <c r="AN2475" s="16"/>
    </row>
    <row r="2476">
      <c r="A2476" s="13" t="s">
        <v>4303</v>
      </c>
      <c r="B2476" s="10">
        <v>36892.0</v>
      </c>
      <c r="C2476" s="11" t="s">
        <v>116</v>
      </c>
      <c r="D2476" s="11" t="s">
        <v>58</v>
      </c>
      <c r="E2476" s="11" t="s">
        <v>39</v>
      </c>
      <c r="F2476" s="11" t="s">
        <v>40</v>
      </c>
      <c r="G2476" s="11" t="s">
        <v>45</v>
      </c>
      <c r="H2476" s="11" t="s">
        <v>243</v>
      </c>
      <c r="I2476" s="11" t="s">
        <v>4304</v>
      </c>
      <c r="J2476" s="11">
        <v>25.0</v>
      </c>
      <c r="K2476" s="12">
        <v>37257.0</v>
      </c>
      <c r="L2476" s="30"/>
      <c r="M2476" s="11"/>
      <c r="N2476" s="11"/>
      <c r="P2476" s="11">
        <v>0.0</v>
      </c>
      <c r="Q2476" s="14">
        <v>0.0</v>
      </c>
      <c r="R2476" s="41">
        <v>0.0</v>
      </c>
      <c r="S2476">
        <f t="shared" si="1"/>
        <v>2001</v>
      </c>
      <c r="T2476">
        <f t="shared" si="2"/>
        <v>1</v>
      </c>
      <c r="U2476">
        <f t="shared" si="3"/>
        <v>1</v>
      </c>
      <c r="AG2476" s="15"/>
      <c r="AH2476" s="16"/>
      <c r="AM2476" s="15"/>
      <c r="AN2476" s="16"/>
    </row>
    <row r="2477">
      <c r="A2477" s="13" t="s">
        <v>4305</v>
      </c>
      <c r="B2477" s="10">
        <v>36892.0</v>
      </c>
      <c r="C2477" s="11" t="s">
        <v>116</v>
      </c>
      <c r="D2477" s="11" t="s">
        <v>221</v>
      </c>
      <c r="E2477" s="30" t="s">
        <v>39</v>
      </c>
      <c r="F2477" s="11" t="s">
        <v>40</v>
      </c>
      <c r="G2477" s="41" t="s">
        <v>41</v>
      </c>
      <c r="H2477" s="30"/>
      <c r="I2477" s="30"/>
      <c r="J2477" s="11">
        <v>20.0</v>
      </c>
      <c r="K2477" s="12">
        <v>37622.0</v>
      </c>
      <c r="L2477" s="30"/>
      <c r="M2477" s="11">
        <v>430642.0</v>
      </c>
      <c r="N2477" s="11">
        <v>2236.0</v>
      </c>
      <c r="P2477" s="11">
        <v>99.0</v>
      </c>
      <c r="Q2477" s="14">
        <v>123.333</v>
      </c>
      <c r="R2477" s="41">
        <v>0.0</v>
      </c>
      <c r="S2477">
        <f t="shared" si="1"/>
        <v>2001</v>
      </c>
      <c r="T2477">
        <f t="shared" si="2"/>
        <v>1</v>
      </c>
      <c r="U2477">
        <f t="shared" si="3"/>
        <v>1</v>
      </c>
      <c r="AG2477" s="15"/>
      <c r="AH2477" s="16"/>
      <c r="AM2477" s="15"/>
      <c r="AN2477" s="16"/>
    </row>
    <row r="2478">
      <c r="A2478" s="13" t="s">
        <v>4306</v>
      </c>
      <c r="B2478" s="10">
        <v>36892.0</v>
      </c>
      <c r="C2478" s="11" t="s">
        <v>72</v>
      </c>
      <c r="D2478" s="11" t="s">
        <v>38</v>
      </c>
      <c r="E2478" s="30" t="s">
        <v>39</v>
      </c>
      <c r="F2478" s="11" t="s">
        <v>40</v>
      </c>
      <c r="G2478" s="30" t="s">
        <v>45</v>
      </c>
      <c r="H2478" s="11" t="s">
        <v>67</v>
      </c>
      <c r="I2478" s="11"/>
      <c r="J2478" s="11">
        <v>32.0</v>
      </c>
      <c r="K2478" s="12">
        <v>37776.0</v>
      </c>
      <c r="L2478" s="30"/>
      <c r="M2478" s="11">
        <v>110763.0</v>
      </c>
      <c r="N2478" s="11">
        <v>1730.0</v>
      </c>
      <c r="O2478" s="13" t="s">
        <v>3309</v>
      </c>
      <c r="P2478" s="11">
        <v>62.0</v>
      </c>
      <c r="Q2478" s="45">
        <v>59.333000000000006</v>
      </c>
      <c r="R2478" s="41">
        <v>0.0</v>
      </c>
      <c r="S2478">
        <f t="shared" si="1"/>
        <v>2001</v>
      </c>
      <c r="T2478">
        <f t="shared" si="2"/>
        <v>1</v>
      </c>
      <c r="U2478">
        <f t="shared" si="3"/>
        <v>1</v>
      </c>
      <c r="AG2478" s="15"/>
      <c r="AH2478" s="16"/>
      <c r="AM2478" s="15"/>
      <c r="AN2478" s="16"/>
    </row>
    <row r="2479">
      <c r="A2479" s="13" t="s">
        <v>4307</v>
      </c>
      <c r="B2479" s="10">
        <v>36892.0</v>
      </c>
      <c r="C2479" s="11" t="s">
        <v>44</v>
      </c>
      <c r="D2479" s="11" t="s">
        <v>93</v>
      </c>
      <c r="E2479" s="11" t="s">
        <v>118</v>
      </c>
      <c r="F2479" s="11" t="s">
        <v>40</v>
      </c>
      <c r="G2479" s="30" t="s">
        <v>45</v>
      </c>
      <c r="H2479" s="11" t="s">
        <v>84</v>
      </c>
      <c r="I2479" s="11" t="s">
        <v>4308</v>
      </c>
      <c r="J2479" s="11">
        <v>23.0</v>
      </c>
      <c r="K2479" s="12">
        <v>37257.0</v>
      </c>
      <c r="L2479" s="30"/>
      <c r="M2479" s="11">
        <v>432928.0</v>
      </c>
      <c r="N2479" s="11">
        <v>3469.0</v>
      </c>
      <c r="P2479" s="11">
        <v>889.0</v>
      </c>
      <c r="Q2479" s="14">
        <v>3193.0</v>
      </c>
      <c r="R2479" s="41">
        <v>0.0</v>
      </c>
      <c r="S2479">
        <f t="shared" si="1"/>
        <v>2001</v>
      </c>
      <c r="T2479">
        <f t="shared" si="2"/>
        <v>1</v>
      </c>
      <c r="U2479">
        <f t="shared" si="3"/>
        <v>1</v>
      </c>
      <c r="AG2479" s="15"/>
      <c r="AH2479" s="16"/>
      <c r="AM2479" s="15"/>
      <c r="AN2479" s="16"/>
    </row>
    <row r="2480">
      <c r="A2480" s="13" t="s">
        <v>4309</v>
      </c>
      <c r="B2480" s="10">
        <v>36892.0</v>
      </c>
      <c r="C2480" s="11" t="s">
        <v>192</v>
      </c>
      <c r="D2480" s="11" t="s">
        <v>88</v>
      </c>
      <c r="E2480" s="30" t="s">
        <v>39</v>
      </c>
      <c r="F2480" s="11" t="s">
        <v>40</v>
      </c>
      <c r="G2480" s="41" t="s">
        <v>245</v>
      </c>
      <c r="H2480" s="30"/>
      <c r="I2480" s="30"/>
      <c r="J2480" s="11">
        <v>20.0</v>
      </c>
      <c r="K2480" s="12">
        <v>37257.0</v>
      </c>
      <c r="L2480" s="30"/>
      <c r="M2480" s="11">
        <v>425835.0</v>
      </c>
      <c r="N2480" s="11">
        <v>1776.0</v>
      </c>
      <c r="P2480" s="11">
        <v>57.0</v>
      </c>
      <c r="Q2480" s="14">
        <v>97.0</v>
      </c>
      <c r="R2480" s="11">
        <v>0.0</v>
      </c>
      <c r="S2480">
        <f t="shared" si="1"/>
        <v>2001</v>
      </c>
      <c r="T2480">
        <f t="shared" si="2"/>
        <v>1</v>
      </c>
      <c r="U2480">
        <f t="shared" si="3"/>
        <v>1</v>
      </c>
      <c r="AG2480" s="15"/>
      <c r="AH2480" s="16"/>
      <c r="AM2480" s="15"/>
      <c r="AN2480" s="16"/>
    </row>
    <row r="2481">
      <c r="A2481" s="13" t="s">
        <v>4310</v>
      </c>
      <c r="B2481" s="10">
        <v>36892.0</v>
      </c>
      <c r="C2481" s="11" t="s">
        <v>346</v>
      </c>
      <c r="D2481" s="11" t="s">
        <v>58</v>
      </c>
      <c r="E2481" s="30" t="s">
        <v>39</v>
      </c>
      <c r="F2481" s="11" t="s">
        <v>40</v>
      </c>
      <c r="G2481" s="41" t="s">
        <v>194</v>
      </c>
      <c r="H2481" s="30"/>
      <c r="I2481" s="30"/>
      <c r="J2481" s="11">
        <v>23.0</v>
      </c>
      <c r="K2481" s="12">
        <v>37622.0</v>
      </c>
      <c r="L2481" s="30"/>
      <c r="M2481" s="11">
        <v>279561.0</v>
      </c>
      <c r="N2481" s="11">
        <v>1005012.0</v>
      </c>
      <c r="P2481" s="11">
        <v>0.0</v>
      </c>
      <c r="Q2481" s="14">
        <v>0.0</v>
      </c>
      <c r="R2481" s="41">
        <v>0.0</v>
      </c>
      <c r="S2481">
        <f t="shared" si="1"/>
        <v>2001</v>
      </c>
      <c r="T2481">
        <f t="shared" si="2"/>
        <v>1</v>
      </c>
      <c r="U2481">
        <f t="shared" si="3"/>
        <v>1</v>
      </c>
      <c r="AG2481" s="15"/>
      <c r="AH2481" s="16"/>
      <c r="AM2481" s="15"/>
      <c r="AN2481" s="16"/>
    </row>
    <row r="2482">
      <c r="A2482" s="13" t="s">
        <v>4311</v>
      </c>
      <c r="B2482" s="10">
        <v>36892.0</v>
      </c>
      <c r="C2482" s="11" t="s">
        <v>126</v>
      </c>
      <c r="D2482" s="11" t="s">
        <v>77</v>
      </c>
      <c r="E2482" s="30" t="s">
        <v>39</v>
      </c>
      <c r="F2482" s="11" t="s">
        <v>64</v>
      </c>
      <c r="G2482" s="30" t="s">
        <v>45</v>
      </c>
      <c r="H2482" s="11" t="s">
        <v>243</v>
      </c>
      <c r="I2482" s="11"/>
      <c r="J2482" s="11">
        <v>26.0</v>
      </c>
      <c r="K2482" s="12">
        <v>37257.0</v>
      </c>
      <c r="L2482" s="30"/>
      <c r="M2482" s="11">
        <v>429280.0</v>
      </c>
      <c r="N2482" s="11">
        <v>1700.0</v>
      </c>
      <c r="P2482" s="55">
        <v>22.0</v>
      </c>
      <c r="Q2482" s="56">
        <v>20.333</v>
      </c>
      <c r="R2482" s="41">
        <v>0.0</v>
      </c>
      <c r="S2482">
        <f t="shared" si="1"/>
        <v>2001</v>
      </c>
      <c r="T2482">
        <f t="shared" si="2"/>
        <v>1</v>
      </c>
      <c r="U2482">
        <f t="shared" si="3"/>
        <v>1</v>
      </c>
      <c r="AG2482" s="15"/>
      <c r="AH2482" s="16"/>
      <c r="AM2482" s="15"/>
      <c r="AN2482" s="16"/>
    </row>
    <row r="2483">
      <c r="A2483" s="13" t="s">
        <v>4312</v>
      </c>
      <c r="B2483" s="10">
        <v>36892.0</v>
      </c>
      <c r="C2483" s="11" t="s">
        <v>55</v>
      </c>
      <c r="D2483" s="11" t="s">
        <v>77</v>
      </c>
      <c r="E2483" s="11" t="s">
        <v>39</v>
      </c>
      <c r="F2483" s="11" t="s">
        <v>40</v>
      </c>
      <c r="G2483" s="11" t="s">
        <v>45</v>
      </c>
      <c r="H2483" s="11" t="s">
        <v>67</v>
      </c>
      <c r="I2483" s="11"/>
      <c r="J2483" s="11">
        <v>23.0</v>
      </c>
      <c r="K2483" s="12"/>
      <c r="L2483" s="30"/>
      <c r="M2483" s="11">
        <v>441853.0</v>
      </c>
      <c r="N2483" s="11"/>
      <c r="P2483" s="11">
        <v>0.0</v>
      </c>
      <c r="Q2483" s="14">
        <v>0.0</v>
      </c>
      <c r="R2483" s="11">
        <v>0.0</v>
      </c>
      <c r="S2483">
        <f t="shared" si="1"/>
        <v>2001</v>
      </c>
      <c r="T2483">
        <f t="shared" si="2"/>
        <v>1</v>
      </c>
      <c r="U2483">
        <f t="shared" si="3"/>
        <v>1</v>
      </c>
      <c r="AG2483" s="15"/>
      <c r="AH2483" s="16"/>
      <c r="AM2483" s="15"/>
      <c r="AN2483" s="16"/>
    </row>
    <row r="2484">
      <c r="A2484" s="13" t="s">
        <v>4313</v>
      </c>
      <c r="B2484" s="10">
        <v>36892.0</v>
      </c>
      <c r="C2484" s="11" t="s">
        <v>108</v>
      </c>
      <c r="D2484" s="11" t="s">
        <v>709</v>
      </c>
      <c r="E2484" s="30" t="s">
        <v>39</v>
      </c>
      <c r="F2484" s="11" t="s">
        <v>64</v>
      </c>
      <c r="G2484" s="30" t="s">
        <v>45</v>
      </c>
      <c r="H2484" s="11" t="s">
        <v>56</v>
      </c>
      <c r="I2484" s="11" t="s">
        <v>4314</v>
      </c>
      <c r="J2484" s="11">
        <v>20.0</v>
      </c>
      <c r="K2484" s="12">
        <v>37622.0</v>
      </c>
      <c r="L2484" s="30"/>
      <c r="M2484" s="11">
        <v>430675.0</v>
      </c>
      <c r="N2484" s="11">
        <v>2147.0</v>
      </c>
      <c r="P2484" s="11">
        <v>64.0</v>
      </c>
      <c r="Q2484" s="14">
        <v>83.667</v>
      </c>
      <c r="R2484" s="41">
        <v>0.0</v>
      </c>
      <c r="S2484">
        <f t="shared" si="1"/>
        <v>2001</v>
      </c>
      <c r="T2484">
        <f t="shared" si="2"/>
        <v>1</v>
      </c>
      <c r="U2484">
        <f t="shared" si="3"/>
        <v>1</v>
      </c>
      <c r="AG2484" s="15"/>
      <c r="AH2484" s="16"/>
      <c r="AM2484" s="15"/>
      <c r="AN2484" s="16"/>
    </row>
    <row r="2485">
      <c r="A2485" s="13" t="s">
        <v>4315</v>
      </c>
      <c r="B2485" s="10">
        <v>36892.0</v>
      </c>
      <c r="C2485" s="11" t="s">
        <v>362</v>
      </c>
      <c r="D2485" s="11" t="s">
        <v>58</v>
      </c>
      <c r="E2485" s="11" t="s">
        <v>39</v>
      </c>
      <c r="F2485" s="11" t="s">
        <v>40</v>
      </c>
      <c r="G2485" s="11" t="s">
        <v>326</v>
      </c>
      <c r="H2485" s="11"/>
      <c r="I2485" s="11"/>
      <c r="J2485" s="11">
        <v>29.0</v>
      </c>
      <c r="K2485" s="12">
        <v>37257.0</v>
      </c>
      <c r="L2485" s="30"/>
      <c r="M2485" s="11">
        <v>456492.0</v>
      </c>
      <c r="N2485" s="11">
        <v>1002623.0</v>
      </c>
      <c r="O2485" s="13" t="s">
        <v>3309</v>
      </c>
      <c r="P2485" s="11">
        <v>0.0</v>
      </c>
      <c r="Q2485" s="14">
        <v>0.0</v>
      </c>
      <c r="R2485" s="41">
        <v>0.0</v>
      </c>
      <c r="S2485">
        <f t="shared" si="1"/>
        <v>2001</v>
      </c>
      <c r="T2485">
        <f t="shared" si="2"/>
        <v>1</v>
      </c>
      <c r="U2485">
        <f t="shared" si="3"/>
        <v>1</v>
      </c>
      <c r="AG2485" s="15"/>
      <c r="AH2485" s="16"/>
      <c r="AM2485" s="15"/>
      <c r="AN2485" s="16"/>
    </row>
    <row r="2486">
      <c r="A2486" s="13" t="s">
        <v>4316</v>
      </c>
      <c r="B2486" s="10">
        <v>36892.0</v>
      </c>
      <c r="C2486" s="11" t="s">
        <v>362</v>
      </c>
      <c r="D2486" s="11" t="s">
        <v>38</v>
      </c>
      <c r="E2486" s="11" t="s">
        <v>2062</v>
      </c>
      <c r="F2486" s="11" t="s">
        <v>40</v>
      </c>
      <c r="G2486" s="11" t="s">
        <v>45</v>
      </c>
      <c r="H2486" s="11" t="s">
        <v>67</v>
      </c>
      <c r="I2486" s="11" t="s">
        <v>4317</v>
      </c>
      <c r="J2486" s="11">
        <v>35.0</v>
      </c>
      <c r="K2486" s="12">
        <v>37347.0</v>
      </c>
      <c r="L2486" s="30"/>
      <c r="M2486" s="11">
        <v>110862.0</v>
      </c>
      <c r="N2486" s="11">
        <v>981.0</v>
      </c>
      <c r="O2486" s="13" t="s">
        <v>3309</v>
      </c>
      <c r="P2486" s="11">
        <v>108.0</v>
      </c>
      <c r="Q2486" s="14">
        <v>130.0</v>
      </c>
      <c r="R2486" s="41">
        <v>0.0</v>
      </c>
      <c r="S2486">
        <f t="shared" si="1"/>
        <v>2001</v>
      </c>
      <c r="T2486">
        <f t="shared" si="2"/>
        <v>1</v>
      </c>
      <c r="U2486">
        <f t="shared" si="3"/>
        <v>1</v>
      </c>
      <c r="AG2486" s="15"/>
      <c r="AH2486" s="16"/>
      <c r="AM2486" s="15"/>
      <c r="AN2486" s="16"/>
    </row>
    <row r="2487">
      <c r="A2487" s="13" t="s">
        <v>4318</v>
      </c>
      <c r="B2487" s="10">
        <v>36892.0</v>
      </c>
      <c r="C2487" s="11" t="s">
        <v>175</v>
      </c>
      <c r="D2487" s="11" t="s">
        <v>97</v>
      </c>
      <c r="E2487" s="30" t="s">
        <v>39</v>
      </c>
      <c r="F2487" s="11" t="s">
        <v>40</v>
      </c>
      <c r="G2487" s="30" t="s">
        <v>45</v>
      </c>
      <c r="H2487" s="11" t="s">
        <v>182</v>
      </c>
      <c r="I2487" s="11"/>
      <c r="J2487" s="11">
        <v>21.0</v>
      </c>
      <c r="K2487" s="30"/>
      <c r="L2487" s="30"/>
      <c r="M2487" s="11">
        <v>457377.0</v>
      </c>
      <c r="N2487" s="11"/>
      <c r="P2487" s="11">
        <v>0.0</v>
      </c>
      <c r="Q2487" s="14">
        <v>0.0</v>
      </c>
      <c r="R2487" s="41">
        <v>0.0</v>
      </c>
      <c r="S2487">
        <f t="shared" si="1"/>
        <v>2001</v>
      </c>
      <c r="T2487">
        <f t="shared" si="2"/>
        <v>1</v>
      </c>
      <c r="U2487">
        <f t="shared" si="3"/>
        <v>1</v>
      </c>
      <c r="AG2487" s="15"/>
      <c r="AH2487" s="16"/>
      <c r="AM2487" s="15"/>
      <c r="AN2487" s="16"/>
    </row>
    <row r="2488">
      <c r="A2488" s="13" t="s">
        <v>3723</v>
      </c>
      <c r="B2488" s="10">
        <v>36892.0</v>
      </c>
      <c r="C2488" s="11" t="s">
        <v>175</v>
      </c>
      <c r="D2488" s="11" t="s">
        <v>88</v>
      </c>
      <c r="E2488" s="41" t="s">
        <v>660</v>
      </c>
      <c r="F2488" s="11" t="s">
        <v>40</v>
      </c>
      <c r="G2488" s="30" t="s">
        <v>45</v>
      </c>
      <c r="H2488" s="11" t="s">
        <v>67</v>
      </c>
      <c r="I2488" s="11" t="s">
        <v>748</v>
      </c>
      <c r="J2488" s="11">
        <v>22.0</v>
      </c>
      <c r="K2488" s="12">
        <v>37257.0</v>
      </c>
      <c r="L2488" s="30"/>
      <c r="M2488" s="11">
        <v>294558.0</v>
      </c>
      <c r="N2488" s="11">
        <v>1658.0</v>
      </c>
      <c r="O2488" s="13" t="s">
        <v>3309</v>
      </c>
      <c r="P2488" s="11">
        <v>678.0</v>
      </c>
      <c r="Q2488" s="14">
        <v>2462.0</v>
      </c>
      <c r="R2488" s="41">
        <v>0.0</v>
      </c>
      <c r="S2488">
        <f t="shared" si="1"/>
        <v>2001</v>
      </c>
      <c r="T2488">
        <f t="shared" si="2"/>
        <v>1</v>
      </c>
      <c r="U2488">
        <f t="shared" si="3"/>
        <v>1</v>
      </c>
      <c r="AG2488" s="15"/>
      <c r="AH2488" s="16"/>
      <c r="AM2488" s="15"/>
      <c r="AN2488" s="16"/>
    </row>
    <row r="2489">
      <c r="A2489" s="13" t="s">
        <v>4319</v>
      </c>
      <c r="B2489" s="10">
        <v>36892.0</v>
      </c>
      <c r="C2489" s="11" t="s">
        <v>83</v>
      </c>
      <c r="D2489" s="11" t="s">
        <v>88</v>
      </c>
      <c r="E2489" s="30" t="s">
        <v>39</v>
      </c>
      <c r="F2489" s="11" t="s">
        <v>40</v>
      </c>
      <c r="G2489" s="30" t="s">
        <v>45</v>
      </c>
      <c r="H2489" s="11" t="s">
        <v>56</v>
      </c>
      <c r="I2489" s="11" t="s">
        <v>344</v>
      </c>
      <c r="J2489" s="11">
        <v>22.0</v>
      </c>
      <c r="K2489" s="12">
        <v>37622.0</v>
      </c>
      <c r="L2489" s="30"/>
      <c r="M2489" s="11">
        <v>407865.0</v>
      </c>
      <c r="N2489" s="11"/>
      <c r="P2489" s="11">
        <v>0.0</v>
      </c>
      <c r="Q2489" s="14">
        <v>0.0</v>
      </c>
      <c r="R2489" s="41">
        <v>0.0</v>
      </c>
      <c r="S2489">
        <f t="shared" si="1"/>
        <v>2001</v>
      </c>
      <c r="T2489">
        <f t="shared" si="2"/>
        <v>1</v>
      </c>
      <c r="U2489">
        <f t="shared" si="3"/>
        <v>1</v>
      </c>
      <c r="AG2489" s="15"/>
      <c r="AH2489" s="16"/>
      <c r="AM2489" s="15"/>
      <c r="AN2489" s="16"/>
    </row>
    <row r="2490">
      <c r="A2490" s="13" t="s">
        <v>4320</v>
      </c>
      <c r="B2490" s="10">
        <v>36892.0</v>
      </c>
      <c r="C2490" s="11" t="s">
        <v>83</v>
      </c>
      <c r="D2490" s="11" t="s">
        <v>38</v>
      </c>
      <c r="E2490" s="30" t="s">
        <v>39</v>
      </c>
      <c r="F2490" s="11" t="s">
        <v>40</v>
      </c>
      <c r="G2490" s="30" t="s">
        <v>45</v>
      </c>
      <c r="H2490" s="11" t="s">
        <v>566</v>
      </c>
      <c r="I2490" s="11" t="s">
        <v>4321</v>
      </c>
      <c r="J2490" s="11">
        <v>29.0</v>
      </c>
      <c r="K2490" s="12">
        <v>37349.0</v>
      </c>
      <c r="L2490" s="30"/>
      <c r="M2490" s="11">
        <v>122751.0</v>
      </c>
      <c r="N2490" s="11">
        <v>1185.0</v>
      </c>
      <c r="P2490" s="11">
        <v>44.0</v>
      </c>
      <c r="Q2490" s="45">
        <v>219.33299999999997</v>
      </c>
      <c r="R2490" s="41">
        <v>0.0</v>
      </c>
      <c r="S2490">
        <f t="shared" si="1"/>
        <v>2001</v>
      </c>
      <c r="T2490">
        <f t="shared" si="2"/>
        <v>1</v>
      </c>
      <c r="U2490">
        <f t="shared" si="3"/>
        <v>1</v>
      </c>
      <c r="AG2490" s="15"/>
      <c r="AH2490" s="16"/>
      <c r="AM2490" s="15"/>
      <c r="AN2490" s="16"/>
    </row>
    <row r="2491">
      <c r="A2491" s="13" t="s">
        <v>4322</v>
      </c>
      <c r="B2491" s="10">
        <v>36892.0</v>
      </c>
      <c r="C2491" s="11" t="s">
        <v>235</v>
      </c>
      <c r="D2491" s="11" t="s">
        <v>97</v>
      </c>
      <c r="E2491" s="30" t="s">
        <v>39</v>
      </c>
      <c r="F2491" s="11" t="s">
        <v>40</v>
      </c>
      <c r="G2491" s="30" t="s">
        <v>45</v>
      </c>
      <c r="H2491" s="11" t="s">
        <v>73</v>
      </c>
      <c r="I2491" s="11" t="s">
        <v>2001</v>
      </c>
      <c r="J2491" s="11">
        <v>23.0</v>
      </c>
      <c r="K2491" s="12">
        <v>37257.0</v>
      </c>
      <c r="L2491" s="30"/>
      <c r="M2491" s="11">
        <v>430630.0</v>
      </c>
      <c r="N2491" s="11">
        <v>1906.0</v>
      </c>
      <c r="P2491" s="11">
        <v>679.0</v>
      </c>
      <c r="Q2491" s="14">
        <v>646.667</v>
      </c>
      <c r="R2491" s="11">
        <v>0.0</v>
      </c>
      <c r="S2491">
        <f t="shared" si="1"/>
        <v>2001</v>
      </c>
      <c r="T2491">
        <f t="shared" si="2"/>
        <v>1</v>
      </c>
      <c r="U2491">
        <f t="shared" si="3"/>
        <v>1</v>
      </c>
      <c r="AG2491" s="15"/>
      <c r="AH2491" s="16"/>
      <c r="AM2491" s="15"/>
      <c r="AN2491" s="16"/>
    </row>
    <row r="2492">
      <c r="A2492" s="13" t="s">
        <v>4323</v>
      </c>
      <c r="B2492" s="10">
        <v>36892.0</v>
      </c>
      <c r="C2492" s="11" t="s">
        <v>76</v>
      </c>
      <c r="D2492" s="11" t="s">
        <v>38</v>
      </c>
      <c r="E2492" s="30" t="s">
        <v>39</v>
      </c>
      <c r="F2492" s="11" t="s">
        <v>64</v>
      </c>
      <c r="G2492" s="30" t="s">
        <v>45</v>
      </c>
      <c r="H2492" s="11" t="s">
        <v>231</v>
      </c>
      <c r="I2492" s="11" t="s">
        <v>231</v>
      </c>
      <c r="J2492" s="11">
        <v>25.0</v>
      </c>
      <c r="K2492" s="12">
        <v>37843.0</v>
      </c>
      <c r="L2492" s="30"/>
      <c r="M2492" s="11">
        <v>275933.0</v>
      </c>
      <c r="N2492" s="11">
        <v>773.0</v>
      </c>
      <c r="P2492" s="11">
        <v>600.0</v>
      </c>
      <c r="Q2492" s="45">
        <v>654.3330000000001</v>
      </c>
      <c r="R2492" s="41">
        <v>0.0</v>
      </c>
      <c r="S2492">
        <f t="shared" si="1"/>
        <v>2001</v>
      </c>
      <c r="T2492">
        <f t="shared" si="2"/>
        <v>1</v>
      </c>
      <c r="U2492">
        <f t="shared" si="3"/>
        <v>1</v>
      </c>
      <c r="AG2492" s="15"/>
      <c r="AH2492" s="16"/>
      <c r="AM2492" s="15"/>
      <c r="AN2492" s="16"/>
    </row>
    <row r="2493">
      <c r="A2493" s="13" t="s">
        <v>4324</v>
      </c>
      <c r="B2493" s="10">
        <v>36882.0</v>
      </c>
      <c r="C2493" s="11" t="s">
        <v>143</v>
      </c>
      <c r="D2493" s="11" t="s">
        <v>38</v>
      </c>
      <c r="E2493" s="30" t="s">
        <v>39</v>
      </c>
      <c r="F2493" s="11" t="s">
        <v>40</v>
      </c>
      <c r="G2493" s="30" t="s">
        <v>45</v>
      </c>
      <c r="H2493" s="11" t="s">
        <v>67</v>
      </c>
      <c r="I2493" s="11" t="s">
        <v>2572</v>
      </c>
      <c r="J2493" s="11">
        <v>28.0</v>
      </c>
      <c r="K2493" s="30"/>
      <c r="L2493" s="30"/>
      <c r="M2493" s="11">
        <v>122239.0</v>
      </c>
      <c r="N2493" s="11">
        <v>1011977.0</v>
      </c>
      <c r="P2493" s="11">
        <v>0.0</v>
      </c>
      <c r="Q2493" s="45">
        <v>0.0</v>
      </c>
      <c r="R2493" s="41">
        <v>0.0</v>
      </c>
      <c r="S2493">
        <f t="shared" si="1"/>
        <v>2000</v>
      </c>
      <c r="T2493">
        <f t="shared" si="2"/>
        <v>12</v>
      </c>
      <c r="U2493">
        <f t="shared" si="3"/>
        <v>22</v>
      </c>
      <c r="AG2493" s="15"/>
      <c r="AH2493" s="16"/>
      <c r="AM2493" s="15"/>
      <c r="AN2493" s="16"/>
    </row>
    <row r="2494">
      <c r="A2494" s="13" t="s">
        <v>4325</v>
      </c>
      <c r="B2494" s="10">
        <v>36776.0</v>
      </c>
      <c r="C2494" s="11" t="s">
        <v>358</v>
      </c>
      <c r="D2494" s="11" t="s">
        <v>88</v>
      </c>
      <c r="E2494" s="30" t="s">
        <v>39</v>
      </c>
      <c r="F2494" s="11" t="s">
        <v>40</v>
      </c>
      <c r="G2494" s="30" t="s">
        <v>45</v>
      </c>
      <c r="H2494" s="11" t="s">
        <v>84</v>
      </c>
      <c r="I2494" s="11" t="s">
        <v>127</v>
      </c>
      <c r="J2494" s="11">
        <v>22.0</v>
      </c>
      <c r="K2494" s="12">
        <v>37257.0</v>
      </c>
      <c r="L2494" s="30"/>
      <c r="M2494" s="11">
        <v>216897.0</v>
      </c>
      <c r="N2494" s="11">
        <v>1689.0</v>
      </c>
      <c r="P2494" s="11">
        <v>93.0</v>
      </c>
      <c r="Q2494" s="14">
        <v>237.667</v>
      </c>
      <c r="R2494" s="41">
        <v>0.0</v>
      </c>
      <c r="S2494">
        <f t="shared" si="1"/>
        <v>2000</v>
      </c>
      <c r="T2494">
        <f t="shared" si="2"/>
        <v>9</v>
      </c>
      <c r="U2494">
        <f t="shared" si="3"/>
        <v>7</v>
      </c>
      <c r="AG2494" s="15"/>
      <c r="AH2494" s="16"/>
      <c r="AM2494" s="15"/>
      <c r="AN2494" s="16"/>
    </row>
    <row r="2495">
      <c r="A2495" s="13" t="s">
        <v>4071</v>
      </c>
      <c r="B2495" s="10">
        <v>36770.0</v>
      </c>
      <c r="C2495" s="11" t="s">
        <v>138</v>
      </c>
      <c r="D2495" s="11" t="s">
        <v>58</v>
      </c>
      <c r="E2495" s="30" t="s">
        <v>39</v>
      </c>
      <c r="F2495" s="11" t="s">
        <v>64</v>
      </c>
      <c r="G2495" s="30" t="s">
        <v>45</v>
      </c>
      <c r="H2495" s="11" t="s">
        <v>67</v>
      </c>
      <c r="I2495" s="11" t="s">
        <v>3715</v>
      </c>
      <c r="J2495" s="11">
        <v>20.0</v>
      </c>
      <c r="K2495" s="12">
        <v>37622.0</v>
      </c>
      <c r="L2495" s="30"/>
      <c r="M2495" s="11">
        <v>235494.0</v>
      </c>
      <c r="N2495" s="11">
        <v>164.0</v>
      </c>
      <c r="P2495" s="11">
        <v>23.0</v>
      </c>
      <c r="Q2495" s="14">
        <v>86.667</v>
      </c>
      <c r="R2495" s="41">
        <v>0.0</v>
      </c>
      <c r="S2495">
        <f t="shared" si="1"/>
        <v>2000</v>
      </c>
      <c r="T2495">
        <f t="shared" si="2"/>
        <v>9</v>
      </c>
      <c r="U2495">
        <f t="shared" si="3"/>
        <v>1</v>
      </c>
      <c r="AG2495" s="15"/>
      <c r="AH2495" s="16"/>
      <c r="AM2495" s="15"/>
      <c r="AN2495" s="16"/>
    </row>
    <row r="2496">
      <c r="A2496" s="13" t="s">
        <v>4326</v>
      </c>
      <c r="B2496" s="10">
        <v>36746.0</v>
      </c>
      <c r="C2496" s="11" t="s">
        <v>138</v>
      </c>
      <c r="D2496" s="11" t="s">
        <v>38</v>
      </c>
      <c r="E2496" s="30" t="s">
        <v>39</v>
      </c>
      <c r="F2496" s="11" t="s">
        <v>40</v>
      </c>
      <c r="G2496" s="30" t="s">
        <v>45</v>
      </c>
      <c r="H2496" s="11" t="s">
        <v>67</v>
      </c>
      <c r="I2496" s="11" t="s">
        <v>4327</v>
      </c>
      <c r="J2496" s="11">
        <v>32.0</v>
      </c>
      <c r="K2496" s="12">
        <v>37347.0</v>
      </c>
      <c r="L2496" s="11">
        <f t="shared" ref="L2496:L2500" si="256">ROUND(((K2496-B2496)/365)*12,0)</f>
        <v>20</v>
      </c>
      <c r="M2496" s="11">
        <v>113884.0</v>
      </c>
      <c r="N2496" s="11">
        <v>137.0</v>
      </c>
      <c r="O2496" s="13" t="s">
        <v>3309</v>
      </c>
      <c r="P2496" s="11">
        <v>63.0</v>
      </c>
      <c r="Q2496" s="45">
        <v>254.33299999999997</v>
      </c>
      <c r="R2496" s="41">
        <v>0.0</v>
      </c>
      <c r="S2496">
        <f t="shared" si="1"/>
        <v>2000</v>
      </c>
      <c r="T2496">
        <f t="shared" si="2"/>
        <v>8</v>
      </c>
      <c r="U2496">
        <f t="shared" si="3"/>
        <v>8</v>
      </c>
      <c r="AG2496" s="15"/>
      <c r="AH2496" s="16"/>
      <c r="AM2496" s="15"/>
      <c r="AN2496" s="16"/>
    </row>
    <row r="2497">
      <c r="A2497" s="13" t="s">
        <v>4328</v>
      </c>
      <c r="B2497" s="10">
        <v>36707.0</v>
      </c>
      <c r="C2497" s="11" t="s">
        <v>230</v>
      </c>
      <c r="D2497" s="11" t="s">
        <v>38</v>
      </c>
      <c r="E2497" s="11" t="s">
        <v>104</v>
      </c>
      <c r="F2497" s="11" t="s">
        <v>40</v>
      </c>
      <c r="G2497" s="11" t="s">
        <v>45</v>
      </c>
      <c r="H2497" s="11" t="s">
        <v>182</v>
      </c>
      <c r="I2497" s="11" t="s">
        <v>4329</v>
      </c>
      <c r="J2497" s="11">
        <v>36.0</v>
      </c>
      <c r="K2497" s="12">
        <v>36984.0</v>
      </c>
      <c r="L2497" s="11">
        <f t="shared" si="256"/>
        <v>9</v>
      </c>
      <c r="M2497" s="11">
        <v>117442.0</v>
      </c>
      <c r="N2497" s="11">
        <v>1043.0</v>
      </c>
      <c r="P2497" s="11">
        <v>183.0</v>
      </c>
      <c r="Q2497" s="14">
        <v>558.0</v>
      </c>
      <c r="R2497" s="41">
        <v>0.0</v>
      </c>
      <c r="S2497">
        <f t="shared" si="1"/>
        <v>2000</v>
      </c>
      <c r="T2497">
        <f t="shared" si="2"/>
        <v>6</v>
      </c>
      <c r="U2497">
        <f t="shared" si="3"/>
        <v>30</v>
      </c>
      <c r="AG2497" s="15"/>
      <c r="AH2497" s="16"/>
      <c r="AM2497" s="15"/>
      <c r="AN2497" s="16"/>
    </row>
    <row r="2498">
      <c r="A2498" s="13" t="s">
        <v>4330</v>
      </c>
      <c r="B2498" s="10">
        <v>36690.0</v>
      </c>
      <c r="C2498" s="11" t="s">
        <v>186</v>
      </c>
      <c r="D2498" s="11" t="s">
        <v>38</v>
      </c>
      <c r="E2498" s="30" t="s">
        <v>39</v>
      </c>
      <c r="F2498" s="11" t="s">
        <v>40</v>
      </c>
      <c r="G2498" s="30" t="s">
        <v>45</v>
      </c>
      <c r="H2498" s="11" t="s">
        <v>73</v>
      </c>
      <c r="I2498" s="11" t="s">
        <v>4331</v>
      </c>
      <c r="J2498" s="11">
        <v>25.0</v>
      </c>
      <c r="K2498" s="12">
        <v>37122.0</v>
      </c>
      <c r="L2498" s="11">
        <f t="shared" si="256"/>
        <v>14</v>
      </c>
      <c r="M2498" s="11">
        <v>150285.0</v>
      </c>
      <c r="N2498" s="11">
        <v>1257.0</v>
      </c>
      <c r="P2498" s="11">
        <v>273.0</v>
      </c>
      <c r="Q2498" s="45">
        <v>255.0</v>
      </c>
      <c r="R2498" s="41">
        <v>0.0</v>
      </c>
      <c r="S2498">
        <f t="shared" si="1"/>
        <v>2000</v>
      </c>
      <c r="T2498">
        <f t="shared" si="2"/>
        <v>6</v>
      </c>
      <c r="U2498">
        <f t="shared" si="3"/>
        <v>13</v>
      </c>
      <c r="AG2498" s="15"/>
      <c r="AH2498" s="16"/>
      <c r="AM2498" s="15"/>
      <c r="AN2498" s="16"/>
    </row>
    <row r="2499">
      <c r="A2499" s="13" t="s">
        <v>4332</v>
      </c>
      <c r="B2499" s="10">
        <v>36687.0</v>
      </c>
      <c r="C2499" s="11" t="s">
        <v>83</v>
      </c>
      <c r="D2499" s="11" t="s">
        <v>38</v>
      </c>
      <c r="E2499" s="30" t="s">
        <v>39</v>
      </c>
      <c r="F2499" s="11" t="s">
        <v>64</v>
      </c>
      <c r="G2499" s="30" t="s">
        <v>45</v>
      </c>
      <c r="H2499" s="11" t="s">
        <v>67</v>
      </c>
      <c r="I2499" s="11"/>
      <c r="J2499" s="11">
        <v>32.0</v>
      </c>
      <c r="K2499" s="12">
        <v>37136.0</v>
      </c>
      <c r="L2499" s="11">
        <f t="shared" si="256"/>
        <v>15</v>
      </c>
      <c r="M2499" s="11">
        <v>120877.0</v>
      </c>
      <c r="N2499" s="11">
        <v>1010641.0</v>
      </c>
      <c r="P2499" s="11">
        <v>2.0</v>
      </c>
      <c r="Q2499" s="45">
        <v>2.0</v>
      </c>
      <c r="R2499" s="41">
        <v>0.0</v>
      </c>
      <c r="S2499">
        <f t="shared" si="1"/>
        <v>2000</v>
      </c>
      <c r="T2499">
        <f t="shared" si="2"/>
        <v>6</v>
      </c>
      <c r="U2499">
        <f t="shared" si="3"/>
        <v>10</v>
      </c>
      <c r="AG2499" s="15"/>
      <c r="AH2499" s="16"/>
      <c r="AM2499" s="15"/>
      <c r="AN2499" s="16"/>
    </row>
    <row r="2500">
      <c r="A2500" s="13" t="s">
        <v>4333</v>
      </c>
      <c r="B2500" s="10">
        <v>36683.0</v>
      </c>
      <c r="C2500" s="11" t="s">
        <v>175</v>
      </c>
      <c r="D2500" s="11" t="s">
        <v>38</v>
      </c>
      <c r="E2500" s="30" t="s">
        <v>39</v>
      </c>
      <c r="F2500" s="11" t="s">
        <v>64</v>
      </c>
      <c r="G2500" s="30" t="s">
        <v>45</v>
      </c>
      <c r="H2500" s="11" t="s">
        <v>84</v>
      </c>
      <c r="I2500" s="11"/>
      <c r="J2500" s="11">
        <v>29.0</v>
      </c>
      <c r="K2500" s="12">
        <v>37076.0</v>
      </c>
      <c r="L2500" s="11">
        <f t="shared" si="256"/>
        <v>13</v>
      </c>
      <c r="M2500" s="11">
        <v>115982.0</v>
      </c>
      <c r="N2500" s="11">
        <v>824.0</v>
      </c>
      <c r="O2500" s="13" t="s">
        <v>3309</v>
      </c>
      <c r="P2500" s="11">
        <v>72.0</v>
      </c>
      <c r="Q2500" s="14">
        <v>218.667</v>
      </c>
      <c r="R2500" s="41">
        <v>0.0</v>
      </c>
      <c r="S2500">
        <f t="shared" si="1"/>
        <v>2000</v>
      </c>
      <c r="T2500">
        <f t="shared" si="2"/>
        <v>6</v>
      </c>
      <c r="U2500">
        <f t="shared" si="3"/>
        <v>6</v>
      </c>
      <c r="AG2500" s="15"/>
      <c r="AH2500" s="16"/>
      <c r="AM2500" s="15"/>
      <c r="AN2500" s="16"/>
    </row>
    <row r="2501">
      <c r="A2501" s="13" t="s">
        <v>4334</v>
      </c>
      <c r="B2501" s="10">
        <v>36678.0</v>
      </c>
      <c r="C2501" s="11" t="s">
        <v>55</v>
      </c>
      <c r="D2501" s="11" t="s">
        <v>97</v>
      </c>
      <c r="E2501" s="30" t="s">
        <v>39</v>
      </c>
      <c r="F2501" s="11" t="s">
        <v>40</v>
      </c>
      <c r="G2501" s="30" t="s">
        <v>45</v>
      </c>
      <c r="H2501" s="11" t="s">
        <v>139</v>
      </c>
      <c r="I2501" s="11"/>
      <c r="J2501" s="11">
        <v>20.0</v>
      </c>
      <c r="K2501" s="12">
        <v>37257.0</v>
      </c>
      <c r="L2501" s="30"/>
      <c r="M2501" s="11">
        <v>444062.0</v>
      </c>
      <c r="N2501" s="11"/>
      <c r="P2501" s="11">
        <v>0.0</v>
      </c>
      <c r="Q2501" s="14">
        <v>0.0</v>
      </c>
      <c r="R2501" s="41">
        <v>0.0</v>
      </c>
      <c r="S2501">
        <f t="shared" si="1"/>
        <v>2000</v>
      </c>
      <c r="T2501">
        <f t="shared" si="2"/>
        <v>6</v>
      </c>
      <c r="U2501">
        <f t="shared" si="3"/>
        <v>1</v>
      </c>
      <c r="AG2501" s="15"/>
      <c r="AH2501" s="16"/>
      <c r="AM2501" s="15"/>
      <c r="AN2501" s="16"/>
    </row>
    <row r="2502">
      <c r="A2502" s="13" t="s">
        <v>4335</v>
      </c>
      <c r="B2502" s="10">
        <v>36647.0</v>
      </c>
      <c r="C2502" s="11" t="s">
        <v>101</v>
      </c>
      <c r="D2502" s="11" t="s">
        <v>58</v>
      </c>
      <c r="E2502" s="30" t="s">
        <v>39</v>
      </c>
      <c r="F2502" s="11" t="s">
        <v>64</v>
      </c>
      <c r="G2502" s="30" t="s">
        <v>45</v>
      </c>
      <c r="H2502" s="11" t="s">
        <v>56</v>
      </c>
      <c r="I2502" s="11"/>
      <c r="J2502" s="11">
        <v>22.0</v>
      </c>
      <c r="K2502" s="12">
        <v>36892.0</v>
      </c>
      <c r="L2502" s="30"/>
      <c r="M2502" s="11">
        <v>279568.0</v>
      </c>
      <c r="N2502" s="11">
        <v>71.0</v>
      </c>
      <c r="P2502" s="11">
        <v>88.0</v>
      </c>
      <c r="Q2502" s="14">
        <v>454.333</v>
      </c>
      <c r="R2502" s="41">
        <v>0.0</v>
      </c>
      <c r="S2502">
        <f t="shared" si="1"/>
        <v>2000</v>
      </c>
      <c r="T2502">
        <f t="shared" si="2"/>
        <v>5</v>
      </c>
      <c r="U2502">
        <f t="shared" si="3"/>
        <v>1</v>
      </c>
      <c r="AG2502" s="15"/>
      <c r="AH2502" s="16"/>
      <c r="AM2502" s="15"/>
      <c r="AN2502" s="16"/>
    </row>
    <row r="2503">
      <c r="A2503" s="13" t="s">
        <v>4336</v>
      </c>
      <c r="B2503" s="10">
        <v>36617.0</v>
      </c>
      <c r="C2503" s="11" t="s">
        <v>37</v>
      </c>
      <c r="D2503" s="11" t="s">
        <v>38</v>
      </c>
      <c r="E2503" s="30" t="s">
        <v>39</v>
      </c>
      <c r="F2503" s="11" t="s">
        <v>64</v>
      </c>
      <c r="G2503" s="11" t="s">
        <v>483</v>
      </c>
      <c r="H2503" s="11"/>
      <c r="I2503" s="11"/>
      <c r="J2503" s="11">
        <v>23.0</v>
      </c>
      <c r="K2503" s="12">
        <v>37349.0</v>
      </c>
      <c r="L2503" s="11">
        <f t="shared" ref="L2503:L2504" si="257">ROUND(((K2503-B2503)/365)*12,0)</f>
        <v>24</v>
      </c>
      <c r="M2503" s="11">
        <v>150373.0</v>
      </c>
      <c r="N2503" s="11">
        <v>542.0</v>
      </c>
      <c r="P2503" s="11">
        <v>98.0</v>
      </c>
      <c r="Q2503" s="45">
        <v>232.0</v>
      </c>
      <c r="R2503" s="41">
        <v>0.0</v>
      </c>
      <c r="S2503">
        <f t="shared" si="1"/>
        <v>2000</v>
      </c>
      <c r="T2503">
        <f t="shared" si="2"/>
        <v>4</v>
      </c>
      <c r="U2503">
        <f t="shared" si="3"/>
        <v>1</v>
      </c>
      <c r="AG2503" s="15"/>
      <c r="AH2503" s="16"/>
      <c r="AM2503" s="15"/>
      <c r="AN2503" s="16"/>
    </row>
    <row r="2504">
      <c r="A2504" s="13" t="s">
        <v>4337</v>
      </c>
      <c r="B2504" s="10">
        <v>36608.0</v>
      </c>
      <c r="C2504" s="11" t="s">
        <v>116</v>
      </c>
      <c r="D2504" s="11" t="s">
        <v>38</v>
      </c>
      <c r="E2504" s="30" t="s">
        <v>39</v>
      </c>
      <c r="F2504" s="11" t="s">
        <v>40</v>
      </c>
      <c r="G2504" s="30" t="s">
        <v>45</v>
      </c>
      <c r="H2504" s="11" t="s">
        <v>129</v>
      </c>
      <c r="I2504" s="11"/>
      <c r="J2504" s="11">
        <v>33.0</v>
      </c>
      <c r="K2504" s="12">
        <v>37028.0</v>
      </c>
      <c r="L2504" s="11">
        <f t="shared" si="257"/>
        <v>14</v>
      </c>
      <c r="M2504" s="11">
        <v>122477.0</v>
      </c>
      <c r="N2504" s="11">
        <v>115.0</v>
      </c>
      <c r="O2504" s="13" t="s">
        <v>761</v>
      </c>
      <c r="P2504" s="11">
        <v>367.0</v>
      </c>
      <c r="Q2504" s="14">
        <v>1058.667</v>
      </c>
      <c r="R2504" s="41">
        <v>0.0</v>
      </c>
      <c r="S2504">
        <f t="shared" si="1"/>
        <v>2000</v>
      </c>
      <c r="T2504">
        <f t="shared" si="2"/>
        <v>3</v>
      </c>
      <c r="U2504">
        <f t="shared" si="3"/>
        <v>23</v>
      </c>
      <c r="AG2504" s="15"/>
      <c r="AH2504" s="16"/>
      <c r="AM2504" s="15"/>
      <c r="AN2504" s="16"/>
    </row>
    <row r="2505">
      <c r="A2505" s="13" t="s">
        <v>4338</v>
      </c>
      <c r="B2505" s="10">
        <v>36600.0</v>
      </c>
      <c r="C2505" s="11" t="s">
        <v>101</v>
      </c>
      <c r="D2505" s="11" t="s">
        <v>97</v>
      </c>
      <c r="E2505" s="11" t="s">
        <v>39</v>
      </c>
      <c r="F2505" s="11" t="s">
        <v>40</v>
      </c>
      <c r="G2505" s="11" t="s">
        <v>45</v>
      </c>
      <c r="H2505" s="11" t="s">
        <v>67</v>
      </c>
      <c r="I2505" s="11"/>
      <c r="J2505" s="11">
        <v>20.0</v>
      </c>
      <c r="K2505" s="12">
        <v>36892.0</v>
      </c>
      <c r="L2505" s="11"/>
      <c r="M2505" s="11">
        <v>425627.0</v>
      </c>
      <c r="N2505" s="11">
        <v>1690.0</v>
      </c>
      <c r="O2505" s="13"/>
      <c r="P2505" s="11">
        <v>35.0</v>
      </c>
      <c r="Q2505" s="14">
        <v>112.0</v>
      </c>
      <c r="R2505" s="41">
        <v>0.0</v>
      </c>
      <c r="S2505">
        <f t="shared" si="1"/>
        <v>2000</v>
      </c>
      <c r="T2505">
        <f t="shared" si="2"/>
        <v>3</v>
      </c>
      <c r="U2505">
        <f t="shared" si="3"/>
        <v>15</v>
      </c>
      <c r="AG2505" s="15"/>
      <c r="AH2505" s="16"/>
      <c r="AM2505" s="15"/>
      <c r="AN2505" s="16"/>
    </row>
    <row r="2506">
      <c r="A2506" s="13" t="s">
        <v>4339</v>
      </c>
      <c r="B2506" s="10">
        <v>36600.0</v>
      </c>
      <c r="C2506" s="11" t="s">
        <v>167</v>
      </c>
      <c r="D2506" s="11" t="s">
        <v>88</v>
      </c>
      <c r="E2506" s="30" t="s">
        <v>39</v>
      </c>
      <c r="F2506" s="11" t="s">
        <v>64</v>
      </c>
      <c r="G2506" s="11" t="s">
        <v>45</v>
      </c>
      <c r="H2506" s="11" t="s">
        <v>56</v>
      </c>
      <c r="I2506" s="11" t="s">
        <v>2723</v>
      </c>
      <c r="J2506" s="11">
        <v>24.0</v>
      </c>
      <c r="K2506" s="12">
        <v>37622.0</v>
      </c>
      <c r="L2506" s="30"/>
      <c r="M2506" s="11">
        <v>430942.0</v>
      </c>
      <c r="N2506" s="11">
        <v>2362.0</v>
      </c>
      <c r="P2506" s="11">
        <v>97.0</v>
      </c>
      <c r="Q2506" s="14">
        <v>82.0</v>
      </c>
      <c r="R2506" s="41">
        <v>0.0</v>
      </c>
      <c r="S2506">
        <f t="shared" si="1"/>
        <v>2000</v>
      </c>
      <c r="T2506">
        <f t="shared" si="2"/>
        <v>3</v>
      </c>
      <c r="U2506">
        <f t="shared" si="3"/>
        <v>15</v>
      </c>
      <c r="AG2506" s="15"/>
      <c r="AH2506" s="16"/>
      <c r="AM2506" s="15"/>
      <c r="AN2506" s="16"/>
    </row>
    <row r="2507">
      <c r="A2507" s="13" t="s">
        <v>4340</v>
      </c>
      <c r="B2507" s="10">
        <v>36526.0</v>
      </c>
      <c r="C2507" s="11" t="s">
        <v>116</v>
      </c>
      <c r="D2507" s="11" t="s">
        <v>77</v>
      </c>
      <c r="E2507" s="11" t="s">
        <v>39</v>
      </c>
      <c r="F2507" s="11" t="s">
        <v>40</v>
      </c>
      <c r="G2507" s="11" t="s">
        <v>45</v>
      </c>
      <c r="H2507" s="11" t="s">
        <v>73</v>
      </c>
      <c r="I2507" s="11" t="s">
        <v>4341</v>
      </c>
      <c r="J2507" s="11">
        <v>22.0</v>
      </c>
      <c r="K2507" s="12">
        <v>36892.0</v>
      </c>
      <c r="L2507" s="30"/>
      <c r="M2507" s="11">
        <v>279574.0</v>
      </c>
      <c r="N2507" s="11">
        <v>1012257.0</v>
      </c>
      <c r="O2507" s="13"/>
      <c r="P2507" s="11">
        <v>1.0</v>
      </c>
      <c r="Q2507" s="14">
        <v>1.0</v>
      </c>
      <c r="R2507" s="41">
        <v>0.0</v>
      </c>
      <c r="S2507">
        <f t="shared" si="1"/>
        <v>2000</v>
      </c>
      <c r="T2507">
        <f t="shared" si="2"/>
        <v>1</v>
      </c>
      <c r="U2507">
        <f t="shared" si="3"/>
        <v>1</v>
      </c>
      <c r="AG2507" s="15"/>
      <c r="AH2507" s="16"/>
      <c r="AM2507" s="15"/>
      <c r="AN2507" s="16"/>
    </row>
    <row r="2508">
      <c r="A2508" s="13" t="s">
        <v>4342</v>
      </c>
      <c r="B2508" s="10">
        <v>36526.0</v>
      </c>
      <c r="C2508" s="11" t="s">
        <v>116</v>
      </c>
      <c r="D2508" s="11" t="s">
        <v>38</v>
      </c>
      <c r="E2508" s="30" t="s">
        <v>39</v>
      </c>
      <c r="F2508" s="11" t="s">
        <v>40</v>
      </c>
      <c r="G2508" s="11" t="s">
        <v>326</v>
      </c>
      <c r="H2508" s="11"/>
      <c r="I2508" s="11"/>
      <c r="J2508" s="11">
        <v>26.0</v>
      </c>
      <c r="K2508" s="12">
        <v>37847.0</v>
      </c>
      <c r="L2508" s="30"/>
      <c r="M2508" s="11">
        <v>233694.0</v>
      </c>
      <c r="N2508" s="11">
        <v>1798.0</v>
      </c>
      <c r="P2508" s="11">
        <v>82.0</v>
      </c>
      <c r="Q2508" s="14">
        <v>85.333</v>
      </c>
      <c r="R2508" s="41">
        <v>0.0</v>
      </c>
      <c r="S2508">
        <f t="shared" si="1"/>
        <v>2000</v>
      </c>
      <c r="T2508">
        <f t="shared" si="2"/>
        <v>1</v>
      </c>
      <c r="U2508">
        <f t="shared" si="3"/>
        <v>1</v>
      </c>
      <c r="AG2508" s="15"/>
      <c r="AH2508" s="16"/>
      <c r="AM2508" s="15"/>
      <c r="AN2508" s="16"/>
    </row>
    <row r="2509">
      <c r="A2509" s="13" t="s">
        <v>4343</v>
      </c>
      <c r="B2509" s="10">
        <v>36526.0</v>
      </c>
      <c r="C2509" s="11" t="s">
        <v>116</v>
      </c>
      <c r="D2509" s="11" t="s">
        <v>38</v>
      </c>
      <c r="E2509" s="30" t="s">
        <v>39</v>
      </c>
      <c r="F2509" s="11" t="s">
        <v>64</v>
      </c>
      <c r="G2509" s="41" t="s">
        <v>41</v>
      </c>
      <c r="H2509" s="11"/>
      <c r="I2509" s="11"/>
      <c r="J2509" s="11">
        <v>22.0</v>
      </c>
      <c r="K2509" s="12">
        <v>36986.0</v>
      </c>
      <c r="L2509" s="30"/>
      <c r="M2509" s="11">
        <v>136602.0</v>
      </c>
      <c r="N2509" s="11">
        <v>668.0</v>
      </c>
      <c r="O2509" s="13" t="s">
        <v>761</v>
      </c>
      <c r="P2509" s="11">
        <v>224.0</v>
      </c>
      <c r="Q2509" s="45">
        <v>1231.3329999999996</v>
      </c>
      <c r="R2509" s="41">
        <v>0.0</v>
      </c>
      <c r="S2509">
        <f t="shared" si="1"/>
        <v>2000</v>
      </c>
      <c r="T2509">
        <f t="shared" si="2"/>
        <v>1</v>
      </c>
      <c r="U2509">
        <f t="shared" si="3"/>
        <v>1</v>
      </c>
      <c r="AG2509" s="15"/>
      <c r="AH2509" s="16"/>
      <c r="AM2509" s="15"/>
      <c r="AN2509" s="16"/>
    </row>
    <row r="2510">
      <c r="A2510" s="13" t="s">
        <v>4344</v>
      </c>
      <c r="B2510" s="10">
        <v>36526.0</v>
      </c>
      <c r="C2510" s="11" t="s">
        <v>116</v>
      </c>
      <c r="D2510" s="11" t="s">
        <v>221</v>
      </c>
      <c r="E2510" s="30" t="s">
        <v>39</v>
      </c>
      <c r="F2510" s="11" t="s">
        <v>40</v>
      </c>
      <c r="G2510" s="30" t="s">
        <v>45</v>
      </c>
      <c r="H2510" s="11" t="s">
        <v>129</v>
      </c>
      <c r="I2510" s="11"/>
      <c r="J2510" s="11">
        <v>19.0</v>
      </c>
      <c r="K2510" s="12">
        <v>36892.0</v>
      </c>
      <c r="L2510" s="30"/>
      <c r="M2510" s="11">
        <v>408046.0</v>
      </c>
      <c r="N2510" s="11">
        <v>2115.0</v>
      </c>
      <c r="P2510" s="11">
        <v>73.0</v>
      </c>
      <c r="Q2510" s="14">
        <v>86.667</v>
      </c>
      <c r="R2510" s="41">
        <v>0.0</v>
      </c>
      <c r="S2510">
        <f t="shared" si="1"/>
        <v>2000</v>
      </c>
      <c r="T2510">
        <f t="shared" si="2"/>
        <v>1</v>
      </c>
      <c r="U2510">
        <f t="shared" si="3"/>
        <v>1</v>
      </c>
      <c r="AG2510" s="15"/>
      <c r="AH2510" s="16"/>
      <c r="AM2510" s="15"/>
      <c r="AN2510" s="16"/>
    </row>
    <row r="2511">
      <c r="A2511" s="13" t="s">
        <v>4345</v>
      </c>
      <c r="B2511" s="10">
        <v>36526.0</v>
      </c>
      <c r="C2511" s="11" t="s">
        <v>72</v>
      </c>
      <c r="D2511" s="11" t="s">
        <v>38</v>
      </c>
      <c r="E2511" s="30" t="s">
        <v>39</v>
      </c>
      <c r="F2511" s="11" t="s">
        <v>40</v>
      </c>
      <c r="G2511" s="41" t="s">
        <v>41</v>
      </c>
      <c r="H2511" s="30"/>
      <c r="I2511" s="30"/>
      <c r="J2511" s="11">
        <v>23.0</v>
      </c>
      <c r="K2511" s="30"/>
      <c r="L2511" s="30"/>
      <c r="M2511" s="11">
        <v>150170.0</v>
      </c>
      <c r="N2511" s="11" t="s">
        <v>4346</v>
      </c>
      <c r="O2511" s="13" t="s">
        <v>3309</v>
      </c>
      <c r="P2511" s="11">
        <v>0.0</v>
      </c>
      <c r="Q2511" s="45">
        <v>0.0</v>
      </c>
      <c r="R2511" s="41">
        <v>0.0</v>
      </c>
      <c r="S2511">
        <f t="shared" si="1"/>
        <v>2000</v>
      </c>
      <c r="T2511">
        <f t="shared" si="2"/>
        <v>1</v>
      </c>
      <c r="U2511">
        <f t="shared" si="3"/>
        <v>1</v>
      </c>
      <c r="AG2511" s="15"/>
      <c r="AH2511" s="16"/>
      <c r="AM2511" s="15"/>
      <c r="AN2511" s="16"/>
    </row>
    <row r="2512">
      <c r="A2512" s="13" t="s">
        <v>4347</v>
      </c>
      <c r="B2512" s="10">
        <v>36526.0</v>
      </c>
      <c r="C2512" s="11" t="s">
        <v>143</v>
      </c>
      <c r="D2512" s="11" t="s">
        <v>97</v>
      </c>
      <c r="E2512" s="30" t="s">
        <v>39</v>
      </c>
      <c r="F2512" s="11" t="s">
        <v>40</v>
      </c>
      <c r="G2512" s="30" t="s">
        <v>45</v>
      </c>
      <c r="H2512" s="11" t="s">
        <v>182</v>
      </c>
      <c r="I2512" s="11"/>
      <c r="J2512" s="11">
        <v>19.0</v>
      </c>
      <c r="K2512" s="12">
        <v>37257.0</v>
      </c>
      <c r="L2512" s="30"/>
      <c r="M2512" s="11">
        <v>455643.0</v>
      </c>
      <c r="N2512" s="11"/>
      <c r="P2512" s="11">
        <v>0.0</v>
      </c>
      <c r="Q2512" s="14">
        <v>0.0</v>
      </c>
      <c r="R2512" s="41">
        <v>0.0</v>
      </c>
      <c r="S2512">
        <f t="shared" si="1"/>
        <v>2000</v>
      </c>
      <c r="T2512">
        <f t="shared" si="2"/>
        <v>1</v>
      </c>
      <c r="U2512">
        <f t="shared" si="3"/>
        <v>1</v>
      </c>
      <c r="AG2512" s="15"/>
      <c r="AH2512" s="16"/>
      <c r="AM2512" s="15"/>
      <c r="AN2512" s="16"/>
    </row>
    <row r="2513">
      <c r="A2513" s="13" t="s">
        <v>4348</v>
      </c>
      <c r="B2513" s="10">
        <v>36526.0</v>
      </c>
      <c r="C2513" s="11" t="s">
        <v>192</v>
      </c>
      <c r="D2513" s="11" t="s">
        <v>93</v>
      </c>
      <c r="E2513" s="11" t="s">
        <v>660</v>
      </c>
      <c r="F2513" s="11" t="s">
        <v>40</v>
      </c>
      <c r="G2513" s="30" t="s">
        <v>45</v>
      </c>
      <c r="H2513" s="11" t="s">
        <v>84</v>
      </c>
      <c r="I2513" s="11" t="s">
        <v>84</v>
      </c>
      <c r="J2513" s="11">
        <v>20.0</v>
      </c>
      <c r="K2513" s="12">
        <v>37257.0</v>
      </c>
      <c r="L2513" s="30"/>
      <c r="M2513" s="11">
        <v>434626.0</v>
      </c>
      <c r="N2513" s="11">
        <v>4443.0</v>
      </c>
      <c r="P2513" s="11">
        <v>169.0</v>
      </c>
      <c r="Q2513" s="14">
        <v>598.0</v>
      </c>
      <c r="R2513" s="41">
        <v>0.0</v>
      </c>
      <c r="S2513">
        <f t="shared" si="1"/>
        <v>2000</v>
      </c>
      <c r="T2513">
        <f t="shared" si="2"/>
        <v>1</v>
      </c>
      <c r="U2513">
        <f t="shared" si="3"/>
        <v>1</v>
      </c>
      <c r="AG2513" s="15"/>
      <c r="AH2513" s="16"/>
      <c r="AM2513" s="15"/>
      <c r="AN2513" s="16"/>
    </row>
    <row r="2514">
      <c r="A2514" s="13" t="s">
        <v>4349</v>
      </c>
      <c r="B2514" s="10">
        <v>36526.0</v>
      </c>
      <c r="C2514" s="11" t="s">
        <v>358</v>
      </c>
      <c r="D2514" s="11" t="s">
        <v>38</v>
      </c>
      <c r="E2514" s="30" t="s">
        <v>39</v>
      </c>
      <c r="F2514" s="11" t="s">
        <v>40</v>
      </c>
      <c r="G2514" s="30" t="s">
        <v>45</v>
      </c>
      <c r="H2514" s="11" t="s">
        <v>84</v>
      </c>
      <c r="I2514" s="11" t="s">
        <v>4193</v>
      </c>
      <c r="J2514" s="11">
        <v>25.0</v>
      </c>
      <c r="K2514" s="12">
        <v>37500.0</v>
      </c>
      <c r="L2514" s="30"/>
      <c r="M2514" s="11">
        <v>238796.0</v>
      </c>
      <c r="N2514" s="11">
        <v>1592.0</v>
      </c>
      <c r="P2514" s="11">
        <v>175.0</v>
      </c>
      <c r="Q2514" s="14">
        <v>248.333</v>
      </c>
      <c r="R2514" s="41">
        <v>0.0</v>
      </c>
      <c r="S2514">
        <f t="shared" si="1"/>
        <v>2000</v>
      </c>
      <c r="T2514">
        <f t="shared" si="2"/>
        <v>1</v>
      </c>
      <c r="U2514">
        <f t="shared" si="3"/>
        <v>1</v>
      </c>
      <c r="AG2514" s="15"/>
      <c r="AH2514" s="16"/>
      <c r="AM2514" s="15"/>
      <c r="AN2514" s="16"/>
    </row>
    <row r="2515">
      <c r="A2515" s="13" t="s">
        <v>4350</v>
      </c>
      <c r="B2515" s="10">
        <v>36526.0</v>
      </c>
      <c r="C2515" s="11" t="s">
        <v>358</v>
      </c>
      <c r="D2515" s="11" t="s">
        <v>38</v>
      </c>
      <c r="E2515" s="30" t="s">
        <v>39</v>
      </c>
      <c r="F2515" s="11" t="s">
        <v>40</v>
      </c>
      <c r="G2515" s="41" t="s">
        <v>53</v>
      </c>
      <c r="H2515" s="30"/>
      <c r="I2515" s="30"/>
      <c r="J2515" s="11">
        <v>23.0</v>
      </c>
      <c r="K2515" s="12">
        <v>37867.0</v>
      </c>
      <c r="L2515" s="30"/>
      <c r="M2515" s="11">
        <v>150205.0</v>
      </c>
      <c r="N2515" s="11">
        <v>617.0</v>
      </c>
      <c r="P2515" s="11">
        <v>40.0</v>
      </c>
      <c r="Q2515" s="14">
        <v>42.667</v>
      </c>
      <c r="R2515" s="41">
        <v>0.0</v>
      </c>
      <c r="S2515">
        <f t="shared" si="1"/>
        <v>2000</v>
      </c>
      <c r="T2515">
        <f t="shared" si="2"/>
        <v>1</v>
      </c>
      <c r="U2515">
        <f t="shared" si="3"/>
        <v>1</v>
      </c>
      <c r="AG2515" s="15"/>
      <c r="AH2515" s="16"/>
      <c r="AM2515" s="15"/>
      <c r="AN2515" s="16"/>
    </row>
    <row r="2516">
      <c r="A2516" s="13" t="s">
        <v>4228</v>
      </c>
      <c r="B2516" s="10">
        <v>36526.0</v>
      </c>
      <c r="C2516" s="11" t="s">
        <v>126</v>
      </c>
      <c r="D2516" s="11" t="s">
        <v>88</v>
      </c>
      <c r="E2516" s="30" t="s">
        <v>39</v>
      </c>
      <c r="F2516" s="11" t="s">
        <v>64</v>
      </c>
      <c r="G2516" s="41" t="s">
        <v>245</v>
      </c>
      <c r="H2516" s="30"/>
      <c r="I2516" s="30"/>
      <c r="J2516" s="11">
        <v>18.0</v>
      </c>
      <c r="K2516" s="12">
        <v>37257.0</v>
      </c>
      <c r="L2516" s="30"/>
      <c r="M2516" s="11">
        <v>425539.0</v>
      </c>
      <c r="N2516" s="11">
        <v>7016.0</v>
      </c>
      <c r="P2516" s="11">
        <v>218.0</v>
      </c>
      <c r="Q2516" s="14">
        <v>292.333</v>
      </c>
      <c r="R2516" s="41">
        <v>0.0</v>
      </c>
      <c r="S2516">
        <f t="shared" si="1"/>
        <v>2000</v>
      </c>
      <c r="T2516">
        <f t="shared" si="2"/>
        <v>1</v>
      </c>
      <c r="U2516">
        <f t="shared" si="3"/>
        <v>1</v>
      </c>
      <c r="AG2516" s="15"/>
      <c r="AH2516" s="16"/>
      <c r="AM2516" s="15"/>
      <c r="AN2516" s="16"/>
    </row>
    <row r="2517">
      <c r="A2517" s="13" t="s">
        <v>4351</v>
      </c>
      <c r="B2517" s="10">
        <v>36526.0</v>
      </c>
      <c r="C2517" s="11" t="s">
        <v>55</v>
      </c>
      <c r="D2517" s="11" t="s">
        <v>38</v>
      </c>
      <c r="E2517" s="30" t="s">
        <v>39</v>
      </c>
      <c r="F2517" s="11" t="s">
        <v>40</v>
      </c>
      <c r="G2517" s="30" t="s">
        <v>45</v>
      </c>
      <c r="H2517" s="11" t="s">
        <v>56</v>
      </c>
      <c r="I2517" s="11" t="s">
        <v>2830</v>
      </c>
      <c r="J2517" s="11">
        <v>26.0</v>
      </c>
      <c r="K2517" s="12">
        <v>37124.0</v>
      </c>
      <c r="L2517" s="30"/>
      <c r="M2517" s="11">
        <v>112662.0</v>
      </c>
      <c r="N2517" s="11">
        <v>1002604.0</v>
      </c>
      <c r="O2517" s="13" t="s">
        <v>761</v>
      </c>
      <c r="P2517" s="11">
        <v>8.0</v>
      </c>
      <c r="Q2517" s="14">
        <v>22.667</v>
      </c>
      <c r="R2517" s="41">
        <v>0.0</v>
      </c>
      <c r="S2517">
        <f t="shared" si="1"/>
        <v>2000</v>
      </c>
      <c r="T2517">
        <f t="shared" si="2"/>
        <v>1</v>
      </c>
      <c r="U2517">
        <f t="shared" si="3"/>
        <v>1</v>
      </c>
      <c r="AG2517" s="15"/>
      <c r="AH2517" s="16"/>
      <c r="AM2517" s="15"/>
      <c r="AN2517" s="16"/>
    </row>
    <row r="2518">
      <c r="A2518" s="13" t="s">
        <v>4352</v>
      </c>
      <c r="B2518" s="10">
        <v>36526.0</v>
      </c>
      <c r="C2518" s="11" t="s">
        <v>49</v>
      </c>
      <c r="D2518" s="11" t="s">
        <v>88</v>
      </c>
      <c r="E2518" s="30" t="s">
        <v>39</v>
      </c>
      <c r="F2518" s="11" t="s">
        <v>40</v>
      </c>
      <c r="G2518" s="41" t="s">
        <v>803</v>
      </c>
      <c r="H2518" s="30"/>
      <c r="I2518" s="30"/>
      <c r="J2518" s="11">
        <v>23.0</v>
      </c>
      <c r="K2518" s="12">
        <v>36892.0</v>
      </c>
      <c r="L2518" s="30"/>
      <c r="M2518" s="11">
        <v>150242.0</v>
      </c>
      <c r="N2518" s="11">
        <v>895.0</v>
      </c>
      <c r="P2518" s="11">
        <v>118.0</v>
      </c>
      <c r="Q2518" s="14">
        <v>606.333</v>
      </c>
      <c r="R2518" s="41">
        <v>0.0</v>
      </c>
      <c r="S2518">
        <f t="shared" si="1"/>
        <v>2000</v>
      </c>
      <c r="T2518">
        <f t="shared" si="2"/>
        <v>1</v>
      </c>
      <c r="U2518">
        <f t="shared" si="3"/>
        <v>1</v>
      </c>
      <c r="AG2518" s="15"/>
      <c r="AH2518" s="16"/>
      <c r="AM2518" s="15"/>
      <c r="AN2518" s="16"/>
    </row>
    <row r="2519">
      <c r="A2519" s="13" t="s">
        <v>4353</v>
      </c>
      <c r="B2519" s="10">
        <v>36526.0</v>
      </c>
      <c r="C2519" s="11" t="s">
        <v>230</v>
      </c>
      <c r="D2519" s="11" t="s">
        <v>213</v>
      </c>
      <c r="E2519" s="11" t="s">
        <v>39</v>
      </c>
      <c r="F2519" s="11" t="s">
        <v>40</v>
      </c>
      <c r="G2519" s="11" t="s">
        <v>45</v>
      </c>
      <c r="H2519" s="11" t="s">
        <v>84</v>
      </c>
      <c r="I2519" s="11" t="s">
        <v>2888</v>
      </c>
      <c r="J2519" s="11">
        <v>17.0</v>
      </c>
      <c r="K2519" s="12">
        <v>37257.0</v>
      </c>
      <c r="L2519" s="11"/>
      <c r="M2519" s="11">
        <v>459332.0</v>
      </c>
      <c r="N2519" s="11" t="s">
        <v>4354</v>
      </c>
      <c r="O2519" s="13" t="s">
        <v>4156</v>
      </c>
      <c r="P2519" s="11">
        <v>0.0</v>
      </c>
      <c r="Q2519" s="14">
        <v>0.0</v>
      </c>
      <c r="R2519" s="41">
        <v>0.0</v>
      </c>
      <c r="S2519">
        <f t="shared" si="1"/>
        <v>2000</v>
      </c>
      <c r="T2519">
        <f t="shared" si="2"/>
        <v>1</v>
      </c>
      <c r="U2519">
        <f t="shared" si="3"/>
        <v>1</v>
      </c>
      <c r="AG2519" s="15"/>
      <c r="AH2519" s="16"/>
      <c r="AM2519" s="15"/>
      <c r="AN2519" s="16"/>
    </row>
    <row r="2520">
      <c r="A2520" s="13" t="s">
        <v>4355</v>
      </c>
      <c r="B2520" s="10">
        <v>36526.0</v>
      </c>
      <c r="C2520" s="11" t="s">
        <v>230</v>
      </c>
      <c r="D2520" s="11" t="s">
        <v>38</v>
      </c>
      <c r="E2520" s="30" t="s">
        <v>39</v>
      </c>
      <c r="F2520" s="11" t="s">
        <v>40</v>
      </c>
      <c r="G2520" s="30" t="s">
        <v>45</v>
      </c>
      <c r="H2520" s="11" t="s">
        <v>566</v>
      </c>
      <c r="I2520" s="11"/>
      <c r="J2520" s="11">
        <v>25.0</v>
      </c>
      <c r="K2520" s="30"/>
      <c r="L2520" s="30"/>
      <c r="M2520" s="11">
        <v>112415.0</v>
      </c>
      <c r="N2520" s="11">
        <v>1002362.0</v>
      </c>
      <c r="O2520" s="13" t="s">
        <v>3309</v>
      </c>
      <c r="P2520" s="11">
        <v>0.0</v>
      </c>
      <c r="Q2520" s="45">
        <v>0.0</v>
      </c>
      <c r="R2520" s="41">
        <v>0.0</v>
      </c>
      <c r="S2520">
        <f t="shared" si="1"/>
        <v>2000</v>
      </c>
      <c r="T2520">
        <f t="shared" si="2"/>
        <v>1</v>
      </c>
      <c r="U2520">
        <f t="shared" si="3"/>
        <v>1</v>
      </c>
      <c r="AG2520" s="15"/>
      <c r="AH2520" s="16"/>
      <c r="AM2520" s="15"/>
      <c r="AN2520" s="16"/>
    </row>
    <row r="2521">
      <c r="A2521" s="13" t="s">
        <v>4356</v>
      </c>
      <c r="B2521" s="10">
        <v>36526.0</v>
      </c>
      <c r="C2521" s="11" t="s">
        <v>62</v>
      </c>
      <c r="D2521" s="11" t="s">
        <v>38</v>
      </c>
      <c r="E2521" s="30" t="s">
        <v>39</v>
      </c>
      <c r="F2521" s="11" t="s">
        <v>40</v>
      </c>
      <c r="G2521" s="30" t="s">
        <v>45</v>
      </c>
      <c r="H2521" s="11" t="s">
        <v>129</v>
      </c>
      <c r="I2521" s="11"/>
      <c r="J2521" s="11">
        <v>28.0</v>
      </c>
      <c r="K2521" s="12">
        <v>37448.0</v>
      </c>
      <c r="L2521" s="30"/>
      <c r="M2521" s="11">
        <v>121258.0</v>
      </c>
      <c r="N2521" s="11">
        <v>969.0</v>
      </c>
      <c r="P2521" s="11">
        <v>90.0</v>
      </c>
      <c r="Q2521" s="14">
        <v>192.667</v>
      </c>
      <c r="R2521" s="41">
        <v>0.0</v>
      </c>
      <c r="S2521">
        <f t="shared" si="1"/>
        <v>2000</v>
      </c>
      <c r="T2521">
        <f t="shared" si="2"/>
        <v>1</v>
      </c>
      <c r="U2521">
        <f t="shared" si="3"/>
        <v>1</v>
      </c>
      <c r="AG2521" s="15"/>
      <c r="AH2521" s="16"/>
      <c r="AM2521" s="15"/>
      <c r="AN2521" s="16"/>
    </row>
    <row r="2522">
      <c r="A2522" s="13" t="s">
        <v>4357</v>
      </c>
      <c r="B2522" s="10">
        <v>36507.0</v>
      </c>
      <c r="C2522" s="11" t="s">
        <v>72</v>
      </c>
      <c r="D2522" s="11" t="s">
        <v>38</v>
      </c>
      <c r="E2522" s="30" t="s">
        <v>39</v>
      </c>
      <c r="F2522" s="11" t="s">
        <v>40</v>
      </c>
      <c r="G2522" s="30" t="s">
        <v>45</v>
      </c>
      <c r="H2522" s="11" t="s">
        <v>84</v>
      </c>
      <c r="I2522" s="11"/>
      <c r="J2522" s="11">
        <v>31.0</v>
      </c>
      <c r="K2522" s="12">
        <v>37014.0</v>
      </c>
      <c r="L2522" s="11">
        <f>ROUND(((K2522-B2522)/365)*12,0)</f>
        <v>17</v>
      </c>
      <c r="M2522" s="11">
        <v>114971.0</v>
      </c>
      <c r="N2522" s="11">
        <v>282.0</v>
      </c>
      <c r="O2522" s="13" t="s">
        <v>761</v>
      </c>
      <c r="P2522" s="11">
        <v>446.0</v>
      </c>
      <c r="Q2522" s="45">
        <v>463.0</v>
      </c>
      <c r="R2522" s="41">
        <v>0.0</v>
      </c>
      <c r="S2522">
        <f t="shared" si="1"/>
        <v>1999</v>
      </c>
      <c r="T2522">
        <f t="shared" si="2"/>
        <v>12</v>
      </c>
      <c r="U2522">
        <f t="shared" si="3"/>
        <v>13</v>
      </c>
      <c r="AG2522" s="15"/>
      <c r="AH2522" s="16"/>
      <c r="AM2522" s="15"/>
      <c r="AN2522" s="16"/>
    </row>
    <row r="2523">
      <c r="A2523" s="13" t="s">
        <v>4358</v>
      </c>
      <c r="B2523" s="10">
        <v>36424.0</v>
      </c>
      <c r="C2523" s="11" t="s">
        <v>150</v>
      </c>
      <c r="D2523" s="11" t="s">
        <v>38</v>
      </c>
      <c r="E2523" s="30" t="s">
        <v>39</v>
      </c>
      <c r="F2523" s="11" t="s">
        <v>64</v>
      </c>
      <c r="G2523" s="30" t="s">
        <v>45</v>
      </c>
      <c r="H2523" s="11" t="s">
        <v>56</v>
      </c>
      <c r="I2523" s="11" t="s">
        <v>4359</v>
      </c>
      <c r="J2523" s="11">
        <v>27.0</v>
      </c>
      <c r="K2523" s="30"/>
      <c r="L2523" s="30"/>
      <c r="M2523" s="11">
        <v>110788.0</v>
      </c>
      <c r="N2523" s="11">
        <v>1000770.0</v>
      </c>
      <c r="P2523" s="11">
        <v>0.0</v>
      </c>
      <c r="Q2523" s="45">
        <v>0.0</v>
      </c>
      <c r="R2523" s="41">
        <v>0.0</v>
      </c>
      <c r="S2523">
        <f t="shared" si="1"/>
        <v>1999</v>
      </c>
      <c r="T2523">
        <f t="shared" si="2"/>
        <v>9</v>
      </c>
      <c r="U2523">
        <f t="shared" si="3"/>
        <v>21</v>
      </c>
      <c r="AG2523" s="15"/>
      <c r="AH2523" s="16"/>
      <c r="AM2523" s="15"/>
      <c r="AN2523" s="16"/>
    </row>
    <row r="2524">
      <c r="A2524" s="13" t="s">
        <v>4360</v>
      </c>
      <c r="B2524" s="10">
        <v>36393.0</v>
      </c>
      <c r="C2524" s="11" t="s">
        <v>116</v>
      </c>
      <c r="D2524" s="11" t="s">
        <v>58</v>
      </c>
      <c r="E2524" s="30" t="s">
        <v>39</v>
      </c>
      <c r="F2524" s="11" t="s">
        <v>40</v>
      </c>
      <c r="G2524" s="30" t="s">
        <v>45</v>
      </c>
      <c r="H2524" s="11" t="s">
        <v>67</v>
      </c>
      <c r="I2524" s="11" t="s">
        <v>3520</v>
      </c>
      <c r="J2524" s="11">
        <v>24.0</v>
      </c>
      <c r="K2524" s="12">
        <v>36892.0</v>
      </c>
      <c r="L2524" s="30"/>
      <c r="M2524" s="11">
        <v>406874.0</v>
      </c>
      <c r="N2524" s="11">
        <v>108.0</v>
      </c>
      <c r="P2524" s="11">
        <v>157.0</v>
      </c>
      <c r="Q2524" s="14">
        <v>152.0</v>
      </c>
      <c r="R2524" s="41">
        <v>0.0</v>
      </c>
      <c r="S2524">
        <f t="shared" si="1"/>
        <v>1999</v>
      </c>
      <c r="T2524">
        <f t="shared" si="2"/>
        <v>8</v>
      </c>
      <c r="U2524">
        <f t="shared" si="3"/>
        <v>21</v>
      </c>
      <c r="AG2524" s="15"/>
      <c r="AH2524" s="16"/>
      <c r="AM2524" s="15"/>
      <c r="AN2524" s="16"/>
    </row>
    <row r="2525">
      <c r="A2525" s="13" t="s">
        <v>3337</v>
      </c>
      <c r="B2525" s="10">
        <v>36373.0</v>
      </c>
      <c r="C2525" s="11" t="s">
        <v>162</v>
      </c>
      <c r="D2525" s="11" t="s">
        <v>221</v>
      </c>
      <c r="E2525" s="30" t="s">
        <v>39</v>
      </c>
      <c r="F2525" s="11" t="s">
        <v>40</v>
      </c>
      <c r="G2525" s="30" t="s">
        <v>45</v>
      </c>
      <c r="H2525" s="11" t="s">
        <v>127</v>
      </c>
      <c r="I2525" s="11"/>
      <c r="J2525" s="11">
        <v>18.0</v>
      </c>
      <c r="K2525" s="12">
        <v>36892.0</v>
      </c>
      <c r="L2525" s="30"/>
      <c r="M2525" s="11">
        <v>434298.0</v>
      </c>
      <c r="N2525" s="11">
        <v>2467.0</v>
      </c>
      <c r="P2525" s="11">
        <v>461.0</v>
      </c>
      <c r="Q2525" s="14">
        <v>438.667</v>
      </c>
      <c r="R2525" s="41">
        <v>0.0</v>
      </c>
      <c r="S2525">
        <f t="shared" si="1"/>
        <v>1999</v>
      </c>
      <c r="T2525">
        <f t="shared" si="2"/>
        <v>8</v>
      </c>
      <c r="U2525">
        <f t="shared" si="3"/>
        <v>1</v>
      </c>
      <c r="AG2525" s="15"/>
      <c r="AH2525" s="16"/>
      <c r="AM2525" s="15"/>
      <c r="AN2525" s="16"/>
    </row>
    <row r="2526">
      <c r="A2526" s="13" t="s">
        <v>4361</v>
      </c>
      <c r="B2526" s="10">
        <v>36368.0</v>
      </c>
      <c r="C2526" s="11" t="s">
        <v>55</v>
      </c>
      <c r="D2526" s="11" t="s">
        <v>38</v>
      </c>
      <c r="E2526" s="30" t="s">
        <v>39</v>
      </c>
      <c r="F2526" s="11" t="s">
        <v>40</v>
      </c>
      <c r="G2526" s="30" t="s">
        <v>45</v>
      </c>
      <c r="H2526" s="11" t="s">
        <v>56</v>
      </c>
      <c r="I2526" s="11" t="s">
        <v>4362</v>
      </c>
      <c r="J2526" s="11">
        <v>28.0</v>
      </c>
      <c r="K2526" s="12">
        <v>36995.0</v>
      </c>
      <c r="L2526" s="11">
        <f t="shared" ref="L2526:L2527" si="258">ROUND(((K2526-B2526)/365)*12,0)</f>
        <v>21</v>
      </c>
      <c r="M2526" s="11">
        <v>114354.0</v>
      </c>
      <c r="N2526" s="11">
        <v>684.0</v>
      </c>
      <c r="O2526" s="13" t="s">
        <v>761</v>
      </c>
      <c r="P2526" s="11">
        <v>134.0</v>
      </c>
      <c r="Q2526" s="45">
        <v>137.0</v>
      </c>
      <c r="R2526" s="41">
        <v>0.0</v>
      </c>
      <c r="S2526">
        <f t="shared" si="1"/>
        <v>1999</v>
      </c>
      <c r="T2526">
        <f t="shared" si="2"/>
        <v>7</v>
      </c>
      <c r="U2526">
        <f t="shared" si="3"/>
        <v>27</v>
      </c>
      <c r="AG2526" s="15"/>
      <c r="AH2526" s="16"/>
      <c r="AM2526" s="15"/>
      <c r="AN2526" s="16"/>
    </row>
    <row r="2527">
      <c r="A2527" s="13" t="s">
        <v>4363</v>
      </c>
      <c r="B2527" s="10">
        <v>36347.0</v>
      </c>
      <c r="C2527" s="11" t="s">
        <v>116</v>
      </c>
      <c r="D2527" s="11" t="s">
        <v>38</v>
      </c>
      <c r="E2527" s="30" t="s">
        <v>39</v>
      </c>
      <c r="F2527" s="11" t="s">
        <v>40</v>
      </c>
      <c r="G2527" s="30" t="s">
        <v>45</v>
      </c>
      <c r="H2527" s="11" t="s">
        <v>729</v>
      </c>
      <c r="I2527" s="11"/>
      <c r="J2527" s="11">
        <v>29.0</v>
      </c>
      <c r="K2527" s="12">
        <v>36726.0</v>
      </c>
      <c r="L2527" s="11">
        <f t="shared" si="258"/>
        <v>12</v>
      </c>
      <c r="M2527" s="11">
        <v>124498.0</v>
      </c>
      <c r="N2527" s="11">
        <v>414.0</v>
      </c>
      <c r="O2527" s="13" t="s">
        <v>761</v>
      </c>
      <c r="P2527" s="11">
        <v>145.0</v>
      </c>
      <c r="Q2527" s="45">
        <v>167.0</v>
      </c>
      <c r="R2527" s="41">
        <v>0.0</v>
      </c>
      <c r="S2527">
        <f t="shared" si="1"/>
        <v>1999</v>
      </c>
      <c r="T2527">
        <f t="shared" si="2"/>
        <v>7</v>
      </c>
      <c r="U2527">
        <f t="shared" si="3"/>
        <v>6</v>
      </c>
      <c r="AG2527" s="15"/>
      <c r="AH2527" s="16"/>
      <c r="AM2527" s="15"/>
      <c r="AN2527" s="16"/>
    </row>
    <row r="2528">
      <c r="A2528" s="13" t="s">
        <v>4364</v>
      </c>
      <c r="B2528" s="10">
        <v>36343.0</v>
      </c>
      <c r="C2528" s="11" t="s">
        <v>167</v>
      </c>
      <c r="D2528" s="11" t="s">
        <v>58</v>
      </c>
      <c r="E2528" s="30" t="s">
        <v>39</v>
      </c>
      <c r="F2528" s="11" t="s">
        <v>40</v>
      </c>
      <c r="G2528" s="41" t="s">
        <v>53</v>
      </c>
      <c r="H2528" s="11"/>
      <c r="I2528" s="11"/>
      <c r="J2528" s="11">
        <v>24.0</v>
      </c>
      <c r="K2528" s="12">
        <v>37257.0</v>
      </c>
      <c r="L2528" s="11"/>
      <c r="M2528" s="11">
        <v>114928.0</v>
      </c>
      <c r="N2528" s="11">
        <v>1711.0</v>
      </c>
      <c r="P2528" s="11">
        <v>88.0</v>
      </c>
      <c r="Q2528" s="14">
        <v>318.667</v>
      </c>
      <c r="R2528" s="41">
        <v>0.0</v>
      </c>
      <c r="S2528">
        <f t="shared" si="1"/>
        <v>1999</v>
      </c>
      <c r="T2528">
        <f t="shared" si="2"/>
        <v>7</v>
      </c>
      <c r="U2528">
        <f t="shared" si="3"/>
        <v>2</v>
      </c>
      <c r="AG2528" s="15"/>
      <c r="AH2528" s="16"/>
      <c r="AM2528" s="15"/>
      <c r="AN2528" s="16"/>
    </row>
    <row r="2529">
      <c r="A2529" s="13" t="s">
        <v>4365</v>
      </c>
      <c r="B2529" s="10">
        <v>36326.0</v>
      </c>
      <c r="C2529" s="11" t="s">
        <v>111</v>
      </c>
      <c r="D2529" s="11" t="s">
        <v>58</v>
      </c>
      <c r="E2529" s="30" t="s">
        <v>39</v>
      </c>
      <c r="F2529" s="11" t="s">
        <v>40</v>
      </c>
      <c r="G2529" s="30" t="s">
        <v>45</v>
      </c>
      <c r="H2529" s="11" t="s">
        <v>46</v>
      </c>
      <c r="I2529" s="11" t="s">
        <v>46</v>
      </c>
      <c r="J2529" s="11">
        <v>23.0</v>
      </c>
      <c r="K2529" s="12">
        <v>37372.0</v>
      </c>
      <c r="L2529" s="11">
        <f t="shared" ref="L2529:L2533" si="259">ROUND(((K2529-B2529)/365)*12,0)</f>
        <v>34</v>
      </c>
      <c r="M2529" s="11">
        <v>133960.0</v>
      </c>
      <c r="N2529" s="11">
        <v>467.0</v>
      </c>
      <c r="P2529" s="11">
        <v>21.0</v>
      </c>
      <c r="Q2529" s="14">
        <v>93.667</v>
      </c>
      <c r="R2529" s="41">
        <v>0.0</v>
      </c>
      <c r="S2529">
        <f t="shared" si="1"/>
        <v>1999</v>
      </c>
      <c r="T2529">
        <f t="shared" si="2"/>
        <v>6</v>
      </c>
      <c r="U2529">
        <f t="shared" si="3"/>
        <v>15</v>
      </c>
      <c r="AG2529" s="15"/>
      <c r="AH2529" s="16"/>
      <c r="AM2529" s="15"/>
      <c r="AN2529" s="16"/>
    </row>
    <row r="2530">
      <c r="A2530" s="13" t="s">
        <v>4366</v>
      </c>
      <c r="B2530" s="10">
        <v>36273.0</v>
      </c>
      <c r="C2530" s="11" t="s">
        <v>358</v>
      </c>
      <c r="D2530" s="11" t="s">
        <v>38</v>
      </c>
      <c r="E2530" s="11" t="s">
        <v>39</v>
      </c>
      <c r="F2530" s="11" t="s">
        <v>40</v>
      </c>
      <c r="G2530" s="11" t="s">
        <v>41</v>
      </c>
      <c r="H2530" s="11"/>
      <c r="I2530" s="11"/>
      <c r="J2530" s="11">
        <v>29.0</v>
      </c>
      <c r="K2530" s="12">
        <v>36677.0</v>
      </c>
      <c r="L2530" s="11">
        <f t="shared" si="259"/>
        <v>13</v>
      </c>
      <c r="M2530" s="11">
        <v>120539.0</v>
      </c>
      <c r="N2530" s="11">
        <v>1472.0</v>
      </c>
      <c r="O2530" s="13"/>
      <c r="P2530" s="11">
        <v>69.0</v>
      </c>
      <c r="Q2530" s="14">
        <v>100.0</v>
      </c>
      <c r="R2530" s="41">
        <v>0.0</v>
      </c>
      <c r="S2530">
        <f t="shared" si="1"/>
        <v>1999</v>
      </c>
      <c r="T2530">
        <f t="shared" si="2"/>
        <v>4</v>
      </c>
      <c r="U2530">
        <f t="shared" si="3"/>
        <v>23</v>
      </c>
      <c r="AG2530" s="15"/>
      <c r="AH2530" s="16"/>
      <c r="AM2530" s="15"/>
      <c r="AN2530" s="16"/>
    </row>
    <row r="2531">
      <c r="A2531" s="13" t="s">
        <v>4367</v>
      </c>
      <c r="B2531" s="10">
        <v>36263.0</v>
      </c>
      <c r="C2531" s="11" t="s">
        <v>83</v>
      </c>
      <c r="D2531" s="11" t="s">
        <v>38</v>
      </c>
      <c r="E2531" s="30" t="s">
        <v>39</v>
      </c>
      <c r="F2531" s="11" t="s">
        <v>40</v>
      </c>
      <c r="G2531" s="30" t="s">
        <v>45</v>
      </c>
      <c r="H2531" s="11" t="s">
        <v>59</v>
      </c>
      <c r="I2531" s="11" t="s">
        <v>1071</v>
      </c>
      <c r="J2531" s="11">
        <v>24.0</v>
      </c>
      <c r="K2531" s="12">
        <v>36676.0</v>
      </c>
      <c r="L2531" s="11">
        <f t="shared" si="259"/>
        <v>14</v>
      </c>
      <c r="M2531" s="11">
        <v>119403.0</v>
      </c>
      <c r="N2531" s="11">
        <v>1172.0</v>
      </c>
      <c r="O2531" s="13" t="s">
        <v>761</v>
      </c>
      <c r="P2531" s="11">
        <v>257.0</v>
      </c>
      <c r="Q2531" s="45">
        <v>1475.3329999999996</v>
      </c>
      <c r="R2531" s="41">
        <v>0.0</v>
      </c>
      <c r="S2531">
        <f t="shared" si="1"/>
        <v>1999</v>
      </c>
      <c r="T2531">
        <f t="shared" si="2"/>
        <v>4</v>
      </c>
      <c r="U2531">
        <f t="shared" si="3"/>
        <v>13</v>
      </c>
      <c r="AG2531" s="15"/>
      <c r="AH2531" s="16"/>
      <c r="AM2531" s="15"/>
      <c r="AN2531" s="16"/>
    </row>
    <row r="2532">
      <c r="A2532" s="13" t="s">
        <v>4368</v>
      </c>
      <c r="B2532" s="10">
        <v>36258.0</v>
      </c>
      <c r="C2532" s="11" t="s">
        <v>167</v>
      </c>
      <c r="D2532" s="11" t="s">
        <v>38</v>
      </c>
      <c r="E2532" s="30" t="s">
        <v>39</v>
      </c>
      <c r="F2532" s="11" t="s">
        <v>40</v>
      </c>
      <c r="G2532" s="30" t="s">
        <v>45</v>
      </c>
      <c r="H2532" s="11" t="s">
        <v>56</v>
      </c>
      <c r="I2532" s="11"/>
      <c r="J2532" s="11">
        <v>22.0</v>
      </c>
      <c r="K2532" s="12">
        <v>36648.0</v>
      </c>
      <c r="L2532" s="11">
        <f t="shared" si="259"/>
        <v>13</v>
      </c>
      <c r="M2532" s="11">
        <v>134268.0</v>
      </c>
      <c r="N2532" s="11">
        <v>304.0</v>
      </c>
      <c r="O2532" s="13" t="s">
        <v>761</v>
      </c>
      <c r="P2532" s="11">
        <v>420.0</v>
      </c>
      <c r="Q2532" s="45">
        <v>1213.3329999999996</v>
      </c>
      <c r="R2532" s="41">
        <v>0.0</v>
      </c>
      <c r="S2532">
        <f t="shared" si="1"/>
        <v>1999</v>
      </c>
      <c r="T2532">
        <f t="shared" si="2"/>
        <v>4</v>
      </c>
      <c r="U2532">
        <f t="shared" si="3"/>
        <v>8</v>
      </c>
      <c r="AG2532" s="15"/>
      <c r="AH2532" s="16"/>
      <c r="AM2532" s="15"/>
      <c r="AN2532" s="16"/>
    </row>
    <row r="2533">
      <c r="A2533" s="13" t="s">
        <v>4369</v>
      </c>
      <c r="B2533" s="10">
        <v>36256.0</v>
      </c>
      <c r="C2533" s="11" t="s">
        <v>116</v>
      </c>
      <c r="D2533" s="11" t="s">
        <v>38</v>
      </c>
      <c r="E2533" s="30" t="s">
        <v>39</v>
      </c>
      <c r="F2533" s="11" t="s">
        <v>40</v>
      </c>
      <c r="G2533" s="30" t="s">
        <v>45</v>
      </c>
      <c r="H2533" s="11" t="s">
        <v>258</v>
      </c>
      <c r="I2533" s="11" t="s">
        <v>258</v>
      </c>
      <c r="J2533" s="11">
        <v>28.0</v>
      </c>
      <c r="K2533" s="12">
        <v>36621.0</v>
      </c>
      <c r="L2533" s="11">
        <f t="shared" si="259"/>
        <v>12</v>
      </c>
      <c r="M2533" s="11">
        <v>117763.0</v>
      </c>
      <c r="N2533" s="11">
        <v>100.0</v>
      </c>
      <c r="O2533" s="13" t="s">
        <v>761</v>
      </c>
      <c r="P2533" s="11">
        <v>296.0</v>
      </c>
      <c r="Q2533" s="14">
        <v>302.667</v>
      </c>
      <c r="R2533" s="41">
        <v>0.0</v>
      </c>
      <c r="S2533">
        <f t="shared" si="1"/>
        <v>1999</v>
      </c>
      <c r="T2533">
        <f t="shared" si="2"/>
        <v>4</v>
      </c>
      <c r="U2533">
        <f t="shared" si="3"/>
        <v>6</v>
      </c>
      <c r="AG2533" s="15"/>
      <c r="AH2533" s="16"/>
      <c r="AM2533" s="15"/>
      <c r="AN2533" s="16"/>
    </row>
    <row r="2534">
      <c r="A2534" s="13" t="s">
        <v>4370</v>
      </c>
      <c r="B2534" s="10">
        <v>36221.0</v>
      </c>
      <c r="C2534" s="11" t="s">
        <v>143</v>
      </c>
      <c r="D2534" s="11" t="s">
        <v>88</v>
      </c>
      <c r="E2534" s="30" t="s">
        <v>39</v>
      </c>
      <c r="F2534" s="11" t="s">
        <v>40</v>
      </c>
      <c r="G2534" s="30" t="s">
        <v>45</v>
      </c>
      <c r="H2534" s="11" t="s">
        <v>67</v>
      </c>
      <c r="I2534" s="11" t="s">
        <v>1793</v>
      </c>
      <c r="J2534" s="11">
        <v>23.0</v>
      </c>
      <c r="K2534" s="12">
        <v>36526.0</v>
      </c>
      <c r="L2534" s="30"/>
      <c r="M2534" s="11">
        <v>335092.0</v>
      </c>
      <c r="N2534" s="11">
        <v>223.0</v>
      </c>
      <c r="P2534" s="11">
        <v>198.0</v>
      </c>
      <c r="Q2534" s="14">
        <v>378.667</v>
      </c>
      <c r="R2534" s="41">
        <v>0.0</v>
      </c>
      <c r="S2534">
        <f t="shared" si="1"/>
        <v>1999</v>
      </c>
      <c r="T2534">
        <f t="shared" si="2"/>
        <v>3</v>
      </c>
      <c r="U2534">
        <f t="shared" si="3"/>
        <v>2</v>
      </c>
      <c r="AG2534" s="15"/>
      <c r="AH2534" s="16"/>
      <c r="AM2534" s="15"/>
      <c r="AN2534" s="16"/>
    </row>
    <row r="2535">
      <c r="A2535" s="13" t="s">
        <v>4371</v>
      </c>
      <c r="B2535" s="10">
        <v>36161.0</v>
      </c>
      <c r="C2535" s="11" t="s">
        <v>138</v>
      </c>
      <c r="D2535" s="11" t="s">
        <v>38</v>
      </c>
      <c r="E2535" s="30" t="s">
        <v>39</v>
      </c>
      <c r="F2535" s="11" t="s">
        <v>40</v>
      </c>
      <c r="G2535" s="30" t="s">
        <v>45</v>
      </c>
      <c r="H2535" s="11" t="s">
        <v>182</v>
      </c>
      <c r="I2535" s="11"/>
      <c r="J2535" s="11">
        <v>21.0</v>
      </c>
      <c r="K2535" s="12">
        <v>38104.0</v>
      </c>
      <c r="L2535" s="30"/>
      <c r="M2535" s="11">
        <v>237346.0</v>
      </c>
      <c r="N2535" s="11">
        <v>1859.0</v>
      </c>
      <c r="P2535" s="11">
        <v>62.0</v>
      </c>
      <c r="Q2535" s="14">
        <v>72.667</v>
      </c>
      <c r="R2535" s="41">
        <v>0.0</v>
      </c>
      <c r="S2535">
        <f t="shared" si="1"/>
        <v>1999</v>
      </c>
      <c r="T2535">
        <f t="shared" si="2"/>
        <v>1</v>
      </c>
      <c r="U2535">
        <f t="shared" si="3"/>
        <v>1</v>
      </c>
      <c r="AG2535" s="15"/>
      <c r="AH2535" s="16"/>
      <c r="AM2535" s="15"/>
      <c r="AN2535" s="16"/>
    </row>
    <row r="2536">
      <c r="A2536" s="13" t="s">
        <v>4372</v>
      </c>
      <c r="B2536" s="10">
        <v>36161.0</v>
      </c>
      <c r="C2536" s="11" t="s">
        <v>143</v>
      </c>
      <c r="D2536" s="11" t="s">
        <v>97</v>
      </c>
      <c r="E2536" s="30" t="s">
        <v>39</v>
      </c>
      <c r="F2536" s="11" t="s">
        <v>40</v>
      </c>
      <c r="G2536" s="30" t="s">
        <v>45</v>
      </c>
      <c r="H2536" s="11" t="s">
        <v>735</v>
      </c>
      <c r="I2536" s="11" t="s">
        <v>4373</v>
      </c>
      <c r="J2536" s="11">
        <v>22.0</v>
      </c>
      <c r="K2536" s="12">
        <v>36526.0</v>
      </c>
      <c r="L2536" s="30"/>
      <c r="M2536" s="11">
        <v>407826.0</v>
      </c>
      <c r="N2536" s="11" t="s">
        <v>4374</v>
      </c>
      <c r="P2536" s="11">
        <v>0.0</v>
      </c>
      <c r="Q2536" s="14">
        <v>0.0</v>
      </c>
      <c r="R2536" s="41">
        <v>0.0</v>
      </c>
      <c r="S2536">
        <f t="shared" si="1"/>
        <v>1999</v>
      </c>
      <c r="T2536">
        <f t="shared" si="2"/>
        <v>1</v>
      </c>
      <c r="U2536">
        <f t="shared" si="3"/>
        <v>1</v>
      </c>
      <c r="AG2536" s="15"/>
      <c r="AH2536" s="16"/>
      <c r="AM2536" s="15"/>
      <c r="AN2536" s="16"/>
    </row>
    <row r="2537">
      <c r="A2537" s="13" t="s">
        <v>4311</v>
      </c>
      <c r="B2537" s="10">
        <v>36161.0</v>
      </c>
      <c r="C2537" s="11" t="s">
        <v>126</v>
      </c>
      <c r="D2537" s="11" t="s">
        <v>77</v>
      </c>
      <c r="E2537" s="30" t="s">
        <v>39</v>
      </c>
      <c r="F2537" s="11" t="s">
        <v>64</v>
      </c>
      <c r="G2537" s="30" t="s">
        <v>45</v>
      </c>
      <c r="H2537" s="11" t="s">
        <v>243</v>
      </c>
      <c r="I2537" s="11"/>
      <c r="J2537" s="11">
        <v>24.0</v>
      </c>
      <c r="K2537" s="12">
        <v>37257.0</v>
      </c>
      <c r="L2537" s="30"/>
      <c r="M2537" s="11">
        <v>429280.0</v>
      </c>
      <c r="N2537" s="11">
        <v>1700.0</v>
      </c>
      <c r="P2537" s="11">
        <v>0.0</v>
      </c>
      <c r="Q2537" s="14">
        <v>0.0</v>
      </c>
      <c r="R2537" s="41">
        <v>0.0</v>
      </c>
      <c r="S2537">
        <f t="shared" si="1"/>
        <v>1999</v>
      </c>
      <c r="T2537">
        <f t="shared" si="2"/>
        <v>1</v>
      </c>
      <c r="U2537">
        <f t="shared" si="3"/>
        <v>1</v>
      </c>
      <c r="AG2537" s="15"/>
      <c r="AH2537" s="16"/>
      <c r="AM2537" s="15"/>
      <c r="AN2537" s="16"/>
    </row>
    <row r="2538">
      <c r="A2538" s="13" t="s">
        <v>4375</v>
      </c>
      <c r="B2538" s="10">
        <v>36161.0</v>
      </c>
      <c r="C2538" s="11" t="s">
        <v>49</v>
      </c>
      <c r="D2538" s="11" t="s">
        <v>58</v>
      </c>
      <c r="E2538" s="30" t="s">
        <v>39</v>
      </c>
      <c r="F2538" s="11" t="s">
        <v>40</v>
      </c>
      <c r="G2538" s="30" t="s">
        <v>45</v>
      </c>
      <c r="H2538" s="11" t="s">
        <v>84</v>
      </c>
      <c r="I2538" s="11" t="s">
        <v>391</v>
      </c>
      <c r="J2538" s="11">
        <v>26.0</v>
      </c>
      <c r="K2538" s="12">
        <v>36526.0</v>
      </c>
      <c r="L2538" s="30"/>
      <c r="M2538" s="11">
        <v>124417.0</v>
      </c>
      <c r="N2538" s="11">
        <v>1234.0</v>
      </c>
      <c r="P2538" s="11">
        <v>144.0</v>
      </c>
      <c r="Q2538" s="14">
        <v>792.667</v>
      </c>
      <c r="R2538" s="41">
        <v>0.0</v>
      </c>
      <c r="S2538">
        <f t="shared" si="1"/>
        <v>1999</v>
      </c>
      <c r="T2538">
        <f t="shared" si="2"/>
        <v>1</v>
      </c>
      <c r="U2538">
        <f t="shared" si="3"/>
        <v>1</v>
      </c>
      <c r="AG2538" s="15"/>
      <c r="AH2538" s="16"/>
      <c r="AM2538" s="15"/>
      <c r="AN2538" s="16"/>
    </row>
    <row r="2539">
      <c r="A2539" s="13" t="s">
        <v>4376</v>
      </c>
      <c r="B2539" s="10">
        <v>36161.0</v>
      </c>
      <c r="C2539" s="11" t="s">
        <v>362</v>
      </c>
      <c r="D2539" s="11" t="s">
        <v>38</v>
      </c>
      <c r="E2539" s="11" t="s">
        <v>39</v>
      </c>
      <c r="F2539" s="11" t="s">
        <v>64</v>
      </c>
      <c r="G2539" s="11" t="s">
        <v>45</v>
      </c>
      <c r="H2539" s="11" t="s">
        <v>236</v>
      </c>
      <c r="I2539" s="11" t="s">
        <v>479</v>
      </c>
      <c r="J2539" s="11">
        <v>35.0</v>
      </c>
      <c r="K2539" s="12">
        <v>36983.0</v>
      </c>
      <c r="L2539" s="11">
        <f>ROUND(((K2539-B2539)/365)*12,0)</f>
        <v>27</v>
      </c>
      <c r="M2539" s="11">
        <v>123068.0</v>
      </c>
      <c r="N2539" s="11">
        <v>1012802.0</v>
      </c>
      <c r="P2539" s="11">
        <v>8.0</v>
      </c>
      <c r="Q2539" s="14">
        <v>3.667</v>
      </c>
      <c r="R2539" s="41">
        <v>0.0</v>
      </c>
      <c r="S2539">
        <f t="shared" si="1"/>
        <v>1999</v>
      </c>
      <c r="T2539">
        <f t="shared" si="2"/>
        <v>1</v>
      </c>
      <c r="U2539">
        <f t="shared" si="3"/>
        <v>1</v>
      </c>
      <c r="AG2539" s="15"/>
      <c r="AH2539" s="16"/>
      <c r="AM2539" s="15"/>
      <c r="AN2539" s="16"/>
    </row>
    <row r="2540">
      <c r="A2540" s="13" t="s">
        <v>4377</v>
      </c>
      <c r="B2540" s="10">
        <v>36161.0</v>
      </c>
      <c r="C2540" s="11" t="s">
        <v>83</v>
      </c>
      <c r="D2540" s="11" t="s">
        <v>93</v>
      </c>
      <c r="E2540" s="30" t="s">
        <v>39</v>
      </c>
      <c r="F2540" s="11" t="s">
        <v>40</v>
      </c>
      <c r="G2540" s="30" t="s">
        <v>45</v>
      </c>
      <c r="H2540" s="11" t="s">
        <v>236</v>
      </c>
      <c r="I2540" s="11" t="s">
        <v>73</v>
      </c>
      <c r="J2540" s="11">
        <v>21.0</v>
      </c>
      <c r="K2540" s="12">
        <v>36526.0</v>
      </c>
      <c r="L2540" s="30"/>
      <c r="M2540" s="11">
        <v>407867.0</v>
      </c>
      <c r="N2540" s="11">
        <v>1161.0</v>
      </c>
      <c r="P2540" s="11">
        <v>12.0</v>
      </c>
      <c r="Q2540" s="14">
        <v>13.333</v>
      </c>
      <c r="R2540" s="41">
        <v>0.0</v>
      </c>
      <c r="S2540">
        <f t="shared" si="1"/>
        <v>1999</v>
      </c>
      <c r="T2540">
        <f t="shared" si="2"/>
        <v>1</v>
      </c>
      <c r="U2540">
        <f t="shared" si="3"/>
        <v>1</v>
      </c>
      <c r="AG2540" s="15"/>
      <c r="AH2540" s="16"/>
      <c r="AM2540" s="15"/>
      <c r="AN2540" s="16"/>
    </row>
    <row r="2541">
      <c r="A2541" s="13" t="s">
        <v>4358</v>
      </c>
      <c r="B2541" s="10">
        <v>36049.0</v>
      </c>
      <c r="C2541" s="11" t="s">
        <v>150</v>
      </c>
      <c r="D2541" s="11" t="s">
        <v>38</v>
      </c>
      <c r="E2541" s="30" t="s">
        <v>39</v>
      </c>
      <c r="F2541" s="11" t="s">
        <v>64</v>
      </c>
      <c r="G2541" s="30" t="s">
        <v>45</v>
      </c>
      <c r="H2541" s="11" t="s">
        <v>56</v>
      </c>
      <c r="I2541" s="11" t="s">
        <v>4359</v>
      </c>
      <c r="J2541" s="11">
        <v>26.0</v>
      </c>
      <c r="K2541" s="30"/>
      <c r="L2541" s="30"/>
      <c r="M2541" s="11">
        <v>110788.0</v>
      </c>
      <c r="N2541" s="11">
        <v>1000770.0</v>
      </c>
      <c r="O2541" s="13" t="s">
        <v>3309</v>
      </c>
      <c r="P2541" s="11">
        <v>0.0</v>
      </c>
      <c r="Q2541" s="45">
        <v>0.0</v>
      </c>
      <c r="R2541" s="41">
        <v>0.0</v>
      </c>
      <c r="S2541">
        <f t="shared" si="1"/>
        <v>1998</v>
      </c>
      <c r="T2541">
        <f t="shared" si="2"/>
        <v>9</v>
      </c>
      <c r="U2541">
        <f t="shared" si="3"/>
        <v>11</v>
      </c>
      <c r="AG2541" s="15"/>
      <c r="AH2541" s="16"/>
      <c r="AM2541" s="15"/>
      <c r="AN2541" s="16"/>
    </row>
    <row r="2542">
      <c r="A2542" s="13" t="s">
        <v>4378</v>
      </c>
      <c r="B2542" s="10">
        <v>36048.0</v>
      </c>
      <c r="C2542" s="11" t="s">
        <v>230</v>
      </c>
      <c r="D2542" s="11" t="s">
        <v>38</v>
      </c>
      <c r="E2542" s="41" t="s">
        <v>118</v>
      </c>
      <c r="F2542" s="11" t="s">
        <v>40</v>
      </c>
      <c r="G2542" s="30" t="s">
        <v>45</v>
      </c>
      <c r="H2542" s="11" t="s">
        <v>56</v>
      </c>
      <c r="I2542" s="11" t="s">
        <v>4314</v>
      </c>
      <c r="J2542" s="11">
        <v>33.0</v>
      </c>
      <c r="K2542" s="12">
        <v>36255.0</v>
      </c>
      <c r="L2542" s="11">
        <f>ROUND(((K2542-B2542)/365)*12,0)</f>
        <v>7</v>
      </c>
      <c r="M2542" s="11">
        <v>111676.0</v>
      </c>
      <c r="N2542" s="11">
        <v>1001638.0</v>
      </c>
      <c r="O2542" s="13" t="s">
        <v>4379</v>
      </c>
      <c r="P2542" s="11">
        <v>218.0</v>
      </c>
      <c r="Q2542" s="45">
        <v>826.0</v>
      </c>
      <c r="R2542" s="41">
        <v>0.0</v>
      </c>
      <c r="S2542">
        <f t="shared" si="1"/>
        <v>1998</v>
      </c>
      <c r="T2542">
        <f t="shared" si="2"/>
        <v>9</v>
      </c>
      <c r="U2542">
        <f t="shared" si="3"/>
        <v>10</v>
      </c>
      <c r="AG2542" s="15"/>
      <c r="AH2542" s="16"/>
      <c r="AM2542" s="15"/>
      <c r="AN2542" s="16"/>
    </row>
    <row r="2543">
      <c r="A2543" s="13" t="s">
        <v>4380</v>
      </c>
      <c r="B2543" s="10">
        <v>36039.0</v>
      </c>
      <c r="C2543" s="11" t="s">
        <v>143</v>
      </c>
      <c r="D2543" s="11" t="s">
        <v>221</v>
      </c>
      <c r="E2543" s="30" t="s">
        <v>39</v>
      </c>
      <c r="F2543" s="11" t="s">
        <v>40</v>
      </c>
      <c r="G2543" s="41" t="s">
        <v>41</v>
      </c>
      <c r="H2543" s="30"/>
      <c r="I2543" s="30"/>
      <c r="J2543" s="11">
        <v>20.0</v>
      </c>
      <c r="K2543" s="12">
        <v>36161.0</v>
      </c>
      <c r="L2543" s="30"/>
      <c r="M2543" s="11">
        <v>150311.0</v>
      </c>
      <c r="N2543" s="11">
        <v>1435.0</v>
      </c>
      <c r="P2543" s="11">
        <v>43.0</v>
      </c>
      <c r="Q2543" s="14">
        <v>66.0</v>
      </c>
      <c r="R2543" s="41">
        <v>0.0</v>
      </c>
      <c r="S2543">
        <f t="shared" si="1"/>
        <v>1998</v>
      </c>
      <c r="T2543">
        <f t="shared" si="2"/>
        <v>9</v>
      </c>
      <c r="U2543">
        <f t="shared" si="3"/>
        <v>1</v>
      </c>
      <c r="AG2543" s="15"/>
      <c r="AH2543" s="16"/>
      <c r="AM2543" s="15"/>
      <c r="AN2543" s="16"/>
    </row>
    <row r="2544">
      <c r="A2544" s="13" t="s">
        <v>4381</v>
      </c>
      <c r="B2544" s="10">
        <v>35985.0</v>
      </c>
      <c r="C2544" s="11" t="s">
        <v>346</v>
      </c>
      <c r="D2544" s="11" t="s">
        <v>38</v>
      </c>
      <c r="E2544" s="11" t="s">
        <v>39</v>
      </c>
      <c r="F2544" s="11" t="s">
        <v>40</v>
      </c>
      <c r="G2544" s="11" t="s">
        <v>45</v>
      </c>
      <c r="H2544" s="11" t="s">
        <v>84</v>
      </c>
      <c r="I2544" s="11" t="s">
        <v>4382</v>
      </c>
      <c r="J2544" s="11">
        <v>30.0</v>
      </c>
      <c r="K2544" s="12">
        <v>36629.0</v>
      </c>
      <c r="L2544" s="11">
        <f t="shared" ref="L2544:L2548" si="260">ROUND(((K2544-B2544)/365)*12,0)</f>
        <v>21</v>
      </c>
      <c r="M2544" s="11">
        <v>116480.0</v>
      </c>
      <c r="N2544" s="11">
        <v>1453.0</v>
      </c>
      <c r="P2544" s="11">
        <v>104.0</v>
      </c>
      <c r="Q2544" s="14">
        <v>100.667</v>
      </c>
      <c r="R2544" s="41">
        <v>0.0</v>
      </c>
      <c r="S2544">
        <f t="shared" si="1"/>
        <v>1998</v>
      </c>
      <c r="T2544">
        <f t="shared" si="2"/>
        <v>7</v>
      </c>
      <c r="U2544">
        <f t="shared" si="3"/>
        <v>9</v>
      </c>
      <c r="AG2544" s="15"/>
      <c r="AH2544" s="16"/>
      <c r="AM2544" s="15"/>
      <c r="AN2544" s="16"/>
    </row>
    <row r="2545">
      <c r="A2545" s="13" t="s">
        <v>4383</v>
      </c>
      <c r="B2545" s="10">
        <v>35984.0</v>
      </c>
      <c r="C2545" s="11" t="s">
        <v>76</v>
      </c>
      <c r="D2545" s="11" t="s">
        <v>38</v>
      </c>
      <c r="E2545" s="11" t="s">
        <v>39</v>
      </c>
      <c r="F2545" s="11" t="s">
        <v>40</v>
      </c>
      <c r="G2545" s="11" t="s">
        <v>45</v>
      </c>
      <c r="H2545" s="11" t="s">
        <v>84</v>
      </c>
      <c r="I2545" s="11" t="s">
        <v>84</v>
      </c>
      <c r="J2545" s="11">
        <v>26.0</v>
      </c>
      <c r="K2545" s="12">
        <v>36674.0</v>
      </c>
      <c r="L2545" s="11">
        <f t="shared" si="260"/>
        <v>23</v>
      </c>
      <c r="M2545" s="11">
        <v>123596.0</v>
      </c>
      <c r="N2545" s="11">
        <v>1013313.0</v>
      </c>
      <c r="O2545" s="13"/>
      <c r="P2545" s="11">
        <v>62.0</v>
      </c>
      <c r="Q2545" s="14">
        <v>63.667</v>
      </c>
      <c r="R2545" s="41">
        <v>0.0</v>
      </c>
      <c r="S2545">
        <f t="shared" si="1"/>
        <v>1998</v>
      </c>
      <c r="T2545">
        <f t="shared" si="2"/>
        <v>7</v>
      </c>
      <c r="U2545">
        <f t="shared" si="3"/>
        <v>8</v>
      </c>
      <c r="AG2545" s="15"/>
      <c r="AH2545" s="16"/>
      <c r="AM2545" s="15"/>
      <c r="AN2545" s="16"/>
    </row>
    <row r="2546">
      <c r="A2546" s="13" t="s">
        <v>4384</v>
      </c>
      <c r="B2546" s="10">
        <v>35922.0</v>
      </c>
      <c r="C2546" s="11" t="s">
        <v>62</v>
      </c>
      <c r="D2546" s="11" t="s">
        <v>38</v>
      </c>
      <c r="E2546" s="11" t="s">
        <v>39</v>
      </c>
      <c r="F2546" s="11" t="s">
        <v>40</v>
      </c>
      <c r="G2546" s="11" t="s">
        <v>483</v>
      </c>
      <c r="H2546" s="11"/>
      <c r="I2546" s="11"/>
      <c r="J2546" s="11">
        <v>29.0</v>
      </c>
      <c r="K2546" s="12">
        <v>36659.0</v>
      </c>
      <c r="L2546" s="11">
        <f t="shared" si="260"/>
        <v>24</v>
      </c>
      <c r="M2546" s="11">
        <v>114080.0</v>
      </c>
      <c r="N2546" s="11">
        <v>1004000.0</v>
      </c>
      <c r="O2546" s="13" t="s">
        <v>4062</v>
      </c>
      <c r="P2546" s="11">
        <v>35.0</v>
      </c>
      <c r="Q2546" s="14">
        <v>159.0</v>
      </c>
      <c r="R2546" s="41">
        <v>0.0</v>
      </c>
      <c r="S2546">
        <f t="shared" si="1"/>
        <v>1998</v>
      </c>
      <c r="T2546">
        <f t="shared" si="2"/>
        <v>5</v>
      </c>
      <c r="U2546">
        <f t="shared" si="3"/>
        <v>7</v>
      </c>
      <c r="AG2546" s="15"/>
      <c r="AH2546" s="16"/>
      <c r="AM2546" s="15"/>
      <c r="AN2546" s="16"/>
    </row>
    <row r="2547">
      <c r="A2547" s="13" t="s">
        <v>4385</v>
      </c>
      <c r="B2547" s="10">
        <v>35906.0</v>
      </c>
      <c r="C2547" s="11" t="s">
        <v>150</v>
      </c>
      <c r="D2547" s="11" t="s">
        <v>38</v>
      </c>
      <c r="E2547" s="30" t="s">
        <v>39</v>
      </c>
      <c r="F2547" s="11" t="s">
        <v>64</v>
      </c>
      <c r="G2547" s="30" t="s">
        <v>45</v>
      </c>
      <c r="H2547" s="11" t="s">
        <v>56</v>
      </c>
      <c r="I2547" s="11" t="s">
        <v>294</v>
      </c>
      <c r="J2547" s="11">
        <v>30.0</v>
      </c>
      <c r="K2547" s="12">
        <v>36380.0</v>
      </c>
      <c r="L2547" s="11">
        <f t="shared" si="260"/>
        <v>16</v>
      </c>
      <c r="M2547" s="11">
        <v>111447.0</v>
      </c>
      <c r="N2547" s="11">
        <v>1001404.0</v>
      </c>
      <c r="P2547" s="11">
        <v>25.0</v>
      </c>
      <c r="Q2547" s="14">
        <v>25.667</v>
      </c>
      <c r="R2547" s="41">
        <v>0.0</v>
      </c>
      <c r="S2547">
        <f t="shared" si="1"/>
        <v>1998</v>
      </c>
      <c r="T2547">
        <f t="shared" si="2"/>
        <v>4</v>
      </c>
      <c r="U2547">
        <f t="shared" si="3"/>
        <v>21</v>
      </c>
      <c r="AG2547" s="15"/>
      <c r="AH2547" s="16"/>
      <c r="AM2547" s="15"/>
      <c r="AN2547" s="16"/>
    </row>
    <row r="2548">
      <c r="A2548" s="13" t="s">
        <v>3703</v>
      </c>
      <c r="B2548" s="10">
        <v>35808.0</v>
      </c>
      <c r="C2548" s="11" t="s">
        <v>49</v>
      </c>
      <c r="D2548" s="11" t="s">
        <v>38</v>
      </c>
      <c r="E2548" s="30" t="s">
        <v>39</v>
      </c>
      <c r="F2548" s="11" t="s">
        <v>40</v>
      </c>
      <c r="G2548" s="30" t="s">
        <v>45</v>
      </c>
      <c r="H2548" s="11" t="s">
        <v>73</v>
      </c>
      <c r="I2548" s="11" t="s">
        <v>3704</v>
      </c>
      <c r="J2548" s="11">
        <v>25.0</v>
      </c>
      <c r="K2548" s="12">
        <v>36304.0</v>
      </c>
      <c r="L2548" s="11">
        <f t="shared" si="260"/>
        <v>16</v>
      </c>
      <c r="M2548" s="11">
        <v>116414.0</v>
      </c>
      <c r="N2548" s="11">
        <v>1158.0</v>
      </c>
      <c r="O2548" s="13" t="s">
        <v>1332</v>
      </c>
      <c r="P2548" s="11">
        <v>574.0</v>
      </c>
      <c r="Q2548" s="14">
        <v>621.0</v>
      </c>
      <c r="R2548" s="41">
        <v>0.0</v>
      </c>
      <c r="S2548">
        <f t="shared" si="1"/>
        <v>1998</v>
      </c>
      <c r="T2548">
        <f t="shared" si="2"/>
        <v>1</v>
      </c>
      <c r="U2548">
        <f t="shared" si="3"/>
        <v>13</v>
      </c>
      <c r="AG2548" s="15"/>
      <c r="AH2548" s="16"/>
      <c r="AM2548" s="15"/>
      <c r="AN2548" s="16"/>
    </row>
    <row r="2549">
      <c r="A2549" s="13" t="s">
        <v>4386</v>
      </c>
      <c r="B2549" s="10">
        <v>35796.0</v>
      </c>
      <c r="C2549" s="11" t="s">
        <v>101</v>
      </c>
      <c r="D2549" s="11" t="s">
        <v>58</v>
      </c>
      <c r="E2549" s="30" t="s">
        <v>39</v>
      </c>
      <c r="F2549" s="11" t="s">
        <v>40</v>
      </c>
      <c r="G2549" s="30" t="s">
        <v>45</v>
      </c>
      <c r="H2549" s="11" t="s">
        <v>67</v>
      </c>
      <c r="I2549" s="11"/>
      <c r="J2549" s="11">
        <v>26.0</v>
      </c>
      <c r="K2549" s="12">
        <v>36161.0</v>
      </c>
      <c r="L2549" s="30"/>
      <c r="M2549" s="11">
        <v>117756.0</v>
      </c>
      <c r="N2549" s="11">
        <v>926.0</v>
      </c>
      <c r="P2549" s="11">
        <v>223.0</v>
      </c>
      <c r="Q2549" s="14">
        <v>1241.0</v>
      </c>
      <c r="R2549" s="41">
        <v>0.0</v>
      </c>
      <c r="S2549">
        <f t="shared" si="1"/>
        <v>1998</v>
      </c>
      <c r="T2549">
        <f t="shared" si="2"/>
        <v>1</v>
      </c>
      <c r="U2549">
        <f t="shared" si="3"/>
        <v>1</v>
      </c>
      <c r="AG2549" s="15"/>
      <c r="AH2549" s="16"/>
      <c r="AM2549" s="15"/>
      <c r="AN2549" s="16"/>
    </row>
    <row r="2550">
      <c r="A2550" s="13" t="s">
        <v>4387</v>
      </c>
      <c r="B2550" s="10">
        <v>35796.0</v>
      </c>
      <c r="C2550" s="11" t="s">
        <v>116</v>
      </c>
      <c r="D2550" s="11" t="s">
        <v>77</v>
      </c>
      <c r="E2550" s="30" t="s">
        <v>39</v>
      </c>
      <c r="F2550" s="11" t="s">
        <v>64</v>
      </c>
      <c r="G2550" s="41" t="s">
        <v>460</v>
      </c>
      <c r="H2550" s="30"/>
      <c r="I2550" s="30"/>
      <c r="J2550" s="11">
        <v>21.0</v>
      </c>
      <c r="K2550" s="12">
        <v>36161.0</v>
      </c>
      <c r="L2550" s="30"/>
      <c r="M2550" s="11">
        <v>150305.0</v>
      </c>
      <c r="N2550" s="11">
        <v>107.0</v>
      </c>
      <c r="P2550" s="11">
        <v>74.0</v>
      </c>
      <c r="Q2550" s="14">
        <v>361.667</v>
      </c>
      <c r="R2550" s="41">
        <v>0.0</v>
      </c>
      <c r="S2550">
        <f t="shared" si="1"/>
        <v>1998</v>
      </c>
      <c r="T2550">
        <f t="shared" si="2"/>
        <v>1</v>
      </c>
      <c r="U2550">
        <f t="shared" si="3"/>
        <v>1</v>
      </c>
      <c r="AG2550" s="15"/>
      <c r="AH2550" s="16"/>
      <c r="AM2550" s="15"/>
      <c r="AN2550" s="16"/>
    </row>
    <row r="2551">
      <c r="A2551" s="13" t="s">
        <v>4388</v>
      </c>
      <c r="B2551" s="10">
        <v>35796.0</v>
      </c>
      <c r="C2551" s="11" t="s">
        <v>37</v>
      </c>
      <c r="D2551" s="11" t="s">
        <v>93</v>
      </c>
      <c r="E2551" s="30" t="s">
        <v>39</v>
      </c>
      <c r="F2551" s="11" t="s">
        <v>64</v>
      </c>
      <c r="G2551" s="30" t="s">
        <v>45</v>
      </c>
      <c r="H2551" s="11" t="s">
        <v>119</v>
      </c>
      <c r="I2551" s="11" t="s">
        <v>689</v>
      </c>
      <c r="J2551" s="11">
        <v>20.0</v>
      </c>
      <c r="K2551" s="12">
        <v>36161.0</v>
      </c>
      <c r="L2551" s="30"/>
      <c r="M2551" s="11">
        <v>425146.0</v>
      </c>
      <c r="N2551" s="11">
        <v>1620.0</v>
      </c>
      <c r="P2551" s="11">
        <v>223.0</v>
      </c>
      <c r="Q2551" s="14">
        <v>1152.333</v>
      </c>
      <c r="R2551" s="41">
        <v>0.0</v>
      </c>
      <c r="S2551">
        <f t="shared" si="1"/>
        <v>1998</v>
      </c>
      <c r="T2551">
        <f t="shared" si="2"/>
        <v>1</v>
      </c>
      <c r="U2551">
        <f t="shared" si="3"/>
        <v>1</v>
      </c>
      <c r="AG2551" s="15"/>
      <c r="AH2551" s="16"/>
      <c r="AM2551" s="15"/>
      <c r="AN2551" s="16"/>
    </row>
    <row r="2552">
      <c r="A2552" s="13" t="s">
        <v>4389</v>
      </c>
      <c r="B2552" s="10">
        <v>35796.0</v>
      </c>
      <c r="C2552" s="11" t="s">
        <v>362</v>
      </c>
      <c r="D2552" s="11" t="s">
        <v>38</v>
      </c>
      <c r="E2552" s="11" t="s">
        <v>39</v>
      </c>
      <c r="F2552" s="11" t="s">
        <v>40</v>
      </c>
      <c r="G2552" s="11" t="s">
        <v>45</v>
      </c>
      <c r="H2552" s="11" t="s">
        <v>236</v>
      </c>
      <c r="I2552" s="11"/>
      <c r="J2552" s="11">
        <v>22.0</v>
      </c>
      <c r="K2552" s="12">
        <v>36255.0</v>
      </c>
      <c r="L2552" s="30"/>
      <c r="M2552" s="11">
        <v>123862.0</v>
      </c>
      <c r="N2552" s="11">
        <v>1013550.0</v>
      </c>
      <c r="P2552" s="11">
        <v>108.0</v>
      </c>
      <c r="Q2552" s="14">
        <v>125.0</v>
      </c>
      <c r="R2552" s="41">
        <v>0.0</v>
      </c>
      <c r="S2552">
        <f t="shared" si="1"/>
        <v>1998</v>
      </c>
      <c r="T2552">
        <f t="shared" si="2"/>
        <v>1</v>
      </c>
      <c r="U2552">
        <f t="shared" si="3"/>
        <v>1</v>
      </c>
      <c r="AG2552" s="15"/>
      <c r="AH2552" s="16"/>
      <c r="AM2552" s="15"/>
      <c r="AN2552" s="16"/>
    </row>
    <row r="2553">
      <c r="A2553" s="13" t="s">
        <v>4390</v>
      </c>
      <c r="B2553" s="10">
        <v>35796.0</v>
      </c>
      <c r="C2553" s="11" t="s">
        <v>230</v>
      </c>
      <c r="D2553" s="11" t="s">
        <v>88</v>
      </c>
      <c r="E2553" s="30" t="s">
        <v>39</v>
      </c>
      <c r="F2553" s="11" t="s">
        <v>40</v>
      </c>
      <c r="G2553" s="30" t="s">
        <v>45</v>
      </c>
      <c r="H2553" s="11" t="s">
        <v>451</v>
      </c>
      <c r="I2553" s="11" t="s">
        <v>4391</v>
      </c>
      <c r="J2553" s="11">
        <v>24.0</v>
      </c>
      <c r="K2553" s="12">
        <v>36161.0</v>
      </c>
      <c r="L2553" s="30"/>
      <c r="M2553" s="11">
        <v>400084.0</v>
      </c>
      <c r="N2553" s="11"/>
      <c r="P2553" s="11">
        <v>0.0</v>
      </c>
      <c r="Q2553" s="14">
        <v>0.0</v>
      </c>
      <c r="R2553" s="41">
        <v>0.0</v>
      </c>
      <c r="S2553">
        <f t="shared" si="1"/>
        <v>1998</v>
      </c>
      <c r="T2553">
        <f t="shared" si="2"/>
        <v>1</v>
      </c>
      <c r="U2553">
        <f t="shared" si="3"/>
        <v>1</v>
      </c>
      <c r="AG2553" s="15"/>
      <c r="AH2553" s="16"/>
      <c r="AM2553" s="15"/>
      <c r="AN2553" s="16"/>
    </row>
    <row r="2554">
      <c r="A2554" s="13" t="s">
        <v>4392</v>
      </c>
      <c r="B2554" s="10">
        <v>35796.0</v>
      </c>
      <c r="C2554" s="11" t="s">
        <v>186</v>
      </c>
      <c r="D2554" s="11" t="s">
        <v>221</v>
      </c>
      <c r="E2554" s="11" t="s">
        <v>39</v>
      </c>
      <c r="F2554" s="11" t="s">
        <v>40</v>
      </c>
      <c r="G2554" s="11" t="s">
        <v>45</v>
      </c>
      <c r="H2554" s="11" t="s">
        <v>84</v>
      </c>
      <c r="I2554" s="11" t="s">
        <v>1599</v>
      </c>
      <c r="J2554" s="11">
        <v>22.0</v>
      </c>
      <c r="K2554" s="12">
        <v>36161.0</v>
      </c>
      <c r="L2554" s="30"/>
      <c r="M2554" s="11">
        <v>276541.0</v>
      </c>
      <c r="N2554" s="11">
        <v>1535.0</v>
      </c>
      <c r="P2554" s="11">
        <v>19.0</v>
      </c>
      <c r="Q2554" s="14">
        <v>25.333</v>
      </c>
      <c r="R2554" s="41">
        <v>0.0</v>
      </c>
      <c r="S2554">
        <f t="shared" si="1"/>
        <v>1998</v>
      </c>
      <c r="T2554">
        <f t="shared" si="2"/>
        <v>1</v>
      </c>
      <c r="U2554">
        <f t="shared" si="3"/>
        <v>1</v>
      </c>
      <c r="AG2554" s="15"/>
      <c r="AH2554" s="16"/>
      <c r="AM2554" s="15"/>
      <c r="AN2554" s="16"/>
    </row>
    <row r="2555">
      <c r="A2555" s="13" t="s">
        <v>4322</v>
      </c>
      <c r="B2555" s="10">
        <v>35796.0</v>
      </c>
      <c r="C2555" s="11" t="s">
        <v>235</v>
      </c>
      <c r="D2555" s="11" t="s">
        <v>93</v>
      </c>
      <c r="E2555" s="30" t="s">
        <v>39</v>
      </c>
      <c r="F2555" s="11" t="s">
        <v>40</v>
      </c>
      <c r="G2555" s="30" t="s">
        <v>45</v>
      </c>
      <c r="H2555" s="11" t="s">
        <v>73</v>
      </c>
      <c r="I2555" s="11" t="s">
        <v>2001</v>
      </c>
      <c r="J2555" s="11">
        <v>20.0</v>
      </c>
      <c r="K2555" s="12">
        <v>36161.0</v>
      </c>
      <c r="L2555" s="30"/>
      <c r="M2555" s="11">
        <v>430630.0</v>
      </c>
      <c r="N2555" s="11">
        <v>1906.0</v>
      </c>
      <c r="P2555" s="11">
        <v>0.0</v>
      </c>
      <c r="Q2555" s="14">
        <v>0.0</v>
      </c>
      <c r="R2555" s="41">
        <v>0.0</v>
      </c>
      <c r="S2555">
        <f t="shared" si="1"/>
        <v>1998</v>
      </c>
      <c r="T2555">
        <f t="shared" si="2"/>
        <v>1</v>
      </c>
      <c r="U2555">
        <f t="shared" si="3"/>
        <v>1</v>
      </c>
      <c r="AG2555" s="15"/>
      <c r="AH2555" s="16"/>
      <c r="AM2555" s="15"/>
      <c r="AN2555" s="16"/>
    </row>
    <row r="2556">
      <c r="A2556" s="13" t="s">
        <v>4393</v>
      </c>
      <c r="B2556" s="10">
        <v>35720.0</v>
      </c>
      <c r="C2556" s="11" t="s">
        <v>150</v>
      </c>
      <c r="D2556" s="11" t="s">
        <v>38</v>
      </c>
      <c r="E2556" s="11" t="s">
        <v>39</v>
      </c>
      <c r="F2556" s="11" t="s">
        <v>40</v>
      </c>
      <c r="G2556" s="11" t="s">
        <v>45</v>
      </c>
      <c r="H2556" s="11" t="s">
        <v>729</v>
      </c>
      <c r="I2556" s="11"/>
      <c r="J2556" s="11">
        <v>28.0</v>
      </c>
      <c r="K2556" s="12">
        <v>36008.0</v>
      </c>
      <c r="L2556" s="11">
        <f t="shared" ref="L2556:L2560" si="261">ROUND(((K2556-B2556)/365)*12,0)</f>
        <v>9</v>
      </c>
      <c r="M2556" s="11">
        <v>121596.0</v>
      </c>
      <c r="N2556" s="11">
        <v>1011345.0</v>
      </c>
      <c r="O2556" s="13" t="s">
        <v>3309</v>
      </c>
      <c r="P2556" s="11">
        <v>32.0</v>
      </c>
      <c r="Q2556" s="14">
        <v>38.333</v>
      </c>
      <c r="R2556" s="41">
        <v>0.0</v>
      </c>
      <c r="S2556">
        <f t="shared" si="1"/>
        <v>1997</v>
      </c>
      <c r="T2556">
        <f t="shared" si="2"/>
        <v>10</v>
      </c>
      <c r="U2556">
        <f t="shared" si="3"/>
        <v>17</v>
      </c>
      <c r="AG2556" s="15"/>
      <c r="AH2556" s="16"/>
      <c r="AM2556" s="15"/>
      <c r="AN2556" s="16"/>
    </row>
    <row r="2557">
      <c r="A2557" s="13" t="s">
        <v>4394</v>
      </c>
      <c r="B2557" s="10">
        <v>35699.0</v>
      </c>
      <c r="C2557" s="11" t="s">
        <v>49</v>
      </c>
      <c r="D2557" s="11" t="s">
        <v>38</v>
      </c>
      <c r="E2557" s="41" t="s">
        <v>104</v>
      </c>
      <c r="F2557" s="11" t="s">
        <v>40</v>
      </c>
      <c r="G2557" s="30" t="s">
        <v>45</v>
      </c>
      <c r="H2557" s="11" t="s">
        <v>73</v>
      </c>
      <c r="I2557" s="11"/>
      <c r="J2557" s="11">
        <v>28.0</v>
      </c>
      <c r="K2557" s="12">
        <v>35987.0</v>
      </c>
      <c r="L2557" s="11">
        <f t="shared" si="261"/>
        <v>9</v>
      </c>
      <c r="M2557" s="11">
        <v>116316.0</v>
      </c>
      <c r="N2557" s="11">
        <v>284.0</v>
      </c>
      <c r="O2557" s="13" t="s">
        <v>1407</v>
      </c>
      <c r="P2557" s="11">
        <v>449.0</v>
      </c>
      <c r="Q2557" s="45">
        <v>1543.0</v>
      </c>
      <c r="R2557" s="41">
        <v>0.0</v>
      </c>
      <c r="S2557">
        <f t="shared" si="1"/>
        <v>1997</v>
      </c>
      <c r="T2557">
        <f t="shared" si="2"/>
        <v>9</v>
      </c>
      <c r="U2557">
        <f t="shared" si="3"/>
        <v>26</v>
      </c>
      <c r="AG2557" s="15"/>
      <c r="AH2557" s="16"/>
      <c r="AM2557" s="15"/>
      <c r="AN2557" s="16"/>
    </row>
    <row r="2558">
      <c r="A2558" s="13" t="s">
        <v>4395</v>
      </c>
      <c r="B2558" s="10">
        <v>35593.0</v>
      </c>
      <c r="C2558" s="11" t="s">
        <v>55</v>
      </c>
      <c r="D2558" s="11" t="s">
        <v>38</v>
      </c>
      <c r="E2558" s="30" t="s">
        <v>39</v>
      </c>
      <c r="F2558" s="11" t="s">
        <v>40</v>
      </c>
      <c r="G2558" s="30" t="s">
        <v>45</v>
      </c>
      <c r="H2558" s="11" t="s">
        <v>112</v>
      </c>
      <c r="I2558" s="11" t="s">
        <v>136</v>
      </c>
      <c r="J2558" s="11">
        <v>31.0</v>
      </c>
      <c r="K2558" s="12">
        <v>35961.0</v>
      </c>
      <c r="L2558" s="11">
        <f t="shared" si="261"/>
        <v>12</v>
      </c>
      <c r="M2558" s="11">
        <v>122562.0</v>
      </c>
      <c r="N2558" s="11">
        <v>499.0</v>
      </c>
      <c r="O2558" s="13" t="s">
        <v>3309</v>
      </c>
      <c r="P2558" s="11">
        <v>217.0</v>
      </c>
      <c r="Q2558" s="45">
        <v>1029.0</v>
      </c>
      <c r="R2558" s="41">
        <v>0.0</v>
      </c>
      <c r="S2558">
        <f t="shared" si="1"/>
        <v>1997</v>
      </c>
      <c r="T2558">
        <f t="shared" si="2"/>
        <v>6</v>
      </c>
      <c r="U2558">
        <f t="shared" si="3"/>
        <v>12</v>
      </c>
      <c r="AG2558" s="15"/>
      <c r="AH2558" s="16"/>
      <c r="AM2558" s="15"/>
      <c r="AN2558" s="16"/>
    </row>
    <row r="2559">
      <c r="A2559" s="13" t="s">
        <v>4396</v>
      </c>
      <c r="B2559" s="10">
        <v>35571.0</v>
      </c>
      <c r="C2559" s="11" t="s">
        <v>76</v>
      </c>
      <c r="D2559" s="11" t="s">
        <v>38</v>
      </c>
      <c r="E2559" s="30" t="s">
        <v>39</v>
      </c>
      <c r="F2559" s="11" t="s">
        <v>64</v>
      </c>
      <c r="G2559" s="41" t="s">
        <v>194</v>
      </c>
      <c r="H2559" s="30"/>
      <c r="I2559" s="30"/>
      <c r="J2559" s="11">
        <v>30.0</v>
      </c>
      <c r="K2559" s="12">
        <v>36261.0</v>
      </c>
      <c r="L2559" s="11">
        <f t="shared" si="261"/>
        <v>23</v>
      </c>
      <c r="M2559" s="11">
        <v>112690.0</v>
      </c>
      <c r="N2559" s="11">
        <v>952.0</v>
      </c>
      <c r="P2559" s="11">
        <v>514.0</v>
      </c>
      <c r="Q2559" s="45">
        <v>507.0</v>
      </c>
      <c r="R2559" s="41">
        <v>0.0</v>
      </c>
      <c r="S2559">
        <f t="shared" si="1"/>
        <v>1997</v>
      </c>
      <c r="T2559">
        <f t="shared" si="2"/>
        <v>5</v>
      </c>
      <c r="U2559">
        <f t="shared" si="3"/>
        <v>21</v>
      </c>
      <c r="AG2559" s="15"/>
      <c r="AH2559" s="16"/>
      <c r="AM2559" s="15"/>
      <c r="AN2559" s="16"/>
    </row>
    <row r="2560">
      <c r="A2560" s="13" t="s">
        <v>4397</v>
      </c>
      <c r="B2560" s="10">
        <v>35528.0</v>
      </c>
      <c r="C2560" s="11" t="s">
        <v>346</v>
      </c>
      <c r="D2560" s="11" t="s">
        <v>38</v>
      </c>
      <c r="E2560" s="11" t="s">
        <v>2062</v>
      </c>
      <c r="F2560" s="11" t="s">
        <v>40</v>
      </c>
      <c r="G2560" s="11" t="s">
        <v>45</v>
      </c>
      <c r="H2560" s="11" t="s">
        <v>56</v>
      </c>
      <c r="I2560" s="11" t="s">
        <v>3041</v>
      </c>
      <c r="J2560" s="11">
        <v>34.0</v>
      </c>
      <c r="K2560" s="12">
        <v>35928.0</v>
      </c>
      <c r="L2560" s="11">
        <f t="shared" si="261"/>
        <v>13</v>
      </c>
      <c r="M2560" s="11">
        <v>123690.0</v>
      </c>
      <c r="N2560" s="11">
        <v>942.0</v>
      </c>
      <c r="P2560" s="11">
        <v>478.0</v>
      </c>
      <c r="Q2560" s="14">
        <v>2025.0</v>
      </c>
      <c r="R2560" s="41">
        <v>0.0</v>
      </c>
      <c r="S2560">
        <f t="shared" si="1"/>
        <v>1997</v>
      </c>
      <c r="T2560">
        <f t="shared" si="2"/>
        <v>4</v>
      </c>
      <c r="U2560">
        <f t="shared" si="3"/>
        <v>8</v>
      </c>
      <c r="AG2560" s="15"/>
      <c r="AH2560" s="16"/>
      <c r="AM2560" s="15"/>
      <c r="AN2560" s="16"/>
    </row>
    <row r="2561">
      <c r="A2561" s="19" t="s">
        <v>4398</v>
      </c>
      <c r="B2561" s="20">
        <v>35490.0</v>
      </c>
      <c r="C2561" s="21" t="s">
        <v>49</v>
      </c>
      <c r="D2561" s="21" t="s">
        <v>58</v>
      </c>
      <c r="E2561" s="28" t="s">
        <v>118</v>
      </c>
      <c r="F2561" s="21" t="s">
        <v>40</v>
      </c>
      <c r="G2561" s="21" t="s">
        <v>45</v>
      </c>
      <c r="H2561" s="28" t="s">
        <v>236</v>
      </c>
      <c r="I2561" s="28" t="s">
        <v>1599</v>
      </c>
      <c r="J2561" s="18">
        <v>24.0</v>
      </c>
      <c r="K2561" s="57">
        <v>35796.0</v>
      </c>
      <c r="L2561" s="58"/>
      <c r="M2561" s="21">
        <v>134341.0</v>
      </c>
      <c r="N2561" s="21">
        <v>890.0</v>
      </c>
      <c r="O2561" s="24"/>
      <c r="P2561" s="21">
        <v>1259.0</v>
      </c>
      <c r="Q2561" s="23">
        <v>4490.0</v>
      </c>
      <c r="R2561" s="21">
        <v>0.0</v>
      </c>
      <c r="S2561" s="33">
        <f t="shared" si="1"/>
        <v>1997</v>
      </c>
      <c r="T2561" s="33">
        <f t="shared" si="2"/>
        <v>3</v>
      </c>
      <c r="U2561">
        <f t="shared" si="3"/>
        <v>1</v>
      </c>
      <c r="V2561" s="24"/>
      <c r="W2561" s="24"/>
      <c r="X2561" s="24"/>
      <c r="Y2561" s="24"/>
      <c r="Z2561" s="24"/>
      <c r="AA2561" s="24"/>
      <c r="AB2561" s="24"/>
      <c r="AC2561" s="24"/>
      <c r="AD2561" s="24"/>
      <c r="AE2561" s="24"/>
      <c r="AF2561" s="24"/>
      <c r="AG2561" s="26"/>
      <c r="AH2561" s="27"/>
      <c r="AI2561" s="24"/>
      <c r="AJ2561" s="24"/>
      <c r="AK2561" s="24"/>
      <c r="AL2561" s="24"/>
      <c r="AM2561" s="26"/>
      <c r="AN2561" s="27"/>
      <c r="AO2561" s="24"/>
      <c r="AP2561" s="24"/>
    </row>
    <row r="2562">
      <c r="A2562" s="13" t="s">
        <v>4399</v>
      </c>
      <c r="B2562" s="10">
        <v>35431.0</v>
      </c>
      <c r="C2562" s="11" t="s">
        <v>116</v>
      </c>
      <c r="D2562" s="11" t="s">
        <v>97</v>
      </c>
      <c r="E2562" s="30" t="s">
        <v>39</v>
      </c>
      <c r="F2562" s="11" t="s">
        <v>40</v>
      </c>
      <c r="G2562" s="41" t="s">
        <v>41</v>
      </c>
      <c r="H2562" s="30"/>
      <c r="I2562" s="30"/>
      <c r="J2562" s="11">
        <v>20.0</v>
      </c>
      <c r="K2562" s="12">
        <v>36161.0</v>
      </c>
      <c r="L2562" s="30"/>
      <c r="M2562" s="11">
        <v>275700.0</v>
      </c>
      <c r="N2562" s="11">
        <v>582.0</v>
      </c>
      <c r="P2562" s="11">
        <v>38.0</v>
      </c>
      <c r="Q2562" s="14">
        <v>44.333</v>
      </c>
      <c r="R2562" s="41">
        <v>0.0</v>
      </c>
      <c r="S2562">
        <f t="shared" si="1"/>
        <v>1997</v>
      </c>
      <c r="T2562">
        <f t="shared" si="2"/>
        <v>1</v>
      </c>
      <c r="U2562">
        <f t="shared" si="3"/>
        <v>1</v>
      </c>
      <c r="AG2562" s="15"/>
      <c r="AH2562" s="16"/>
      <c r="AM2562" s="15"/>
      <c r="AN2562" s="16"/>
    </row>
    <row r="2563">
      <c r="A2563" s="13" t="s">
        <v>4400</v>
      </c>
      <c r="B2563" s="10">
        <v>35431.0</v>
      </c>
      <c r="C2563" s="11" t="s">
        <v>126</v>
      </c>
      <c r="D2563" s="11" t="s">
        <v>97</v>
      </c>
      <c r="E2563" s="30" t="s">
        <v>39</v>
      </c>
      <c r="F2563" s="11" t="s">
        <v>40</v>
      </c>
      <c r="G2563" s="41" t="s">
        <v>194</v>
      </c>
      <c r="H2563" s="30"/>
      <c r="I2563" s="30"/>
      <c r="J2563" s="11">
        <v>21.0</v>
      </c>
      <c r="K2563" s="12">
        <v>35796.0</v>
      </c>
      <c r="L2563" s="30"/>
      <c r="M2563" s="11">
        <v>150378.0</v>
      </c>
      <c r="N2563" s="11">
        <v>650.0</v>
      </c>
      <c r="P2563" s="11">
        <v>402.0</v>
      </c>
      <c r="Q2563" s="14">
        <v>643.667</v>
      </c>
      <c r="R2563" s="41">
        <v>0.0</v>
      </c>
      <c r="S2563">
        <f t="shared" si="1"/>
        <v>1997</v>
      </c>
      <c r="T2563">
        <f t="shared" si="2"/>
        <v>1</v>
      </c>
      <c r="U2563">
        <f t="shared" si="3"/>
        <v>1</v>
      </c>
      <c r="AG2563" s="15"/>
      <c r="AH2563" s="16"/>
      <c r="AM2563" s="15"/>
      <c r="AN2563" s="16"/>
    </row>
    <row r="2564">
      <c r="A2564" s="13" t="s">
        <v>4401</v>
      </c>
      <c r="B2564" s="10">
        <v>35431.0</v>
      </c>
      <c r="C2564" s="11" t="s">
        <v>83</v>
      </c>
      <c r="D2564" s="11" t="s">
        <v>97</v>
      </c>
      <c r="E2564" s="30" t="s">
        <v>39</v>
      </c>
      <c r="F2564" s="11" t="s">
        <v>40</v>
      </c>
      <c r="G2564" s="30" t="s">
        <v>45</v>
      </c>
      <c r="H2564" s="11" t="s">
        <v>173</v>
      </c>
      <c r="I2564" s="11" t="s">
        <v>4402</v>
      </c>
      <c r="J2564" s="11">
        <v>24.0</v>
      </c>
      <c r="K2564" s="12">
        <v>36161.0</v>
      </c>
      <c r="L2564" s="30"/>
      <c r="M2564" s="11">
        <v>337392.0</v>
      </c>
      <c r="N2564" s="11">
        <v>794.0</v>
      </c>
      <c r="P2564" s="11">
        <v>101.0</v>
      </c>
      <c r="Q2564" s="14">
        <v>218.0</v>
      </c>
      <c r="R2564" s="41">
        <v>0.0</v>
      </c>
      <c r="S2564">
        <f t="shared" si="1"/>
        <v>1997</v>
      </c>
      <c r="T2564">
        <f t="shared" si="2"/>
        <v>1</v>
      </c>
      <c r="U2564">
        <f t="shared" si="3"/>
        <v>1</v>
      </c>
      <c r="AG2564" s="15"/>
      <c r="AH2564" s="16"/>
      <c r="AM2564" s="15"/>
      <c r="AN2564" s="16"/>
    </row>
    <row r="2565">
      <c r="A2565" s="13" t="s">
        <v>4403</v>
      </c>
      <c r="B2565" s="10">
        <v>35431.0</v>
      </c>
      <c r="C2565" s="11" t="s">
        <v>156</v>
      </c>
      <c r="D2565" s="11" t="s">
        <v>97</v>
      </c>
      <c r="E2565" s="11" t="s">
        <v>104</v>
      </c>
      <c r="F2565" s="11" t="s">
        <v>40</v>
      </c>
      <c r="G2565" s="11" t="s">
        <v>45</v>
      </c>
      <c r="H2565" s="11" t="s">
        <v>59</v>
      </c>
      <c r="I2565" s="11" t="s">
        <v>594</v>
      </c>
      <c r="J2565" s="11">
        <v>23.0</v>
      </c>
      <c r="K2565" s="12">
        <v>35796.0</v>
      </c>
      <c r="L2565" s="30"/>
      <c r="M2565" s="11"/>
      <c r="N2565" s="11"/>
      <c r="P2565" s="11">
        <v>0.0</v>
      </c>
      <c r="Q2565" s="14">
        <v>0.0</v>
      </c>
      <c r="R2565" s="41">
        <v>0.0</v>
      </c>
      <c r="S2565">
        <f t="shared" si="1"/>
        <v>1997</v>
      </c>
      <c r="T2565">
        <f t="shared" si="2"/>
        <v>1</v>
      </c>
      <c r="U2565">
        <f t="shared" si="3"/>
        <v>1</v>
      </c>
      <c r="AG2565" s="15"/>
      <c r="AH2565" s="16"/>
      <c r="AM2565" s="15"/>
      <c r="AN2565" s="16"/>
    </row>
    <row r="2566">
      <c r="A2566" s="13" t="s">
        <v>4404</v>
      </c>
      <c r="B2566" s="10">
        <v>35431.0</v>
      </c>
      <c r="C2566" s="11" t="s">
        <v>235</v>
      </c>
      <c r="D2566" s="11" t="s">
        <v>88</v>
      </c>
      <c r="E2566" s="30" t="s">
        <v>39</v>
      </c>
      <c r="F2566" s="11" t="s">
        <v>40</v>
      </c>
      <c r="G2566" s="30" t="s">
        <v>45</v>
      </c>
      <c r="H2566" s="11" t="s">
        <v>59</v>
      </c>
      <c r="I2566" s="11" t="s">
        <v>864</v>
      </c>
      <c r="J2566" s="11">
        <v>22.0</v>
      </c>
      <c r="K2566" s="12">
        <v>35796.0</v>
      </c>
      <c r="L2566" s="30"/>
      <c r="M2566" s="11">
        <v>150477.0</v>
      </c>
      <c r="N2566" s="11">
        <v>924.0</v>
      </c>
      <c r="P2566" s="11">
        <v>379.0</v>
      </c>
      <c r="Q2566" s="14">
        <v>407.333</v>
      </c>
      <c r="R2566" s="41">
        <v>0.0</v>
      </c>
      <c r="S2566">
        <f t="shared" si="1"/>
        <v>1997</v>
      </c>
      <c r="T2566">
        <f t="shared" si="2"/>
        <v>1</v>
      </c>
      <c r="U2566">
        <f t="shared" si="3"/>
        <v>1</v>
      </c>
      <c r="AG2566" s="15"/>
      <c r="AH2566" s="16"/>
      <c r="AM2566" s="15"/>
      <c r="AN2566" s="16"/>
    </row>
    <row r="2567">
      <c r="A2567" s="13" t="s">
        <v>4405</v>
      </c>
      <c r="B2567" s="10">
        <v>35335.0</v>
      </c>
      <c r="C2567" s="11" t="s">
        <v>186</v>
      </c>
      <c r="D2567" s="11" t="s">
        <v>213</v>
      </c>
      <c r="E2567" s="30" t="s">
        <v>39</v>
      </c>
      <c r="F2567" s="11" t="s">
        <v>40</v>
      </c>
      <c r="G2567" s="30" t="s">
        <v>45</v>
      </c>
      <c r="H2567" s="11" t="s">
        <v>67</v>
      </c>
      <c r="I2567" s="11" t="s">
        <v>4160</v>
      </c>
      <c r="J2567" s="11">
        <v>17.0</v>
      </c>
      <c r="K2567" s="12">
        <v>36161.0</v>
      </c>
      <c r="L2567" s="30"/>
      <c r="M2567" s="11">
        <v>407890.0</v>
      </c>
      <c r="N2567" s="11">
        <v>1259.0</v>
      </c>
      <c r="O2567" s="13" t="s">
        <v>4062</v>
      </c>
      <c r="P2567" s="11">
        <v>233.0</v>
      </c>
      <c r="Q2567" s="14">
        <v>1215.0</v>
      </c>
      <c r="R2567" s="11">
        <v>0.0</v>
      </c>
      <c r="S2567">
        <f t="shared" si="1"/>
        <v>1996</v>
      </c>
      <c r="T2567">
        <f t="shared" si="2"/>
        <v>9</v>
      </c>
      <c r="U2567">
        <f t="shared" si="3"/>
        <v>27</v>
      </c>
      <c r="AG2567" s="15"/>
      <c r="AH2567" s="16"/>
      <c r="AM2567" s="15"/>
      <c r="AN2567" s="16"/>
    </row>
    <row r="2568">
      <c r="A2568" s="13" t="s">
        <v>4406</v>
      </c>
      <c r="B2568" s="10">
        <v>35321.0</v>
      </c>
      <c r="C2568" s="11" t="s">
        <v>143</v>
      </c>
      <c r="D2568" s="11" t="s">
        <v>38</v>
      </c>
      <c r="E2568" s="30" t="s">
        <v>39</v>
      </c>
      <c r="F2568" s="11" t="s">
        <v>40</v>
      </c>
      <c r="G2568" s="30" t="s">
        <v>45</v>
      </c>
      <c r="H2568" s="11" t="s">
        <v>729</v>
      </c>
      <c r="I2568" s="11" t="s">
        <v>4407</v>
      </c>
      <c r="J2568" s="11">
        <v>25.0</v>
      </c>
      <c r="K2568" s="12">
        <v>35661.0</v>
      </c>
      <c r="L2568" s="11">
        <f t="shared" ref="L2568:L2570" si="262">ROUND(((K2568-B2568)/365)*12,0)</f>
        <v>11</v>
      </c>
      <c r="M2568" s="11">
        <v>110891.0</v>
      </c>
      <c r="N2568" s="11">
        <v>266.0</v>
      </c>
      <c r="O2568" s="13" t="s">
        <v>761</v>
      </c>
      <c r="P2568" s="11">
        <v>131.0</v>
      </c>
      <c r="Q2568" s="45">
        <v>672.3330000000001</v>
      </c>
      <c r="R2568" s="41">
        <v>0.0</v>
      </c>
      <c r="S2568">
        <f t="shared" si="1"/>
        <v>1996</v>
      </c>
      <c r="T2568">
        <f t="shared" si="2"/>
        <v>9</v>
      </c>
      <c r="U2568">
        <f t="shared" si="3"/>
        <v>13</v>
      </c>
      <c r="AG2568" s="15"/>
      <c r="AH2568" s="16"/>
      <c r="AM2568" s="15"/>
      <c r="AN2568" s="16"/>
    </row>
    <row r="2569">
      <c r="A2569" s="13" t="s">
        <v>4408</v>
      </c>
      <c r="B2569" s="10">
        <v>35307.0</v>
      </c>
      <c r="C2569" s="11" t="s">
        <v>116</v>
      </c>
      <c r="D2569" s="11" t="s">
        <v>38</v>
      </c>
      <c r="E2569" s="30" t="s">
        <v>39</v>
      </c>
      <c r="F2569" s="11" t="s">
        <v>64</v>
      </c>
      <c r="G2569" s="11" t="s">
        <v>41</v>
      </c>
      <c r="H2569" s="11"/>
      <c r="I2569" s="11"/>
      <c r="J2569" s="11">
        <v>28.0</v>
      </c>
      <c r="K2569" s="12">
        <v>36255.0</v>
      </c>
      <c r="L2569" s="11">
        <f t="shared" si="262"/>
        <v>31</v>
      </c>
      <c r="M2569" s="11">
        <v>111228.0</v>
      </c>
      <c r="N2569" s="11">
        <v>1001195.0</v>
      </c>
      <c r="O2569" s="13" t="s">
        <v>761</v>
      </c>
      <c r="P2569" s="11">
        <v>279.0</v>
      </c>
      <c r="Q2569" s="45">
        <v>200.0</v>
      </c>
      <c r="R2569" s="41">
        <v>0.0</v>
      </c>
      <c r="S2569">
        <f t="shared" si="1"/>
        <v>1996</v>
      </c>
      <c r="T2569">
        <f t="shared" si="2"/>
        <v>8</v>
      </c>
      <c r="U2569">
        <f t="shared" si="3"/>
        <v>30</v>
      </c>
      <c r="AG2569" s="15"/>
      <c r="AH2569" s="16"/>
      <c r="AM2569" s="15"/>
      <c r="AN2569" s="16"/>
    </row>
    <row r="2570">
      <c r="A2570" s="13" t="s">
        <v>4409</v>
      </c>
      <c r="B2570" s="10">
        <v>35284.0</v>
      </c>
      <c r="C2570" s="11" t="s">
        <v>362</v>
      </c>
      <c r="D2570" s="11" t="s">
        <v>38</v>
      </c>
      <c r="E2570" s="30" t="s">
        <v>39</v>
      </c>
      <c r="F2570" s="11" t="s">
        <v>40</v>
      </c>
      <c r="G2570" s="30" t="s">
        <v>45</v>
      </c>
      <c r="H2570" s="11" t="s">
        <v>957</v>
      </c>
      <c r="I2570" s="11" t="s">
        <v>1154</v>
      </c>
      <c r="J2570" s="11">
        <v>28.0</v>
      </c>
      <c r="K2570" s="12">
        <v>35629.0</v>
      </c>
      <c r="L2570" s="11">
        <f t="shared" si="262"/>
        <v>11</v>
      </c>
      <c r="M2570" s="11">
        <v>123789.0</v>
      </c>
      <c r="N2570" s="11">
        <v>1013490.0</v>
      </c>
      <c r="P2570" s="11">
        <v>32.0</v>
      </c>
      <c r="Q2570" s="45">
        <v>78.0</v>
      </c>
      <c r="R2570" s="41">
        <v>0.0</v>
      </c>
      <c r="S2570">
        <f t="shared" si="1"/>
        <v>1996</v>
      </c>
      <c r="T2570">
        <f t="shared" si="2"/>
        <v>8</v>
      </c>
      <c r="U2570">
        <f t="shared" si="3"/>
        <v>7</v>
      </c>
      <c r="AG2570" s="15"/>
      <c r="AH2570" s="16"/>
      <c r="AM2570" s="15"/>
      <c r="AN2570" s="16"/>
    </row>
    <row r="2571">
      <c r="A2571" s="13" t="s">
        <v>4410</v>
      </c>
      <c r="B2571" s="10">
        <v>35270.0</v>
      </c>
      <c r="C2571" s="11" t="s">
        <v>143</v>
      </c>
      <c r="D2571" s="11" t="s">
        <v>77</v>
      </c>
      <c r="E2571" s="30" t="s">
        <v>39</v>
      </c>
      <c r="F2571" s="11" t="s">
        <v>40</v>
      </c>
      <c r="G2571" s="30" t="s">
        <v>45</v>
      </c>
      <c r="H2571" s="11" t="s">
        <v>67</v>
      </c>
      <c r="I2571" s="11"/>
      <c r="J2571" s="11">
        <v>21.0</v>
      </c>
      <c r="K2571" s="12">
        <v>35431.0</v>
      </c>
      <c r="L2571" s="30"/>
      <c r="M2571" s="11">
        <v>122511.0</v>
      </c>
      <c r="N2571" s="11">
        <v>1012253.0</v>
      </c>
      <c r="P2571" s="11">
        <v>63.0</v>
      </c>
      <c r="Q2571" s="14">
        <v>342.667</v>
      </c>
      <c r="R2571" s="41">
        <v>0.0</v>
      </c>
      <c r="S2571">
        <f t="shared" si="1"/>
        <v>1996</v>
      </c>
      <c r="T2571">
        <f t="shared" si="2"/>
        <v>7</v>
      </c>
      <c r="U2571">
        <f t="shared" si="3"/>
        <v>24</v>
      </c>
      <c r="AG2571" s="15"/>
      <c r="AH2571" s="16"/>
      <c r="AM2571" s="15"/>
      <c r="AN2571" s="16"/>
    </row>
    <row r="2572">
      <c r="A2572" s="13" t="s">
        <v>4361</v>
      </c>
      <c r="B2572" s="10">
        <v>35247.0</v>
      </c>
      <c r="C2572" s="11" t="s">
        <v>116</v>
      </c>
      <c r="D2572" s="11" t="s">
        <v>58</v>
      </c>
      <c r="E2572" s="30" t="s">
        <v>39</v>
      </c>
      <c r="F2572" s="11" t="s">
        <v>40</v>
      </c>
      <c r="G2572" s="30" t="s">
        <v>45</v>
      </c>
      <c r="H2572" s="11" t="s">
        <v>56</v>
      </c>
      <c r="I2572" s="11" t="s">
        <v>4362</v>
      </c>
      <c r="J2572" s="11">
        <v>25.0</v>
      </c>
      <c r="K2572" s="12">
        <v>35431.0</v>
      </c>
      <c r="L2572" s="30"/>
      <c r="M2572" s="11">
        <v>114354.0</v>
      </c>
      <c r="N2572" s="11">
        <v>684.0</v>
      </c>
      <c r="O2572" s="13" t="s">
        <v>761</v>
      </c>
      <c r="P2572" s="11">
        <v>85.0</v>
      </c>
      <c r="Q2572" s="14">
        <v>91.0</v>
      </c>
      <c r="R2572" s="41">
        <v>0.0</v>
      </c>
      <c r="S2572">
        <f t="shared" si="1"/>
        <v>1996</v>
      </c>
      <c r="T2572">
        <f t="shared" si="2"/>
        <v>7</v>
      </c>
      <c r="U2572">
        <f t="shared" si="3"/>
        <v>1</v>
      </c>
      <c r="AG2572" s="15"/>
      <c r="AH2572" s="16"/>
      <c r="AM2572" s="15"/>
      <c r="AN2572" s="16"/>
    </row>
    <row r="2573">
      <c r="A2573" s="13" t="s">
        <v>4411</v>
      </c>
      <c r="B2573" s="10">
        <v>35229.0</v>
      </c>
      <c r="C2573" s="11" t="s">
        <v>274</v>
      </c>
      <c r="D2573" s="11" t="s">
        <v>38</v>
      </c>
      <c r="E2573" s="30" t="s">
        <v>39</v>
      </c>
      <c r="F2573" s="11" t="s">
        <v>40</v>
      </c>
      <c r="G2573" s="30" t="s">
        <v>45</v>
      </c>
      <c r="H2573" s="11" t="s">
        <v>129</v>
      </c>
      <c r="I2573" s="11"/>
      <c r="J2573" s="11">
        <v>35.0</v>
      </c>
      <c r="K2573" s="12">
        <v>36785.0</v>
      </c>
      <c r="L2573" s="11">
        <f t="shared" ref="L2573:L2574" si="263">ROUND(((K2573-B2573)/365)*12,0)</f>
        <v>51</v>
      </c>
      <c r="M2573" s="11">
        <v>120036.0</v>
      </c>
      <c r="N2573" s="11">
        <v>1009826.0</v>
      </c>
      <c r="O2573" s="13" t="s">
        <v>3309</v>
      </c>
      <c r="P2573" s="11">
        <v>3.0</v>
      </c>
      <c r="Q2573" s="45">
        <v>5.332999999999998</v>
      </c>
      <c r="R2573" s="41">
        <v>0.0</v>
      </c>
      <c r="S2573">
        <f t="shared" si="1"/>
        <v>1996</v>
      </c>
      <c r="T2573">
        <f t="shared" si="2"/>
        <v>6</v>
      </c>
      <c r="U2573">
        <f t="shared" si="3"/>
        <v>13</v>
      </c>
      <c r="AG2573" s="15"/>
      <c r="AH2573" s="16"/>
      <c r="AM2573" s="15"/>
      <c r="AN2573" s="16"/>
    </row>
    <row r="2574">
      <c r="A2574" s="13" t="s">
        <v>4412</v>
      </c>
      <c r="B2574" s="10">
        <v>35173.0</v>
      </c>
      <c r="C2574" s="11" t="s">
        <v>49</v>
      </c>
      <c r="D2574" s="11" t="s">
        <v>38</v>
      </c>
      <c r="E2574" s="30" t="s">
        <v>39</v>
      </c>
      <c r="F2574" s="11" t="s">
        <v>64</v>
      </c>
      <c r="G2574" s="30" t="s">
        <v>45</v>
      </c>
      <c r="H2574" s="11" t="s">
        <v>46</v>
      </c>
      <c r="I2574" s="11"/>
      <c r="J2574" s="11">
        <v>22.0</v>
      </c>
      <c r="K2574" s="12">
        <v>35968.0</v>
      </c>
      <c r="L2574" s="11">
        <f t="shared" si="263"/>
        <v>26</v>
      </c>
      <c r="M2574" s="11">
        <v>120802.0</v>
      </c>
      <c r="N2574" s="11">
        <v>842.0</v>
      </c>
      <c r="P2574" s="11">
        <v>89.0</v>
      </c>
      <c r="Q2574" s="45">
        <v>201.33299999999997</v>
      </c>
      <c r="R2574" s="41">
        <v>0.0</v>
      </c>
      <c r="S2574">
        <f t="shared" si="1"/>
        <v>1996</v>
      </c>
      <c r="T2574">
        <f t="shared" si="2"/>
        <v>4</v>
      </c>
      <c r="U2574">
        <f t="shared" si="3"/>
        <v>18</v>
      </c>
      <c r="AG2574" s="15"/>
      <c r="AH2574" s="16"/>
      <c r="AM2574" s="15"/>
      <c r="AN2574" s="16"/>
    </row>
    <row r="2575">
      <c r="A2575" s="13" t="s">
        <v>4349</v>
      </c>
      <c r="B2575" s="10">
        <v>35065.0</v>
      </c>
      <c r="C2575" s="11" t="s">
        <v>358</v>
      </c>
      <c r="D2575" s="11" t="s">
        <v>88</v>
      </c>
      <c r="E2575" s="30" t="s">
        <v>39</v>
      </c>
      <c r="F2575" s="11" t="s">
        <v>40</v>
      </c>
      <c r="G2575" s="30" t="s">
        <v>45</v>
      </c>
      <c r="H2575" s="11" t="s">
        <v>84</v>
      </c>
      <c r="I2575" s="11" t="s">
        <v>4193</v>
      </c>
      <c r="J2575" s="11">
        <v>21.0</v>
      </c>
      <c r="K2575" s="12">
        <v>35796.0</v>
      </c>
      <c r="L2575" s="30"/>
      <c r="M2575" s="11">
        <v>238796.0</v>
      </c>
      <c r="N2575" s="11">
        <v>1592.0</v>
      </c>
      <c r="P2575" s="11">
        <v>6.0</v>
      </c>
      <c r="Q2575" s="14">
        <v>5.333</v>
      </c>
      <c r="R2575" s="41">
        <v>0.0</v>
      </c>
      <c r="S2575">
        <f t="shared" si="1"/>
        <v>1996</v>
      </c>
      <c r="T2575">
        <f t="shared" si="2"/>
        <v>1</v>
      </c>
      <c r="U2575">
        <f t="shared" si="3"/>
        <v>1</v>
      </c>
      <c r="AG2575" s="15"/>
      <c r="AH2575" s="16"/>
      <c r="AM2575" s="15"/>
      <c r="AN2575" s="16"/>
    </row>
    <row r="2576">
      <c r="A2576" s="13" t="s">
        <v>4413</v>
      </c>
      <c r="B2576" s="10">
        <v>35065.0</v>
      </c>
      <c r="C2576" s="11" t="s">
        <v>156</v>
      </c>
      <c r="D2576" s="11" t="s">
        <v>213</v>
      </c>
      <c r="E2576" s="30" t="s">
        <v>39</v>
      </c>
      <c r="F2576" s="11" t="s">
        <v>40</v>
      </c>
      <c r="G2576" s="30" t="s">
        <v>45</v>
      </c>
      <c r="H2576" s="11" t="s">
        <v>262</v>
      </c>
      <c r="I2576" s="11" t="s">
        <v>2506</v>
      </c>
      <c r="J2576" s="11">
        <v>16.0</v>
      </c>
      <c r="K2576" s="12">
        <v>37257.0</v>
      </c>
      <c r="L2576" s="30"/>
      <c r="M2576" s="11">
        <v>407376.0</v>
      </c>
      <c r="N2576" s="11">
        <v>1195.0</v>
      </c>
      <c r="P2576" s="11">
        <v>63.0</v>
      </c>
      <c r="Q2576" s="14">
        <v>271.0</v>
      </c>
      <c r="R2576" s="41">
        <v>0.0</v>
      </c>
      <c r="S2576">
        <f t="shared" si="1"/>
        <v>1996</v>
      </c>
      <c r="T2576">
        <f t="shared" si="2"/>
        <v>1</v>
      </c>
      <c r="U2576">
        <f t="shared" si="3"/>
        <v>1</v>
      </c>
      <c r="AG2576" s="15"/>
      <c r="AH2576" s="16"/>
      <c r="AM2576" s="15"/>
      <c r="AN2576" s="16"/>
    </row>
    <row r="2577">
      <c r="A2577" s="13" t="s">
        <v>4022</v>
      </c>
      <c r="B2577" s="10">
        <v>35065.0</v>
      </c>
      <c r="C2577" s="11" t="s">
        <v>156</v>
      </c>
      <c r="D2577" s="11" t="s">
        <v>221</v>
      </c>
      <c r="E2577" s="30" t="s">
        <v>39</v>
      </c>
      <c r="F2577" s="11" t="s">
        <v>40</v>
      </c>
      <c r="G2577" s="41" t="s">
        <v>53</v>
      </c>
      <c r="H2577" s="30"/>
      <c r="I2577" s="30"/>
      <c r="J2577" s="11">
        <v>20.0</v>
      </c>
      <c r="K2577" s="12">
        <v>35431.0</v>
      </c>
      <c r="L2577" s="30"/>
      <c r="M2577" s="11">
        <v>406913.0</v>
      </c>
      <c r="N2577" s="11">
        <v>1237.0</v>
      </c>
      <c r="P2577" s="11">
        <v>174.0</v>
      </c>
      <c r="Q2577" s="14">
        <v>683.333</v>
      </c>
      <c r="R2577" s="41">
        <v>0.0</v>
      </c>
      <c r="S2577">
        <f t="shared" si="1"/>
        <v>1996</v>
      </c>
      <c r="T2577">
        <f t="shared" si="2"/>
        <v>1</v>
      </c>
      <c r="U2577">
        <f t="shared" si="3"/>
        <v>1</v>
      </c>
      <c r="AG2577" s="15"/>
      <c r="AH2577" s="16"/>
      <c r="AM2577" s="15"/>
      <c r="AN2577" s="16"/>
    </row>
    <row r="2578">
      <c r="A2578" s="13" t="s">
        <v>4414</v>
      </c>
      <c r="B2578" s="10">
        <v>34980.0</v>
      </c>
      <c r="C2578" s="11" t="s">
        <v>83</v>
      </c>
      <c r="D2578" s="11" t="s">
        <v>38</v>
      </c>
      <c r="E2578" s="11" t="s">
        <v>39</v>
      </c>
      <c r="F2578" s="11" t="s">
        <v>40</v>
      </c>
      <c r="G2578" s="11" t="s">
        <v>483</v>
      </c>
      <c r="H2578" s="30"/>
      <c r="I2578" s="30"/>
      <c r="J2578" s="11">
        <v>29.0</v>
      </c>
      <c r="K2578" s="12">
        <v>35569.0</v>
      </c>
      <c r="L2578" s="11">
        <f>ROUND(((K2578-B2578)/365)*12,0)</f>
        <v>19</v>
      </c>
      <c r="M2578" s="11">
        <v>110338.0</v>
      </c>
      <c r="N2578" s="11">
        <v>1000325.0</v>
      </c>
      <c r="O2578" s="13"/>
      <c r="P2578" s="11">
        <v>6.0</v>
      </c>
      <c r="Q2578" s="14">
        <v>10.333</v>
      </c>
      <c r="R2578" s="41">
        <v>0.0</v>
      </c>
      <c r="S2578">
        <f t="shared" si="1"/>
        <v>1995</v>
      </c>
      <c r="T2578">
        <f t="shared" si="2"/>
        <v>10</v>
      </c>
      <c r="U2578">
        <f t="shared" si="3"/>
        <v>8</v>
      </c>
      <c r="AG2578" s="15"/>
      <c r="AH2578" s="16"/>
      <c r="AM2578" s="15"/>
      <c r="AN2578" s="16"/>
    </row>
    <row r="2579">
      <c r="A2579" s="13" t="s">
        <v>4398</v>
      </c>
      <c r="B2579" s="10">
        <v>34943.0</v>
      </c>
      <c r="C2579" s="11" t="s">
        <v>49</v>
      </c>
      <c r="D2579" s="11" t="s">
        <v>58</v>
      </c>
      <c r="E2579" s="41" t="s">
        <v>118</v>
      </c>
      <c r="F2579" s="11" t="s">
        <v>40</v>
      </c>
      <c r="G2579" s="30" t="s">
        <v>45</v>
      </c>
      <c r="H2579" s="11" t="s">
        <v>236</v>
      </c>
      <c r="I2579" s="11" t="s">
        <v>1599</v>
      </c>
      <c r="J2579" s="11">
        <v>22.0</v>
      </c>
      <c r="K2579" s="12">
        <v>35065.0</v>
      </c>
      <c r="L2579" s="30"/>
      <c r="M2579" s="11">
        <v>134341.0</v>
      </c>
      <c r="N2579" s="11">
        <v>890.0</v>
      </c>
      <c r="P2579" s="11">
        <v>0.0</v>
      </c>
      <c r="Q2579" s="14">
        <v>0.0</v>
      </c>
      <c r="R2579" s="41">
        <v>0.0</v>
      </c>
      <c r="S2579">
        <f t="shared" si="1"/>
        <v>1995</v>
      </c>
      <c r="T2579">
        <f t="shared" si="2"/>
        <v>9</v>
      </c>
      <c r="U2579">
        <f t="shared" si="3"/>
        <v>1</v>
      </c>
      <c r="AG2579" s="15"/>
      <c r="AH2579" s="16"/>
      <c r="AM2579" s="15"/>
      <c r="AN2579" s="16"/>
    </row>
    <row r="2580">
      <c r="A2580" s="13" t="s">
        <v>4415</v>
      </c>
      <c r="B2580" s="10">
        <v>34933.0</v>
      </c>
      <c r="C2580" s="11" t="s">
        <v>162</v>
      </c>
      <c r="D2580" s="11" t="s">
        <v>38</v>
      </c>
      <c r="E2580" s="30" t="s">
        <v>39</v>
      </c>
      <c r="F2580" s="11" t="s">
        <v>40</v>
      </c>
      <c r="G2580" s="41" t="s">
        <v>41</v>
      </c>
      <c r="H2580" s="30"/>
      <c r="I2580" s="30"/>
      <c r="J2580" s="11">
        <v>30.0</v>
      </c>
      <c r="K2580" s="12">
        <v>37120.0</v>
      </c>
      <c r="L2580" s="11">
        <f t="shared" ref="L2580:L2585" si="264">ROUND(((K2580-B2580)/365)*12,0)</f>
        <v>72</v>
      </c>
      <c r="M2580" s="11">
        <v>121206.0</v>
      </c>
      <c r="N2580" s="11">
        <v>349.0</v>
      </c>
      <c r="O2580" s="13" t="s">
        <v>761</v>
      </c>
      <c r="P2580" s="11">
        <v>44.0</v>
      </c>
      <c r="Q2580" s="45">
        <v>94.0</v>
      </c>
      <c r="R2580" s="41">
        <v>0.0</v>
      </c>
      <c r="S2580">
        <f t="shared" si="1"/>
        <v>1995</v>
      </c>
      <c r="T2580">
        <f t="shared" si="2"/>
        <v>8</v>
      </c>
      <c r="U2580">
        <f t="shared" si="3"/>
        <v>22</v>
      </c>
      <c r="AG2580" s="15"/>
      <c r="AH2580" s="16"/>
      <c r="AM2580" s="15"/>
      <c r="AN2580" s="16"/>
    </row>
    <row r="2581">
      <c r="A2581" s="13" t="s">
        <v>4416</v>
      </c>
      <c r="B2581" s="10">
        <v>34933.0</v>
      </c>
      <c r="C2581" s="11" t="s">
        <v>150</v>
      </c>
      <c r="D2581" s="11" t="s">
        <v>38</v>
      </c>
      <c r="E2581" s="11" t="s">
        <v>39</v>
      </c>
      <c r="F2581" s="11" t="s">
        <v>40</v>
      </c>
      <c r="G2581" s="11" t="s">
        <v>225</v>
      </c>
      <c r="H2581" s="11"/>
      <c r="I2581" s="30"/>
      <c r="J2581" s="11">
        <v>27.0</v>
      </c>
      <c r="K2581" s="12">
        <v>35227.0</v>
      </c>
      <c r="L2581" s="11">
        <f t="shared" si="264"/>
        <v>10</v>
      </c>
      <c r="M2581" s="11">
        <v>119528.0</v>
      </c>
      <c r="N2581" s="11">
        <v>1009326.0</v>
      </c>
      <c r="O2581" s="13"/>
      <c r="P2581" s="11">
        <v>38.0</v>
      </c>
      <c r="Q2581" s="14">
        <v>112.667</v>
      </c>
      <c r="R2581" s="41">
        <v>0.0</v>
      </c>
      <c r="S2581">
        <f t="shared" si="1"/>
        <v>1995</v>
      </c>
      <c r="T2581">
        <f t="shared" si="2"/>
        <v>8</v>
      </c>
      <c r="U2581">
        <f t="shared" si="3"/>
        <v>22</v>
      </c>
      <c r="AG2581" s="15"/>
      <c r="AH2581" s="16"/>
      <c r="AM2581" s="15"/>
      <c r="AN2581" s="16"/>
    </row>
    <row r="2582">
      <c r="A2582" s="13" t="s">
        <v>4417</v>
      </c>
      <c r="B2582" s="10">
        <v>34933.0</v>
      </c>
      <c r="C2582" s="11" t="s">
        <v>76</v>
      </c>
      <c r="D2582" s="11" t="s">
        <v>38</v>
      </c>
      <c r="E2582" s="11" t="s">
        <v>39</v>
      </c>
      <c r="F2582" s="11" t="s">
        <v>64</v>
      </c>
      <c r="G2582" s="11" t="s">
        <v>45</v>
      </c>
      <c r="H2582" s="11" t="s">
        <v>56</v>
      </c>
      <c r="I2582" s="30"/>
      <c r="J2582" s="11">
        <v>26.0</v>
      </c>
      <c r="K2582" s="12">
        <v>35522.0</v>
      </c>
      <c r="L2582" s="11">
        <f t="shared" si="264"/>
        <v>19</v>
      </c>
      <c r="M2582" s="11">
        <v>115783.0</v>
      </c>
      <c r="N2582" s="11">
        <v>1005667.0</v>
      </c>
      <c r="O2582" s="13" t="s">
        <v>4062</v>
      </c>
      <c r="P2582" s="11">
        <v>45.0</v>
      </c>
      <c r="Q2582" s="14">
        <v>118.333</v>
      </c>
      <c r="R2582" s="41">
        <v>0.0</v>
      </c>
      <c r="S2582">
        <f t="shared" si="1"/>
        <v>1995</v>
      </c>
      <c r="T2582">
        <f t="shared" si="2"/>
        <v>8</v>
      </c>
      <c r="U2582">
        <f t="shared" si="3"/>
        <v>22</v>
      </c>
      <c r="AG2582" s="15"/>
      <c r="AH2582" s="16"/>
      <c r="AM2582" s="15"/>
      <c r="AN2582" s="16"/>
    </row>
    <row r="2583">
      <c r="A2583" s="13" t="s">
        <v>4059</v>
      </c>
      <c r="B2583" s="10">
        <v>34912.0</v>
      </c>
      <c r="C2583" s="11" t="s">
        <v>55</v>
      </c>
      <c r="D2583" s="11" t="s">
        <v>38</v>
      </c>
      <c r="E2583" s="30" t="s">
        <v>39</v>
      </c>
      <c r="F2583" s="11" t="s">
        <v>40</v>
      </c>
      <c r="G2583" s="41" t="s">
        <v>41</v>
      </c>
      <c r="H2583" s="30"/>
      <c r="I2583" s="30"/>
      <c r="J2583" s="11">
        <v>24.0</v>
      </c>
      <c r="K2583" s="12">
        <v>35316.0</v>
      </c>
      <c r="L2583" s="11">
        <f t="shared" si="264"/>
        <v>13</v>
      </c>
      <c r="M2583" s="11">
        <v>121099.0</v>
      </c>
      <c r="N2583" s="11">
        <v>1005.0</v>
      </c>
      <c r="P2583" s="11">
        <v>270.0</v>
      </c>
      <c r="Q2583" s="45">
        <v>312.0</v>
      </c>
      <c r="R2583" s="41">
        <v>0.0</v>
      </c>
      <c r="S2583">
        <f t="shared" si="1"/>
        <v>1995</v>
      </c>
      <c r="T2583">
        <f t="shared" si="2"/>
        <v>8</v>
      </c>
      <c r="U2583">
        <f t="shared" si="3"/>
        <v>1</v>
      </c>
      <c r="AG2583" s="15"/>
      <c r="AH2583" s="16"/>
      <c r="AM2583" s="15"/>
      <c r="AN2583" s="16"/>
    </row>
    <row r="2584">
      <c r="A2584" s="13" t="s">
        <v>4418</v>
      </c>
      <c r="B2584" s="10">
        <v>34873.0</v>
      </c>
      <c r="C2584" s="11" t="s">
        <v>83</v>
      </c>
      <c r="D2584" s="11" t="s">
        <v>38</v>
      </c>
      <c r="E2584" s="30" t="s">
        <v>39</v>
      </c>
      <c r="F2584" s="11" t="s">
        <v>40</v>
      </c>
      <c r="G2584" s="30" t="s">
        <v>45</v>
      </c>
      <c r="H2584" s="11" t="s">
        <v>735</v>
      </c>
      <c r="I2584" s="11" t="s">
        <v>735</v>
      </c>
      <c r="J2584" s="11">
        <v>27.0</v>
      </c>
      <c r="K2584" s="12">
        <v>35260.0</v>
      </c>
      <c r="L2584" s="11">
        <f t="shared" si="264"/>
        <v>13</v>
      </c>
      <c r="M2584" s="11">
        <v>113793.0</v>
      </c>
      <c r="N2584" s="11">
        <v>1653.0</v>
      </c>
      <c r="O2584" s="13" t="s">
        <v>3309</v>
      </c>
      <c r="P2584" s="11">
        <v>259.0</v>
      </c>
      <c r="Q2584" s="14">
        <v>790.667</v>
      </c>
      <c r="R2584" s="41">
        <v>0.0</v>
      </c>
      <c r="S2584">
        <f t="shared" si="1"/>
        <v>1995</v>
      </c>
      <c r="T2584">
        <f t="shared" si="2"/>
        <v>6</v>
      </c>
      <c r="U2584">
        <f t="shared" si="3"/>
        <v>23</v>
      </c>
      <c r="AG2584" s="15"/>
      <c r="AH2584" s="16"/>
      <c r="AM2584" s="15"/>
      <c r="AN2584" s="16"/>
    </row>
    <row r="2585">
      <c r="A2585" s="13" t="s">
        <v>4419</v>
      </c>
      <c r="B2585" s="10">
        <v>34866.0</v>
      </c>
      <c r="C2585" s="11" t="s">
        <v>274</v>
      </c>
      <c r="D2585" s="11" t="s">
        <v>38</v>
      </c>
      <c r="E2585" s="30" t="s">
        <v>39</v>
      </c>
      <c r="F2585" s="11" t="s">
        <v>40</v>
      </c>
      <c r="G2585" s="30" t="s">
        <v>45</v>
      </c>
      <c r="H2585" s="11" t="s">
        <v>59</v>
      </c>
      <c r="I2585" s="11"/>
      <c r="J2585" s="11">
        <v>24.0</v>
      </c>
      <c r="K2585" s="12">
        <v>35524.0</v>
      </c>
      <c r="L2585" s="11">
        <f t="shared" si="264"/>
        <v>22</v>
      </c>
      <c r="M2585" s="11">
        <v>116853.0</v>
      </c>
      <c r="N2585" s="11">
        <v>829.0</v>
      </c>
      <c r="O2585" s="13" t="s">
        <v>761</v>
      </c>
      <c r="P2585" s="11">
        <v>345.0</v>
      </c>
      <c r="Q2585" s="45">
        <v>526.3330000000001</v>
      </c>
      <c r="R2585" s="41">
        <v>0.0</v>
      </c>
      <c r="S2585">
        <f t="shared" si="1"/>
        <v>1995</v>
      </c>
      <c r="T2585">
        <f t="shared" si="2"/>
        <v>6</v>
      </c>
      <c r="U2585">
        <f t="shared" si="3"/>
        <v>16</v>
      </c>
      <c r="AG2585" s="15"/>
      <c r="AH2585" s="16"/>
      <c r="AM2585" s="15"/>
      <c r="AN2585" s="16"/>
    </row>
    <row r="2586">
      <c r="A2586" s="13" t="s">
        <v>4420</v>
      </c>
      <c r="B2586" s="10">
        <v>34822.0</v>
      </c>
      <c r="C2586" s="11" t="s">
        <v>37</v>
      </c>
      <c r="D2586" s="11" t="s">
        <v>38</v>
      </c>
      <c r="E2586" s="30" t="s">
        <v>39</v>
      </c>
      <c r="F2586" s="11" t="s">
        <v>40</v>
      </c>
      <c r="G2586" s="30" t="s">
        <v>45</v>
      </c>
      <c r="H2586" s="11" t="s">
        <v>262</v>
      </c>
      <c r="I2586" s="11" t="s">
        <v>4421</v>
      </c>
      <c r="J2586" s="11">
        <v>32.0</v>
      </c>
      <c r="K2586" s="12"/>
      <c r="L2586" s="11"/>
      <c r="M2586" s="11">
        <v>115583.0</v>
      </c>
      <c r="N2586" s="11">
        <v>1005469.0</v>
      </c>
      <c r="O2586" s="13" t="s">
        <v>3309</v>
      </c>
      <c r="P2586" s="11">
        <v>0.0</v>
      </c>
      <c r="Q2586" s="45">
        <v>0.0</v>
      </c>
      <c r="R2586" s="41">
        <v>0.0</v>
      </c>
      <c r="S2586">
        <f t="shared" si="1"/>
        <v>1995</v>
      </c>
      <c r="T2586">
        <f t="shared" si="2"/>
        <v>5</v>
      </c>
      <c r="U2586">
        <f t="shared" si="3"/>
        <v>3</v>
      </c>
      <c r="AG2586" s="15"/>
      <c r="AH2586" s="16"/>
      <c r="AM2586" s="15"/>
      <c r="AN2586" s="16"/>
    </row>
    <row r="2587">
      <c r="A2587" s="13" t="s">
        <v>4299</v>
      </c>
      <c r="B2587" s="10">
        <v>34772.0</v>
      </c>
      <c r="C2587" s="11" t="s">
        <v>126</v>
      </c>
      <c r="D2587" s="11" t="s">
        <v>38</v>
      </c>
      <c r="E2587" s="30" t="s">
        <v>39</v>
      </c>
      <c r="F2587" s="11" t="s">
        <v>40</v>
      </c>
      <c r="G2587" s="30" t="s">
        <v>45</v>
      </c>
      <c r="H2587" s="11" t="s">
        <v>119</v>
      </c>
      <c r="I2587" s="11" t="s">
        <v>689</v>
      </c>
      <c r="J2587" s="11">
        <v>23.0</v>
      </c>
      <c r="K2587" s="12">
        <v>35273.0</v>
      </c>
      <c r="L2587" s="11">
        <f>ROUND(((K2587-B2587)/365)*12,0)</f>
        <v>16</v>
      </c>
      <c r="M2587" s="11">
        <v>113554.0</v>
      </c>
      <c r="N2587" s="11">
        <v>647.0</v>
      </c>
      <c r="O2587" s="13" t="s">
        <v>4062</v>
      </c>
      <c r="P2587" s="11">
        <v>177.0</v>
      </c>
      <c r="Q2587" s="14">
        <v>732.667</v>
      </c>
      <c r="R2587" s="41">
        <v>0.0</v>
      </c>
      <c r="S2587">
        <f t="shared" si="1"/>
        <v>1995</v>
      </c>
      <c r="T2587">
        <f t="shared" si="2"/>
        <v>3</v>
      </c>
      <c r="U2587">
        <f t="shared" si="3"/>
        <v>14</v>
      </c>
      <c r="AG2587" s="15"/>
      <c r="AH2587" s="16"/>
      <c r="AM2587" s="15"/>
      <c r="AN2587" s="16"/>
    </row>
    <row r="2588">
      <c r="A2588" s="13" t="s">
        <v>4422</v>
      </c>
      <c r="B2588" s="10">
        <v>34700.0</v>
      </c>
      <c r="C2588" s="11" t="s">
        <v>362</v>
      </c>
      <c r="D2588" s="11" t="s">
        <v>93</v>
      </c>
      <c r="E2588" s="30" t="s">
        <v>39</v>
      </c>
      <c r="F2588" s="11" t="s">
        <v>40</v>
      </c>
      <c r="G2588" s="41" t="s">
        <v>503</v>
      </c>
      <c r="H2588" s="30"/>
      <c r="I2588" s="30"/>
      <c r="J2588" s="11">
        <v>27.0</v>
      </c>
      <c r="K2588" s="12">
        <v>39083.0</v>
      </c>
      <c r="L2588" s="30"/>
      <c r="M2588" s="11">
        <v>506555.0</v>
      </c>
      <c r="N2588" s="11">
        <v>7782.0</v>
      </c>
      <c r="P2588" s="11">
        <v>19.0</v>
      </c>
      <c r="Q2588" s="14">
        <v>21.0</v>
      </c>
      <c r="R2588" s="41">
        <v>0.0</v>
      </c>
      <c r="S2588">
        <f t="shared" si="1"/>
        <v>1995</v>
      </c>
      <c r="T2588">
        <f t="shared" si="2"/>
        <v>1</v>
      </c>
      <c r="U2588">
        <f t="shared" si="3"/>
        <v>1</v>
      </c>
      <c r="AG2588" s="15"/>
      <c r="AH2588" s="16"/>
      <c r="AM2588" s="15"/>
      <c r="AN2588" s="16"/>
    </row>
    <row r="2589">
      <c r="A2589" s="13" t="s">
        <v>4423</v>
      </c>
      <c r="B2589" s="10">
        <v>34700.0</v>
      </c>
      <c r="C2589" s="11" t="s">
        <v>175</v>
      </c>
      <c r="D2589" s="11" t="s">
        <v>38</v>
      </c>
      <c r="E2589" s="11" t="s">
        <v>2062</v>
      </c>
      <c r="F2589" s="11" t="s">
        <v>40</v>
      </c>
      <c r="G2589" s="11" t="s">
        <v>225</v>
      </c>
      <c r="H2589" s="11"/>
      <c r="I2589" s="11"/>
      <c r="J2589" s="11">
        <v>24.0</v>
      </c>
      <c r="K2589" s="12">
        <v>35175.0</v>
      </c>
      <c r="L2589" s="30"/>
      <c r="M2589" s="11">
        <v>117922.0</v>
      </c>
      <c r="N2589" s="11">
        <v>695.0</v>
      </c>
      <c r="P2589" s="11">
        <v>627.0</v>
      </c>
      <c r="Q2589" s="14">
        <v>1482.0</v>
      </c>
      <c r="R2589" s="41">
        <v>0.0</v>
      </c>
      <c r="S2589">
        <f t="shared" si="1"/>
        <v>1995</v>
      </c>
      <c r="T2589">
        <f t="shared" si="2"/>
        <v>1</v>
      </c>
      <c r="U2589">
        <f t="shared" si="3"/>
        <v>1</v>
      </c>
      <c r="AG2589" s="15"/>
      <c r="AH2589" s="16"/>
      <c r="AM2589" s="15"/>
      <c r="AN2589" s="16"/>
    </row>
    <row r="2590">
      <c r="A2590" s="13" t="s">
        <v>4424</v>
      </c>
      <c r="B2590" s="10">
        <v>34561.0</v>
      </c>
      <c r="C2590" s="11" t="s">
        <v>167</v>
      </c>
      <c r="D2590" s="11" t="s">
        <v>38</v>
      </c>
      <c r="E2590" s="11" t="s">
        <v>39</v>
      </c>
      <c r="F2590" s="11" t="s">
        <v>40</v>
      </c>
      <c r="G2590" s="11" t="s">
        <v>45</v>
      </c>
      <c r="H2590" s="11" t="s">
        <v>56</v>
      </c>
      <c r="I2590" s="11" t="s">
        <v>1746</v>
      </c>
      <c r="J2590" s="11">
        <v>28.0</v>
      </c>
      <c r="K2590" s="12">
        <v>34863.0</v>
      </c>
      <c r="L2590" s="11">
        <f t="shared" ref="L2590:L2593" si="265">ROUND(((K2590-B2590)/365)*12,0)</f>
        <v>10</v>
      </c>
      <c r="M2590" s="11">
        <v>124685.0</v>
      </c>
      <c r="N2590" s="11">
        <v>1014362.0</v>
      </c>
      <c r="O2590" s="13" t="s">
        <v>4425</v>
      </c>
      <c r="P2590" s="11">
        <v>60.0</v>
      </c>
      <c r="Q2590" s="14">
        <v>74.667</v>
      </c>
      <c r="R2590" s="41">
        <v>0.0</v>
      </c>
      <c r="S2590">
        <f t="shared" si="1"/>
        <v>1994</v>
      </c>
      <c r="T2590">
        <f t="shared" si="2"/>
        <v>8</v>
      </c>
      <c r="U2590">
        <f t="shared" si="3"/>
        <v>15</v>
      </c>
      <c r="AG2590" s="15"/>
      <c r="AH2590" s="16"/>
      <c r="AM2590" s="15"/>
      <c r="AN2590" s="16"/>
    </row>
    <row r="2591">
      <c r="A2591" s="13" t="s">
        <v>4426</v>
      </c>
      <c r="B2591" s="10">
        <v>34507.0</v>
      </c>
      <c r="C2591" s="11" t="s">
        <v>55</v>
      </c>
      <c r="D2591" s="11" t="s">
        <v>38</v>
      </c>
      <c r="E2591" s="41" t="s">
        <v>118</v>
      </c>
      <c r="F2591" s="11" t="s">
        <v>40</v>
      </c>
      <c r="G2591" s="30" t="s">
        <v>45</v>
      </c>
      <c r="H2591" s="11" t="s">
        <v>240</v>
      </c>
      <c r="I2591" s="11"/>
      <c r="J2591" s="11">
        <v>29.0</v>
      </c>
      <c r="K2591" s="12">
        <v>34815.0</v>
      </c>
      <c r="L2591" s="11">
        <f t="shared" si="265"/>
        <v>10</v>
      </c>
      <c r="M2591" s="11">
        <v>115378.0</v>
      </c>
      <c r="N2591" s="11">
        <v>1005272.0</v>
      </c>
      <c r="O2591" s="13" t="s">
        <v>3309</v>
      </c>
      <c r="P2591" s="11">
        <v>774.0</v>
      </c>
      <c r="Q2591" s="45">
        <v>3184.0</v>
      </c>
      <c r="R2591" s="41">
        <v>0.0</v>
      </c>
      <c r="S2591">
        <f t="shared" si="1"/>
        <v>1994</v>
      </c>
      <c r="T2591">
        <f t="shared" si="2"/>
        <v>6</v>
      </c>
      <c r="U2591">
        <f t="shared" si="3"/>
        <v>22</v>
      </c>
      <c r="AG2591" s="15"/>
      <c r="AH2591" s="16"/>
      <c r="AM2591" s="15"/>
      <c r="AN2591" s="16"/>
    </row>
    <row r="2592">
      <c r="A2592" s="13" t="s">
        <v>4427</v>
      </c>
      <c r="B2592" s="10">
        <v>34471.0</v>
      </c>
      <c r="C2592" s="11" t="s">
        <v>72</v>
      </c>
      <c r="D2592" s="11" t="s">
        <v>38</v>
      </c>
      <c r="E2592" s="30" t="s">
        <v>39</v>
      </c>
      <c r="F2592" s="11" t="s">
        <v>64</v>
      </c>
      <c r="G2592" s="30" t="s">
        <v>45</v>
      </c>
      <c r="H2592" s="11" t="s">
        <v>59</v>
      </c>
      <c r="I2592" s="11" t="s">
        <v>851</v>
      </c>
      <c r="J2592" s="11">
        <v>34.0</v>
      </c>
      <c r="K2592" s="12">
        <v>34937.0</v>
      </c>
      <c r="L2592" s="11">
        <f t="shared" si="265"/>
        <v>15</v>
      </c>
      <c r="M2592" s="11">
        <v>123732.0</v>
      </c>
      <c r="N2592" s="11">
        <v>1013435.0</v>
      </c>
      <c r="O2592" s="13" t="s">
        <v>4062</v>
      </c>
      <c r="P2592" s="11">
        <v>9.0</v>
      </c>
      <c r="Q2592" s="14">
        <v>44.667</v>
      </c>
      <c r="R2592" s="41">
        <v>0.0</v>
      </c>
      <c r="S2592">
        <f t="shared" si="1"/>
        <v>1994</v>
      </c>
      <c r="T2592">
        <f t="shared" si="2"/>
        <v>5</v>
      </c>
      <c r="U2592">
        <f t="shared" si="3"/>
        <v>17</v>
      </c>
      <c r="AG2592" s="15"/>
      <c r="AH2592" s="16"/>
      <c r="AM2592" s="15"/>
      <c r="AN2592" s="16"/>
    </row>
    <row r="2593">
      <c r="A2593" s="13" t="s">
        <v>4428</v>
      </c>
      <c r="B2593" s="10">
        <v>34466.0</v>
      </c>
      <c r="C2593" s="11" t="s">
        <v>175</v>
      </c>
      <c r="D2593" s="11" t="s">
        <v>38</v>
      </c>
      <c r="E2593" s="30" t="s">
        <v>39</v>
      </c>
      <c r="F2593" s="11" t="s">
        <v>40</v>
      </c>
      <c r="G2593" s="30" t="s">
        <v>45</v>
      </c>
      <c r="H2593" s="11" t="s">
        <v>119</v>
      </c>
      <c r="I2593" s="11" t="s">
        <v>4429</v>
      </c>
      <c r="J2593" s="11">
        <v>26.0</v>
      </c>
      <c r="K2593" s="12">
        <v>34945.0</v>
      </c>
      <c r="L2593" s="11">
        <f t="shared" si="265"/>
        <v>16</v>
      </c>
      <c r="M2593" s="11">
        <v>124580.0</v>
      </c>
      <c r="N2593" s="11">
        <v>1139.0</v>
      </c>
      <c r="P2593" s="11">
        <v>654.0</v>
      </c>
      <c r="Q2593" s="45">
        <v>858.3330000000001</v>
      </c>
      <c r="R2593" s="41">
        <v>0.0</v>
      </c>
      <c r="S2593">
        <f t="shared" si="1"/>
        <v>1994</v>
      </c>
      <c r="T2593">
        <f t="shared" si="2"/>
        <v>5</v>
      </c>
      <c r="U2593">
        <f t="shared" si="3"/>
        <v>12</v>
      </c>
      <c r="AG2593" s="15"/>
      <c r="AH2593" s="16"/>
      <c r="AM2593" s="15"/>
      <c r="AN2593" s="16"/>
    </row>
    <row r="2594">
      <c r="A2594" s="13" t="s">
        <v>4430</v>
      </c>
      <c r="B2594" s="10">
        <v>34457.0</v>
      </c>
      <c r="C2594" s="11" t="s">
        <v>346</v>
      </c>
      <c r="D2594" s="11" t="s">
        <v>38</v>
      </c>
      <c r="E2594" s="11" t="s">
        <v>39</v>
      </c>
      <c r="F2594" s="11" t="s">
        <v>64</v>
      </c>
      <c r="G2594" s="11" t="s">
        <v>45</v>
      </c>
      <c r="H2594" s="11" t="s">
        <v>56</v>
      </c>
      <c r="I2594" s="11" t="s">
        <v>4431</v>
      </c>
      <c r="J2594" s="11">
        <v>29.0</v>
      </c>
      <c r="K2594" s="12"/>
      <c r="L2594" s="30"/>
      <c r="M2594" s="11">
        <v>120293.0</v>
      </c>
      <c r="N2594" s="11">
        <v>1010067.0</v>
      </c>
      <c r="O2594" s="13" t="s">
        <v>3309</v>
      </c>
      <c r="P2594" s="11">
        <v>0.0</v>
      </c>
      <c r="Q2594" s="45">
        <v>0.0</v>
      </c>
      <c r="R2594" s="41">
        <v>0.0</v>
      </c>
      <c r="S2594">
        <f t="shared" si="1"/>
        <v>1994</v>
      </c>
      <c r="T2594">
        <f t="shared" si="2"/>
        <v>5</v>
      </c>
      <c r="U2594">
        <f t="shared" si="3"/>
        <v>3</v>
      </c>
      <c r="AG2594" s="15"/>
      <c r="AH2594" s="16"/>
      <c r="AM2594" s="15"/>
      <c r="AN2594" s="16"/>
    </row>
    <row r="2595">
      <c r="A2595" s="13" t="s">
        <v>4432</v>
      </c>
      <c r="B2595" s="10">
        <v>34335.0</v>
      </c>
      <c r="C2595" s="11" t="s">
        <v>143</v>
      </c>
      <c r="D2595" s="11" t="s">
        <v>97</v>
      </c>
      <c r="E2595" s="30" t="s">
        <v>39</v>
      </c>
      <c r="F2595" s="11" t="s">
        <v>64</v>
      </c>
      <c r="G2595" s="30" t="s">
        <v>45</v>
      </c>
      <c r="H2595" s="11" t="s">
        <v>205</v>
      </c>
      <c r="I2595" s="11" t="s">
        <v>4433</v>
      </c>
      <c r="J2595" s="11">
        <v>22.0</v>
      </c>
      <c r="K2595" s="12">
        <v>35065.0</v>
      </c>
      <c r="L2595" s="30"/>
      <c r="M2595" s="11">
        <v>113961.0</v>
      </c>
      <c r="N2595" s="11">
        <v>1300.0</v>
      </c>
      <c r="P2595" s="11">
        <v>617.0</v>
      </c>
      <c r="Q2595" s="14">
        <v>649.333</v>
      </c>
      <c r="R2595" s="41">
        <v>0.0</v>
      </c>
      <c r="S2595">
        <f t="shared" si="1"/>
        <v>1994</v>
      </c>
      <c r="T2595">
        <f t="shared" si="2"/>
        <v>1</v>
      </c>
      <c r="U2595">
        <f t="shared" si="3"/>
        <v>1</v>
      </c>
      <c r="AG2595" s="15"/>
      <c r="AH2595" s="16"/>
      <c r="AM2595" s="15"/>
      <c r="AN2595" s="16"/>
    </row>
    <row r="2596">
      <c r="A2596" s="13" t="s">
        <v>4434</v>
      </c>
      <c r="B2596" s="10">
        <v>34335.0</v>
      </c>
      <c r="C2596" s="11" t="s">
        <v>192</v>
      </c>
      <c r="D2596" s="11" t="s">
        <v>38</v>
      </c>
      <c r="E2596" s="11" t="s">
        <v>39</v>
      </c>
      <c r="F2596" s="11" t="s">
        <v>40</v>
      </c>
      <c r="G2596" s="11" t="s">
        <v>326</v>
      </c>
      <c r="H2596" s="11"/>
      <c r="I2596" s="11"/>
      <c r="J2596" s="11">
        <v>28.0</v>
      </c>
      <c r="K2596" s="12">
        <v>34868.0</v>
      </c>
      <c r="L2596" s="30"/>
      <c r="M2596" s="11">
        <v>121117.0</v>
      </c>
      <c r="N2596" s="11">
        <v>72.0</v>
      </c>
      <c r="P2596" s="11">
        <v>150.0</v>
      </c>
      <c r="Q2596" s="45">
        <v>807.3330000000001</v>
      </c>
      <c r="R2596" s="41">
        <v>0.0</v>
      </c>
      <c r="S2596">
        <f t="shared" si="1"/>
        <v>1994</v>
      </c>
      <c r="T2596">
        <f t="shared" si="2"/>
        <v>1</v>
      </c>
      <c r="U2596">
        <f t="shared" si="3"/>
        <v>1</v>
      </c>
      <c r="AG2596" s="15"/>
      <c r="AH2596" s="16"/>
      <c r="AM2596" s="15"/>
      <c r="AN2596" s="16"/>
    </row>
    <row r="2597">
      <c r="A2597" s="13" t="s">
        <v>4435</v>
      </c>
      <c r="B2597" s="10">
        <v>34335.0</v>
      </c>
      <c r="C2597" s="11" t="s">
        <v>346</v>
      </c>
      <c r="D2597" s="11" t="s">
        <v>93</v>
      </c>
      <c r="E2597" s="30" t="s">
        <v>39</v>
      </c>
      <c r="F2597" s="11" t="s">
        <v>64</v>
      </c>
      <c r="G2597" s="30" t="s">
        <v>45</v>
      </c>
      <c r="H2597" s="11" t="s">
        <v>139</v>
      </c>
      <c r="I2597" s="11" t="s">
        <v>999</v>
      </c>
      <c r="J2597" s="11">
        <v>20.0</v>
      </c>
      <c r="K2597" s="12">
        <v>35065.0</v>
      </c>
      <c r="L2597" s="30"/>
      <c r="M2597" s="11">
        <v>150011.0</v>
      </c>
      <c r="N2597" s="11">
        <v>33.0</v>
      </c>
      <c r="P2597" s="11">
        <v>577.0</v>
      </c>
      <c r="Q2597" s="14">
        <v>972.0</v>
      </c>
      <c r="R2597" s="41">
        <v>0.0</v>
      </c>
      <c r="S2597">
        <f t="shared" si="1"/>
        <v>1994</v>
      </c>
      <c r="T2597">
        <f t="shared" si="2"/>
        <v>1</v>
      </c>
      <c r="U2597">
        <f t="shared" si="3"/>
        <v>1</v>
      </c>
      <c r="AG2597" s="15"/>
      <c r="AH2597" s="16"/>
      <c r="AM2597" s="15"/>
      <c r="AN2597" s="16"/>
    </row>
    <row r="2598">
      <c r="A2598" s="13" t="s">
        <v>4436</v>
      </c>
      <c r="B2598" s="10">
        <v>34335.0</v>
      </c>
      <c r="C2598" s="11" t="s">
        <v>235</v>
      </c>
      <c r="D2598" s="11" t="s">
        <v>58</v>
      </c>
      <c r="E2598" s="11" t="s">
        <v>39</v>
      </c>
      <c r="F2598" s="11" t="s">
        <v>64</v>
      </c>
      <c r="G2598" s="11" t="s">
        <v>45</v>
      </c>
      <c r="H2598" s="11" t="s">
        <v>67</v>
      </c>
      <c r="I2598" s="11" t="s">
        <v>925</v>
      </c>
      <c r="J2598" s="11">
        <v>25.0</v>
      </c>
      <c r="K2598" s="12">
        <v>34700.0</v>
      </c>
      <c r="L2598" s="30"/>
      <c r="M2598" s="11">
        <v>114230.0</v>
      </c>
      <c r="N2598" s="11">
        <v>1004148.0</v>
      </c>
      <c r="P2598" s="11">
        <v>23.0</v>
      </c>
      <c r="Q2598" s="14">
        <v>88.0</v>
      </c>
      <c r="R2598" s="41">
        <v>0.0</v>
      </c>
      <c r="S2598">
        <f t="shared" si="1"/>
        <v>1994</v>
      </c>
      <c r="T2598">
        <f t="shared" si="2"/>
        <v>1</v>
      </c>
      <c r="U2598">
        <f t="shared" si="3"/>
        <v>1</v>
      </c>
      <c r="AG2598" s="15"/>
      <c r="AH2598" s="16"/>
      <c r="AM2598" s="15"/>
      <c r="AN2598" s="16"/>
    </row>
    <row r="2599">
      <c r="A2599" s="13" t="s">
        <v>4437</v>
      </c>
      <c r="B2599" s="10">
        <v>34304.0</v>
      </c>
      <c r="C2599" s="11" t="s">
        <v>235</v>
      </c>
      <c r="D2599" s="11" t="s">
        <v>58</v>
      </c>
      <c r="E2599" s="30" t="s">
        <v>39</v>
      </c>
      <c r="F2599" s="11" t="s">
        <v>40</v>
      </c>
      <c r="G2599" s="30" t="s">
        <v>45</v>
      </c>
      <c r="H2599" s="11" t="s">
        <v>74</v>
      </c>
      <c r="I2599" s="11" t="s">
        <v>2570</v>
      </c>
      <c r="J2599" s="11">
        <v>24.0</v>
      </c>
      <c r="K2599" s="12">
        <v>34700.0</v>
      </c>
      <c r="L2599" s="30"/>
      <c r="M2599" s="11">
        <v>118950.0</v>
      </c>
      <c r="N2599" s="11">
        <v>1008765.0</v>
      </c>
      <c r="P2599" s="11">
        <v>41.0</v>
      </c>
      <c r="Q2599" s="14">
        <v>164.667</v>
      </c>
      <c r="R2599" s="41">
        <v>0.0</v>
      </c>
      <c r="S2599">
        <f t="shared" si="1"/>
        <v>1993</v>
      </c>
      <c r="T2599">
        <f t="shared" si="2"/>
        <v>12</v>
      </c>
      <c r="U2599">
        <f t="shared" si="3"/>
        <v>1</v>
      </c>
      <c r="AG2599" s="15"/>
      <c r="AH2599" s="16"/>
      <c r="AM2599" s="15"/>
      <c r="AN2599" s="16"/>
    </row>
    <row r="2600">
      <c r="A2600" s="13" t="s">
        <v>4438</v>
      </c>
      <c r="B2600" s="10">
        <v>34191.0</v>
      </c>
      <c r="C2600" s="11" t="s">
        <v>76</v>
      </c>
      <c r="D2600" s="11" t="s">
        <v>38</v>
      </c>
      <c r="E2600" s="11" t="s">
        <v>660</v>
      </c>
      <c r="F2600" s="11" t="s">
        <v>40</v>
      </c>
      <c r="G2600" s="11" t="s">
        <v>45</v>
      </c>
      <c r="H2600" s="11" t="s">
        <v>67</v>
      </c>
      <c r="I2600" s="11"/>
      <c r="J2600" s="11">
        <v>23.0</v>
      </c>
      <c r="K2600" s="12">
        <v>34429.0</v>
      </c>
      <c r="L2600" s="11">
        <f t="shared" ref="L2600:L2604" si="266">ROUND(((K2600-B2600)/365)*12,0)</f>
        <v>8</v>
      </c>
      <c r="M2600" s="11">
        <v>112461.0</v>
      </c>
      <c r="N2600" s="11">
        <v>51.0</v>
      </c>
      <c r="O2600" s="13"/>
      <c r="P2600" s="11">
        <v>870.0</v>
      </c>
      <c r="Q2600" s="45">
        <v>2673.0</v>
      </c>
      <c r="R2600" s="41">
        <v>0.0</v>
      </c>
      <c r="S2600">
        <f t="shared" si="1"/>
        <v>1993</v>
      </c>
      <c r="T2600">
        <f t="shared" si="2"/>
        <v>8</v>
      </c>
      <c r="U2600">
        <f t="shared" si="3"/>
        <v>10</v>
      </c>
      <c r="AG2600" s="15"/>
      <c r="AH2600" s="16"/>
      <c r="AM2600" s="15"/>
      <c r="AN2600" s="16"/>
    </row>
    <row r="2601">
      <c r="A2601" s="13" t="s">
        <v>4439</v>
      </c>
      <c r="B2601" s="10">
        <v>34162.0</v>
      </c>
      <c r="C2601" s="11" t="s">
        <v>230</v>
      </c>
      <c r="D2601" s="11" t="s">
        <v>38</v>
      </c>
      <c r="E2601" s="30" t="s">
        <v>39</v>
      </c>
      <c r="F2601" s="11" t="s">
        <v>64</v>
      </c>
      <c r="G2601" s="30" t="s">
        <v>45</v>
      </c>
      <c r="H2601" s="11" t="s">
        <v>56</v>
      </c>
      <c r="I2601" s="11" t="s">
        <v>775</v>
      </c>
      <c r="J2601" s="11">
        <v>30.0</v>
      </c>
      <c r="K2601" s="12">
        <v>34815.0</v>
      </c>
      <c r="L2601" s="11">
        <f t="shared" si="266"/>
        <v>21</v>
      </c>
      <c r="M2601" s="11">
        <v>112213.0</v>
      </c>
      <c r="N2601" s="11">
        <v>1002160.0</v>
      </c>
      <c r="O2601" s="13" t="s">
        <v>4062</v>
      </c>
      <c r="P2601" s="11">
        <v>333.0</v>
      </c>
      <c r="Q2601" s="45">
        <v>364.0</v>
      </c>
      <c r="R2601" s="41">
        <v>0.0</v>
      </c>
      <c r="S2601">
        <f t="shared" si="1"/>
        <v>1993</v>
      </c>
      <c r="T2601">
        <f t="shared" si="2"/>
        <v>7</v>
      </c>
      <c r="U2601">
        <f t="shared" si="3"/>
        <v>12</v>
      </c>
      <c r="AG2601" s="15"/>
      <c r="AH2601" s="16"/>
      <c r="AM2601" s="15"/>
      <c r="AN2601" s="16"/>
    </row>
    <row r="2602">
      <c r="A2602" s="13" t="s">
        <v>4440</v>
      </c>
      <c r="B2602" s="10">
        <v>34159.0</v>
      </c>
      <c r="C2602" s="11" t="s">
        <v>186</v>
      </c>
      <c r="D2602" s="11" t="s">
        <v>38</v>
      </c>
      <c r="E2602" s="41" t="s">
        <v>118</v>
      </c>
      <c r="F2602" s="11" t="s">
        <v>40</v>
      </c>
      <c r="G2602" s="11" t="s">
        <v>483</v>
      </c>
      <c r="H2602" s="30"/>
      <c r="I2602" s="30"/>
      <c r="J2602" s="11">
        <v>28.0</v>
      </c>
      <c r="K2602" s="12">
        <v>34428.0</v>
      </c>
      <c r="L2602" s="11">
        <f t="shared" si="266"/>
        <v>9</v>
      </c>
      <c r="M2602" s="11">
        <v>111962.0</v>
      </c>
      <c r="N2602" s="11">
        <v>1001918.0</v>
      </c>
      <c r="O2602" s="13" t="s">
        <v>4062</v>
      </c>
      <c r="P2602" s="11">
        <v>855.0</v>
      </c>
      <c r="Q2602" s="45">
        <v>3700.0</v>
      </c>
      <c r="R2602" s="41">
        <v>0.0</v>
      </c>
      <c r="S2602">
        <f t="shared" si="1"/>
        <v>1993</v>
      </c>
      <c r="T2602">
        <f t="shared" si="2"/>
        <v>7</v>
      </c>
      <c r="U2602">
        <f t="shared" si="3"/>
        <v>9</v>
      </c>
      <c r="AG2602" s="15"/>
      <c r="AH2602" s="16"/>
      <c r="AM2602" s="15"/>
      <c r="AN2602" s="16"/>
    </row>
    <row r="2603">
      <c r="A2603" s="13" t="s">
        <v>4441</v>
      </c>
      <c r="B2603" s="10">
        <v>34158.0</v>
      </c>
      <c r="C2603" s="11" t="s">
        <v>346</v>
      </c>
      <c r="D2603" s="11" t="s">
        <v>38</v>
      </c>
      <c r="E2603" s="11" t="s">
        <v>39</v>
      </c>
      <c r="F2603" s="11" t="s">
        <v>40</v>
      </c>
      <c r="G2603" s="11" t="s">
        <v>225</v>
      </c>
      <c r="H2603" s="11"/>
      <c r="I2603" s="11"/>
      <c r="J2603" s="11">
        <v>24.0</v>
      </c>
      <c r="K2603" s="12">
        <v>35157.0</v>
      </c>
      <c r="L2603" s="11">
        <f t="shared" si="266"/>
        <v>33</v>
      </c>
      <c r="M2603" s="11">
        <v>123620.0</v>
      </c>
      <c r="N2603" s="11">
        <v>1013331.0</v>
      </c>
      <c r="O2603" s="13" t="s">
        <v>3309</v>
      </c>
      <c r="P2603" s="11">
        <v>31.0</v>
      </c>
      <c r="Q2603" s="45">
        <v>61.333000000000006</v>
      </c>
      <c r="R2603" s="41">
        <v>0.0</v>
      </c>
      <c r="S2603">
        <f t="shared" si="1"/>
        <v>1993</v>
      </c>
      <c r="T2603">
        <f t="shared" si="2"/>
        <v>7</v>
      </c>
      <c r="U2603">
        <f t="shared" si="3"/>
        <v>8</v>
      </c>
      <c r="AG2603" s="15"/>
      <c r="AH2603" s="16"/>
      <c r="AM2603" s="15"/>
      <c r="AN2603" s="16"/>
    </row>
    <row r="2604">
      <c r="A2604" s="13" t="s">
        <v>4442</v>
      </c>
      <c r="B2604" s="10">
        <v>34060.0</v>
      </c>
      <c r="C2604" s="11" t="s">
        <v>111</v>
      </c>
      <c r="D2604" s="11" t="s">
        <v>38</v>
      </c>
      <c r="E2604" s="30" t="s">
        <v>39</v>
      </c>
      <c r="F2604" s="11" t="s">
        <v>40</v>
      </c>
      <c r="G2604" s="30" t="s">
        <v>45</v>
      </c>
      <c r="H2604" s="11" t="s">
        <v>139</v>
      </c>
      <c r="I2604" s="11" t="s">
        <v>4443</v>
      </c>
      <c r="J2604" s="11">
        <v>28.0</v>
      </c>
      <c r="K2604" s="12">
        <v>34479.0</v>
      </c>
      <c r="L2604" s="11">
        <f t="shared" si="266"/>
        <v>14</v>
      </c>
      <c r="M2604" s="11">
        <v>121244.0</v>
      </c>
      <c r="N2604" s="11">
        <v>1010998.0</v>
      </c>
      <c r="P2604" s="11">
        <v>101.0</v>
      </c>
      <c r="Q2604" s="14">
        <v>576.333</v>
      </c>
      <c r="R2604" s="41">
        <v>0.0</v>
      </c>
      <c r="S2604">
        <f t="shared" si="1"/>
        <v>1993</v>
      </c>
      <c r="T2604">
        <f t="shared" si="2"/>
        <v>4</v>
      </c>
      <c r="U2604">
        <f t="shared" si="3"/>
        <v>1</v>
      </c>
      <c r="AG2604" s="15"/>
      <c r="AH2604" s="16"/>
      <c r="AM2604" s="15"/>
      <c r="AN2604" s="16"/>
    </row>
    <row r="2605">
      <c r="A2605" s="13" t="s">
        <v>4444</v>
      </c>
      <c r="B2605" s="10">
        <v>33970.0</v>
      </c>
      <c r="C2605" s="11" t="s">
        <v>76</v>
      </c>
      <c r="D2605" s="11" t="s">
        <v>38</v>
      </c>
      <c r="E2605" s="30" t="s">
        <v>39</v>
      </c>
      <c r="F2605" s="11" t="s">
        <v>64</v>
      </c>
      <c r="G2605" s="30" t="s">
        <v>45</v>
      </c>
      <c r="H2605" s="11" t="s">
        <v>129</v>
      </c>
      <c r="I2605" s="11"/>
      <c r="J2605" s="11">
        <v>25.0</v>
      </c>
      <c r="K2605" s="12">
        <v>35158.0</v>
      </c>
      <c r="L2605" s="30"/>
      <c r="M2605" s="11">
        <v>110118.0</v>
      </c>
      <c r="N2605" s="11">
        <v>1000115.0</v>
      </c>
      <c r="P2605" s="11">
        <v>190.0</v>
      </c>
      <c r="Q2605" s="14">
        <v>351.0</v>
      </c>
      <c r="R2605" s="41">
        <v>0.0</v>
      </c>
      <c r="S2605">
        <f t="shared" si="1"/>
        <v>1993</v>
      </c>
      <c r="T2605">
        <f t="shared" si="2"/>
        <v>1</v>
      </c>
      <c r="U2605">
        <f t="shared" si="3"/>
        <v>1</v>
      </c>
      <c r="AG2605" s="15"/>
      <c r="AH2605" s="16"/>
      <c r="AM2605" s="15"/>
      <c r="AN2605" s="16"/>
    </row>
    <row r="2606">
      <c r="A2606" s="13" t="s">
        <v>4445</v>
      </c>
      <c r="B2606" s="10">
        <v>33909.0</v>
      </c>
      <c r="C2606" s="11" t="s">
        <v>150</v>
      </c>
      <c r="D2606" s="11" t="s">
        <v>77</v>
      </c>
      <c r="E2606" s="11" t="s">
        <v>39</v>
      </c>
      <c r="F2606" s="11" t="s">
        <v>40</v>
      </c>
      <c r="G2606" s="11" t="s">
        <v>45</v>
      </c>
      <c r="H2606" s="11" t="s">
        <v>182</v>
      </c>
      <c r="I2606" s="11" t="s">
        <v>4446</v>
      </c>
      <c r="J2606" s="11">
        <v>25.0</v>
      </c>
      <c r="K2606" s="12">
        <v>33970.0</v>
      </c>
      <c r="L2606" s="11"/>
      <c r="M2606" s="11">
        <v>124077.0</v>
      </c>
      <c r="N2606" s="11">
        <v>760.0</v>
      </c>
      <c r="P2606" s="11">
        <v>414.0</v>
      </c>
      <c r="Q2606" s="14">
        <v>635.667</v>
      </c>
      <c r="R2606" s="41">
        <v>0.0</v>
      </c>
      <c r="S2606">
        <f t="shared" si="1"/>
        <v>1992</v>
      </c>
      <c r="T2606">
        <f t="shared" si="2"/>
        <v>11</v>
      </c>
      <c r="U2606">
        <f t="shared" si="3"/>
        <v>1</v>
      </c>
      <c r="AG2606" s="15"/>
      <c r="AH2606" s="16"/>
      <c r="AM2606" s="15"/>
      <c r="AN2606" s="16"/>
    </row>
    <row r="2607">
      <c r="A2607" s="13" t="s">
        <v>4447</v>
      </c>
      <c r="B2607" s="10">
        <v>33818.0</v>
      </c>
      <c r="C2607" s="11" t="s">
        <v>116</v>
      </c>
      <c r="D2607" s="11" t="s">
        <v>38</v>
      </c>
      <c r="E2607" s="30" t="s">
        <v>39</v>
      </c>
      <c r="F2607" s="11" t="s">
        <v>40</v>
      </c>
      <c r="G2607" s="30" t="s">
        <v>45</v>
      </c>
      <c r="H2607" s="11" t="s">
        <v>566</v>
      </c>
      <c r="I2607" s="11" t="s">
        <v>4448</v>
      </c>
      <c r="J2607" s="11">
        <v>32.0</v>
      </c>
      <c r="K2607" s="12">
        <v>34067.0</v>
      </c>
      <c r="L2607" s="11">
        <f t="shared" ref="L2607:L2608" si="267">ROUND(((K2607-B2607)/365)*12,0)</f>
        <v>8</v>
      </c>
      <c r="M2607" s="11">
        <v>110979.0</v>
      </c>
      <c r="N2607" s="11">
        <v>1000951.0</v>
      </c>
      <c r="P2607" s="11">
        <v>144.0</v>
      </c>
      <c r="Q2607" s="14">
        <v>303.667</v>
      </c>
      <c r="R2607" s="41">
        <v>0.0</v>
      </c>
      <c r="S2607">
        <f t="shared" si="1"/>
        <v>1992</v>
      </c>
      <c r="T2607">
        <f t="shared" si="2"/>
        <v>8</v>
      </c>
      <c r="U2607">
        <f t="shared" si="3"/>
        <v>2</v>
      </c>
      <c r="AG2607" s="15"/>
      <c r="AH2607" s="16"/>
      <c r="AM2607" s="15"/>
      <c r="AN2607" s="16"/>
    </row>
    <row r="2608">
      <c r="A2608" s="13" t="s">
        <v>4449</v>
      </c>
      <c r="B2608" s="10">
        <v>33787.0</v>
      </c>
      <c r="C2608" s="11" t="s">
        <v>72</v>
      </c>
      <c r="D2608" s="11" t="s">
        <v>38</v>
      </c>
      <c r="E2608" s="11" t="s">
        <v>118</v>
      </c>
      <c r="F2608" s="11" t="s">
        <v>40</v>
      </c>
      <c r="G2608" s="11" t="s">
        <v>45</v>
      </c>
      <c r="H2608" s="11" t="s">
        <v>84</v>
      </c>
      <c r="I2608" s="11"/>
      <c r="J2608" s="11">
        <v>28.0</v>
      </c>
      <c r="K2608" s="12">
        <v>34064.0</v>
      </c>
      <c r="L2608" s="11">
        <f t="shared" si="267"/>
        <v>9</v>
      </c>
      <c r="M2608" s="11">
        <v>115108.0</v>
      </c>
      <c r="N2608" s="11">
        <v>1005006.0</v>
      </c>
      <c r="O2608" s="13"/>
      <c r="P2608" s="11">
        <v>438.0</v>
      </c>
      <c r="Q2608" s="45">
        <v>1820.0</v>
      </c>
      <c r="R2608" s="41">
        <v>0.0</v>
      </c>
      <c r="S2608">
        <f t="shared" si="1"/>
        <v>1992</v>
      </c>
      <c r="T2608">
        <f t="shared" si="2"/>
        <v>7</v>
      </c>
      <c r="U2608">
        <f t="shared" si="3"/>
        <v>2</v>
      </c>
      <c r="AG2608" s="15"/>
      <c r="AH2608" s="16"/>
      <c r="AM2608" s="15"/>
      <c r="AN2608" s="16"/>
    </row>
    <row r="2609">
      <c r="A2609" s="13" t="s">
        <v>4450</v>
      </c>
      <c r="B2609" s="10">
        <v>33781.0</v>
      </c>
      <c r="C2609" s="11" t="s">
        <v>230</v>
      </c>
      <c r="D2609" s="11" t="s">
        <v>38</v>
      </c>
      <c r="E2609" s="30" t="s">
        <v>39</v>
      </c>
      <c r="F2609" s="11" t="s">
        <v>40</v>
      </c>
      <c r="G2609" s="30" t="s">
        <v>45</v>
      </c>
      <c r="H2609" s="11" t="s">
        <v>240</v>
      </c>
      <c r="I2609" s="11" t="s">
        <v>619</v>
      </c>
      <c r="J2609" s="11">
        <v>29.0</v>
      </c>
      <c r="K2609" s="30"/>
      <c r="L2609" s="30"/>
      <c r="M2609" s="11">
        <v>120230.0</v>
      </c>
      <c r="N2609" s="11">
        <v>1009999.0</v>
      </c>
      <c r="O2609" s="13" t="s">
        <v>4062</v>
      </c>
      <c r="P2609" s="11">
        <v>0.0</v>
      </c>
      <c r="Q2609" s="45">
        <v>0.0</v>
      </c>
      <c r="R2609" s="41">
        <v>0.0</v>
      </c>
      <c r="S2609">
        <f t="shared" si="1"/>
        <v>1992</v>
      </c>
      <c r="T2609">
        <f t="shared" si="2"/>
        <v>6</v>
      </c>
      <c r="U2609">
        <f t="shared" si="3"/>
        <v>26</v>
      </c>
      <c r="AG2609" s="15"/>
      <c r="AH2609" s="16"/>
      <c r="AM2609" s="15"/>
      <c r="AN2609" s="16"/>
    </row>
    <row r="2610">
      <c r="A2610" s="59" t="s">
        <v>4451</v>
      </c>
      <c r="B2610" s="60">
        <v>33658.0</v>
      </c>
      <c r="C2610" s="52" t="s">
        <v>346</v>
      </c>
      <c r="D2610" s="52" t="s">
        <v>221</v>
      </c>
      <c r="E2610" s="52" t="s">
        <v>39</v>
      </c>
      <c r="F2610" s="52" t="s">
        <v>40</v>
      </c>
      <c r="G2610" s="52" t="s">
        <v>45</v>
      </c>
      <c r="H2610" s="52" t="s">
        <v>84</v>
      </c>
      <c r="I2610" s="52"/>
      <c r="J2610" s="52">
        <v>19.0</v>
      </c>
      <c r="K2610" s="61">
        <v>33970.0</v>
      </c>
      <c r="L2610" s="55"/>
      <c r="M2610" s="52"/>
      <c r="N2610" s="52"/>
      <c r="O2610" s="59" t="s">
        <v>3309</v>
      </c>
      <c r="P2610" s="52">
        <v>0.0</v>
      </c>
      <c r="Q2610" s="62">
        <v>0.0</v>
      </c>
      <c r="R2610" s="55">
        <v>0.0</v>
      </c>
      <c r="S2610">
        <f t="shared" si="1"/>
        <v>1992</v>
      </c>
      <c r="T2610">
        <f t="shared" si="2"/>
        <v>2</v>
      </c>
      <c r="U2610">
        <f t="shared" si="3"/>
        <v>24</v>
      </c>
      <c r="AG2610" s="63"/>
      <c r="AH2610" s="64"/>
      <c r="AI2610" s="65"/>
      <c r="AJ2610" s="65"/>
      <c r="AK2610" s="65"/>
      <c r="AL2610" s="65"/>
      <c r="AM2610" s="63"/>
      <c r="AN2610" s="64"/>
      <c r="AO2610" s="65"/>
      <c r="AP2610" s="65"/>
    </row>
    <row r="2611">
      <c r="A2611" s="59" t="s">
        <v>4452</v>
      </c>
      <c r="B2611" s="60">
        <v>33610.0</v>
      </c>
      <c r="C2611" s="52" t="s">
        <v>37</v>
      </c>
      <c r="D2611" s="52" t="s">
        <v>213</v>
      </c>
      <c r="E2611" s="52" t="s">
        <v>39</v>
      </c>
      <c r="F2611" s="52" t="s">
        <v>40</v>
      </c>
      <c r="G2611" s="52" t="s">
        <v>45</v>
      </c>
      <c r="H2611" s="52" t="s">
        <v>67</v>
      </c>
      <c r="I2611" s="52" t="s">
        <v>373</v>
      </c>
      <c r="J2611" s="52">
        <v>20.0</v>
      </c>
      <c r="K2611" s="61">
        <v>34700.0</v>
      </c>
      <c r="L2611" s="55"/>
      <c r="M2611" s="52"/>
      <c r="N2611" s="52"/>
      <c r="O2611" s="66"/>
      <c r="P2611" s="52">
        <v>0.0</v>
      </c>
      <c r="Q2611" s="62">
        <v>0.0</v>
      </c>
      <c r="R2611" s="55">
        <v>0.0</v>
      </c>
      <c r="S2611">
        <f t="shared" si="1"/>
        <v>1992</v>
      </c>
      <c r="T2611">
        <f t="shared" si="2"/>
        <v>1</v>
      </c>
      <c r="U2611">
        <f t="shared" si="3"/>
        <v>7</v>
      </c>
      <c r="AG2611" s="63"/>
      <c r="AH2611" s="64"/>
      <c r="AI2611" s="65"/>
      <c r="AJ2611" s="65"/>
      <c r="AK2611" s="65"/>
      <c r="AL2611" s="65"/>
      <c r="AM2611" s="63"/>
      <c r="AN2611" s="64"/>
      <c r="AO2611" s="65"/>
      <c r="AP2611" s="65"/>
    </row>
    <row r="2612">
      <c r="A2612" s="59" t="s">
        <v>4453</v>
      </c>
      <c r="B2612" s="60">
        <v>33604.0</v>
      </c>
      <c r="C2612" s="52" t="s">
        <v>116</v>
      </c>
      <c r="D2612" s="52" t="s">
        <v>88</v>
      </c>
      <c r="E2612" s="52" t="s">
        <v>39</v>
      </c>
      <c r="F2612" s="52" t="s">
        <v>40</v>
      </c>
      <c r="G2612" s="52" t="s">
        <v>45</v>
      </c>
      <c r="H2612" s="52" t="s">
        <v>729</v>
      </c>
      <c r="I2612" s="52"/>
      <c r="J2612" s="52">
        <v>21.0</v>
      </c>
      <c r="K2612" s="61">
        <v>34335.0</v>
      </c>
      <c r="L2612" s="55"/>
      <c r="M2612" s="52">
        <v>119591.0</v>
      </c>
      <c r="N2612" s="52">
        <v>1009393.0</v>
      </c>
      <c r="O2612" s="66"/>
      <c r="P2612" s="52">
        <v>6.0</v>
      </c>
      <c r="Q2612" s="62">
        <v>14.0</v>
      </c>
      <c r="R2612" s="55">
        <v>0.0</v>
      </c>
      <c r="S2612">
        <f t="shared" si="1"/>
        <v>1992</v>
      </c>
      <c r="T2612">
        <f t="shared" si="2"/>
        <v>1</v>
      </c>
      <c r="U2612">
        <f t="shared" si="3"/>
        <v>1</v>
      </c>
      <c r="AG2612" s="63"/>
      <c r="AH2612" s="64"/>
      <c r="AI2612" s="65"/>
      <c r="AJ2612" s="65"/>
      <c r="AK2612" s="65"/>
      <c r="AL2612" s="65"/>
      <c r="AM2612" s="63"/>
      <c r="AN2612" s="64"/>
      <c r="AO2612" s="65"/>
      <c r="AP2612" s="65"/>
    </row>
    <row r="2613">
      <c r="A2613" s="59" t="s">
        <v>4454</v>
      </c>
      <c r="B2613" s="60">
        <v>33604.0</v>
      </c>
      <c r="C2613" s="52" t="s">
        <v>175</v>
      </c>
      <c r="D2613" s="52" t="s">
        <v>38</v>
      </c>
      <c r="E2613" s="52" t="s">
        <v>39</v>
      </c>
      <c r="F2613" s="52" t="s">
        <v>64</v>
      </c>
      <c r="G2613" s="52" t="s">
        <v>45</v>
      </c>
      <c r="H2613" s="52" t="s">
        <v>67</v>
      </c>
      <c r="I2613" s="52" t="s">
        <v>4455</v>
      </c>
      <c r="J2613" s="52">
        <v>30.0</v>
      </c>
      <c r="K2613" s="61">
        <v>34490.0</v>
      </c>
      <c r="L2613" s="55"/>
      <c r="M2613" s="52">
        <v>117649.0</v>
      </c>
      <c r="N2613" s="52">
        <v>1007498.0</v>
      </c>
      <c r="O2613" s="66"/>
      <c r="P2613" s="52">
        <v>109.0</v>
      </c>
      <c r="Q2613" s="56">
        <v>88.33299999999998</v>
      </c>
      <c r="R2613" s="55">
        <v>0.0</v>
      </c>
      <c r="S2613">
        <f t="shared" si="1"/>
        <v>1992</v>
      </c>
      <c r="T2613">
        <f t="shared" si="2"/>
        <v>1</v>
      </c>
      <c r="U2613">
        <f t="shared" si="3"/>
        <v>1</v>
      </c>
      <c r="AG2613" s="63"/>
      <c r="AH2613" s="64"/>
      <c r="AI2613" s="65"/>
      <c r="AJ2613" s="65"/>
      <c r="AK2613" s="65"/>
      <c r="AL2613" s="65"/>
      <c r="AM2613" s="63"/>
      <c r="AN2613" s="64"/>
      <c r="AO2613" s="65"/>
      <c r="AP2613" s="65"/>
    </row>
    <row r="2614">
      <c r="A2614" s="66" t="s">
        <v>4456</v>
      </c>
      <c r="B2614" s="60">
        <v>33490.0</v>
      </c>
      <c r="C2614" s="55" t="s">
        <v>44</v>
      </c>
      <c r="D2614" s="52" t="s">
        <v>38</v>
      </c>
      <c r="E2614" s="67" t="s">
        <v>39</v>
      </c>
      <c r="F2614" s="55" t="s">
        <v>40</v>
      </c>
      <c r="G2614" s="67" t="s">
        <v>45</v>
      </c>
      <c r="H2614" s="55" t="s">
        <v>139</v>
      </c>
      <c r="I2614" s="52" t="s">
        <v>379</v>
      </c>
      <c r="J2614" s="55">
        <v>27.0</v>
      </c>
      <c r="K2614" s="68">
        <v>34069.0</v>
      </c>
      <c r="L2614" s="55">
        <f>ROUND(((K2614-B2614)/365)*12,0)</f>
        <v>19</v>
      </c>
      <c r="M2614" s="55">
        <v>114023.0</v>
      </c>
      <c r="N2614" s="52">
        <v>1003948.0</v>
      </c>
      <c r="O2614" s="59" t="s">
        <v>4062</v>
      </c>
      <c r="P2614" s="52">
        <v>27.0</v>
      </c>
      <c r="Q2614" s="62">
        <v>114.667</v>
      </c>
      <c r="R2614" s="55">
        <v>0.0</v>
      </c>
      <c r="S2614">
        <f t="shared" si="1"/>
        <v>1991</v>
      </c>
      <c r="T2614">
        <f t="shared" si="2"/>
        <v>9</v>
      </c>
      <c r="U2614">
        <f t="shared" si="3"/>
        <v>9</v>
      </c>
      <c r="AG2614" s="63"/>
      <c r="AH2614" s="64"/>
      <c r="AI2614" s="65"/>
      <c r="AJ2614" s="65"/>
      <c r="AK2614" s="65"/>
      <c r="AL2614" s="65"/>
      <c r="AM2614" s="63"/>
      <c r="AN2614" s="64"/>
      <c r="AO2614" s="65"/>
      <c r="AP2614" s="65"/>
    </row>
    <row r="2615">
      <c r="A2615" s="13" t="s">
        <v>4457</v>
      </c>
      <c r="B2615" s="10">
        <v>33482.0</v>
      </c>
      <c r="C2615" s="11" t="s">
        <v>76</v>
      </c>
      <c r="D2615" s="11" t="s">
        <v>77</v>
      </c>
      <c r="E2615" s="11" t="s">
        <v>39</v>
      </c>
      <c r="F2615" s="11" t="s">
        <v>40</v>
      </c>
      <c r="G2615" s="11" t="s">
        <v>45</v>
      </c>
      <c r="H2615" s="11" t="s">
        <v>182</v>
      </c>
      <c r="I2615" s="11" t="s">
        <v>616</v>
      </c>
      <c r="J2615" s="11">
        <v>21.0</v>
      </c>
      <c r="K2615" s="12">
        <v>34335.0</v>
      </c>
      <c r="L2615" s="11"/>
      <c r="M2615" s="11">
        <v>136461.0</v>
      </c>
      <c r="N2615" s="11">
        <v>1012329.0</v>
      </c>
      <c r="O2615" s="13"/>
      <c r="P2615" s="11">
        <v>23.0</v>
      </c>
      <c r="Q2615" s="14">
        <v>118.667</v>
      </c>
      <c r="R2615" s="41">
        <v>0.0</v>
      </c>
      <c r="S2615">
        <f t="shared" si="1"/>
        <v>1991</v>
      </c>
      <c r="T2615">
        <f t="shared" si="2"/>
        <v>9</v>
      </c>
      <c r="U2615">
        <f t="shared" si="3"/>
        <v>1</v>
      </c>
      <c r="AG2615" s="15"/>
      <c r="AH2615" s="16"/>
      <c r="AM2615" s="15"/>
      <c r="AN2615" s="16"/>
    </row>
    <row r="2616">
      <c r="A2616" s="13" t="s">
        <v>4458</v>
      </c>
      <c r="B2616" s="10">
        <v>33444.0</v>
      </c>
      <c r="C2616" s="11" t="s">
        <v>108</v>
      </c>
      <c r="D2616" s="11" t="s">
        <v>38</v>
      </c>
      <c r="E2616" s="30" t="s">
        <v>39</v>
      </c>
      <c r="F2616" s="11" t="s">
        <v>40</v>
      </c>
      <c r="G2616" s="30" t="s">
        <v>45</v>
      </c>
      <c r="H2616" s="11" t="s">
        <v>67</v>
      </c>
      <c r="I2616" s="11"/>
      <c r="J2616" s="11">
        <v>30.0</v>
      </c>
      <c r="K2616" s="12">
        <v>34084.0</v>
      </c>
      <c r="L2616" s="11">
        <f>ROUND(((K2616-B2616)/365)*12,0)</f>
        <v>21</v>
      </c>
      <c r="M2616" s="11">
        <v>124491.0</v>
      </c>
      <c r="N2616" s="11">
        <v>1014174.0</v>
      </c>
      <c r="O2616" s="13" t="s">
        <v>3309</v>
      </c>
      <c r="P2616" s="11">
        <v>9.0</v>
      </c>
      <c r="Q2616" s="45">
        <v>41.0</v>
      </c>
      <c r="R2616" s="41">
        <v>0.0</v>
      </c>
      <c r="S2616">
        <f t="shared" si="1"/>
        <v>1991</v>
      </c>
      <c r="T2616">
        <f t="shared" si="2"/>
        <v>7</v>
      </c>
      <c r="U2616">
        <f t="shared" si="3"/>
        <v>25</v>
      </c>
      <c r="AG2616" s="15"/>
      <c r="AH2616" s="16"/>
      <c r="AM2616" s="15"/>
      <c r="AN2616" s="16"/>
    </row>
    <row r="2617">
      <c r="A2617" s="13" t="s">
        <v>4459</v>
      </c>
      <c r="B2617" s="10">
        <v>33437.0</v>
      </c>
      <c r="C2617" s="11" t="s">
        <v>62</v>
      </c>
      <c r="D2617" s="11" t="s">
        <v>38</v>
      </c>
      <c r="E2617" s="30" t="s">
        <v>39</v>
      </c>
      <c r="F2617" s="11" t="s">
        <v>40</v>
      </c>
      <c r="G2617" s="30" t="s">
        <v>45</v>
      </c>
      <c r="H2617" s="11" t="s">
        <v>73</v>
      </c>
      <c r="I2617" s="11"/>
      <c r="J2617" s="11">
        <v>29.0</v>
      </c>
      <c r="K2617" s="30"/>
      <c r="L2617" s="30"/>
      <c r="M2617" s="11">
        <v>114628.0</v>
      </c>
      <c r="N2617" s="11">
        <v>1004546.0</v>
      </c>
      <c r="O2617" s="13" t="s">
        <v>4062</v>
      </c>
      <c r="P2617" s="11">
        <v>0.0</v>
      </c>
      <c r="Q2617" s="45">
        <v>0.0</v>
      </c>
      <c r="R2617" s="41">
        <v>0.0</v>
      </c>
      <c r="S2617">
        <f t="shared" si="1"/>
        <v>1991</v>
      </c>
      <c r="T2617">
        <f t="shared" si="2"/>
        <v>7</v>
      </c>
      <c r="U2617">
        <f t="shared" si="3"/>
        <v>18</v>
      </c>
      <c r="AG2617" s="15"/>
      <c r="AH2617" s="16"/>
      <c r="AM2617" s="15"/>
      <c r="AN2617" s="16"/>
    </row>
    <row r="2618">
      <c r="A2618" s="13" t="s">
        <v>4460</v>
      </c>
      <c r="B2618" s="10">
        <v>33432.0</v>
      </c>
      <c r="C2618" s="11" t="s">
        <v>186</v>
      </c>
      <c r="D2618" s="11" t="s">
        <v>38</v>
      </c>
      <c r="E2618" s="30" t="s">
        <v>39</v>
      </c>
      <c r="F2618" s="11" t="s">
        <v>40</v>
      </c>
      <c r="G2618" s="30" t="s">
        <v>45</v>
      </c>
      <c r="H2618" s="11" t="s">
        <v>67</v>
      </c>
      <c r="I2618" s="11" t="s">
        <v>2023</v>
      </c>
      <c r="J2618" s="11">
        <v>24.0</v>
      </c>
      <c r="K2618" s="12">
        <v>33853.0</v>
      </c>
      <c r="L2618" s="11">
        <f>ROUND(((K2618-B2618)/365)*12,0)</f>
        <v>14</v>
      </c>
      <c r="M2618" s="11">
        <v>112237.0</v>
      </c>
      <c r="N2618" s="11">
        <v>1002183.0</v>
      </c>
      <c r="P2618" s="11">
        <v>4.0</v>
      </c>
      <c r="Q2618" s="45">
        <v>25.333000000000006</v>
      </c>
      <c r="R2618" s="41">
        <v>0.0</v>
      </c>
      <c r="S2618">
        <f t="shared" si="1"/>
        <v>1991</v>
      </c>
      <c r="T2618">
        <f t="shared" si="2"/>
        <v>7</v>
      </c>
      <c r="U2618">
        <f t="shared" si="3"/>
        <v>13</v>
      </c>
      <c r="AG2618" s="15"/>
      <c r="AH2618" s="16"/>
      <c r="AM2618" s="15"/>
      <c r="AN2618" s="16"/>
    </row>
    <row r="2619">
      <c r="A2619" s="13" t="s">
        <v>4461</v>
      </c>
      <c r="B2619" s="10">
        <v>33401.0</v>
      </c>
      <c r="C2619" s="11" t="s">
        <v>186</v>
      </c>
      <c r="D2619" s="11" t="s">
        <v>88</v>
      </c>
      <c r="E2619" s="30" t="s">
        <v>39</v>
      </c>
      <c r="F2619" s="11" t="s">
        <v>64</v>
      </c>
      <c r="G2619" s="30" t="s">
        <v>45</v>
      </c>
      <c r="H2619" s="11" t="s">
        <v>67</v>
      </c>
      <c r="I2619" s="11"/>
      <c r="J2619" s="11">
        <v>20.0</v>
      </c>
      <c r="K2619" s="12">
        <v>33604.0</v>
      </c>
      <c r="L2619" s="30"/>
      <c r="M2619" s="11">
        <v>119984.0</v>
      </c>
      <c r="N2619" s="11">
        <v>206.0</v>
      </c>
      <c r="P2619" s="11">
        <v>766.0</v>
      </c>
      <c r="Q2619" s="14">
        <v>1915.667</v>
      </c>
      <c r="R2619" s="41">
        <v>0.0</v>
      </c>
      <c r="S2619">
        <f t="shared" si="1"/>
        <v>1991</v>
      </c>
      <c r="T2619">
        <f t="shared" si="2"/>
        <v>6</v>
      </c>
      <c r="U2619">
        <f t="shared" si="3"/>
        <v>12</v>
      </c>
      <c r="AG2619" s="15"/>
      <c r="AH2619" s="16"/>
      <c r="AM2619" s="15"/>
      <c r="AN2619" s="16"/>
    </row>
    <row r="2620">
      <c r="A2620" s="13" t="s">
        <v>4462</v>
      </c>
      <c r="B2620" s="10">
        <v>33329.0</v>
      </c>
      <c r="C2620" s="11" t="s">
        <v>83</v>
      </c>
      <c r="D2620" s="11" t="s">
        <v>38</v>
      </c>
      <c r="E2620" s="30" t="s">
        <v>39</v>
      </c>
      <c r="F2620" s="11" t="s">
        <v>64</v>
      </c>
      <c r="G2620" s="30" t="s">
        <v>45</v>
      </c>
      <c r="H2620" s="11" t="s">
        <v>231</v>
      </c>
      <c r="I2620" s="11" t="s">
        <v>317</v>
      </c>
      <c r="J2620" s="11">
        <v>26.0</v>
      </c>
      <c r="K2620" s="12">
        <v>33856.0</v>
      </c>
      <c r="L2620" s="11">
        <f t="shared" ref="L2620:L2621" si="268">ROUND(((K2620-B2620)/365)*12,0)</f>
        <v>17</v>
      </c>
      <c r="M2620" s="11">
        <v>118146.0</v>
      </c>
      <c r="N2620" s="11">
        <v>1007973.0</v>
      </c>
      <c r="O2620" s="13" t="s">
        <v>4062</v>
      </c>
      <c r="P2620" s="11">
        <v>74.0</v>
      </c>
      <c r="Q2620" s="45">
        <v>323.0</v>
      </c>
      <c r="R2620" s="41">
        <v>0.0</v>
      </c>
      <c r="S2620">
        <f t="shared" si="1"/>
        <v>1991</v>
      </c>
      <c r="T2620">
        <f t="shared" si="2"/>
        <v>4</v>
      </c>
      <c r="U2620">
        <f t="shared" si="3"/>
        <v>1</v>
      </c>
      <c r="AG2620" s="15"/>
      <c r="AH2620" s="16"/>
      <c r="AM2620" s="15"/>
      <c r="AN2620" s="16"/>
    </row>
    <row r="2621">
      <c r="A2621" s="13" t="s">
        <v>4463</v>
      </c>
      <c r="B2621" s="10">
        <v>33298.0</v>
      </c>
      <c r="C2621" s="11" t="s">
        <v>44</v>
      </c>
      <c r="D2621" s="11" t="s">
        <v>38</v>
      </c>
      <c r="E2621" s="11" t="s">
        <v>118</v>
      </c>
      <c r="F2621" s="11" t="s">
        <v>64</v>
      </c>
      <c r="G2621" s="11" t="s">
        <v>45</v>
      </c>
      <c r="H2621" s="11" t="s">
        <v>67</v>
      </c>
      <c r="I2621" s="11"/>
      <c r="J2621" s="11">
        <v>28.0</v>
      </c>
      <c r="K2621" s="12">
        <v>33705.0</v>
      </c>
      <c r="L2621" s="11">
        <f t="shared" si="268"/>
        <v>13</v>
      </c>
      <c r="M2621" s="11">
        <v>116476.0</v>
      </c>
      <c r="N2621" s="11">
        <v>1006349.0</v>
      </c>
      <c r="O2621" s="13" t="s">
        <v>4062</v>
      </c>
      <c r="P2621" s="11">
        <v>273.0</v>
      </c>
      <c r="Q2621" s="45">
        <v>792.0</v>
      </c>
      <c r="R2621" s="41">
        <v>0.0</v>
      </c>
      <c r="S2621">
        <f t="shared" si="1"/>
        <v>1991</v>
      </c>
      <c r="T2621">
        <f t="shared" si="2"/>
        <v>3</v>
      </c>
      <c r="U2621">
        <f t="shared" si="3"/>
        <v>1</v>
      </c>
      <c r="AG2621" s="15"/>
      <c r="AH2621" s="16"/>
      <c r="AM2621" s="15"/>
      <c r="AN2621" s="16"/>
    </row>
    <row r="2622">
      <c r="A2622" s="13" t="s">
        <v>4464</v>
      </c>
      <c r="B2622" s="10">
        <v>33239.0</v>
      </c>
      <c r="C2622" s="11" t="s">
        <v>346</v>
      </c>
      <c r="D2622" s="11" t="s">
        <v>77</v>
      </c>
      <c r="E2622" s="11" t="s">
        <v>39</v>
      </c>
      <c r="F2622" s="11" t="s">
        <v>40</v>
      </c>
      <c r="G2622" s="11" t="s">
        <v>45</v>
      </c>
      <c r="H2622" s="11" t="s">
        <v>73</v>
      </c>
      <c r="I2622" s="11" t="s">
        <v>4465</v>
      </c>
      <c r="J2622" s="11">
        <v>23.0</v>
      </c>
      <c r="K2622" s="12">
        <v>33604.0</v>
      </c>
      <c r="L2622" s="11"/>
      <c r="M2622" s="11"/>
      <c r="N2622" s="11"/>
      <c r="O2622" s="13" t="s">
        <v>3309</v>
      </c>
      <c r="P2622" s="11">
        <v>0.0</v>
      </c>
      <c r="Q2622" s="14">
        <v>0.0</v>
      </c>
      <c r="R2622" s="41">
        <v>0.0</v>
      </c>
      <c r="S2622">
        <f t="shared" si="1"/>
        <v>1991</v>
      </c>
      <c r="T2622">
        <f t="shared" si="2"/>
        <v>1</v>
      </c>
      <c r="U2622">
        <f t="shared" si="3"/>
        <v>1</v>
      </c>
      <c r="AG2622" s="15"/>
      <c r="AH2622" s="16"/>
      <c r="AM2622" s="15"/>
      <c r="AN2622" s="16"/>
    </row>
    <row r="2623">
      <c r="A2623" s="13" t="s">
        <v>4438</v>
      </c>
      <c r="B2623" s="10">
        <v>33239.0</v>
      </c>
      <c r="C2623" s="11" t="s">
        <v>76</v>
      </c>
      <c r="D2623" s="11" t="s">
        <v>77</v>
      </c>
      <c r="E2623" s="11" t="s">
        <v>660</v>
      </c>
      <c r="F2623" s="11" t="s">
        <v>40</v>
      </c>
      <c r="G2623" s="11" t="s">
        <v>45</v>
      </c>
      <c r="H2623" s="11" t="s">
        <v>67</v>
      </c>
      <c r="I2623" s="11"/>
      <c r="J2623" s="11">
        <v>21.0</v>
      </c>
      <c r="K2623" s="12">
        <v>33604.0</v>
      </c>
      <c r="L2623" s="11"/>
      <c r="M2623" s="11">
        <v>112461.0</v>
      </c>
      <c r="N2623" s="11">
        <v>51.0</v>
      </c>
      <c r="P2623" s="11">
        <v>122.0</v>
      </c>
      <c r="Q2623" s="14">
        <v>344.0</v>
      </c>
      <c r="R2623" s="41">
        <v>0.0</v>
      </c>
      <c r="S2623">
        <f t="shared" si="1"/>
        <v>1991</v>
      </c>
      <c r="T2623">
        <f t="shared" si="2"/>
        <v>1</v>
      </c>
      <c r="U2623">
        <f t="shared" si="3"/>
        <v>1</v>
      </c>
      <c r="AG2623" s="15"/>
      <c r="AH2623" s="16"/>
      <c r="AM2623" s="15"/>
      <c r="AN2623" s="16"/>
    </row>
    <row r="2624">
      <c r="A2624" s="13" t="s">
        <v>4456</v>
      </c>
      <c r="B2624" s="10">
        <v>33151.0</v>
      </c>
      <c r="C2624" s="11" t="s">
        <v>44</v>
      </c>
      <c r="D2624" s="11" t="s">
        <v>38</v>
      </c>
      <c r="E2624" s="67" t="s">
        <v>39</v>
      </c>
      <c r="F2624" s="55" t="s">
        <v>40</v>
      </c>
      <c r="G2624" s="67" t="s">
        <v>45</v>
      </c>
      <c r="H2624" s="55" t="s">
        <v>139</v>
      </c>
      <c r="I2624" s="52" t="s">
        <v>379</v>
      </c>
      <c r="J2624" s="52">
        <v>26.0</v>
      </c>
      <c r="K2624" s="68">
        <v>34069.0</v>
      </c>
      <c r="L2624" s="11">
        <f>ROUND(((K2624-B2624)/365)*12,0)</f>
        <v>30</v>
      </c>
      <c r="M2624" s="55">
        <v>114023.0</v>
      </c>
      <c r="N2624" s="52">
        <v>1003948.0</v>
      </c>
      <c r="P2624" s="11">
        <v>0.0</v>
      </c>
      <c r="Q2624" s="14">
        <v>0.0</v>
      </c>
      <c r="R2624" s="11">
        <v>0.0</v>
      </c>
      <c r="S2624">
        <f t="shared" si="1"/>
        <v>1990</v>
      </c>
      <c r="T2624">
        <f t="shared" si="2"/>
        <v>10</v>
      </c>
      <c r="U2624">
        <f t="shared" si="3"/>
        <v>5</v>
      </c>
      <c r="AG2624" s="15"/>
      <c r="AH2624" s="16"/>
      <c r="AM2624" s="15"/>
      <c r="AN2624" s="16"/>
    </row>
    <row r="2625">
      <c r="A2625" s="13" t="s">
        <v>4466</v>
      </c>
      <c r="B2625" s="10">
        <v>33130.0</v>
      </c>
      <c r="C2625" s="11" t="s">
        <v>111</v>
      </c>
      <c r="D2625" s="11" t="s">
        <v>58</v>
      </c>
      <c r="E2625" s="30" t="s">
        <v>39</v>
      </c>
      <c r="F2625" s="11" t="s">
        <v>64</v>
      </c>
      <c r="G2625" s="30" t="s">
        <v>45</v>
      </c>
      <c r="H2625" s="11" t="s">
        <v>73</v>
      </c>
      <c r="I2625" s="11"/>
      <c r="J2625" s="11">
        <v>25.0</v>
      </c>
      <c r="K2625" s="12">
        <v>33970.0</v>
      </c>
      <c r="L2625" s="30"/>
      <c r="M2625" s="11">
        <v>113583.0</v>
      </c>
      <c r="N2625" s="11">
        <v>1003518.0</v>
      </c>
      <c r="P2625" s="11">
        <v>0.0</v>
      </c>
      <c r="Q2625" s="14">
        <v>0.0</v>
      </c>
      <c r="R2625" s="41">
        <v>0.0</v>
      </c>
      <c r="S2625">
        <f t="shared" si="1"/>
        <v>1990</v>
      </c>
      <c r="T2625">
        <f t="shared" si="2"/>
        <v>9</v>
      </c>
      <c r="U2625">
        <f t="shared" si="3"/>
        <v>14</v>
      </c>
      <c r="AG2625" s="15"/>
      <c r="AH2625" s="16"/>
      <c r="AM2625" s="15"/>
      <c r="AN2625" s="16"/>
    </row>
    <row r="2626">
      <c r="A2626" s="13" t="s">
        <v>4467</v>
      </c>
      <c r="B2626" s="10">
        <v>33112.0</v>
      </c>
      <c r="C2626" s="11" t="s">
        <v>72</v>
      </c>
      <c r="D2626" s="11" t="s">
        <v>58</v>
      </c>
      <c r="E2626" s="30" t="s">
        <v>39</v>
      </c>
      <c r="F2626" s="11" t="s">
        <v>40</v>
      </c>
      <c r="G2626" s="30" t="s">
        <v>45</v>
      </c>
      <c r="H2626" s="11" t="s">
        <v>566</v>
      </c>
      <c r="I2626" s="11"/>
      <c r="J2626" s="11">
        <v>26.0</v>
      </c>
      <c r="K2626" s="12">
        <v>33489.0</v>
      </c>
      <c r="L2626" s="30"/>
      <c r="M2626" s="11">
        <v>113469.0</v>
      </c>
      <c r="N2626" s="11">
        <v>1003404.0</v>
      </c>
      <c r="P2626" s="11">
        <v>81.0</v>
      </c>
      <c r="Q2626" s="14">
        <v>356.667</v>
      </c>
      <c r="R2626" s="41">
        <v>0.0</v>
      </c>
      <c r="S2626">
        <f t="shared" si="1"/>
        <v>1990</v>
      </c>
      <c r="T2626">
        <f t="shared" si="2"/>
        <v>8</v>
      </c>
      <c r="U2626">
        <f t="shared" si="3"/>
        <v>27</v>
      </c>
      <c r="AG2626" s="15"/>
      <c r="AH2626" s="16"/>
      <c r="AM2626" s="15"/>
      <c r="AN2626" s="16"/>
    </row>
    <row r="2627">
      <c r="A2627" s="13" t="s">
        <v>752</v>
      </c>
      <c r="B2627" s="10">
        <v>33108.0</v>
      </c>
      <c r="C2627" s="11" t="s">
        <v>116</v>
      </c>
      <c r="D2627" s="11" t="s">
        <v>38</v>
      </c>
      <c r="E2627" s="11" t="s">
        <v>39</v>
      </c>
      <c r="F2627" s="11" t="s">
        <v>40</v>
      </c>
      <c r="G2627" s="11" t="s">
        <v>45</v>
      </c>
      <c r="H2627" s="11" t="s">
        <v>84</v>
      </c>
      <c r="I2627" s="11" t="s">
        <v>4468</v>
      </c>
      <c r="J2627" s="11">
        <v>34.0</v>
      </c>
      <c r="K2627" s="30"/>
      <c r="L2627" s="30"/>
      <c r="M2627" s="11">
        <v>110206.0</v>
      </c>
      <c r="N2627" s="11">
        <v>1000195.0</v>
      </c>
      <c r="O2627" s="13"/>
      <c r="P2627" s="11">
        <v>0.0</v>
      </c>
      <c r="Q2627" s="14">
        <v>0.0</v>
      </c>
      <c r="R2627" s="41">
        <v>0.0</v>
      </c>
      <c r="S2627">
        <f t="shared" si="1"/>
        <v>1990</v>
      </c>
      <c r="T2627">
        <f t="shared" si="2"/>
        <v>8</v>
      </c>
      <c r="U2627">
        <f t="shared" si="3"/>
        <v>23</v>
      </c>
      <c r="AG2627" s="15"/>
      <c r="AH2627" s="16"/>
      <c r="AM2627" s="15"/>
      <c r="AN2627" s="16"/>
    </row>
    <row r="2628">
      <c r="A2628" s="13" t="s">
        <v>4469</v>
      </c>
      <c r="B2628" s="10">
        <v>33011.0</v>
      </c>
      <c r="C2628" s="11" t="s">
        <v>76</v>
      </c>
      <c r="D2628" s="11" t="s">
        <v>38</v>
      </c>
      <c r="E2628" s="30" t="s">
        <v>39</v>
      </c>
      <c r="F2628" s="11" t="s">
        <v>40</v>
      </c>
      <c r="G2628" s="30" t="s">
        <v>45</v>
      </c>
      <c r="H2628" s="11" t="s">
        <v>56</v>
      </c>
      <c r="I2628" s="11" t="s">
        <v>4470</v>
      </c>
      <c r="J2628" s="11">
        <v>26.0</v>
      </c>
      <c r="K2628" s="30"/>
      <c r="L2628" s="30"/>
      <c r="M2628" s="11">
        <v>114761.0</v>
      </c>
      <c r="N2628" s="11">
        <v>1004677.0</v>
      </c>
      <c r="O2628" s="13" t="s">
        <v>4062</v>
      </c>
      <c r="P2628" s="11">
        <v>0.0</v>
      </c>
      <c r="Q2628" s="45">
        <v>0.0</v>
      </c>
      <c r="R2628" s="41">
        <v>0.0</v>
      </c>
      <c r="S2628">
        <f t="shared" si="1"/>
        <v>1990</v>
      </c>
      <c r="T2628">
        <f t="shared" si="2"/>
        <v>5</v>
      </c>
      <c r="U2628">
        <f t="shared" si="3"/>
        <v>18</v>
      </c>
      <c r="AG2628" s="15"/>
      <c r="AH2628" s="16"/>
      <c r="AM2628" s="15"/>
      <c r="AN2628" s="16"/>
    </row>
    <row r="2629">
      <c r="A2629" s="13" t="s">
        <v>4471</v>
      </c>
      <c r="B2629" s="10">
        <v>32874.0</v>
      </c>
      <c r="C2629" s="11" t="s">
        <v>358</v>
      </c>
      <c r="D2629" s="11" t="s">
        <v>93</v>
      </c>
      <c r="E2629" s="11" t="s">
        <v>39</v>
      </c>
      <c r="F2629" s="11" t="s">
        <v>40</v>
      </c>
      <c r="G2629" s="11" t="s">
        <v>45</v>
      </c>
      <c r="H2629" s="11" t="s">
        <v>67</v>
      </c>
      <c r="I2629" s="11" t="s">
        <v>190</v>
      </c>
      <c r="J2629" s="11">
        <v>20.0</v>
      </c>
      <c r="K2629" s="12">
        <v>33239.0</v>
      </c>
      <c r="L2629" s="11"/>
      <c r="M2629" s="11">
        <v>114499.0</v>
      </c>
      <c r="N2629" s="11">
        <v>1447.0</v>
      </c>
      <c r="O2629" s="13" t="s">
        <v>3309</v>
      </c>
      <c r="P2629" s="11">
        <v>84.0</v>
      </c>
      <c r="Q2629" s="14">
        <v>175.333</v>
      </c>
      <c r="R2629" s="41">
        <v>0.0</v>
      </c>
      <c r="S2629">
        <f t="shared" si="1"/>
        <v>1990</v>
      </c>
      <c r="T2629">
        <f t="shared" si="2"/>
        <v>1</v>
      </c>
      <c r="U2629">
        <f t="shared" si="3"/>
        <v>1</v>
      </c>
      <c r="AG2629" s="15"/>
      <c r="AH2629" s="16"/>
      <c r="AM2629" s="15"/>
      <c r="AN2629" s="16"/>
    </row>
    <row r="2630">
      <c r="A2630" s="13" t="s">
        <v>4472</v>
      </c>
      <c r="B2630" s="10">
        <v>32874.0</v>
      </c>
      <c r="C2630" s="11" t="s">
        <v>108</v>
      </c>
      <c r="D2630" s="11" t="s">
        <v>93</v>
      </c>
      <c r="E2630" s="11" t="s">
        <v>104</v>
      </c>
      <c r="F2630" s="11" t="s">
        <v>40</v>
      </c>
      <c r="G2630" s="11" t="s">
        <v>45</v>
      </c>
      <c r="H2630" s="11" t="s">
        <v>139</v>
      </c>
      <c r="I2630" s="11" t="s">
        <v>1059</v>
      </c>
      <c r="J2630" s="11">
        <v>19.0</v>
      </c>
      <c r="K2630" s="12">
        <v>34335.0</v>
      </c>
      <c r="L2630" s="11"/>
      <c r="M2630" s="11"/>
      <c r="N2630" s="11"/>
      <c r="O2630" s="13"/>
      <c r="P2630" s="11">
        <v>0.0</v>
      </c>
      <c r="Q2630" s="14">
        <v>0.0</v>
      </c>
      <c r="R2630" s="41">
        <v>0.0</v>
      </c>
      <c r="S2630">
        <f t="shared" si="1"/>
        <v>1990</v>
      </c>
      <c r="T2630">
        <f t="shared" si="2"/>
        <v>1</v>
      </c>
      <c r="U2630">
        <f t="shared" si="3"/>
        <v>1</v>
      </c>
      <c r="AG2630" s="15"/>
      <c r="AH2630" s="16"/>
      <c r="AM2630" s="15"/>
      <c r="AN2630" s="16"/>
    </row>
    <row r="2631">
      <c r="A2631" s="13" t="s">
        <v>4473</v>
      </c>
      <c r="B2631" s="10">
        <v>32874.0</v>
      </c>
      <c r="C2631" s="11" t="s">
        <v>186</v>
      </c>
      <c r="D2631" s="11" t="s">
        <v>58</v>
      </c>
      <c r="E2631" s="11" t="s">
        <v>982</v>
      </c>
      <c r="F2631" s="11" t="s">
        <v>40</v>
      </c>
      <c r="G2631" s="11" t="s">
        <v>225</v>
      </c>
      <c r="H2631" s="11"/>
      <c r="I2631" s="11"/>
      <c r="J2631" s="11">
        <v>22.0</v>
      </c>
      <c r="K2631" s="12">
        <v>33239.0</v>
      </c>
      <c r="L2631" s="11"/>
      <c r="M2631" s="11">
        <v>121663.0</v>
      </c>
      <c r="N2631" s="11">
        <v>213.0</v>
      </c>
      <c r="O2631" s="13"/>
      <c r="P2631" s="11">
        <v>1490.0</v>
      </c>
      <c r="Q2631" s="14">
        <v>5246.0</v>
      </c>
      <c r="R2631" s="41">
        <v>0.0</v>
      </c>
      <c r="S2631">
        <f t="shared" si="1"/>
        <v>1990</v>
      </c>
      <c r="T2631">
        <f t="shared" si="2"/>
        <v>1</v>
      </c>
      <c r="U2631">
        <f t="shared" si="3"/>
        <v>1</v>
      </c>
      <c r="AG2631" s="15"/>
      <c r="AH2631" s="16"/>
      <c r="AM2631" s="15"/>
      <c r="AN2631" s="16"/>
    </row>
    <row r="2632">
      <c r="A2632" s="13" t="s">
        <v>4474</v>
      </c>
      <c r="B2632" s="10">
        <v>32843.0</v>
      </c>
      <c r="C2632" s="11" t="s">
        <v>83</v>
      </c>
      <c r="D2632" s="11" t="s">
        <v>38</v>
      </c>
      <c r="E2632" s="30" t="s">
        <v>39</v>
      </c>
      <c r="F2632" s="11" t="s">
        <v>40</v>
      </c>
      <c r="G2632" s="30" t="s">
        <v>45</v>
      </c>
      <c r="H2632" s="11" t="s">
        <v>67</v>
      </c>
      <c r="I2632" s="11" t="s">
        <v>4429</v>
      </c>
      <c r="J2632" s="11">
        <v>29.0</v>
      </c>
      <c r="K2632" s="12">
        <v>33700.0</v>
      </c>
      <c r="L2632" s="11">
        <f t="shared" ref="L2632:L2633" si="269">ROUND(((K2632-B2632)/365)*12,0)</f>
        <v>28</v>
      </c>
      <c r="M2632" s="11">
        <v>124581.0</v>
      </c>
      <c r="N2632" s="11">
        <v>1014259.0</v>
      </c>
      <c r="O2632" s="13" t="s">
        <v>4062</v>
      </c>
      <c r="P2632" s="11">
        <v>336.0</v>
      </c>
      <c r="Q2632" s="45">
        <v>332.0</v>
      </c>
      <c r="R2632" s="41">
        <v>0.0</v>
      </c>
      <c r="S2632">
        <f t="shared" si="1"/>
        <v>1989</v>
      </c>
      <c r="T2632">
        <f t="shared" si="2"/>
        <v>12</v>
      </c>
      <c r="U2632">
        <f t="shared" si="3"/>
        <v>1</v>
      </c>
      <c r="AG2632" s="15"/>
      <c r="AH2632" s="16"/>
      <c r="AM2632" s="15"/>
      <c r="AN2632" s="16"/>
    </row>
    <row r="2633">
      <c r="A2633" s="13" t="s">
        <v>4411</v>
      </c>
      <c r="B2633" s="10">
        <v>32709.0</v>
      </c>
      <c r="C2633" s="11" t="s">
        <v>150</v>
      </c>
      <c r="D2633" s="11" t="s">
        <v>38</v>
      </c>
      <c r="E2633" s="30" t="s">
        <v>39</v>
      </c>
      <c r="F2633" s="11" t="s">
        <v>40</v>
      </c>
      <c r="G2633" s="30" t="s">
        <v>45</v>
      </c>
      <c r="H2633" s="11" t="s">
        <v>129</v>
      </c>
      <c r="I2633" s="11"/>
      <c r="J2633" s="11">
        <v>28.0</v>
      </c>
      <c r="K2633" s="12">
        <v>33129.0</v>
      </c>
      <c r="L2633" s="11">
        <f t="shared" si="269"/>
        <v>14</v>
      </c>
      <c r="M2633" s="11">
        <v>120036.0</v>
      </c>
      <c r="N2633" s="11">
        <v>1009826.0</v>
      </c>
      <c r="O2633" s="13" t="s">
        <v>4062</v>
      </c>
      <c r="P2633" s="11">
        <v>71.0</v>
      </c>
      <c r="Q2633" s="45">
        <v>278.3330000000001</v>
      </c>
      <c r="R2633" s="41">
        <v>0.0</v>
      </c>
      <c r="S2633">
        <f t="shared" si="1"/>
        <v>1989</v>
      </c>
      <c r="T2633">
        <f t="shared" si="2"/>
        <v>7</v>
      </c>
      <c r="U2633">
        <f t="shared" si="3"/>
        <v>20</v>
      </c>
      <c r="AG2633" s="15"/>
      <c r="AH2633" s="16"/>
      <c r="AM2633" s="15"/>
      <c r="AN2633" s="16"/>
    </row>
    <row r="2634">
      <c r="A2634" s="13" t="s">
        <v>4475</v>
      </c>
      <c r="B2634" s="10">
        <v>32660.0</v>
      </c>
      <c r="C2634" s="11" t="s">
        <v>138</v>
      </c>
      <c r="D2634" s="11" t="s">
        <v>58</v>
      </c>
      <c r="E2634" s="11" t="s">
        <v>39</v>
      </c>
      <c r="F2634" s="11" t="s">
        <v>40</v>
      </c>
      <c r="G2634" s="11" t="s">
        <v>41</v>
      </c>
      <c r="H2634" s="11"/>
      <c r="I2634" s="11"/>
      <c r="J2634" s="11">
        <v>23.0</v>
      </c>
      <c r="K2634" s="12">
        <v>32874.0</v>
      </c>
      <c r="L2634" s="11"/>
      <c r="M2634" s="11">
        <v>118986.0</v>
      </c>
      <c r="N2634" s="11">
        <v>961.0</v>
      </c>
      <c r="O2634" s="13"/>
      <c r="P2634" s="11">
        <v>1016.0</v>
      </c>
      <c r="Q2634" s="14">
        <v>1517.333</v>
      </c>
      <c r="R2634" s="41">
        <v>0.0</v>
      </c>
      <c r="S2634">
        <f t="shared" si="1"/>
        <v>1989</v>
      </c>
      <c r="T2634">
        <f t="shared" si="2"/>
        <v>6</v>
      </c>
      <c r="U2634">
        <f t="shared" si="3"/>
        <v>1</v>
      </c>
      <c r="AG2634" s="15"/>
      <c r="AH2634" s="16"/>
      <c r="AM2634" s="15"/>
      <c r="AN2634" s="16"/>
    </row>
    <row r="2635">
      <c r="A2635" s="13" t="s">
        <v>4476</v>
      </c>
      <c r="B2635" s="10">
        <v>32640.0</v>
      </c>
      <c r="C2635" s="11" t="s">
        <v>83</v>
      </c>
      <c r="D2635" s="11" t="s">
        <v>38</v>
      </c>
      <c r="E2635" s="30" t="s">
        <v>39</v>
      </c>
      <c r="F2635" s="11" t="s">
        <v>64</v>
      </c>
      <c r="G2635" s="30" t="s">
        <v>45</v>
      </c>
      <c r="H2635" s="11" t="s">
        <v>67</v>
      </c>
      <c r="I2635" s="11" t="s">
        <v>4477</v>
      </c>
      <c r="J2635" s="11">
        <v>27.0</v>
      </c>
      <c r="K2635" s="12">
        <v>32974.0</v>
      </c>
      <c r="L2635" s="11">
        <f>ROUND(((K2635-B2635)/365)*12,0)</f>
        <v>11</v>
      </c>
      <c r="M2635" s="11">
        <v>118417.0</v>
      </c>
      <c r="N2635" s="11">
        <v>1008237.0</v>
      </c>
      <c r="O2635" s="13" t="s">
        <v>4062</v>
      </c>
      <c r="P2635" s="11">
        <v>25.0</v>
      </c>
      <c r="Q2635" s="45">
        <v>103.0</v>
      </c>
      <c r="R2635" s="41">
        <v>0.0</v>
      </c>
      <c r="S2635">
        <f t="shared" si="1"/>
        <v>1989</v>
      </c>
      <c r="T2635">
        <f t="shared" si="2"/>
        <v>5</v>
      </c>
      <c r="U2635">
        <f t="shared" si="3"/>
        <v>12</v>
      </c>
      <c r="AG2635" s="15"/>
      <c r="AH2635" s="16"/>
      <c r="AM2635" s="15"/>
      <c r="AN2635" s="16"/>
    </row>
    <row r="2636">
      <c r="A2636" s="13" t="s">
        <v>4478</v>
      </c>
      <c r="B2636" s="10">
        <v>32619.0</v>
      </c>
      <c r="C2636" s="11" t="s">
        <v>186</v>
      </c>
      <c r="D2636" s="11" t="s">
        <v>58</v>
      </c>
      <c r="E2636" s="11" t="s">
        <v>39</v>
      </c>
      <c r="F2636" s="11" t="s">
        <v>40</v>
      </c>
      <c r="G2636" s="11" t="s">
        <v>326</v>
      </c>
      <c r="H2636" s="30"/>
      <c r="I2636" s="30"/>
      <c r="J2636" s="11">
        <v>25.0</v>
      </c>
      <c r="K2636" s="12">
        <v>32874.0</v>
      </c>
      <c r="L2636" s="11"/>
      <c r="M2636" s="11">
        <v>112150.0</v>
      </c>
      <c r="N2636" s="11">
        <v>1002097.0</v>
      </c>
      <c r="O2636" s="13"/>
      <c r="P2636" s="11">
        <v>0.0</v>
      </c>
      <c r="Q2636" s="14">
        <v>0.0</v>
      </c>
      <c r="R2636" s="41">
        <v>0.0</v>
      </c>
      <c r="S2636">
        <f t="shared" si="1"/>
        <v>1989</v>
      </c>
      <c r="T2636">
        <f t="shared" si="2"/>
        <v>4</v>
      </c>
      <c r="U2636">
        <f t="shared" si="3"/>
        <v>21</v>
      </c>
      <c r="AG2636" s="15"/>
      <c r="AH2636" s="16"/>
      <c r="AM2636" s="15"/>
      <c r="AN2636" s="16"/>
    </row>
    <row r="2637">
      <c r="A2637" s="13" t="s">
        <v>4479</v>
      </c>
      <c r="B2637" s="10">
        <v>32598.0</v>
      </c>
      <c r="C2637" s="11" t="s">
        <v>83</v>
      </c>
      <c r="D2637" s="11" t="s">
        <v>38</v>
      </c>
      <c r="E2637" s="30" t="s">
        <v>39</v>
      </c>
      <c r="F2637" s="11" t="s">
        <v>40</v>
      </c>
      <c r="G2637" s="41" t="s">
        <v>4294</v>
      </c>
      <c r="H2637" s="30"/>
      <c r="I2637" s="30"/>
      <c r="J2637" s="11">
        <v>29.0</v>
      </c>
      <c r="K2637" s="12">
        <v>33355.0</v>
      </c>
      <c r="L2637" s="11">
        <f>ROUND(((K2637-B2637)/365)*12,0)</f>
        <v>25</v>
      </c>
      <c r="M2637" s="11">
        <v>112752.0</v>
      </c>
      <c r="N2637" s="11">
        <v>1002695.0</v>
      </c>
      <c r="O2637" s="13" t="s">
        <v>4062</v>
      </c>
      <c r="P2637" s="11">
        <v>126.0</v>
      </c>
      <c r="Q2637" s="45">
        <v>312.3330000000001</v>
      </c>
      <c r="R2637" s="41">
        <v>0.0</v>
      </c>
      <c r="S2637">
        <f t="shared" si="1"/>
        <v>1989</v>
      </c>
      <c r="T2637">
        <f t="shared" si="2"/>
        <v>3</v>
      </c>
      <c r="U2637">
        <f t="shared" si="3"/>
        <v>31</v>
      </c>
      <c r="AG2637" s="15"/>
      <c r="AH2637" s="16"/>
      <c r="AM2637" s="15"/>
      <c r="AN2637" s="16"/>
    </row>
    <row r="2638">
      <c r="A2638" s="13" t="s">
        <v>4480</v>
      </c>
      <c r="B2638" s="10">
        <v>32509.0</v>
      </c>
      <c r="C2638" s="11" t="s">
        <v>103</v>
      </c>
      <c r="D2638" s="11" t="s">
        <v>38</v>
      </c>
      <c r="E2638" s="11" t="s">
        <v>39</v>
      </c>
      <c r="F2638" s="11" t="s">
        <v>40</v>
      </c>
      <c r="G2638" s="11" t="s">
        <v>45</v>
      </c>
      <c r="H2638" s="11" t="s">
        <v>74</v>
      </c>
      <c r="I2638" s="11" t="s">
        <v>4481</v>
      </c>
      <c r="J2638" s="11">
        <v>29.0</v>
      </c>
      <c r="K2638" s="12"/>
      <c r="L2638" s="11"/>
      <c r="M2638" s="11">
        <v>124458.0</v>
      </c>
      <c r="N2638" s="11">
        <v>1014140.0</v>
      </c>
      <c r="O2638" s="13" t="s">
        <v>4062</v>
      </c>
      <c r="P2638" s="11">
        <v>0.0</v>
      </c>
      <c r="Q2638" s="14">
        <v>0.0</v>
      </c>
      <c r="R2638" s="11">
        <v>0.0</v>
      </c>
      <c r="S2638">
        <f t="shared" si="1"/>
        <v>1989</v>
      </c>
      <c r="T2638">
        <f t="shared" si="2"/>
        <v>1</v>
      </c>
      <c r="U2638">
        <f t="shared" si="3"/>
        <v>1</v>
      </c>
      <c r="AG2638" s="15"/>
      <c r="AH2638" s="16"/>
      <c r="AM2638" s="15"/>
      <c r="AN2638" s="16"/>
    </row>
    <row r="2639">
      <c r="A2639" s="13" t="s">
        <v>4482</v>
      </c>
      <c r="B2639" s="10">
        <v>32443.0</v>
      </c>
      <c r="C2639" s="11" t="s">
        <v>126</v>
      </c>
      <c r="D2639" s="11" t="s">
        <v>38</v>
      </c>
      <c r="E2639" s="30" t="s">
        <v>39</v>
      </c>
      <c r="F2639" s="11" t="s">
        <v>64</v>
      </c>
      <c r="G2639" s="30" t="s">
        <v>45</v>
      </c>
      <c r="H2639" s="11" t="s">
        <v>59</v>
      </c>
      <c r="I2639" s="11" t="s">
        <v>4483</v>
      </c>
      <c r="J2639" s="11">
        <v>34.0</v>
      </c>
      <c r="K2639" s="12">
        <v>32686.0</v>
      </c>
      <c r="L2639" s="11">
        <f t="shared" ref="L2639:L2640" si="270">ROUND(((K2639-B2639)/365)*12,0)</f>
        <v>8</v>
      </c>
      <c r="M2639" s="11">
        <v>123499.0</v>
      </c>
      <c r="N2639" s="11">
        <v>1013215.0</v>
      </c>
      <c r="O2639" s="13" t="s">
        <v>4062</v>
      </c>
      <c r="P2639" s="11">
        <v>31.0</v>
      </c>
      <c r="Q2639" s="14">
        <v>160.667</v>
      </c>
      <c r="R2639" s="41">
        <v>0.0</v>
      </c>
      <c r="S2639">
        <f t="shared" si="1"/>
        <v>1988</v>
      </c>
      <c r="T2639">
        <f t="shared" si="2"/>
        <v>10</v>
      </c>
      <c r="U2639">
        <f t="shared" si="3"/>
        <v>27</v>
      </c>
      <c r="AG2639" s="15"/>
      <c r="AH2639" s="16"/>
      <c r="AM2639" s="15"/>
      <c r="AN2639" s="16"/>
    </row>
    <row r="2640">
      <c r="A2640" s="13" t="s">
        <v>4484</v>
      </c>
      <c r="B2640" s="10">
        <v>32400.0</v>
      </c>
      <c r="C2640" s="11" t="s">
        <v>126</v>
      </c>
      <c r="D2640" s="11" t="s">
        <v>38</v>
      </c>
      <c r="E2640" s="30" t="s">
        <v>39</v>
      </c>
      <c r="F2640" s="11" t="s">
        <v>64</v>
      </c>
      <c r="G2640" s="30" t="s">
        <v>45</v>
      </c>
      <c r="H2640" s="11" t="s">
        <v>67</v>
      </c>
      <c r="I2640" s="11" t="s">
        <v>4485</v>
      </c>
      <c r="J2640" s="11">
        <v>29.0</v>
      </c>
      <c r="K2640" s="12">
        <v>32676.0</v>
      </c>
      <c r="L2640" s="11">
        <f t="shared" si="270"/>
        <v>9</v>
      </c>
      <c r="M2640" s="11">
        <v>124707.0</v>
      </c>
      <c r="N2640" s="11">
        <v>1014385.0</v>
      </c>
      <c r="P2640" s="11">
        <v>129.0</v>
      </c>
      <c r="Q2640" s="45">
        <v>496.3330000000001</v>
      </c>
      <c r="R2640" s="41">
        <v>0.0</v>
      </c>
      <c r="S2640">
        <f t="shared" si="1"/>
        <v>1988</v>
      </c>
      <c r="T2640">
        <f t="shared" si="2"/>
        <v>9</v>
      </c>
      <c r="U2640">
        <f t="shared" si="3"/>
        <v>14</v>
      </c>
      <c r="AG2640" s="15"/>
      <c r="AH2640" s="16"/>
      <c r="AM2640" s="15"/>
      <c r="AN2640" s="16"/>
    </row>
    <row r="2641">
      <c r="A2641" s="13" t="s">
        <v>4486</v>
      </c>
      <c r="B2641" s="10">
        <v>32356.0</v>
      </c>
      <c r="C2641" s="11" t="s">
        <v>138</v>
      </c>
      <c r="D2641" s="11" t="s">
        <v>58</v>
      </c>
      <c r="E2641" s="11" t="s">
        <v>39</v>
      </c>
      <c r="F2641" s="11" t="s">
        <v>64</v>
      </c>
      <c r="G2641" s="11" t="s">
        <v>45</v>
      </c>
      <c r="H2641" s="11" t="s">
        <v>67</v>
      </c>
      <c r="I2641" s="11"/>
      <c r="J2641" s="11">
        <v>24.0</v>
      </c>
      <c r="K2641" s="12">
        <v>32509.0</v>
      </c>
      <c r="L2641" s="11"/>
      <c r="M2641" s="11">
        <v>110819.0</v>
      </c>
      <c r="N2641" s="11">
        <v>1000803.0</v>
      </c>
      <c r="O2641" s="13"/>
      <c r="P2641" s="11">
        <v>27.0</v>
      </c>
      <c r="Q2641" s="14">
        <v>40.667</v>
      </c>
      <c r="R2641" s="41">
        <v>0.0</v>
      </c>
      <c r="S2641">
        <f t="shared" si="1"/>
        <v>1988</v>
      </c>
      <c r="T2641">
        <f t="shared" si="2"/>
        <v>8</v>
      </c>
      <c r="U2641">
        <f t="shared" si="3"/>
        <v>1</v>
      </c>
      <c r="AG2641" s="15"/>
      <c r="AH2641" s="16"/>
      <c r="AM2641" s="15"/>
      <c r="AN2641" s="16"/>
    </row>
    <row r="2642">
      <c r="A2642" s="13" t="s">
        <v>4487</v>
      </c>
      <c r="B2642" s="10">
        <v>32234.0</v>
      </c>
      <c r="C2642" s="11" t="s">
        <v>108</v>
      </c>
      <c r="D2642" s="11" t="s">
        <v>38</v>
      </c>
      <c r="E2642" s="30" t="s">
        <v>39</v>
      </c>
      <c r="F2642" s="11" t="s">
        <v>40</v>
      </c>
      <c r="G2642" s="30" t="s">
        <v>45</v>
      </c>
      <c r="H2642" s="11" t="s">
        <v>451</v>
      </c>
      <c r="I2642" s="11" t="s">
        <v>1196</v>
      </c>
      <c r="J2642" s="11">
        <v>24.0</v>
      </c>
      <c r="K2642" s="12">
        <v>32605.0</v>
      </c>
      <c r="L2642" s="11">
        <f>ROUND(((K2642-B2642)/365)*12,0)</f>
        <v>12</v>
      </c>
      <c r="M2642" s="11">
        <v>110336.0</v>
      </c>
      <c r="N2642" s="11">
        <v>1000323.0</v>
      </c>
      <c r="O2642" s="13" t="s">
        <v>4062</v>
      </c>
      <c r="P2642" s="11">
        <v>86.0</v>
      </c>
      <c r="Q2642" s="45">
        <v>131.0</v>
      </c>
      <c r="R2642" s="41">
        <v>0.0</v>
      </c>
      <c r="S2642">
        <f t="shared" si="1"/>
        <v>1988</v>
      </c>
      <c r="T2642">
        <f t="shared" si="2"/>
        <v>4</v>
      </c>
      <c r="U2642">
        <f t="shared" si="3"/>
        <v>1</v>
      </c>
      <c r="AG2642" s="15"/>
      <c r="AH2642" s="16"/>
      <c r="AM2642" s="15"/>
      <c r="AN2642" s="16"/>
    </row>
    <row r="2643">
      <c r="A2643" s="13" t="s">
        <v>4488</v>
      </c>
      <c r="B2643" s="10">
        <v>32143.0</v>
      </c>
      <c r="C2643" s="11" t="s">
        <v>72</v>
      </c>
      <c r="D2643" s="11" t="s">
        <v>77</v>
      </c>
      <c r="E2643" s="30" t="s">
        <v>39</v>
      </c>
      <c r="F2643" s="11" t="s">
        <v>64</v>
      </c>
      <c r="G2643" s="30" t="s">
        <v>45</v>
      </c>
      <c r="H2643" s="11" t="s">
        <v>67</v>
      </c>
      <c r="I2643" s="11" t="s">
        <v>287</v>
      </c>
      <c r="J2643" s="11">
        <v>23.0</v>
      </c>
      <c r="K2643" s="12">
        <v>32509.0</v>
      </c>
      <c r="L2643" s="30"/>
      <c r="M2643" s="11">
        <v>461041.0</v>
      </c>
      <c r="N2643" s="11"/>
      <c r="P2643" s="11">
        <v>0.0</v>
      </c>
      <c r="Q2643" s="14">
        <v>0.0</v>
      </c>
      <c r="R2643" s="41">
        <v>0.0</v>
      </c>
      <c r="S2643">
        <f t="shared" si="1"/>
        <v>1988</v>
      </c>
      <c r="T2643">
        <f t="shared" si="2"/>
        <v>1</v>
      </c>
      <c r="U2643">
        <f t="shared" si="3"/>
        <v>1</v>
      </c>
      <c r="AG2643" s="15"/>
      <c r="AH2643" s="16"/>
      <c r="AM2643" s="15"/>
      <c r="AN2643" s="16"/>
    </row>
    <row r="2644">
      <c r="A2644" s="13" t="s">
        <v>4489</v>
      </c>
      <c r="B2644" s="10">
        <v>32143.0</v>
      </c>
      <c r="C2644" s="11" t="s">
        <v>62</v>
      </c>
      <c r="D2644" s="11" t="s">
        <v>77</v>
      </c>
      <c r="E2644" s="11" t="s">
        <v>39</v>
      </c>
      <c r="F2644" s="11" t="s">
        <v>64</v>
      </c>
      <c r="G2644" s="11" t="s">
        <v>45</v>
      </c>
      <c r="H2644" s="11" t="s">
        <v>258</v>
      </c>
      <c r="I2644" s="11" t="s">
        <v>258</v>
      </c>
      <c r="J2644" s="11">
        <v>24.0</v>
      </c>
      <c r="K2644" s="12">
        <v>32874.0</v>
      </c>
      <c r="L2644" s="11"/>
      <c r="M2644" s="11">
        <v>115887.0</v>
      </c>
      <c r="N2644" s="11">
        <v>1005767.0</v>
      </c>
      <c r="O2644" s="13"/>
      <c r="P2644" s="11">
        <v>209.0</v>
      </c>
      <c r="Q2644" s="14">
        <v>404.333</v>
      </c>
      <c r="R2644" s="41">
        <v>0.0</v>
      </c>
      <c r="S2644">
        <f t="shared" si="1"/>
        <v>1988</v>
      </c>
      <c r="T2644">
        <f t="shared" si="2"/>
        <v>1</v>
      </c>
      <c r="U2644">
        <f t="shared" si="3"/>
        <v>1</v>
      </c>
      <c r="AG2644" s="15"/>
      <c r="AH2644" s="16"/>
      <c r="AM2644" s="15"/>
      <c r="AN2644" s="16"/>
    </row>
    <row r="2645">
      <c r="A2645" s="13" t="s">
        <v>4490</v>
      </c>
      <c r="B2645" s="10">
        <v>31975.0</v>
      </c>
      <c r="C2645" s="11" t="s">
        <v>126</v>
      </c>
      <c r="D2645" s="11" t="s">
        <v>213</v>
      </c>
      <c r="E2645" s="11" t="s">
        <v>39</v>
      </c>
      <c r="F2645" s="11" t="s">
        <v>40</v>
      </c>
      <c r="G2645" s="11" t="s">
        <v>45</v>
      </c>
      <c r="H2645" s="11" t="s">
        <v>301</v>
      </c>
      <c r="I2645" s="11"/>
      <c r="J2645" s="11">
        <v>18.0</v>
      </c>
      <c r="K2645" s="12">
        <v>32509.0</v>
      </c>
      <c r="L2645" s="11"/>
      <c r="M2645" s="11">
        <v>454429.0</v>
      </c>
      <c r="N2645" s="11"/>
      <c r="O2645" s="13" t="s">
        <v>4062</v>
      </c>
      <c r="P2645" s="11">
        <v>0.0</v>
      </c>
      <c r="Q2645" s="14">
        <v>0.0</v>
      </c>
      <c r="R2645" s="41">
        <v>0.0</v>
      </c>
      <c r="S2645">
        <f t="shared" si="1"/>
        <v>1987</v>
      </c>
      <c r="T2645">
        <f t="shared" si="2"/>
        <v>7</v>
      </c>
      <c r="U2645">
        <f t="shared" si="3"/>
        <v>17</v>
      </c>
      <c r="AG2645" s="15"/>
      <c r="AH2645" s="16"/>
      <c r="AM2645" s="15"/>
      <c r="AN2645" s="16"/>
    </row>
    <row r="2646">
      <c r="A2646" s="13" t="s">
        <v>4491</v>
      </c>
      <c r="B2646" s="10">
        <v>31785.0</v>
      </c>
      <c r="C2646" s="11" t="s">
        <v>358</v>
      </c>
      <c r="D2646" s="11" t="s">
        <v>58</v>
      </c>
      <c r="E2646" s="11" t="s">
        <v>39</v>
      </c>
      <c r="F2646" s="11" t="s">
        <v>40</v>
      </c>
      <c r="G2646" s="11" t="s">
        <v>45</v>
      </c>
      <c r="H2646" s="11" t="s">
        <v>67</v>
      </c>
      <c r="I2646" s="11"/>
      <c r="J2646" s="11">
        <v>26.0</v>
      </c>
      <c r="K2646" s="12"/>
      <c r="L2646" s="11"/>
      <c r="M2646" s="11">
        <v>123947.0</v>
      </c>
      <c r="N2646" s="11">
        <v>1013641.0</v>
      </c>
      <c r="O2646" s="13" t="s">
        <v>4062</v>
      </c>
      <c r="P2646" s="11">
        <v>0.0</v>
      </c>
      <c r="Q2646" s="14">
        <v>0.0</v>
      </c>
      <c r="R2646" s="41">
        <v>0.0</v>
      </c>
      <c r="S2646">
        <f t="shared" si="1"/>
        <v>1987</v>
      </c>
      <c r="T2646">
        <f t="shared" si="2"/>
        <v>1</v>
      </c>
      <c r="U2646">
        <f t="shared" si="3"/>
        <v>8</v>
      </c>
      <c r="AG2646" s="15"/>
      <c r="AH2646" s="16"/>
      <c r="AM2646" s="15"/>
      <c r="AN2646" s="16"/>
    </row>
    <row r="2647">
      <c r="A2647" s="13" t="s">
        <v>4492</v>
      </c>
      <c r="B2647" s="10">
        <v>31695.0</v>
      </c>
      <c r="C2647" s="11" t="s">
        <v>83</v>
      </c>
      <c r="D2647" s="11" t="s">
        <v>38</v>
      </c>
      <c r="E2647" s="30" t="s">
        <v>39</v>
      </c>
      <c r="F2647" s="11" t="s">
        <v>64</v>
      </c>
      <c r="G2647" s="30" t="s">
        <v>45</v>
      </c>
      <c r="H2647" s="11" t="s">
        <v>451</v>
      </c>
      <c r="I2647" s="11" t="s">
        <v>452</v>
      </c>
      <c r="J2647" s="11">
        <v>27.0</v>
      </c>
      <c r="K2647" s="12">
        <v>31918.0</v>
      </c>
      <c r="L2647" s="11">
        <f t="shared" ref="L2647:L2649" si="271">ROUND(((K2647-B2647)/365)*12,0)</f>
        <v>7</v>
      </c>
      <c r="M2647" s="11">
        <v>113158.0</v>
      </c>
      <c r="N2647" s="11">
        <v>1003097.0</v>
      </c>
      <c r="O2647" s="13" t="s">
        <v>4062</v>
      </c>
      <c r="P2647" s="11">
        <v>246.0</v>
      </c>
      <c r="Q2647" s="45">
        <v>270.0</v>
      </c>
      <c r="R2647" s="41">
        <v>0.0</v>
      </c>
      <c r="S2647">
        <f t="shared" si="1"/>
        <v>1986</v>
      </c>
      <c r="T2647">
        <f t="shared" si="2"/>
        <v>10</v>
      </c>
      <c r="U2647">
        <f t="shared" si="3"/>
        <v>10</v>
      </c>
      <c r="AG2647" s="15"/>
      <c r="AH2647" s="16"/>
      <c r="AM2647" s="15"/>
      <c r="AN2647" s="16"/>
    </row>
    <row r="2648">
      <c r="A2648" s="13" t="s">
        <v>4493</v>
      </c>
      <c r="B2648" s="10">
        <v>31524.0</v>
      </c>
      <c r="C2648" s="11" t="s">
        <v>235</v>
      </c>
      <c r="D2648" s="11" t="s">
        <v>38</v>
      </c>
      <c r="E2648" s="30" t="s">
        <v>39</v>
      </c>
      <c r="F2648" s="11" t="s">
        <v>64</v>
      </c>
      <c r="G2648" s="30" t="s">
        <v>45</v>
      </c>
      <c r="H2648" s="11" t="s">
        <v>109</v>
      </c>
      <c r="I2648" s="11"/>
      <c r="J2648" s="11">
        <v>37.0</v>
      </c>
      <c r="K2648" s="12">
        <v>31934.0</v>
      </c>
      <c r="L2648" s="11">
        <f t="shared" si="271"/>
        <v>13</v>
      </c>
      <c r="M2648" s="11">
        <v>117545.0</v>
      </c>
      <c r="N2648" s="11">
        <v>1007389.0</v>
      </c>
      <c r="O2648" s="13" t="s">
        <v>4062</v>
      </c>
      <c r="P2648" s="11">
        <v>29.0</v>
      </c>
      <c r="Q2648" s="45">
        <v>32.0</v>
      </c>
      <c r="R2648" s="41">
        <v>0.0</v>
      </c>
      <c r="S2648">
        <f t="shared" si="1"/>
        <v>1986</v>
      </c>
      <c r="T2648">
        <f t="shared" si="2"/>
        <v>4</v>
      </c>
      <c r="U2648">
        <f t="shared" si="3"/>
        <v>22</v>
      </c>
      <c r="AG2648" s="15"/>
      <c r="AH2648" s="16"/>
      <c r="AM2648" s="15"/>
      <c r="AN2648" s="16"/>
    </row>
    <row r="2649">
      <c r="A2649" s="13" t="s">
        <v>4494</v>
      </c>
      <c r="B2649" s="10">
        <v>31517.0</v>
      </c>
      <c r="C2649" s="11" t="s">
        <v>235</v>
      </c>
      <c r="D2649" s="11" t="s">
        <v>38</v>
      </c>
      <c r="E2649" s="30" t="s">
        <v>39</v>
      </c>
      <c r="F2649" s="11" t="s">
        <v>40</v>
      </c>
      <c r="G2649" s="30" t="s">
        <v>45</v>
      </c>
      <c r="H2649" s="11" t="s">
        <v>109</v>
      </c>
      <c r="I2649" s="11" t="s">
        <v>4495</v>
      </c>
      <c r="J2649" s="11">
        <v>29.0</v>
      </c>
      <c r="K2649" s="12">
        <v>32287.0</v>
      </c>
      <c r="L2649" s="11">
        <f t="shared" si="271"/>
        <v>25</v>
      </c>
      <c r="M2649" s="11">
        <v>114119.0</v>
      </c>
      <c r="N2649" s="11">
        <v>1004040.0</v>
      </c>
      <c r="P2649" s="11">
        <v>48.0</v>
      </c>
      <c r="Q2649" s="45">
        <v>218.0</v>
      </c>
      <c r="R2649" s="41">
        <v>0.0</v>
      </c>
      <c r="S2649">
        <f t="shared" si="1"/>
        <v>1986</v>
      </c>
      <c r="T2649">
        <f t="shared" si="2"/>
        <v>4</v>
      </c>
      <c r="U2649">
        <f t="shared" si="3"/>
        <v>15</v>
      </c>
      <c r="AG2649" s="15"/>
      <c r="AH2649" s="16"/>
      <c r="AM2649" s="15"/>
      <c r="AN2649" s="16"/>
    </row>
    <row r="2650">
      <c r="A2650" s="13" t="s">
        <v>4496</v>
      </c>
      <c r="B2650" s="10">
        <v>31413.0</v>
      </c>
      <c r="C2650" s="11" t="s">
        <v>167</v>
      </c>
      <c r="D2650" s="11" t="s">
        <v>38</v>
      </c>
      <c r="E2650" s="41" t="s">
        <v>104</v>
      </c>
      <c r="F2650" s="11" t="s">
        <v>40</v>
      </c>
      <c r="G2650" s="30" t="s">
        <v>45</v>
      </c>
      <c r="H2650" s="11" t="s">
        <v>84</v>
      </c>
      <c r="I2650" s="11" t="s">
        <v>3102</v>
      </c>
      <c r="J2650" s="11">
        <v>28.0</v>
      </c>
      <c r="K2650" s="30"/>
      <c r="L2650" s="30"/>
      <c r="M2650" s="11">
        <v>112272.0</v>
      </c>
      <c r="N2650" s="11">
        <v>1002223.0</v>
      </c>
      <c r="P2650" s="11">
        <v>0.0</v>
      </c>
      <c r="Q2650" s="45">
        <v>0.0</v>
      </c>
      <c r="R2650" s="41">
        <v>0.0</v>
      </c>
      <c r="S2650">
        <f t="shared" si="1"/>
        <v>1986</v>
      </c>
      <c r="T2650">
        <f t="shared" si="2"/>
        <v>1</v>
      </c>
      <c r="U2650">
        <f t="shared" si="3"/>
        <v>1</v>
      </c>
      <c r="AG2650" s="15"/>
      <c r="AH2650" s="16"/>
      <c r="AM2650" s="15"/>
      <c r="AN2650" s="16"/>
    </row>
    <row r="2651">
      <c r="A2651" s="13" t="s">
        <v>4497</v>
      </c>
      <c r="B2651" s="10">
        <v>31413.0</v>
      </c>
      <c r="C2651" s="11" t="s">
        <v>55</v>
      </c>
      <c r="D2651" s="11" t="s">
        <v>97</v>
      </c>
      <c r="E2651" s="30" t="s">
        <v>39</v>
      </c>
      <c r="F2651" s="11" t="s">
        <v>64</v>
      </c>
      <c r="G2651" s="30" t="s">
        <v>45</v>
      </c>
      <c r="H2651" s="11" t="s">
        <v>56</v>
      </c>
      <c r="I2651" s="11" t="s">
        <v>4498</v>
      </c>
      <c r="J2651" s="11">
        <v>22.0</v>
      </c>
      <c r="K2651" s="12">
        <v>31778.0</v>
      </c>
      <c r="L2651" s="30"/>
      <c r="M2651" s="11">
        <v>242062.0</v>
      </c>
      <c r="N2651" s="11">
        <v>1009213.0</v>
      </c>
      <c r="P2651" s="11">
        <v>21.0</v>
      </c>
      <c r="Q2651" s="14">
        <v>15.0</v>
      </c>
      <c r="R2651" s="41">
        <v>0.0</v>
      </c>
      <c r="S2651">
        <f t="shared" si="1"/>
        <v>1986</v>
      </c>
      <c r="T2651">
        <f t="shared" si="2"/>
        <v>1</v>
      </c>
      <c r="U2651">
        <f t="shared" si="3"/>
        <v>1</v>
      </c>
      <c r="AG2651" s="15"/>
      <c r="AH2651" s="16"/>
      <c r="AM2651" s="15"/>
      <c r="AN2651" s="16"/>
    </row>
    <row r="2652">
      <c r="A2652" s="13" t="s">
        <v>4499</v>
      </c>
      <c r="B2652" s="10">
        <v>31147.0</v>
      </c>
      <c r="C2652" s="11" t="s">
        <v>235</v>
      </c>
      <c r="D2652" s="11" t="s">
        <v>77</v>
      </c>
      <c r="E2652" s="30" t="s">
        <v>39</v>
      </c>
      <c r="F2652" s="11" t="s">
        <v>64</v>
      </c>
      <c r="G2652" s="30" t="s">
        <v>45</v>
      </c>
      <c r="H2652" s="11" t="s">
        <v>67</v>
      </c>
      <c r="I2652" s="11"/>
      <c r="J2652" s="11">
        <v>22.0</v>
      </c>
      <c r="K2652" s="12">
        <v>31413.0</v>
      </c>
      <c r="L2652" s="30"/>
      <c r="M2652" s="11">
        <v>124071.0</v>
      </c>
      <c r="N2652" s="11">
        <v>855.0</v>
      </c>
      <c r="O2652" s="13" t="s">
        <v>761</v>
      </c>
      <c r="P2652" s="11">
        <v>660.0</v>
      </c>
      <c r="Q2652" s="14">
        <v>3439.0</v>
      </c>
      <c r="R2652" s="41">
        <v>0.0</v>
      </c>
      <c r="S2652">
        <f t="shared" si="1"/>
        <v>1985</v>
      </c>
      <c r="T2652">
        <f t="shared" si="2"/>
        <v>4</v>
      </c>
      <c r="U2652">
        <f t="shared" si="3"/>
        <v>10</v>
      </c>
      <c r="AG2652" s="15"/>
      <c r="AH2652" s="16"/>
      <c r="AM2652" s="15"/>
      <c r="AN2652" s="16"/>
    </row>
    <row r="2653">
      <c r="A2653" s="13" t="s">
        <v>4500</v>
      </c>
      <c r="B2653" s="10">
        <v>31048.0</v>
      </c>
      <c r="C2653" s="11" t="s">
        <v>55</v>
      </c>
      <c r="D2653" s="11" t="s">
        <v>58</v>
      </c>
      <c r="E2653" s="11" t="s">
        <v>104</v>
      </c>
      <c r="F2653" s="11" t="s">
        <v>40</v>
      </c>
      <c r="G2653" s="11" t="s">
        <v>45</v>
      </c>
      <c r="H2653" s="11" t="s">
        <v>67</v>
      </c>
      <c r="I2653" s="11" t="s">
        <v>3154</v>
      </c>
      <c r="J2653" s="11">
        <v>25.0</v>
      </c>
      <c r="K2653" s="12">
        <v>31778.0</v>
      </c>
      <c r="L2653" s="30"/>
      <c r="M2653" s="11">
        <v>119703.0</v>
      </c>
      <c r="N2653" s="11">
        <v>1009502.0</v>
      </c>
      <c r="O2653" s="13" t="s">
        <v>4062</v>
      </c>
      <c r="P2653" s="11">
        <v>0.0</v>
      </c>
      <c r="Q2653" s="14">
        <v>0.0</v>
      </c>
      <c r="R2653" s="30">
        <v>0.0</v>
      </c>
      <c r="S2653">
        <f t="shared" si="1"/>
        <v>1985</v>
      </c>
      <c r="T2653">
        <f t="shared" si="2"/>
        <v>1</v>
      </c>
      <c r="U2653">
        <f t="shared" si="3"/>
        <v>1</v>
      </c>
      <c r="AG2653" s="15"/>
      <c r="AH2653" s="16"/>
      <c r="AM2653" s="15"/>
      <c r="AN2653" s="16"/>
    </row>
    <row r="2654">
      <c r="A2654" s="13" t="s">
        <v>4501</v>
      </c>
      <c r="B2654" s="10">
        <v>31048.0</v>
      </c>
      <c r="C2654" s="11" t="s">
        <v>175</v>
      </c>
      <c r="D2654" s="11" t="s">
        <v>77</v>
      </c>
      <c r="E2654" s="30" t="s">
        <v>39</v>
      </c>
      <c r="F2654" s="11" t="s">
        <v>40</v>
      </c>
      <c r="G2654" s="30" t="s">
        <v>45</v>
      </c>
      <c r="H2654" s="11" t="s">
        <v>67</v>
      </c>
      <c r="I2654" s="11" t="s">
        <v>4502</v>
      </c>
      <c r="J2654" s="11">
        <v>23.0</v>
      </c>
      <c r="K2654" s="12">
        <v>32143.0</v>
      </c>
      <c r="L2654" s="30"/>
      <c r="M2654" s="30"/>
      <c r="N2654" s="11"/>
      <c r="P2654" s="11">
        <v>0.0</v>
      </c>
      <c r="Q2654" s="14">
        <v>0.0</v>
      </c>
      <c r="R2654" s="30">
        <v>0.0</v>
      </c>
      <c r="S2654">
        <f t="shared" si="1"/>
        <v>1985</v>
      </c>
      <c r="T2654">
        <f t="shared" si="2"/>
        <v>1</v>
      </c>
      <c r="U2654">
        <f t="shared" si="3"/>
        <v>1</v>
      </c>
      <c r="AG2654" s="15"/>
      <c r="AH2654" s="16"/>
      <c r="AM2654" s="15"/>
      <c r="AN2654" s="16"/>
    </row>
    <row r="2655">
      <c r="A2655" s="13" t="s">
        <v>4503</v>
      </c>
      <c r="B2655" s="10">
        <v>30897.0</v>
      </c>
      <c r="C2655" s="11" t="s">
        <v>55</v>
      </c>
      <c r="D2655" s="11" t="s">
        <v>38</v>
      </c>
      <c r="E2655" s="30" t="s">
        <v>39</v>
      </c>
      <c r="F2655" s="11" t="s">
        <v>40</v>
      </c>
      <c r="G2655" s="30" t="s">
        <v>45</v>
      </c>
      <c r="H2655" s="11" t="s">
        <v>566</v>
      </c>
      <c r="I2655" s="11" t="s">
        <v>864</v>
      </c>
      <c r="J2655" s="11">
        <v>29.0</v>
      </c>
      <c r="K2655" s="12">
        <v>31296.0</v>
      </c>
      <c r="L2655" s="11">
        <f t="shared" ref="L2655:L2656" si="272">ROUND(((K2655-B2655)/365)*12,0)</f>
        <v>13</v>
      </c>
      <c r="M2655" s="11">
        <v>120676.0</v>
      </c>
      <c r="N2655" s="11">
        <v>1010448.0</v>
      </c>
      <c r="P2655" s="11">
        <v>6.0</v>
      </c>
      <c r="Q2655" s="14">
        <v>13.667</v>
      </c>
      <c r="R2655" s="41">
        <v>0.0</v>
      </c>
      <c r="S2655">
        <f t="shared" si="1"/>
        <v>1984</v>
      </c>
      <c r="T2655">
        <f t="shared" si="2"/>
        <v>8</v>
      </c>
      <c r="U2655">
        <f t="shared" si="3"/>
        <v>3</v>
      </c>
      <c r="AG2655" s="15"/>
      <c r="AH2655" s="16"/>
      <c r="AM2655" s="15"/>
      <c r="AN2655" s="16"/>
    </row>
    <row r="2656">
      <c r="A2656" s="13" t="s">
        <v>4504</v>
      </c>
      <c r="B2656" s="10">
        <v>30823.0</v>
      </c>
      <c r="C2656" s="11" t="s">
        <v>55</v>
      </c>
      <c r="D2656" s="11" t="s">
        <v>38</v>
      </c>
      <c r="E2656" s="41" t="s">
        <v>2062</v>
      </c>
      <c r="F2656" s="11" t="s">
        <v>40</v>
      </c>
      <c r="G2656" s="30" t="s">
        <v>45</v>
      </c>
      <c r="H2656" s="11" t="s">
        <v>258</v>
      </c>
      <c r="I2656" s="11" t="s">
        <v>258</v>
      </c>
      <c r="J2656" s="11">
        <v>27.0</v>
      </c>
      <c r="K2656" s="12">
        <v>31146.0</v>
      </c>
      <c r="L2656" s="11">
        <f t="shared" si="272"/>
        <v>11</v>
      </c>
      <c r="M2656" s="11">
        <v>119236.0</v>
      </c>
      <c r="N2656" s="11">
        <v>1009040.0</v>
      </c>
      <c r="O2656" s="13" t="s">
        <v>4062</v>
      </c>
      <c r="P2656" s="11">
        <v>1918.0</v>
      </c>
      <c r="Q2656" s="45">
        <v>8688.0</v>
      </c>
      <c r="R2656" s="41">
        <v>0.0</v>
      </c>
      <c r="S2656">
        <f t="shared" si="1"/>
        <v>1984</v>
      </c>
      <c r="T2656">
        <f t="shared" si="2"/>
        <v>5</v>
      </c>
      <c r="U2656">
        <f t="shared" si="3"/>
        <v>21</v>
      </c>
      <c r="AG2656" s="15"/>
      <c r="AH2656" s="16"/>
      <c r="AM2656" s="15"/>
      <c r="AN2656" s="16"/>
    </row>
    <row r="2657">
      <c r="A2657" s="13" t="s">
        <v>4505</v>
      </c>
      <c r="B2657" s="10">
        <v>30482.0</v>
      </c>
      <c r="C2657" s="11" t="s">
        <v>150</v>
      </c>
      <c r="D2657" s="11" t="s">
        <v>38</v>
      </c>
      <c r="E2657" s="30" t="s">
        <v>39</v>
      </c>
      <c r="F2657" s="11" t="s">
        <v>40</v>
      </c>
      <c r="G2657" s="30" t="s">
        <v>45</v>
      </c>
      <c r="H2657" s="11" t="s">
        <v>182</v>
      </c>
      <c r="I2657" s="11"/>
      <c r="J2657" s="11">
        <v>29.0</v>
      </c>
      <c r="K2657" s="30"/>
      <c r="L2657" s="30"/>
      <c r="M2657" s="11">
        <v>112267.0</v>
      </c>
      <c r="N2657" s="11">
        <v>1002215.0</v>
      </c>
      <c r="P2657" s="11">
        <v>0.0</v>
      </c>
      <c r="Q2657" s="45">
        <v>0.0</v>
      </c>
      <c r="R2657" s="41">
        <v>0.0</v>
      </c>
      <c r="S2657">
        <f t="shared" si="1"/>
        <v>1983</v>
      </c>
      <c r="T2657">
        <f t="shared" si="2"/>
        <v>6</v>
      </c>
      <c r="U2657">
        <f t="shared" si="3"/>
        <v>15</v>
      </c>
      <c r="AG2657" s="15"/>
      <c r="AH2657" s="16"/>
      <c r="AM2657" s="15"/>
      <c r="AN2657" s="16"/>
    </row>
    <row r="2658">
      <c r="A2658" s="13" t="s">
        <v>4506</v>
      </c>
      <c r="B2658" s="10">
        <v>30317.0</v>
      </c>
      <c r="C2658" s="11" t="s">
        <v>126</v>
      </c>
      <c r="D2658" s="11" t="s">
        <v>58</v>
      </c>
      <c r="E2658" s="30" t="s">
        <v>39</v>
      </c>
      <c r="F2658" s="11" t="s">
        <v>40</v>
      </c>
      <c r="G2658" s="30" t="s">
        <v>45</v>
      </c>
      <c r="H2658" s="11" t="s">
        <v>127</v>
      </c>
      <c r="I2658" s="11" t="s">
        <v>4507</v>
      </c>
      <c r="J2658" s="11">
        <v>23.0</v>
      </c>
      <c r="K2658" s="12">
        <v>30682.0</v>
      </c>
      <c r="L2658" s="30"/>
      <c r="M2658" s="11">
        <v>116113.0</v>
      </c>
      <c r="N2658" s="11">
        <v>1005986.0</v>
      </c>
      <c r="P2658" s="11">
        <v>185.0</v>
      </c>
      <c r="Q2658" s="14">
        <v>370.667</v>
      </c>
      <c r="R2658" s="41">
        <v>0.0</v>
      </c>
      <c r="S2658">
        <f t="shared" si="1"/>
        <v>1983</v>
      </c>
      <c r="T2658">
        <f t="shared" si="2"/>
        <v>1</v>
      </c>
      <c r="U2658">
        <f t="shared" si="3"/>
        <v>1</v>
      </c>
      <c r="AG2658" s="15"/>
      <c r="AH2658" s="16"/>
      <c r="AM2658" s="15"/>
      <c r="AN2658" s="16"/>
    </row>
    <row r="2659">
      <c r="A2659" s="13" t="s">
        <v>4508</v>
      </c>
      <c r="B2659" s="10">
        <v>30317.0</v>
      </c>
      <c r="C2659" s="11" t="s">
        <v>62</v>
      </c>
      <c r="D2659" s="11" t="s">
        <v>97</v>
      </c>
      <c r="E2659" s="11" t="s">
        <v>39</v>
      </c>
      <c r="F2659" s="11" t="s">
        <v>40</v>
      </c>
      <c r="G2659" s="11" t="s">
        <v>45</v>
      </c>
      <c r="H2659" s="11" t="s">
        <v>84</v>
      </c>
      <c r="I2659" s="11" t="s">
        <v>4509</v>
      </c>
      <c r="J2659" s="11">
        <v>27.0</v>
      </c>
      <c r="K2659" s="12"/>
      <c r="L2659" s="30"/>
      <c r="M2659" s="11">
        <v>120288.0</v>
      </c>
      <c r="N2659" s="11">
        <v>1010061.0</v>
      </c>
      <c r="P2659" s="11">
        <v>0.0</v>
      </c>
      <c r="Q2659" s="14">
        <v>0.0</v>
      </c>
      <c r="R2659" s="11">
        <v>0.0</v>
      </c>
      <c r="S2659">
        <f t="shared" si="1"/>
        <v>1983</v>
      </c>
      <c r="T2659">
        <f t="shared" si="2"/>
        <v>1</v>
      </c>
      <c r="U2659">
        <f t="shared" si="3"/>
        <v>1</v>
      </c>
      <c r="AG2659" s="15"/>
      <c r="AH2659" s="16"/>
      <c r="AM2659" s="15"/>
      <c r="AN2659" s="16"/>
    </row>
    <row r="2660">
      <c r="A2660" s="13" t="s">
        <v>4510</v>
      </c>
      <c r="B2660" s="10">
        <v>30242.0</v>
      </c>
      <c r="C2660" s="11" t="s">
        <v>346</v>
      </c>
      <c r="D2660" s="11" t="s">
        <v>38</v>
      </c>
      <c r="E2660" s="30" t="s">
        <v>39</v>
      </c>
      <c r="F2660" s="11" t="s">
        <v>40</v>
      </c>
      <c r="G2660" s="30" t="s">
        <v>45</v>
      </c>
      <c r="H2660" s="11" t="s">
        <v>67</v>
      </c>
      <c r="I2660" s="11" t="s">
        <v>925</v>
      </c>
      <c r="J2660" s="11">
        <v>27.0</v>
      </c>
      <c r="K2660" s="12">
        <v>30851.0</v>
      </c>
      <c r="L2660" s="11">
        <f t="shared" ref="L2660:L2662" si="273">ROUND(((K2660-B2660)/365)*12,0)</f>
        <v>20</v>
      </c>
      <c r="M2660" s="11">
        <v>110003.0</v>
      </c>
      <c r="N2660" s="11">
        <v>1000003.0</v>
      </c>
      <c r="O2660" s="13" t="s">
        <v>3309</v>
      </c>
      <c r="P2660" s="11">
        <v>266.0</v>
      </c>
      <c r="Q2660" s="14">
        <v>360.667</v>
      </c>
      <c r="R2660" s="41">
        <v>0.0</v>
      </c>
      <c r="S2660">
        <f t="shared" si="1"/>
        <v>1982</v>
      </c>
      <c r="T2660">
        <f t="shared" si="2"/>
        <v>10</v>
      </c>
      <c r="U2660">
        <f t="shared" si="3"/>
        <v>18</v>
      </c>
      <c r="AG2660" s="15"/>
      <c r="AH2660" s="16"/>
      <c r="AM2660" s="15"/>
      <c r="AN2660" s="16"/>
    </row>
    <row r="2661">
      <c r="A2661" s="13" t="s">
        <v>4511</v>
      </c>
      <c r="B2661" s="10">
        <v>30195.0</v>
      </c>
      <c r="C2661" s="11" t="s">
        <v>76</v>
      </c>
      <c r="D2661" s="11" t="s">
        <v>38</v>
      </c>
      <c r="E2661" s="30" t="s">
        <v>39</v>
      </c>
      <c r="F2661" s="11" t="s">
        <v>40</v>
      </c>
      <c r="G2661" s="30" t="s">
        <v>45</v>
      </c>
      <c r="H2661" s="11" t="s">
        <v>59</v>
      </c>
      <c r="I2661" s="11"/>
      <c r="J2661" s="11">
        <v>24.0</v>
      </c>
      <c r="K2661" s="12">
        <v>30779.0</v>
      </c>
      <c r="L2661" s="11">
        <f t="shared" si="273"/>
        <v>19</v>
      </c>
      <c r="M2661" s="11">
        <v>120193.0</v>
      </c>
      <c r="N2661" s="11">
        <v>1009970.0</v>
      </c>
      <c r="O2661" s="13" t="s">
        <v>4062</v>
      </c>
      <c r="P2661" s="11">
        <v>134.0</v>
      </c>
      <c r="Q2661" s="45">
        <v>749.3330000000001</v>
      </c>
      <c r="R2661" s="41">
        <v>0.0</v>
      </c>
      <c r="S2661">
        <f t="shared" si="1"/>
        <v>1982</v>
      </c>
      <c r="T2661">
        <f t="shared" si="2"/>
        <v>9</v>
      </c>
      <c r="U2661">
        <f t="shared" si="3"/>
        <v>1</v>
      </c>
      <c r="AG2661" s="15"/>
      <c r="AH2661" s="16"/>
      <c r="AM2661" s="15"/>
      <c r="AN2661" s="16"/>
    </row>
    <row r="2662">
      <c r="A2662" s="13" t="s">
        <v>4512</v>
      </c>
      <c r="B2662" s="10">
        <v>30139.0</v>
      </c>
      <c r="C2662" s="11" t="s">
        <v>52</v>
      </c>
      <c r="D2662" s="11" t="s">
        <v>38</v>
      </c>
      <c r="E2662" s="30" t="s">
        <v>39</v>
      </c>
      <c r="F2662" s="11" t="s">
        <v>64</v>
      </c>
      <c r="G2662" s="30" t="s">
        <v>45</v>
      </c>
      <c r="H2662" s="11" t="s">
        <v>59</v>
      </c>
      <c r="I2662" s="11"/>
      <c r="J2662" s="11">
        <v>30.0</v>
      </c>
      <c r="K2662" s="12">
        <v>30827.0</v>
      </c>
      <c r="L2662" s="11">
        <f t="shared" si="273"/>
        <v>23</v>
      </c>
      <c r="M2662" s="11">
        <v>121645.0</v>
      </c>
      <c r="N2662" s="11">
        <v>1011392.0</v>
      </c>
      <c r="O2662" s="13" t="s">
        <v>4062</v>
      </c>
      <c r="P2662" s="11">
        <v>140.0</v>
      </c>
      <c r="Q2662" s="14">
        <v>140.667</v>
      </c>
      <c r="R2662" s="41">
        <v>0.0</v>
      </c>
      <c r="S2662">
        <f t="shared" si="1"/>
        <v>1982</v>
      </c>
      <c r="T2662">
        <f t="shared" si="2"/>
        <v>7</v>
      </c>
      <c r="U2662">
        <f t="shared" si="3"/>
        <v>7</v>
      </c>
      <c r="AG2662" s="15"/>
      <c r="AH2662" s="16"/>
      <c r="AM2662" s="15"/>
      <c r="AN2662" s="16"/>
    </row>
    <row r="2663">
      <c r="A2663" s="13" t="s">
        <v>4513</v>
      </c>
      <c r="B2663" s="10">
        <v>29952.0</v>
      </c>
      <c r="C2663" s="11" t="s">
        <v>186</v>
      </c>
      <c r="D2663" s="11" t="s">
        <v>97</v>
      </c>
      <c r="E2663" s="30" t="s">
        <v>39</v>
      </c>
      <c r="F2663" s="11" t="s">
        <v>40</v>
      </c>
      <c r="G2663" s="30" t="s">
        <v>45</v>
      </c>
      <c r="H2663" s="11" t="s">
        <v>65</v>
      </c>
      <c r="I2663" s="11"/>
      <c r="J2663" s="11">
        <v>20.0</v>
      </c>
      <c r="K2663" s="12">
        <v>30317.0</v>
      </c>
      <c r="L2663" s="30"/>
      <c r="M2663" s="11">
        <v>115781.0</v>
      </c>
      <c r="N2663" s="11">
        <v>1005670.0</v>
      </c>
      <c r="O2663" s="13" t="s">
        <v>4062</v>
      </c>
      <c r="P2663" s="11">
        <v>256.0</v>
      </c>
      <c r="Q2663" s="14">
        <v>334.667</v>
      </c>
      <c r="R2663" s="41">
        <v>0.0</v>
      </c>
      <c r="S2663">
        <f t="shared" si="1"/>
        <v>1982</v>
      </c>
      <c r="T2663">
        <f t="shared" si="2"/>
        <v>1</v>
      </c>
      <c r="U2663">
        <f t="shared" si="3"/>
        <v>1</v>
      </c>
      <c r="AG2663" s="15"/>
      <c r="AH2663" s="16"/>
      <c r="AM2663" s="15"/>
      <c r="AN2663" s="16"/>
    </row>
    <row r="2664">
      <c r="A2664" s="13" t="s">
        <v>4514</v>
      </c>
      <c r="B2664" s="10">
        <v>29872.0</v>
      </c>
      <c r="C2664" s="11" t="s">
        <v>55</v>
      </c>
      <c r="D2664" s="11" t="s">
        <v>77</v>
      </c>
      <c r="E2664" s="30" t="s">
        <v>39</v>
      </c>
      <c r="F2664" s="11" t="s">
        <v>40</v>
      </c>
      <c r="G2664" s="30" t="s">
        <v>45</v>
      </c>
      <c r="H2664" s="11" t="s">
        <v>67</v>
      </c>
      <c r="I2664" s="11" t="s">
        <v>4515</v>
      </c>
      <c r="J2664" s="11">
        <v>23.0</v>
      </c>
      <c r="K2664" s="12">
        <v>30317.0</v>
      </c>
      <c r="L2664" s="30"/>
      <c r="M2664" s="11">
        <v>111954.0</v>
      </c>
      <c r="N2664" s="11">
        <v>1001911.0</v>
      </c>
      <c r="O2664" s="13" t="s">
        <v>4062</v>
      </c>
      <c r="P2664" s="11">
        <v>451.0</v>
      </c>
      <c r="Q2664" s="14">
        <v>2725.0</v>
      </c>
      <c r="R2664" s="41">
        <v>0.0</v>
      </c>
      <c r="S2664">
        <f t="shared" si="1"/>
        <v>1981</v>
      </c>
      <c r="T2664">
        <f t="shared" si="2"/>
        <v>10</v>
      </c>
      <c r="U2664">
        <f t="shared" si="3"/>
        <v>13</v>
      </c>
      <c r="AG2664" s="15"/>
      <c r="AH2664" s="16"/>
      <c r="AM2664" s="15"/>
      <c r="AN2664" s="16"/>
    </row>
    <row r="2665">
      <c r="A2665" s="13" t="s">
        <v>4516</v>
      </c>
      <c r="B2665" s="10">
        <v>29689.0</v>
      </c>
      <c r="C2665" s="11" t="s">
        <v>62</v>
      </c>
      <c r="D2665" s="11" t="s">
        <v>38</v>
      </c>
      <c r="E2665" s="11" t="s">
        <v>39</v>
      </c>
      <c r="F2665" s="11" t="s">
        <v>64</v>
      </c>
      <c r="G2665" s="11" t="s">
        <v>45</v>
      </c>
      <c r="H2665" s="11" t="s">
        <v>67</v>
      </c>
      <c r="I2665" s="11" t="s">
        <v>4517</v>
      </c>
      <c r="J2665" s="11">
        <v>23.0</v>
      </c>
      <c r="K2665" s="12"/>
      <c r="L2665" s="11"/>
      <c r="M2665" s="11"/>
      <c r="N2665" s="11">
        <v>1001200.0</v>
      </c>
      <c r="O2665" s="13" t="s">
        <v>4062</v>
      </c>
      <c r="P2665" s="11">
        <v>0.0</v>
      </c>
      <c r="Q2665" s="14">
        <v>0.0</v>
      </c>
      <c r="R2665" s="11">
        <v>0.0</v>
      </c>
      <c r="S2665">
        <f t="shared" si="1"/>
        <v>1981</v>
      </c>
      <c r="T2665">
        <f t="shared" si="2"/>
        <v>4</v>
      </c>
      <c r="U2665">
        <f t="shared" si="3"/>
        <v>13</v>
      </c>
      <c r="AG2665" s="15"/>
      <c r="AH2665" s="16"/>
      <c r="AM2665" s="15"/>
      <c r="AN2665" s="16"/>
    </row>
    <row r="2666">
      <c r="A2666" s="13" t="s">
        <v>4518</v>
      </c>
      <c r="B2666" s="10">
        <v>29587.0</v>
      </c>
      <c r="C2666" s="11" t="s">
        <v>76</v>
      </c>
      <c r="D2666" s="11" t="s">
        <v>77</v>
      </c>
      <c r="E2666" s="11" t="s">
        <v>39</v>
      </c>
      <c r="F2666" s="11" t="s">
        <v>64</v>
      </c>
      <c r="G2666" s="11" t="s">
        <v>45</v>
      </c>
      <c r="H2666" s="11" t="s">
        <v>59</v>
      </c>
      <c r="I2666" s="11" t="s">
        <v>799</v>
      </c>
      <c r="J2666" s="11">
        <v>22.0</v>
      </c>
      <c r="K2666" s="12">
        <v>30317.0</v>
      </c>
      <c r="L2666" s="11"/>
      <c r="M2666" s="11">
        <v>115866.0</v>
      </c>
      <c r="N2666" s="11">
        <v>1005747.0</v>
      </c>
      <c r="O2666" s="13"/>
      <c r="P2666" s="11">
        <v>339.0</v>
      </c>
      <c r="Q2666" s="14">
        <v>961.667</v>
      </c>
      <c r="R2666" s="41">
        <v>0.0</v>
      </c>
      <c r="S2666">
        <f t="shared" si="1"/>
        <v>1981</v>
      </c>
      <c r="T2666">
        <f t="shared" si="2"/>
        <v>1</v>
      </c>
      <c r="U2666">
        <f t="shared" si="3"/>
        <v>1</v>
      </c>
      <c r="AG2666" s="15"/>
      <c r="AH2666" s="16"/>
      <c r="AM2666" s="15"/>
      <c r="AN2666" s="16"/>
    </row>
    <row r="2667">
      <c r="A2667" s="13" t="s">
        <v>4519</v>
      </c>
      <c r="B2667" s="10">
        <v>28491.0</v>
      </c>
      <c r="C2667" s="11" t="s">
        <v>175</v>
      </c>
      <c r="D2667" s="11" t="s">
        <v>38</v>
      </c>
      <c r="E2667" s="30" t="s">
        <v>39</v>
      </c>
      <c r="F2667" s="11" t="s">
        <v>64</v>
      </c>
      <c r="G2667" s="30" t="s">
        <v>45</v>
      </c>
      <c r="H2667" s="11" t="s">
        <v>67</v>
      </c>
      <c r="I2667" s="11" t="s">
        <v>4520</v>
      </c>
      <c r="J2667" s="11">
        <v>28.0</v>
      </c>
      <c r="K2667" s="30"/>
      <c r="L2667" s="30"/>
      <c r="M2667" s="11">
        <v>122884.0</v>
      </c>
      <c r="N2667" s="11">
        <v>1012627.0</v>
      </c>
      <c r="O2667" s="13" t="s">
        <v>4062</v>
      </c>
      <c r="P2667" s="11">
        <v>0.0</v>
      </c>
      <c r="Q2667" s="45">
        <v>0.0</v>
      </c>
      <c r="R2667" s="41">
        <v>0.0</v>
      </c>
      <c r="S2667">
        <f t="shared" si="1"/>
        <v>1978</v>
      </c>
      <c r="T2667">
        <f t="shared" si="2"/>
        <v>1</v>
      </c>
      <c r="U2667">
        <f t="shared" si="3"/>
        <v>1</v>
      </c>
      <c r="AG2667" s="15"/>
      <c r="AH2667" s="16"/>
      <c r="AM2667" s="15"/>
      <c r="AN2667" s="16"/>
    </row>
    <row r="2668">
      <c r="A2668" s="13" t="s">
        <v>2310</v>
      </c>
      <c r="B2668" s="10">
        <v>27297.0</v>
      </c>
      <c r="C2668" s="11" t="s">
        <v>126</v>
      </c>
      <c r="D2668" s="11" t="s">
        <v>38</v>
      </c>
      <c r="E2668" s="30" t="s">
        <v>39</v>
      </c>
      <c r="F2668" s="11" t="s">
        <v>64</v>
      </c>
      <c r="G2668" s="30" t="s">
        <v>45</v>
      </c>
      <c r="H2668" s="11" t="s">
        <v>412</v>
      </c>
      <c r="I2668" s="11" t="s">
        <v>2267</v>
      </c>
      <c r="J2668" s="11">
        <v>31.0</v>
      </c>
      <c r="K2668" s="12">
        <v>27866.0</v>
      </c>
      <c r="L2668" s="11">
        <f>ROUND(((K2668-B2668)/365)*12,0)</f>
        <v>19</v>
      </c>
      <c r="M2668" s="11">
        <v>116550.0</v>
      </c>
      <c r="N2668" s="11">
        <v>1006515.0</v>
      </c>
      <c r="O2668" s="13" t="s">
        <v>4062</v>
      </c>
      <c r="P2668" s="11">
        <v>405.0</v>
      </c>
      <c r="Q2668" s="14">
        <v>2544.667</v>
      </c>
      <c r="R2668" s="41">
        <v>0.0</v>
      </c>
      <c r="S2668">
        <f t="shared" si="1"/>
        <v>1974</v>
      </c>
      <c r="T2668">
        <f t="shared" si="2"/>
        <v>9</v>
      </c>
      <c r="U2668">
        <f t="shared" si="3"/>
        <v>25</v>
      </c>
      <c r="AG2668" s="15"/>
      <c r="AH2668" s="16"/>
      <c r="AM2668" s="15"/>
      <c r="AN2668" s="16"/>
    </row>
    <row r="2669">
      <c r="A2669" s="13"/>
      <c r="B2669" s="10"/>
      <c r="C2669" s="11"/>
      <c r="D2669" s="11"/>
      <c r="E2669" s="30"/>
      <c r="F2669" s="11"/>
      <c r="G2669" s="30"/>
      <c r="H2669" s="11"/>
      <c r="I2669" s="11"/>
      <c r="J2669" s="11"/>
      <c r="K2669" s="12"/>
      <c r="L2669" s="11"/>
      <c r="M2669" s="11"/>
      <c r="N2669" s="11"/>
      <c r="O2669" s="13"/>
      <c r="P2669" s="11"/>
      <c r="Q2669" s="14"/>
      <c r="R2669" s="41"/>
      <c r="AG2669" s="15"/>
      <c r="AH2669" s="16"/>
      <c r="AM2669" s="15"/>
      <c r="AN2669" s="16"/>
    </row>
    <row r="2670">
      <c r="A2670" s="13"/>
      <c r="B2670" s="10"/>
      <c r="C2670" s="11"/>
      <c r="D2670" s="11"/>
      <c r="E2670" s="30"/>
      <c r="F2670" s="11"/>
      <c r="G2670" s="30"/>
      <c r="H2670" s="11"/>
      <c r="I2670" s="11"/>
      <c r="J2670" s="11"/>
      <c r="K2670" s="12"/>
      <c r="L2670" s="11"/>
      <c r="M2670" s="11"/>
      <c r="N2670" s="11"/>
      <c r="O2670" s="13"/>
      <c r="P2670" s="11"/>
      <c r="Q2670" s="14"/>
      <c r="R2670" s="41"/>
      <c r="AG2670" s="15"/>
      <c r="AH2670" s="16"/>
      <c r="AM2670" s="15"/>
      <c r="AN2670" s="16"/>
    </row>
    <row r="2671">
      <c r="A2671" s="13"/>
      <c r="B2671" s="10"/>
      <c r="C2671" s="11"/>
      <c r="D2671" s="11"/>
      <c r="E2671" s="30"/>
      <c r="F2671" s="11"/>
      <c r="G2671" s="30"/>
      <c r="H2671" s="11"/>
      <c r="I2671" s="11"/>
      <c r="J2671" s="11"/>
      <c r="K2671" s="12"/>
      <c r="L2671" s="11"/>
      <c r="M2671" s="11"/>
      <c r="N2671" s="11"/>
      <c r="O2671" s="13"/>
      <c r="P2671" s="11"/>
      <c r="Q2671" s="14"/>
      <c r="R2671" s="41"/>
      <c r="AG2671" s="15"/>
      <c r="AH2671" s="16"/>
      <c r="AM2671" s="15"/>
      <c r="AN2671" s="16"/>
    </row>
    <row r="2672">
      <c r="A2672" s="13"/>
      <c r="B2672" s="10"/>
      <c r="C2672" s="11"/>
      <c r="D2672" s="11"/>
      <c r="E2672" s="30"/>
      <c r="F2672" s="11"/>
      <c r="G2672" s="30"/>
      <c r="H2672" s="11"/>
      <c r="I2672" s="11"/>
      <c r="J2672" s="11"/>
      <c r="K2672" s="12"/>
      <c r="L2672" s="11"/>
      <c r="M2672" s="11"/>
      <c r="N2672" s="11"/>
      <c r="O2672" s="13"/>
      <c r="P2672" s="11"/>
      <c r="Q2672" s="14"/>
      <c r="R2672" s="41"/>
      <c r="AG2672" s="15"/>
      <c r="AH2672" s="16"/>
      <c r="AM2672" s="15"/>
      <c r="AN2672" s="16"/>
    </row>
    <row r="2673">
      <c r="A2673" s="13"/>
      <c r="B2673" s="10"/>
      <c r="C2673" s="11"/>
      <c r="D2673" s="11"/>
      <c r="E2673" s="30"/>
      <c r="F2673" s="11"/>
      <c r="G2673" s="30"/>
      <c r="H2673" s="11"/>
      <c r="I2673" s="11"/>
      <c r="J2673" s="11"/>
      <c r="K2673" s="12"/>
      <c r="L2673" s="11"/>
      <c r="M2673" s="11"/>
      <c r="N2673" s="11"/>
      <c r="O2673" s="13"/>
      <c r="P2673" s="11"/>
      <c r="Q2673" s="14"/>
      <c r="R2673" s="41"/>
      <c r="AG2673" s="15"/>
      <c r="AH2673" s="16"/>
      <c r="AM2673" s="15"/>
      <c r="AN2673" s="16"/>
    </row>
    <row r="2674">
      <c r="A2674" s="13"/>
      <c r="B2674" s="10"/>
      <c r="C2674" s="11"/>
      <c r="D2674" s="11"/>
      <c r="E2674" s="30"/>
      <c r="F2674" s="11"/>
      <c r="G2674" s="30"/>
      <c r="H2674" s="11"/>
      <c r="I2674" s="11"/>
      <c r="J2674" s="11"/>
      <c r="K2674" s="12"/>
      <c r="L2674" s="11"/>
      <c r="M2674" s="11"/>
      <c r="N2674" s="11"/>
      <c r="O2674" s="13"/>
      <c r="P2674" s="11"/>
      <c r="Q2674" s="14"/>
      <c r="R2674" s="41"/>
      <c r="AG2674" s="15"/>
      <c r="AH2674" s="16"/>
      <c r="AM2674" s="15"/>
      <c r="AN2674" s="16"/>
    </row>
    <row r="2675">
      <c r="A2675" s="13"/>
      <c r="B2675" s="10"/>
      <c r="C2675" s="11"/>
      <c r="D2675" s="11"/>
      <c r="E2675" s="30"/>
      <c r="F2675" s="11"/>
      <c r="G2675" s="30"/>
      <c r="H2675" s="11"/>
      <c r="I2675" s="11"/>
      <c r="J2675" s="11"/>
      <c r="K2675" s="12"/>
      <c r="L2675" s="11"/>
      <c r="M2675" s="11"/>
      <c r="N2675" s="11"/>
      <c r="O2675" s="13"/>
      <c r="P2675" s="11"/>
      <c r="Q2675" s="14"/>
      <c r="R2675" s="41"/>
      <c r="AG2675" s="15"/>
      <c r="AH2675" s="16"/>
      <c r="AM2675" s="15"/>
      <c r="AN2675" s="16"/>
    </row>
    <row r="2676">
      <c r="A2676" s="13"/>
      <c r="B2676" s="10"/>
      <c r="C2676" s="11"/>
      <c r="D2676" s="11"/>
      <c r="E2676" s="30"/>
      <c r="F2676" s="11"/>
      <c r="G2676" s="30"/>
      <c r="H2676" s="11"/>
      <c r="I2676" s="11"/>
      <c r="J2676" s="11"/>
      <c r="K2676" s="12"/>
      <c r="L2676" s="11"/>
      <c r="M2676" s="11"/>
      <c r="N2676" s="11"/>
      <c r="O2676" s="13"/>
      <c r="P2676" s="11"/>
      <c r="Q2676" s="14"/>
      <c r="R2676" s="41"/>
      <c r="AG2676" s="15"/>
      <c r="AH2676" s="16"/>
      <c r="AM2676" s="15"/>
      <c r="AN2676" s="16"/>
    </row>
  </sheetData>
  <mergeCells count="1">
    <mergeCell ref="B1:O1"/>
  </mergeCells>
  <conditionalFormatting sqref="K3:K2676">
    <cfRule type="expression" dxfId="0" priority="1">
      <formula>R3=0</formula>
    </cfRule>
  </conditionalFormatting>
  <conditionalFormatting sqref="L3:L2676">
    <cfRule type="expression" dxfId="0" priority="2">
      <formula>R3=0</formula>
    </cfRule>
  </conditionalFormatting>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4521</v>
      </c>
    </row>
    <row r="2">
      <c r="A2" s="13" t="s">
        <v>4522</v>
      </c>
    </row>
    <row r="3">
      <c r="A3" s="69" t="s">
        <v>4523</v>
      </c>
    </row>
    <row r="4">
      <c r="A4" s="13" t="s">
        <v>4524</v>
      </c>
    </row>
    <row r="5">
      <c r="A5" s="13" t="s">
        <v>4525</v>
      </c>
    </row>
    <row r="6">
      <c r="A6" s="13" t="s">
        <v>4526</v>
      </c>
    </row>
    <row r="7">
      <c r="A7" s="13" t="s">
        <v>4527</v>
      </c>
    </row>
    <row r="8">
      <c r="A8" s="13" t="s">
        <v>4528</v>
      </c>
    </row>
    <row r="9">
      <c r="A9" s="13" t="s">
        <v>4529</v>
      </c>
    </row>
    <row r="10">
      <c r="A10" s="13" t="s">
        <v>4530</v>
      </c>
    </row>
    <row r="11">
      <c r="A11" s="13" t="s">
        <v>4531</v>
      </c>
    </row>
    <row r="12">
      <c r="A12" s="13" t="s">
        <v>4532</v>
      </c>
    </row>
    <row r="13">
      <c r="A13" s="13" t="s">
        <v>4533</v>
      </c>
    </row>
    <row r="14">
      <c r="A14" s="13" t="s">
        <v>4534</v>
      </c>
    </row>
  </sheetData>
  <hyperlinks>
    <hyperlink r:id="rId1" ref="A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49.5"/>
  </cols>
  <sheetData>
    <row r="1">
      <c r="A1" s="6" t="s">
        <v>2</v>
      </c>
      <c r="B1" s="6" t="s">
        <v>4535</v>
      </c>
    </row>
    <row r="2">
      <c r="A2" s="13" t="s">
        <v>4536</v>
      </c>
      <c r="B2" s="13" t="s">
        <v>4537</v>
      </c>
      <c r="C2" s="17"/>
    </row>
    <row r="3">
      <c r="A3" s="13" t="s">
        <v>4538</v>
      </c>
      <c r="B3" s="13" t="s">
        <v>4539</v>
      </c>
      <c r="C3" s="70" t="s">
        <v>4540</v>
      </c>
    </row>
    <row r="4">
      <c r="A4" s="13" t="s">
        <v>4541</v>
      </c>
      <c r="B4" s="13" t="s">
        <v>4542</v>
      </c>
      <c r="C4" s="70" t="s">
        <v>4543</v>
      </c>
    </row>
    <row r="5">
      <c r="A5" s="13" t="s">
        <v>1121</v>
      </c>
      <c r="B5" s="13" t="s">
        <v>4544</v>
      </c>
    </row>
    <row r="6">
      <c r="A6" s="13" t="s">
        <v>4545</v>
      </c>
      <c r="B6" s="13" t="s">
        <v>4546</v>
      </c>
      <c r="C6" s="70" t="s">
        <v>4547</v>
      </c>
    </row>
    <row r="7">
      <c r="A7" s="13" t="s">
        <v>639</v>
      </c>
      <c r="B7" s="13" t="s">
        <v>4548</v>
      </c>
    </row>
    <row r="8">
      <c r="A8" s="13" t="s">
        <v>4549</v>
      </c>
      <c r="B8" s="13" t="s">
        <v>4550</v>
      </c>
    </row>
    <row r="9">
      <c r="A9" s="13" t="s">
        <v>4551</v>
      </c>
      <c r="B9" s="13" t="s">
        <v>4550</v>
      </c>
    </row>
    <row r="10">
      <c r="A10" s="13" t="s">
        <v>4552</v>
      </c>
      <c r="B10" s="13" t="s">
        <v>4550</v>
      </c>
    </row>
    <row r="11">
      <c r="A11" s="13" t="s">
        <v>4553</v>
      </c>
      <c r="B11" s="13" t="s">
        <v>4554</v>
      </c>
    </row>
    <row r="12">
      <c r="A12" s="13" t="s">
        <v>4555</v>
      </c>
      <c r="B12" s="13" t="s">
        <v>4556</v>
      </c>
      <c r="C12" s="70" t="s">
        <v>4557</v>
      </c>
    </row>
    <row r="13">
      <c r="A13" s="13" t="s">
        <v>4558</v>
      </c>
      <c r="B13" s="13" t="s">
        <v>4559</v>
      </c>
    </row>
    <row r="14">
      <c r="A14" s="13" t="s">
        <v>4560</v>
      </c>
      <c r="B14" s="13" t="s">
        <v>4561</v>
      </c>
    </row>
    <row r="15">
      <c r="A15" s="13" t="s">
        <v>4562</v>
      </c>
      <c r="B15" s="13" t="s">
        <v>4563</v>
      </c>
      <c r="C15" s="70" t="s">
        <v>4564</v>
      </c>
    </row>
    <row r="16">
      <c r="A16" s="13" t="s">
        <v>4565</v>
      </c>
      <c r="B16" s="13" t="s">
        <v>4566</v>
      </c>
    </row>
    <row r="17">
      <c r="A17" s="13" t="s">
        <v>4567</v>
      </c>
      <c r="B17" s="13" t="s">
        <v>4568</v>
      </c>
    </row>
    <row r="24">
      <c r="A24" s="13"/>
      <c r="B24" s="13"/>
    </row>
  </sheetData>
  <hyperlinks>
    <hyperlink r:id="rId1" ref="C3"/>
    <hyperlink r:id="rId2" ref="C4"/>
    <hyperlink r:id="rId3" ref="C6"/>
    <hyperlink r:id="rId4" ref="C12"/>
    <hyperlink r:id="rId5" ref="C15"/>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1.5"/>
    <col customWidth="1" min="3" max="3" width="4.88"/>
    <col customWidth="1" min="4" max="5" width="5.0"/>
    <col customWidth="1" min="6" max="6" width="10.75"/>
    <col customWidth="1" min="7" max="7" width="12.75"/>
    <col customWidth="1" min="8" max="8" width="13.25"/>
    <col customWidth="1" hidden="1" min="9" max="9" width="31.63"/>
  </cols>
  <sheetData>
    <row r="1">
      <c r="A1" s="6" t="s">
        <v>2</v>
      </c>
      <c r="B1" s="5" t="s">
        <v>4569</v>
      </c>
      <c r="C1" s="5" t="s">
        <v>4570</v>
      </c>
      <c r="D1" s="5" t="s">
        <v>4</v>
      </c>
      <c r="E1" s="5" t="s">
        <v>5</v>
      </c>
      <c r="F1" s="3" t="s">
        <v>4571</v>
      </c>
      <c r="G1" s="3" t="s">
        <v>13</v>
      </c>
      <c r="H1" s="6" t="s">
        <v>3</v>
      </c>
      <c r="I1" s="5" t="s">
        <v>4572</v>
      </c>
    </row>
    <row r="2">
      <c r="A2" s="13" t="s">
        <v>4573</v>
      </c>
      <c r="B2" s="17">
        <v>45483.0</v>
      </c>
      <c r="C2" s="11"/>
      <c r="D2" s="11" t="s">
        <v>162</v>
      </c>
      <c r="E2" s="11" t="s">
        <v>38</v>
      </c>
      <c r="F2" s="17"/>
      <c r="G2" s="11"/>
      <c r="H2" s="17"/>
      <c r="I2" s="11"/>
    </row>
    <row r="3">
      <c r="A3" s="13" t="s">
        <v>4574</v>
      </c>
      <c r="B3" s="17">
        <v>45200.0</v>
      </c>
      <c r="C3" s="11"/>
      <c r="D3" s="11" t="s">
        <v>49</v>
      </c>
      <c r="E3" s="11" t="s">
        <v>38</v>
      </c>
      <c r="F3" s="17"/>
      <c r="G3" s="11"/>
      <c r="H3" s="17"/>
      <c r="I3" s="11"/>
    </row>
    <row r="4">
      <c r="A4" s="13" t="s">
        <v>4575</v>
      </c>
      <c r="B4" s="17">
        <v>45078.0</v>
      </c>
      <c r="C4" s="11"/>
      <c r="D4" s="11" t="s">
        <v>108</v>
      </c>
      <c r="E4" s="11" t="s">
        <v>38</v>
      </c>
      <c r="F4" s="17"/>
      <c r="G4" s="11"/>
      <c r="H4" s="17"/>
      <c r="I4" s="11"/>
    </row>
    <row r="5">
      <c r="A5" s="13" t="s">
        <v>738</v>
      </c>
      <c r="B5" s="17">
        <v>44696.0</v>
      </c>
      <c r="C5" s="11"/>
      <c r="D5" s="11" t="s">
        <v>150</v>
      </c>
      <c r="E5" s="11" t="s">
        <v>38</v>
      </c>
      <c r="F5" s="17"/>
      <c r="G5" s="11"/>
      <c r="H5" s="17">
        <v>44888.0</v>
      </c>
      <c r="I5" s="11"/>
    </row>
    <row r="6">
      <c r="A6" s="13" t="s">
        <v>822</v>
      </c>
      <c r="B6" s="17">
        <v>44466.0</v>
      </c>
      <c r="C6" s="11"/>
      <c r="D6" s="11" t="s">
        <v>175</v>
      </c>
      <c r="E6" s="11" t="s">
        <v>38</v>
      </c>
      <c r="F6" s="17">
        <v>44664.0</v>
      </c>
      <c r="G6" s="11">
        <f>ROUND(((F6-B6)/365)*12,0)</f>
        <v>7</v>
      </c>
      <c r="H6" s="17">
        <v>44699.0</v>
      </c>
      <c r="I6" s="11"/>
    </row>
    <row r="7">
      <c r="A7" s="13" t="s">
        <v>1333</v>
      </c>
      <c r="B7" s="17">
        <v>44044.0</v>
      </c>
      <c r="C7" s="11"/>
      <c r="D7" s="11" t="s">
        <v>362</v>
      </c>
      <c r="E7" s="11" t="s">
        <v>38</v>
      </c>
      <c r="F7" s="17"/>
      <c r="G7" s="11"/>
      <c r="H7" s="17">
        <v>44118.0</v>
      </c>
      <c r="I7" s="11"/>
    </row>
    <row r="8">
      <c r="A8" s="13" t="s">
        <v>4576</v>
      </c>
      <c r="B8" s="17">
        <v>43896.0</v>
      </c>
      <c r="C8" s="11"/>
      <c r="D8" s="11" t="s">
        <v>346</v>
      </c>
      <c r="E8" s="11" t="s">
        <v>38</v>
      </c>
      <c r="F8" s="17">
        <v>44294.0</v>
      </c>
      <c r="G8" s="11">
        <f>ROUND(((F8-B8)/365)*12,0)</f>
        <v>13</v>
      </c>
      <c r="H8" s="17"/>
      <c r="I8" s="11"/>
    </row>
    <row r="9">
      <c r="A9" s="13" t="s">
        <v>1401</v>
      </c>
      <c r="B9" s="17">
        <v>43891.0</v>
      </c>
      <c r="C9" s="11"/>
      <c r="D9" s="11" t="s">
        <v>83</v>
      </c>
      <c r="E9" s="11" t="s">
        <v>38</v>
      </c>
      <c r="F9" s="17"/>
      <c r="G9" s="11"/>
      <c r="H9" s="17">
        <v>43990.0</v>
      </c>
      <c r="I9" s="11"/>
    </row>
    <row r="10">
      <c r="A10" s="13" t="s">
        <v>2679</v>
      </c>
      <c r="B10" s="17">
        <v>43831.0</v>
      </c>
      <c r="C10" s="11"/>
      <c r="D10" s="11" t="s">
        <v>52</v>
      </c>
      <c r="E10" s="11" t="s">
        <v>58</v>
      </c>
      <c r="F10" s="17">
        <v>44310.0</v>
      </c>
      <c r="G10" s="11"/>
      <c r="H10" s="17"/>
      <c r="I10" s="11"/>
    </row>
    <row r="11">
      <c r="A11" s="13" t="s">
        <v>4577</v>
      </c>
      <c r="B11" s="17">
        <v>43831.0</v>
      </c>
      <c r="C11" s="11" t="s">
        <v>4578</v>
      </c>
      <c r="D11" s="11" t="s">
        <v>156</v>
      </c>
      <c r="E11" s="11" t="s">
        <v>38</v>
      </c>
      <c r="F11" s="17">
        <v>44287.0</v>
      </c>
      <c r="G11" s="11"/>
      <c r="H11" s="17"/>
      <c r="I11" s="11"/>
    </row>
    <row r="12">
      <c r="A12" s="13" t="s">
        <v>1489</v>
      </c>
      <c r="B12" s="17">
        <v>43678.0</v>
      </c>
      <c r="C12" s="11"/>
      <c r="D12" s="11" t="s">
        <v>72</v>
      </c>
      <c r="E12" s="11" t="s">
        <v>38</v>
      </c>
      <c r="F12" s="17"/>
      <c r="G12" s="11"/>
      <c r="H12" s="17">
        <v>43760.0</v>
      </c>
      <c r="I12" s="11"/>
    </row>
    <row r="13">
      <c r="A13" s="13" t="s">
        <v>1411</v>
      </c>
      <c r="B13" s="17">
        <v>43678.0</v>
      </c>
      <c r="C13" s="11"/>
      <c r="D13" s="11" t="s">
        <v>111</v>
      </c>
      <c r="E13" s="11" t="s">
        <v>38</v>
      </c>
      <c r="F13" s="17"/>
      <c r="G13" s="11"/>
      <c r="H13" s="17">
        <v>43910.0</v>
      </c>
      <c r="I13" s="11"/>
    </row>
    <row r="14">
      <c r="A14" s="13" t="s">
        <v>1379</v>
      </c>
      <c r="B14" s="17">
        <v>43630.0</v>
      </c>
      <c r="C14" s="11"/>
      <c r="D14" s="11" t="s">
        <v>150</v>
      </c>
      <c r="E14" s="11" t="s">
        <v>38</v>
      </c>
      <c r="F14" s="17"/>
      <c r="G14" s="11"/>
      <c r="H14" s="17">
        <v>44042.0</v>
      </c>
      <c r="I14" s="11"/>
    </row>
    <row r="15">
      <c r="A15" s="13" t="s">
        <v>1997</v>
      </c>
      <c r="B15" s="17">
        <v>43297.0</v>
      </c>
      <c r="C15" s="11"/>
      <c r="D15" s="11" t="s">
        <v>49</v>
      </c>
      <c r="E15" s="11" t="s">
        <v>38</v>
      </c>
      <c r="F15" s="17"/>
      <c r="G15" s="11"/>
      <c r="H15" s="17"/>
      <c r="I15" s="11"/>
    </row>
    <row r="16">
      <c r="A16" s="13" t="s">
        <v>502</v>
      </c>
      <c r="B16" s="17">
        <v>43258.0</v>
      </c>
      <c r="C16" s="11" t="s">
        <v>4578</v>
      </c>
      <c r="D16" s="11" t="s">
        <v>346</v>
      </c>
      <c r="E16" s="11" t="s">
        <v>38</v>
      </c>
      <c r="F16" s="17">
        <v>43345.0</v>
      </c>
      <c r="G16" s="11">
        <f t="shared" ref="G16:G17" si="1">ROUND(((F16-B16)/365)*12,0)</f>
        <v>3</v>
      </c>
      <c r="H16" s="17">
        <v>43374.0</v>
      </c>
      <c r="I16" s="11" t="s">
        <v>4579</v>
      </c>
    </row>
    <row r="17">
      <c r="A17" s="13" t="s">
        <v>502</v>
      </c>
      <c r="B17" s="17">
        <v>43009.0</v>
      </c>
      <c r="C17" s="11"/>
      <c r="D17" s="11" t="s">
        <v>346</v>
      </c>
      <c r="E17" s="11" t="s">
        <v>38</v>
      </c>
      <c r="F17" s="17">
        <v>43188.0</v>
      </c>
      <c r="G17" s="11">
        <f t="shared" si="1"/>
        <v>6</v>
      </c>
      <c r="H17" s="17">
        <v>43374.0</v>
      </c>
      <c r="I17" s="11" t="s">
        <v>4580</v>
      </c>
    </row>
    <row r="18">
      <c r="A18" s="13" t="s">
        <v>1859</v>
      </c>
      <c r="B18" s="17">
        <v>43009.0</v>
      </c>
      <c r="C18" s="11"/>
      <c r="D18" s="11" t="s">
        <v>37</v>
      </c>
      <c r="E18" s="11" t="s">
        <v>221</v>
      </c>
      <c r="H18" s="17">
        <v>43207.0</v>
      </c>
      <c r="I18" s="11"/>
    </row>
    <row r="19">
      <c r="A19" s="13" t="s">
        <v>4033</v>
      </c>
      <c r="B19" s="17">
        <v>43005.0</v>
      </c>
      <c r="C19" s="11"/>
      <c r="D19" s="11" t="s">
        <v>37</v>
      </c>
      <c r="E19" s="11" t="s">
        <v>38</v>
      </c>
      <c r="F19" s="17">
        <v>43218.0</v>
      </c>
      <c r="G19" s="11">
        <f t="shared" ref="G19:G20" si="2">ROUND(((F19-B19)/365)*12,0)</f>
        <v>7</v>
      </c>
      <c r="H19" s="17"/>
      <c r="I19" s="11"/>
    </row>
    <row r="20">
      <c r="A20" s="13" t="s">
        <v>1858</v>
      </c>
      <c r="B20" s="17">
        <v>42971.0</v>
      </c>
      <c r="C20" s="11" t="s">
        <v>4578</v>
      </c>
      <c r="D20" s="11" t="s">
        <v>346</v>
      </c>
      <c r="E20" s="11" t="s">
        <v>38</v>
      </c>
      <c r="F20" s="17">
        <v>43192.0</v>
      </c>
      <c r="G20" s="11">
        <f t="shared" si="2"/>
        <v>7</v>
      </c>
      <c r="H20" s="17">
        <v>43207.0</v>
      </c>
      <c r="I20" s="11" t="s">
        <v>4581</v>
      </c>
    </row>
    <row r="21">
      <c r="A21" s="13" t="s">
        <v>1997</v>
      </c>
      <c r="B21" s="17">
        <v>42944.0</v>
      </c>
      <c r="C21" s="11"/>
      <c r="D21" s="11" t="s">
        <v>49</v>
      </c>
      <c r="E21" s="11" t="s">
        <v>38</v>
      </c>
      <c r="H21" s="17">
        <v>42992.0</v>
      </c>
      <c r="I21" s="11"/>
    </row>
    <row r="22">
      <c r="A22" s="13" t="s">
        <v>4582</v>
      </c>
      <c r="B22" s="17">
        <v>42864.0</v>
      </c>
      <c r="C22" s="11"/>
      <c r="D22" s="11" t="s">
        <v>138</v>
      </c>
      <c r="E22" s="11" t="s">
        <v>88</v>
      </c>
      <c r="F22" s="17">
        <v>42943.0</v>
      </c>
      <c r="G22" s="11">
        <f t="shared" ref="G22:G24" si="3">ROUND(((F22-B22)/365)*12,0)</f>
        <v>3</v>
      </c>
      <c r="I22" s="11"/>
    </row>
    <row r="23">
      <c r="A23" s="13" t="s">
        <v>2565</v>
      </c>
      <c r="B23" s="17">
        <v>42840.0</v>
      </c>
      <c r="C23" s="11"/>
      <c r="D23" s="11" t="s">
        <v>138</v>
      </c>
      <c r="E23" s="11" t="s">
        <v>77</v>
      </c>
      <c r="F23" s="17">
        <v>43240.0</v>
      </c>
      <c r="G23" s="11">
        <f t="shared" si="3"/>
        <v>13</v>
      </c>
      <c r="I23" s="11"/>
    </row>
    <row r="24">
      <c r="A24" s="13" t="s">
        <v>4583</v>
      </c>
      <c r="B24" s="17">
        <v>42829.0</v>
      </c>
      <c r="C24" s="11"/>
      <c r="D24" s="11" t="s">
        <v>49</v>
      </c>
      <c r="E24" s="11" t="s">
        <v>38</v>
      </c>
      <c r="F24" s="17">
        <v>42897.0</v>
      </c>
      <c r="G24" s="11">
        <f t="shared" si="3"/>
        <v>2</v>
      </c>
      <c r="I24" s="11" t="s">
        <v>4584</v>
      </c>
    </row>
    <row r="25">
      <c r="A25" s="13" t="s">
        <v>2029</v>
      </c>
      <c r="B25" s="17">
        <v>42815.0</v>
      </c>
      <c r="C25" s="11"/>
      <c r="D25" s="11" t="s">
        <v>186</v>
      </c>
      <c r="E25" s="11" t="s">
        <v>58</v>
      </c>
      <c r="H25" s="17">
        <v>42917.0</v>
      </c>
      <c r="I25" s="11" t="s">
        <v>4585</v>
      </c>
    </row>
    <row r="26">
      <c r="A26" s="13" t="s">
        <v>4586</v>
      </c>
      <c r="B26" s="17">
        <v>42788.0</v>
      </c>
      <c r="C26" s="11"/>
      <c r="D26" s="11" t="s">
        <v>150</v>
      </c>
      <c r="E26" s="11" t="s">
        <v>77</v>
      </c>
      <c r="F26" s="17">
        <v>42886.0</v>
      </c>
      <c r="G26" s="11">
        <f t="shared" ref="G26:G29" si="4">ROUND(((F26-B26)/365)*12,0)</f>
        <v>3</v>
      </c>
      <c r="I26" s="11"/>
    </row>
    <row r="27">
      <c r="A27" s="13" t="s">
        <v>4587</v>
      </c>
      <c r="B27" s="17">
        <v>42736.0</v>
      </c>
      <c r="C27" s="11"/>
      <c r="D27" s="11" t="s">
        <v>55</v>
      </c>
      <c r="E27" s="11" t="s">
        <v>93</v>
      </c>
      <c r="F27" s="17">
        <v>42784.0</v>
      </c>
      <c r="G27" s="11">
        <f t="shared" si="4"/>
        <v>2</v>
      </c>
      <c r="I27" s="11"/>
    </row>
    <row r="28">
      <c r="A28" s="13" t="s">
        <v>4588</v>
      </c>
      <c r="B28" s="17">
        <v>42675.0</v>
      </c>
      <c r="C28" s="11" t="s">
        <v>4578</v>
      </c>
      <c r="D28" s="11" t="s">
        <v>175</v>
      </c>
      <c r="E28" s="11" t="s">
        <v>77</v>
      </c>
      <c r="F28" s="17">
        <v>42899.0</v>
      </c>
      <c r="G28" s="11">
        <f t="shared" si="4"/>
        <v>7</v>
      </c>
      <c r="I28" s="11"/>
    </row>
    <row r="29">
      <c r="A29" s="13" t="s">
        <v>2011</v>
      </c>
      <c r="B29" s="17">
        <v>42640.0</v>
      </c>
      <c r="C29" s="11" t="s">
        <v>4578</v>
      </c>
      <c r="D29" s="11" t="s">
        <v>101</v>
      </c>
      <c r="E29" s="11" t="s">
        <v>38</v>
      </c>
      <c r="F29" s="17">
        <v>42909.0</v>
      </c>
      <c r="G29" s="11">
        <f t="shared" si="4"/>
        <v>9</v>
      </c>
      <c r="H29" s="17">
        <v>42969.0</v>
      </c>
      <c r="I29" s="11" t="s">
        <v>4589</v>
      </c>
    </row>
    <row r="30">
      <c r="A30" s="13" t="s">
        <v>2266</v>
      </c>
      <c r="B30" s="17">
        <v>42600.0</v>
      </c>
      <c r="C30" s="11"/>
      <c r="D30" s="11" t="s">
        <v>175</v>
      </c>
      <c r="E30" s="11" t="s">
        <v>38</v>
      </c>
      <c r="H30" s="17">
        <v>42684.0</v>
      </c>
      <c r="I30" s="11" t="s">
        <v>4581</v>
      </c>
    </row>
    <row r="31">
      <c r="A31" s="13" t="s">
        <v>4590</v>
      </c>
      <c r="B31" s="17">
        <v>42599.0</v>
      </c>
      <c r="C31" s="11"/>
      <c r="D31" s="11" t="s">
        <v>150</v>
      </c>
      <c r="E31" s="11" t="s">
        <v>38</v>
      </c>
      <c r="F31" s="17">
        <v>42833.0</v>
      </c>
      <c r="G31" s="11">
        <f t="shared" ref="G31:G34" si="5">ROUND(((F31-B31)/365)*12,0)</f>
        <v>8</v>
      </c>
      <c r="I31" s="11" t="s">
        <v>4591</v>
      </c>
    </row>
    <row r="32">
      <c r="A32" s="13" t="s">
        <v>4033</v>
      </c>
      <c r="B32" s="17">
        <v>42583.0</v>
      </c>
      <c r="C32" s="11"/>
      <c r="D32" s="11" t="s">
        <v>37</v>
      </c>
      <c r="E32" s="11" t="s">
        <v>38</v>
      </c>
      <c r="F32" s="17">
        <v>42632.0</v>
      </c>
      <c r="G32" s="11">
        <f t="shared" si="5"/>
        <v>2</v>
      </c>
      <c r="I32" s="11" t="s">
        <v>4584</v>
      </c>
    </row>
    <row r="33">
      <c r="A33" s="13" t="s">
        <v>4592</v>
      </c>
      <c r="B33" s="17">
        <v>42522.0</v>
      </c>
      <c r="C33" s="11"/>
      <c r="D33" s="11" t="s">
        <v>175</v>
      </c>
      <c r="E33" s="11" t="s">
        <v>38</v>
      </c>
      <c r="F33" s="17">
        <v>43344.0</v>
      </c>
      <c r="G33" s="11">
        <f t="shared" si="5"/>
        <v>27</v>
      </c>
      <c r="I33" s="11" t="s">
        <v>4593</v>
      </c>
    </row>
    <row r="34">
      <c r="A34" s="13" t="s">
        <v>1765</v>
      </c>
      <c r="B34" s="17">
        <v>42506.0</v>
      </c>
      <c r="C34" s="11" t="s">
        <v>4578</v>
      </c>
      <c r="D34" s="11" t="s">
        <v>346</v>
      </c>
      <c r="E34" s="11" t="s">
        <v>38</v>
      </c>
      <c r="F34" s="17">
        <v>42830.0</v>
      </c>
      <c r="G34" s="11">
        <f t="shared" si="5"/>
        <v>11</v>
      </c>
      <c r="H34" s="17">
        <v>43305.0</v>
      </c>
      <c r="I34" s="11" t="s">
        <v>4594</v>
      </c>
    </row>
    <row r="35">
      <c r="A35" s="13" t="s">
        <v>2318</v>
      </c>
      <c r="B35" s="17">
        <v>42491.0</v>
      </c>
      <c r="C35" s="11"/>
      <c r="D35" s="11" t="s">
        <v>55</v>
      </c>
      <c r="E35" s="11" t="s">
        <v>38</v>
      </c>
      <c r="H35" s="17">
        <v>42583.0</v>
      </c>
      <c r="I35" s="11" t="s">
        <v>4581</v>
      </c>
    </row>
    <row r="36">
      <c r="A36" s="13" t="s">
        <v>2342</v>
      </c>
      <c r="B36" s="17">
        <v>42491.0</v>
      </c>
      <c r="C36" s="11" t="s">
        <v>4578</v>
      </c>
      <c r="D36" s="11" t="s">
        <v>346</v>
      </c>
      <c r="E36" s="11" t="s">
        <v>38</v>
      </c>
      <c r="H36" s="17">
        <v>42552.0</v>
      </c>
      <c r="I36" s="11" t="s">
        <v>4595</v>
      </c>
    </row>
    <row r="37">
      <c r="A37" s="13" t="s">
        <v>4596</v>
      </c>
      <c r="B37" s="17">
        <v>42461.0</v>
      </c>
      <c r="C37" s="11"/>
      <c r="D37" s="11" t="s">
        <v>162</v>
      </c>
      <c r="E37" s="11" t="s">
        <v>38</v>
      </c>
      <c r="F37" s="17">
        <v>42545.0</v>
      </c>
      <c r="G37" s="11">
        <f>ROUND(((F37-B37)/365)*12,0)</f>
        <v>3</v>
      </c>
      <c r="I37" s="11" t="s">
        <v>4597</v>
      </c>
    </row>
    <row r="38">
      <c r="A38" s="13" t="s">
        <v>4598</v>
      </c>
      <c r="B38" s="17">
        <v>42370.0</v>
      </c>
      <c r="C38" s="11"/>
      <c r="D38" s="11" t="s">
        <v>126</v>
      </c>
      <c r="E38" s="11" t="s">
        <v>93</v>
      </c>
      <c r="F38" s="17">
        <v>42783.0</v>
      </c>
      <c r="H38" s="17"/>
      <c r="I38" s="11"/>
    </row>
    <row r="39">
      <c r="A39" s="13" t="s">
        <v>2554</v>
      </c>
      <c r="B39" s="17">
        <v>42211.0</v>
      </c>
      <c r="C39" s="11"/>
      <c r="D39" s="11" t="s">
        <v>362</v>
      </c>
      <c r="E39" s="11" t="s">
        <v>58</v>
      </c>
      <c r="F39" s="17"/>
      <c r="H39" s="17">
        <v>42278.0</v>
      </c>
      <c r="I39" s="11" t="s">
        <v>4599</v>
      </c>
    </row>
    <row r="40">
      <c r="A40" s="13" t="s">
        <v>2703</v>
      </c>
      <c r="B40" s="17">
        <v>42130.0</v>
      </c>
      <c r="C40" s="11"/>
      <c r="D40" s="11" t="s">
        <v>156</v>
      </c>
      <c r="E40" s="11" t="s">
        <v>38</v>
      </c>
      <c r="F40" s="17"/>
      <c r="H40" s="10">
        <v>42138.0</v>
      </c>
      <c r="I40" s="11" t="s">
        <v>4581</v>
      </c>
    </row>
    <row r="41">
      <c r="A41" s="13" t="s">
        <v>2672</v>
      </c>
      <c r="B41" s="17">
        <v>42109.0</v>
      </c>
      <c r="C41" s="11"/>
      <c r="D41" s="11" t="s">
        <v>72</v>
      </c>
      <c r="E41" s="11" t="s">
        <v>38</v>
      </c>
      <c r="F41" s="17"/>
      <c r="H41" s="10">
        <v>42170.0</v>
      </c>
      <c r="I41" s="11" t="s">
        <v>4581</v>
      </c>
    </row>
    <row r="42">
      <c r="A42" s="13" t="s">
        <v>1352</v>
      </c>
      <c r="B42" s="17">
        <v>41852.0</v>
      </c>
      <c r="C42" s="11"/>
      <c r="D42" s="11" t="s">
        <v>55</v>
      </c>
      <c r="E42" s="11" t="s">
        <v>38</v>
      </c>
      <c r="F42" s="17">
        <v>42101.0</v>
      </c>
      <c r="G42" s="11">
        <f t="shared" ref="G42:G43" si="6">ROUND(((F42-B42)/365)*12,0)</f>
        <v>8</v>
      </c>
      <c r="I42" s="11" t="s">
        <v>4600</v>
      </c>
    </row>
    <row r="43">
      <c r="A43" s="13" t="s">
        <v>4601</v>
      </c>
      <c r="B43" s="17">
        <v>41834.0</v>
      </c>
      <c r="C43" s="11"/>
      <c r="D43" s="11" t="s">
        <v>108</v>
      </c>
      <c r="E43" s="11" t="s">
        <v>38</v>
      </c>
      <c r="F43" s="17">
        <v>41903.0</v>
      </c>
      <c r="G43" s="11">
        <f t="shared" si="6"/>
        <v>2</v>
      </c>
      <c r="I43" s="11" t="s">
        <v>4585</v>
      </c>
    </row>
    <row r="44">
      <c r="A44" s="13" t="s">
        <v>2887</v>
      </c>
      <c r="B44" s="17">
        <v>41791.0</v>
      </c>
      <c r="C44" s="11"/>
      <c r="D44" s="11" t="s">
        <v>116</v>
      </c>
      <c r="E44" s="11" t="s">
        <v>38</v>
      </c>
      <c r="F44" s="17"/>
      <c r="H44" s="10">
        <v>41899.0</v>
      </c>
      <c r="I44" s="11" t="s">
        <v>4602</v>
      </c>
    </row>
    <row r="45">
      <c r="A45" s="13" t="s">
        <v>2931</v>
      </c>
      <c r="B45" s="17">
        <v>41760.0</v>
      </c>
      <c r="C45" s="11"/>
      <c r="D45" s="11" t="s">
        <v>235</v>
      </c>
      <c r="E45" s="11" t="s">
        <v>97</v>
      </c>
      <c r="F45" s="17"/>
      <c r="H45" s="10">
        <v>41835.0</v>
      </c>
      <c r="I45" s="11" t="s">
        <v>4581</v>
      </c>
    </row>
    <row r="46">
      <c r="A46" s="13" t="s">
        <v>2749</v>
      </c>
      <c r="B46" s="17">
        <v>41640.0</v>
      </c>
      <c r="C46" s="11"/>
      <c r="D46" s="11" t="s">
        <v>175</v>
      </c>
      <c r="E46" s="11" t="s">
        <v>58</v>
      </c>
      <c r="F46" s="17"/>
      <c r="G46" s="11"/>
      <c r="H46" s="10">
        <v>42101.0</v>
      </c>
      <c r="I46" s="11"/>
    </row>
    <row r="47">
      <c r="A47" s="13" t="s">
        <v>2887</v>
      </c>
      <c r="B47" s="17">
        <v>41366.0</v>
      </c>
      <c r="C47" s="11"/>
      <c r="D47" s="11" t="s">
        <v>116</v>
      </c>
      <c r="E47" s="11" t="s">
        <v>38</v>
      </c>
      <c r="F47" s="17"/>
      <c r="G47" s="11"/>
      <c r="H47" s="10">
        <v>41410.0</v>
      </c>
      <c r="I47" s="11"/>
    </row>
    <row r="48">
      <c r="A48" s="13" t="s">
        <v>3232</v>
      </c>
      <c r="B48" s="17">
        <v>41153.0</v>
      </c>
      <c r="C48" s="11"/>
      <c r="D48" s="11" t="s">
        <v>126</v>
      </c>
      <c r="E48" s="11" t="s">
        <v>38</v>
      </c>
      <c r="F48" s="17">
        <v>41374.0</v>
      </c>
      <c r="G48" s="11">
        <f t="shared" ref="G48:G50" si="7">ROUND(((F48-B48)/365)*12,0)</f>
        <v>7</v>
      </c>
      <c r="H48" s="10">
        <v>41388.0</v>
      </c>
      <c r="I48" s="11" t="s">
        <v>4581</v>
      </c>
    </row>
    <row r="49">
      <c r="A49" s="13" t="s">
        <v>3325</v>
      </c>
      <c r="B49" s="17">
        <v>41000.0</v>
      </c>
      <c r="C49" s="11"/>
      <c r="D49" s="11" t="s">
        <v>72</v>
      </c>
      <c r="E49" s="11" t="s">
        <v>38</v>
      </c>
      <c r="F49" s="17">
        <v>41106.0</v>
      </c>
      <c r="G49" s="11">
        <f t="shared" si="7"/>
        <v>3</v>
      </c>
      <c r="H49" s="10">
        <v>41144.0</v>
      </c>
      <c r="I49" s="11" t="s">
        <v>4581</v>
      </c>
    </row>
    <row r="50">
      <c r="A50" s="13" t="s">
        <v>4603</v>
      </c>
      <c r="B50" s="17">
        <v>39630.0</v>
      </c>
      <c r="C50" s="11"/>
      <c r="D50" s="11" t="s">
        <v>126</v>
      </c>
      <c r="E50" s="11" t="s">
        <v>38</v>
      </c>
      <c r="F50" s="17">
        <v>39706.0</v>
      </c>
      <c r="G50" s="11">
        <f t="shared" si="7"/>
        <v>2</v>
      </c>
      <c r="I50" s="11" t="s">
        <v>4604</v>
      </c>
    </row>
    <row r="51">
      <c r="C51" s="30"/>
      <c r="D51" s="30"/>
      <c r="E51" s="30"/>
      <c r="I51" s="30"/>
    </row>
    <row r="52">
      <c r="C52" s="30"/>
      <c r="D52" s="30"/>
      <c r="E52" s="30"/>
      <c r="I52" s="30"/>
    </row>
    <row r="53">
      <c r="C53" s="30"/>
      <c r="D53" s="30"/>
      <c r="E53" s="30"/>
      <c r="I53" s="30"/>
    </row>
    <row r="54">
      <c r="C54" s="30"/>
      <c r="D54" s="30"/>
      <c r="E54" s="30"/>
      <c r="I54" s="30"/>
    </row>
    <row r="55">
      <c r="C55" s="30"/>
      <c r="D55" s="30"/>
      <c r="E55" s="30"/>
      <c r="I55" s="30"/>
    </row>
    <row r="56">
      <c r="C56" s="30"/>
      <c r="D56" s="30"/>
      <c r="E56" s="30"/>
      <c r="I56" s="30"/>
    </row>
    <row r="57">
      <c r="C57" s="30"/>
      <c r="D57" s="30"/>
      <c r="E57" s="30"/>
      <c r="I57" s="30"/>
    </row>
    <row r="58">
      <c r="C58" s="30"/>
      <c r="D58" s="30"/>
      <c r="E58" s="30"/>
      <c r="I58" s="30"/>
    </row>
    <row r="59">
      <c r="C59" s="30"/>
      <c r="D59" s="30"/>
      <c r="E59" s="30"/>
      <c r="I59" s="30"/>
    </row>
    <row r="60">
      <c r="C60" s="30"/>
      <c r="D60" s="30"/>
      <c r="E60" s="30"/>
      <c r="I60" s="30"/>
    </row>
    <row r="61">
      <c r="C61" s="30"/>
      <c r="D61" s="30"/>
      <c r="E61" s="30"/>
      <c r="I61" s="30"/>
    </row>
    <row r="62">
      <c r="C62" s="30"/>
      <c r="D62" s="30"/>
      <c r="E62" s="30"/>
      <c r="I62" s="30"/>
    </row>
    <row r="63">
      <c r="C63" s="30"/>
      <c r="D63" s="30"/>
      <c r="E63" s="30"/>
      <c r="I63" s="30"/>
    </row>
    <row r="64">
      <c r="C64" s="30"/>
      <c r="D64" s="30"/>
      <c r="E64" s="30"/>
      <c r="I64" s="30"/>
    </row>
    <row r="65">
      <c r="C65" s="30"/>
      <c r="D65" s="30"/>
      <c r="E65" s="30"/>
      <c r="I65" s="30"/>
    </row>
    <row r="66">
      <c r="C66" s="30"/>
      <c r="D66" s="30"/>
      <c r="E66" s="30"/>
      <c r="I66" s="30"/>
    </row>
    <row r="67">
      <c r="C67" s="30"/>
      <c r="D67" s="30"/>
      <c r="E67" s="30"/>
      <c r="I67" s="30"/>
    </row>
    <row r="68">
      <c r="C68" s="30"/>
      <c r="D68" s="30"/>
      <c r="E68" s="30"/>
      <c r="I68" s="30"/>
    </row>
    <row r="69">
      <c r="C69" s="30"/>
      <c r="D69" s="30"/>
      <c r="E69" s="30"/>
      <c r="I69" s="30"/>
    </row>
    <row r="70">
      <c r="C70" s="30"/>
      <c r="D70" s="30"/>
      <c r="E70" s="30"/>
      <c r="I70" s="30"/>
    </row>
    <row r="71">
      <c r="C71" s="30"/>
      <c r="D71" s="30"/>
      <c r="E71" s="30"/>
      <c r="I71" s="30"/>
    </row>
    <row r="72">
      <c r="C72" s="30"/>
      <c r="D72" s="30"/>
      <c r="E72" s="30"/>
      <c r="I72" s="30"/>
    </row>
    <row r="73">
      <c r="C73" s="30"/>
      <c r="D73" s="30"/>
      <c r="E73" s="30"/>
      <c r="I73" s="30"/>
    </row>
    <row r="74">
      <c r="C74" s="30"/>
      <c r="D74" s="30"/>
      <c r="E74" s="30"/>
      <c r="I74" s="30"/>
    </row>
    <row r="75">
      <c r="C75" s="30"/>
      <c r="D75" s="30"/>
      <c r="E75" s="30"/>
      <c r="I75" s="30"/>
    </row>
    <row r="76">
      <c r="C76" s="30"/>
      <c r="D76" s="30"/>
      <c r="E76" s="30"/>
      <c r="I76" s="30"/>
    </row>
    <row r="77">
      <c r="C77" s="30"/>
      <c r="D77" s="30"/>
      <c r="E77" s="30"/>
      <c r="I77" s="30"/>
    </row>
    <row r="78">
      <c r="C78" s="30"/>
      <c r="D78" s="30"/>
      <c r="E78" s="30"/>
      <c r="I78" s="30"/>
    </row>
    <row r="79">
      <c r="C79" s="30"/>
      <c r="D79" s="30"/>
      <c r="E79" s="30"/>
      <c r="I79" s="30"/>
    </row>
    <row r="80">
      <c r="C80" s="30"/>
      <c r="D80" s="30"/>
      <c r="E80" s="30"/>
      <c r="I80" s="30"/>
    </row>
    <row r="81">
      <c r="C81" s="30"/>
      <c r="D81" s="30"/>
      <c r="E81" s="30"/>
      <c r="I81" s="30"/>
    </row>
    <row r="82">
      <c r="C82" s="30"/>
      <c r="D82" s="30"/>
      <c r="E82" s="30"/>
      <c r="I82" s="30"/>
    </row>
    <row r="83">
      <c r="C83" s="30"/>
      <c r="D83" s="30"/>
      <c r="E83" s="30"/>
      <c r="I83" s="30"/>
    </row>
    <row r="84">
      <c r="C84" s="30"/>
      <c r="D84" s="30"/>
      <c r="E84" s="30"/>
      <c r="I84" s="30"/>
    </row>
    <row r="85">
      <c r="C85" s="30"/>
      <c r="D85" s="30"/>
      <c r="E85" s="30"/>
      <c r="I85" s="30"/>
    </row>
    <row r="86">
      <c r="C86" s="30"/>
      <c r="D86" s="30"/>
      <c r="E86" s="30"/>
      <c r="I86" s="30"/>
    </row>
    <row r="87">
      <c r="C87" s="30"/>
      <c r="D87" s="30"/>
      <c r="E87" s="30"/>
      <c r="I87" s="30"/>
    </row>
    <row r="88">
      <c r="C88" s="30"/>
      <c r="D88" s="30"/>
      <c r="E88" s="30"/>
      <c r="I88" s="30"/>
    </row>
    <row r="89">
      <c r="C89" s="30"/>
      <c r="D89" s="30"/>
      <c r="E89" s="30"/>
      <c r="I89" s="30"/>
    </row>
    <row r="90">
      <c r="C90" s="30"/>
      <c r="D90" s="30"/>
      <c r="E90" s="30"/>
      <c r="I90" s="30"/>
    </row>
    <row r="91">
      <c r="C91" s="30"/>
      <c r="D91" s="30"/>
      <c r="E91" s="30"/>
      <c r="I91" s="30"/>
    </row>
    <row r="92">
      <c r="C92" s="30"/>
      <c r="D92" s="30"/>
      <c r="E92" s="30"/>
      <c r="I92" s="30"/>
    </row>
    <row r="93">
      <c r="C93" s="30"/>
      <c r="D93" s="30"/>
      <c r="E93" s="30"/>
      <c r="I93" s="30"/>
    </row>
    <row r="94">
      <c r="C94" s="30"/>
      <c r="D94" s="30"/>
      <c r="E94" s="30"/>
      <c r="I94" s="30"/>
    </row>
    <row r="95">
      <c r="C95" s="30"/>
      <c r="D95" s="30"/>
      <c r="E95" s="30"/>
      <c r="I95" s="30"/>
    </row>
    <row r="96">
      <c r="C96" s="30"/>
      <c r="D96" s="30"/>
      <c r="E96" s="30"/>
      <c r="I96" s="30"/>
    </row>
    <row r="97">
      <c r="C97" s="30"/>
      <c r="D97" s="30"/>
      <c r="E97" s="30"/>
      <c r="I97" s="30"/>
    </row>
    <row r="98">
      <c r="C98" s="30"/>
      <c r="D98" s="30"/>
      <c r="E98" s="30"/>
      <c r="I98" s="30"/>
    </row>
    <row r="99">
      <c r="C99" s="30"/>
      <c r="D99" s="30"/>
      <c r="E99" s="30"/>
      <c r="I99" s="30"/>
    </row>
    <row r="100">
      <c r="C100" s="30"/>
      <c r="D100" s="30"/>
      <c r="E100" s="30"/>
      <c r="I100" s="30"/>
    </row>
    <row r="101">
      <c r="C101" s="30"/>
      <c r="D101" s="30"/>
      <c r="E101" s="30"/>
      <c r="I101" s="30"/>
    </row>
    <row r="102">
      <c r="C102" s="30"/>
      <c r="D102" s="30"/>
      <c r="E102" s="30"/>
      <c r="I102" s="30"/>
    </row>
    <row r="103">
      <c r="C103" s="30"/>
      <c r="D103" s="30"/>
      <c r="E103" s="30"/>
      <c r="I103" s="30"/>
    </row>
    <row r="104">
      <c r="C104" s="30"/>
      <c r="D104" s="30"/>
      <c r="E104" s="30"/>
      <c r="I104" s="30"/>
    </row>
    <row r="105">
      <c r="C105" s="30"/>
      <c r="D105" s="30"/>
      <c r="E105" s="30"/>
      <c r="I105" s="30"/>
    </row>
    <row r="106">
      <c r="C106" s="30"/>
      <c r="D106" s="30"/>
      <c r="E106" s="30"/>
      <c r="I106" s="30"/>
    </row>
    <row r="107">
      <c r="C107" s="30"/>
      <c r="D107" s="30"/>
      <c r="E107" s="30"/>
      <c r="I107" s="30"/>
    </row>
    <row r="108">
      <c r="C108" s="30"/>
      <c r="D108" s="30"/>
      <c r="E108" s="30"/>
      <c r="I108" s="30"/>
    </row>
    <row r="109">
      <c r="C109" s="30"/>
      <c r="D109" s="30"/>
      <c r="E109" s="30"/>
      <c r="I109" s="30"/>
    </row>
    <row r="110">
      <c r="C110" s="30"/>
      <c r="D110" s="30"/>
      <c r="E110" s="30"/>
      <c r="I110" s="30"/>
    </row>
    <row r="111">
      <c r="C111" s="30"/>
      <c r="D111" s="30"/>
      <c r="E111" s="30"/>
      <c r="I111" s="30"/>
    </row>
    <row r="112">
      <c r="C112" s="30"/>
      <c r="D112" s="30"/>
      <c r="E112" s="30"/>
      <c r="I112" s="30"/>
    </row>
    <row r="113">
      <c r="C113" s="30"/>
      <c r="D113" s="30"/>
      <c r="E113" s="30"/>
      <c r="I113" s="30"/>
    </row>
    <row r="114">
      <c r="C114" s="30"/>
      <c r="D114" s="30"/>
      <c r="E114" s="30"/>
      <c r="I114" s="30"/>
    </row>
    <row r="115">
      <c r="C115" s="30"/>
      <c r="D115" s="30"/>
      <c r="E115" s="30"/>
      <c r="I115" s="30"/>
    </row>
    <row r="116">
      <c r="C116" s="30"/>
      <c r="D116" s="30"/>
      <c r="E116" s="30"/>
      <c r="I116" s="30"/>
    </row>
    <row r="117">
      <c r="C117" s="30"/>
      <c r="D117" s="30"/>
      <c r="E117" s="30"/>
      <c r="I117" s="30"/>
    </row>
    <row r="118">
      <c r="C118" s="30"/>
      <c r="D118" s="30"/>
      <c r="E118" s="30"/>
      <c r="I118" s="30"/>
    </row>
    <row r="119">
      <c r="C119" s="30"/>
      <c r="D119" s="30"/>
      <c r="E119" s="30"/>
      <c r="I119" s="30"/>
    </row>
    <row r="120">
      <c r="C120" s="30"/>
      <c r="D120" s="30"/>
      <c r="E120" s="30"/>
      <c r="I120" s="30"/>
    </row>
    <row r="121">
      <c r="C121" s="30"/>
      <c r="D121" s="30"/>
      <c r="E121" s="30"/>
      <c r="I121" s="30"/>
    </row>
    <row r="122">
      <c r="C122" s="30"/>
      <c r="D122" s="30"/>
      <c r="E122" s="30"/>
      <c r="I122" s="30"/>
    </row>
    <row r="123">
      <c r="C123" s="30"/>
      <c r="D123" s="30"/>
      <c r="E123" s="30"/>
      <c r="I123" s="30"/>
    </row>
    <row r="124">
      <c r="C124" s="30"/>
      <c r="D124" s="30"/>
      <c r="E124" s="30"/>
      <c r="I124" s="30"/>
    </row>
    <row r="125">
      <c r="C125" s="30"/>
      <c r="D125" s="30"/>
      <c r="E125" s="30"/>
      <c r="I125" s="30"/>
    </row>
    <row r="126">
      <c r="C126" s="30"/>
      <c r="D126" s="30"/>
      <c r="E126" s="30"/>
      <c r="I126" s="30"/>
    </row>
    <row r="127">
      <c r="C127" s="30"/>
      <c r="D127" s="30"/>
      <c r="E127" s="30"/>
      <c r="I127" s="30"/>
    </row>
    <row r="128">
      <c r="C128" s="30"/>
      <c r="D128" s="30"/>
      <c r="E128" s="30"/>
      <c r="I128" s="30"/>
    </row>
    <row r="129">
      <c r="C129" s="30"/>
      <c r="D129" s="30"/>
      <c r="E129" s="30"/>
      <c r="I129" s="30"/>
    </row>
    <row r="130">
      <c r="C130" s="30"/>
      <c r="D130" s="30"/>
      <c r="E130" s="30"/>
      <c r="I130" s="30"/>
    </row>
    <row r="131">
      <c r="C131" s="30"/>
      <c r="D131" s="30"/>
      <c r="E131" s="30"/>
      <c r="I131" s="30"/>
    </row>
    <row r="132">
      <c r="C132" s="30"/>
      <c r="D132" s="30"/>
      <c r="E132" s="30"/>
      <c r="I132" s="30"/>
    </row>
    <row r="133">
      <c r="C133" s="30"/>
      <c r="D133" s="30"/>
      <c r="E133" s="30"/>
      <c r="I133" s="30"/>
    </row>
    <row r="134">
      <c r="C134" s="30"/>
      <c r="D134" s="30"/>
      <c r="E134" s="30"/>
      <c r="I134" s="30"/>
    </row>
    <row r="135">
      <c r="C135" s="30"/>
      <c r="D135" s="30"/>
      <c r="E135" s="30"/>
      <c r="I135" s="30"/>
    </row>
    <row r="136">
      <c r="C136" s="30"/>
      <c r="D136" s="30"/>
      <c r="E136" s="30"/>
      <c r="I136" s="30"/>
    </row>
    <row r="137">
      <c r="C137" s="30"/>
      <c r="D137" s="30"/>
      <c r="E137" s="30"/>
      <c r="I137" s="30"/>
    </row>
    <row r="138">
      <c r="C138" s="30"/>
      <c r="D138" s="30"/>
      <c r="E138" s="30"/>
      <c r="I138" s="30"/>
    </row>
    <row r="139">
      <c r="C139" s="30"/>
      <c r="D139" s="30"/>
      <c r="E139" s="30"/>
      <c r="I139" s="30"/>
    </row>
    <row r="140">
      <c r="C140" s="30"/>
      <c r="D140" s="30"/>
      <c r="E140" s="30"/>
      <c r="I140" s="30"/>
    </row>
    <row r="141">
      <c r="C141" s="30"/>
      <c r="D141" s="30"/>
      <c r="E141" s="30"/>
      <c r="I141" s="30"/>
    </row>
    <row r="142">
      <c r="C142" s="30"/>
      <c r="D142" s="30"/>
      <c r="E142" s="30"/>
      <c r="I142" s="30"/>
    </row>
    <row r="143">
      <c r="C143" s="30"/>
      <c r="D143" s="30"/>
      <c r="E143" s="30"/>
      <c r="I143" s="30"/>
    </row>
    <row r="144">
      <c r="C144" s="30"/>
      <c r="D144" s="30"/>
      <c r="E144" s="30"/>
      <c r="I144" s="30"/>
    </row>
    <row r="145">
      <c r="C145" s="30"/>
      <c r="D145" s="30"/>
      <c r="E145" s="30"/>
      <c r="I145" s="30"/>
    </row>
    <row r="146">
      <c r="C146" s="30"/>
      <c r="D146" s="30"/>
      <c r="E146" s="30"/>
      <c r="I146" s="30"/>
    </row>
    <row r="147">
      <c r="C147" s="30"/>
      <c r="D147" s="30"/>
      <c r="E147" s="30"/>
      <c r="I147" s="30"/>
    </row>
    <row r="148">
      <c r="C148" s="30"/>
      <c r="D148" s="30"/>
      <c r="E148" s="30"/>
      <c r="I148" s="30"/>
    </row>
    <row r="149">
      <c r="C149" s="30"/>
      <c r="D149" s="30"/>
      <c r="E149" s="30"/>
      <c r="I149" s="30"/>
    </row>
    <row r="150">
      <c r="C150" s="30"/>
      <c r="D150" s="30"/>
      <c r="E150" s="30"/>
      <c r="I150" s="30"/>
    </row>
    <row r="151">
      <c r="C151" s="30"/>
      <c r="D151" s="30"/>
      <c r="E151" s="30"/>
      <c r="I151" s="30"/>
    </row>
    <row r="152">
      <c r="C152" s="30"/>
      <c r="D152" s="30"/>
      <c r="E152" s="30"/>
      <c r="I152" s="30"/>
    </row>
    <row r="153">
      <c r="C153" s="30"/>
      <c r="D153" s="30"/>
      <c r="E153" s="30"/>
      <c r="I153" s="30"/>
    </row>
    <row r="154">
      <c r="C154" s="30"/>
      <c r="D154" s="30"/>
      <c r="E154" s="30"/>
      <c r="I154" s="30"/>
    </row>
    <row r="155">
      <c r="C155" s="30"/>
      <c r="D155" s="30"/>
      <c r="E155" s="30"/>
      <c r="I155" s="30"/>
    </row>
    <row r="156">
      <c r="C156" s="30"/>
      <c r="D156" s="30"/>
      <c r="E156" s="30"/>
      <c r="I156" s="30"/>
    </row>
    <row r="157">
      <c r="C157" s="30"/>
      <c r="D157" s="30"/>
      <c r="E157" s="30"/>
      <c r="I157" s="30"/>
    </row>
    <row r="158">
      <c r="C158" s="30"/>
      <c r="D158" s="30"/>
      <c r="E158" s="30"/>
      <c r="I158" s="30"/>
    </row>
    <row r="159">
      <c r="C159" s="30"/>
      <c r="D159" s="30"/>
      <c r="E159" s="30"/>
      <c r="I159" s="30"/>
    </row>
    <row r="160">
      <c r="C160" s="30"/>
      <c r="D160" s="30"/>
      <c r="E160" s="30"/>
      <c r="I160" s="30"/>
    </row>
    <row r="161">
      <c r="C161" s="30"/>
      <c r="D161" s="30"/>
      <c r="E161" s="30"/>
      <c r="I161" s="30"/>
    </row>
    <row r="162">
      <c r="C162" s="30"/>
      <c r="D162" s="30"/>
      <c r="E162" s="30"/>
      <c r="I162" s="30"/>
    </row>
    <row r="163">
      <c r="C163" s="30"/>
      <c r="D163" s="30"/>
      <c r="E163" s="30"/>
      <c r="I163" s="30"/>
    </row>
    <row r="164">
      <c r="C164" s="30"/>
      <c r="D164" s="30"/>
      <c r="E164" s="30"/>
      <c r="I164" s="30"/>
    </row>
    <row r="165">
      <c r="C165" s="30"/>
      <c r="D165" s="30"/>
      <c r="E165" s="30"/>
      <c r="I165" s="30"/>
    </row>
    <row r="166">
      <c r="C166" s="30"/>
      <c r="D166" s="30"/>
      <c r="E166" s="30"/>
      <c r="I166" s="30"/>
    </row>
    <row r="167">
      <c r="C167" s="30"/>
      <c r="D167" s="30"/>
      <c r="E167" s="30"/>
      <c r="I167" s="30"/>
    </row>
    <row r="168">
      <c r="C168" s="30"/>
      <c r="D168" s="30"/>
      <c r="E168" s="30"/>
      <c r="I168" s="30"/>
    </row>
    <row r="169">
      <c r="C169" s="30"/>
      <c r="D169" s="30"/>
      <c r="E169" s="30"/>
      <c r="I169" s="30"/>
    </row>
    <row r="170">
      <c r="C170" s="30"/>
      <c r="D170" s="30"/>
      <c r="E170" s="30"/>
      <c r="I170" s="30"/>
    </row>
    <row r="171">
      <c r="C171" s="30"/>
      <c r="D171" s="30"/>
      <c r="E171" s="30"/>
      <c r="I171" s="30"/>
    </row>
    <row r="172">
      <c r="C172" s="30"/>
      <c r="D172" s="30"/>
      <c r="E172" s="30"/>
      <c r="I172" s="30"/>
    </row>
    <row r="173">
      <c r="C173" s="30"/>
      <c r="D173" s="30"/>
      <c r="E173" s="30"/>
      <c r="I173" s="30"/>
    </row>
    <row r="174">
      <c r="C174" s="30"/>
      <c r="D174" s="30"/>
      <c r="E174" s="30"/>
      <c r="I174" s="30"/>
    </row>
    <row r="175">
      <c r="C175" s="30"/>
      <c r="D175" s="30"/>
      <c r="E175" s="30"/>
      <c r="I175" s="30"/>
    </row>
    <row r="176">
      <c r="C176" s="30"/>
      <c r="D176" s="30"/>
      <c r="E176" s="30"/>
      <c r="I176" s="30"/>
    </row>
    <row r="177">
      <c r="C177" s="30"/>
      <c r="D177" s="30"/>
      <c r="E177" s="30"/>
      <c r="I177" s="30"/>
    </row>
    <row r="178">
      <c r="C178" s="30"/>
      <c r="D178" s="30"/>
      <c r="E178" s="30"/>
      <c r="I178" s="30"/>
    </row>
    <row r="179">
      <c r="C179" s="30"/>
      <c r="D179" s="30"/>
      <c r="E179" s="30"/>
      <c r="I179" s="30"/>
    </row>
    <row r="180">
      <c r="C180" s="30"/>
      <c r="D180" s="30"/>
      <c r="E180" s="30"/>
      <c r="I180" s="30"/>
    </row>
    <row r="181">
      <c r="C181" s="30"/>
      <c r="D181" s="30"/>
      <c r="E181" s="30"/>
      <c r="I181" s="30"/>
    </row>
    <row r="182">
      <c r="C182" s="30"/>
      <c r="D182" s="30"/>
      <c r="E182" s="30"/>
      <c r="I182" s="30"/>
    </row>
    <row r="183">
      <c r="C183" s="30"/>
      <c r="D183" s="30"/>
      <c r="E183" s="30"/>
      <c r="I183" s="30"/>
    </row>
    <row r="184">
      <c r="C184" s="30"/>
      <c r="D184" s="30"/>
      <c r="E184" s="30"/>
      <c r="I184" s="30"/>
    </row>
    <row r="185">
      <c r="C185" s="30"/>
      <c r="D185" s="30"/>
      <c r="E185" s="30"/>
      <c r="I185" s="30"/>
    </row>
    <row r="186">
      <c r="C186" s="30"/>
      <c r="D186" s="30"/>
      <c r="E186" s="30"/>
      <c r="I186" s="30"/>
    </row>
    <row r="187">
      <c r="C187" s="30"/>
      <c r="D187" s="30"/>
      <c r="E187" s="30"/>
      <c r="I187" s="30"/>
    </row>
    <row r="188">
      <c r="C188" s="30"/>
      <c r="D188" s="30"/>
      <c r="E188" s="30"/>
      <c r="I188" s="30"/>
    </row>
    <row r="189">
      <c r="C189" s="30"/>
      <c r="D189" s="30"/>
      <c r="E189" s="30"/>
      <c r="I189" s="30"/>
    </row>
    <row r="190">
      <c r="C190" s="30"/>
      <c r="D190" s="30"/>
      <c r="E190" s="30"/>
      <c r="I190" s="30"/>
    </row>
    <row r="191">
      <c r="C191" s="30"/>
      <c r="D191" s="30"/>
      <c r="E191" s="30"/>
      <c r="I191" s="30"/>
    </row>
    <row r="192">
      <c r="C192" s="30"/>
      <c r="D192" s="30"/>
      <c r="E192" s="30"/>
      <c r="I192" s="30"/>
    </row>
    <row r="193">
      <c r="C193" s="30"/>
      <c r="D193" s="30"/>
      <c r="E193" s="30"/>
      <c r="I193" s="30"/>
    </row>
    <row r="194">
      <c r="C194" s="30"/>
      <c r="D194" s="30"/>
      <c r="E194" s="30"/>
      <c r="I194" s="30"/>
    </row>
    <row r="195">
      <c r="C195" s="30"/>
      <c r="D195" s="30"/>
      <c r="E195" s="30"/>
      <c r="I195" s="30"/>
    </row>
    <row r="196">
      <c r="C196" s="30"/>
      <c r="D196" s="30"/>
      <c r="E196" s="30"/>
      <c r="I196" s="30"/>
    </row>
    <row r="197">
      <c r="C197" s="30"/>
      <c r="D197" s="30"/>
      <c r="E197" s="30"/>
      <c r="I197" s="30"/>
    </row>
    <row r="198">
      <c r="C198" s="30"/>
      <c r="D198" s="30"/>
      <c r="E198" s="30"/>
      <c r="I198" s="30"/>
    </row>
    <row r="199">
      <c r="C199" s="30"/>
      <c r="D199" s="30"/>
      <c r="E199" s="30"/>
      <c r="I199" s="30"/>
    </row>
    <row r="200">
      <c r="C200" s="30"/>
      <c r="D200" s="30"/>
      <c r="E200" s="30"/>
      <c r="I200" s="30"/>
    </row>
    <row r="201">
      <c r="C201" s="30"/>
      <c r="D201" s="30"/>
      <c r="E201" s="30"/>
      <c r="I201" s="30"/>
    </row>
    <row r="202">
      <c r="C202" s="30"/>
      <c r="D202" s="30"/>
      <c r="E202" s="30"/>
      <c r="I202" s="30"/>
    </row>
    <row r="203">
      <c r="C203" s="30"/>
      <c r="D203" s="30"/>
      <c r="E203" s="30"/>
      <c r="I203" s="30"/>
    </row>
    <row r="204">
      <c r="C204" s="30"/>
      <c r="D204" s="30"/>
      <c r="E204" s="30"/>
      <c r="I204" s="30"/>
    </row>
    <row r="205">
      <c r="C205" s="30"/>
      <c r="D205" s="30"/>
      <c r="E205" s="30"/>
      <c r="I205" s="30"/>
    </row>
    <row r="206">
      <c r="C206" s="30"/>
      <c r="D206" s="30"/>
      <c r="E206" s="30"/>
      <c r="I206" s="30"/>
    </row>
    <row r="207">
      <c r="C207" s="30"/>
      <c r="D207" s="30"/>
      <c r="E207" s="30"/>
      <c r="I207" s="30"/>
    </row>
    <row r="208">
      <c r="C208" s="30"/>
      <c r="D208" s="30"/>
      <c r="E208" s="30"/>
      <c r="I208" s="30"/>
    </row>
    <row r="209">
      <c r="C209" s="30"/>
      <c r="D209" s="30"/>
      <c r="E209" s="30"/>
      <c r="I209" s="30"/>
    </row>
    <row r="210">
      <c r="C210" s="30"/>
      <c r="D210" s="30"/>
      <c r="E210" s="30"/>
      <c r="I210" s="30"/>
    </row>
    <row r="211">
      <c r="C211" s="30"/>
      <c r="D211" s="30"/>
      <c r="E211" s="30"/>
      <c r="I211" s="30"/>
    </row>
    <row r="212">
      <c r="C212" s="30"/>
      <c r="D212" s="30"/>
      <c r="E212" s="30"/>
      <c r="I212" s="30"/>
    </row>
    <row r="213">
      <c r="C213" s="30"/>
      <c r="D213" s="30"/>
      <c r="E213" s="30"/>
      <c r="I213" s="30"/>
    </row>
    <row r="214">
      <c r="C214" s="30"/>
      <c r="D214" s="30"/>
      <c r="E214" s="30"/>
      <c r="I214" s="30"/>
    </row>
    <row r="215">
      <c r="C215" s="30"/>
      <c r="D215" s="30"/>
      <c r="E215" s="30"/>
      <c r="I215" s="30"/>
    </row>
    <row r="216">
      <c r="C216" s="30"/>
      <c r="D216" s="30"/>
      <c r="E216" s="30"/>
      <c r="I216" s="30"/>
    </row>
    <row r="217">
      <c r="C217" s="30"/>
      <c r="D217" s="30"/>
      <c r="E217" s="30"/>
      <c r="I217" s="30"/>
    </row>
    <row r="218">
      <c r="C218" s="30"/>
      <c r="D218" s="30"/>
      <c r="E218" s="30"/>
      <c r="I218" s="30"/>
    </row>
    <row r="219">
      <c r="C219" s="30"/>
      <c r="D219" s="30"/>
      <c r="E219" s="30"/>
      <c r="I219" s="30"/>
    </row>
    <row r="220">
      <c r="C220" s="30"/>
      <c r="D220" s="30"/>
      <c r="E220" s="30"/>
      <c r="I220" s="30"/>
    </row>
    <row r="221">
      <c r="C221" s="30"/>
      <c r="D221" s="30"/>
      <c r="E221" s="30"/>
      <c r="I221" s="30"/>
    </row>
    <row r="222">
      <c r="C222" s="30"/>
      <c r="D222" s="30"/>
      <c r="E222" s="30"/>
      <c r="I222" s="30"/>
    </row>
    <row r="223">
      <c r="C223" s="30"/>
      <c r="D223" s="30"/>
      <c r="E223" s="30"/>
      <c r="I223" s="30"/>
    </row>
    <row r="224">
      <c r="C224" s="30"/>
      <c r="D224" s="30"/>
      <c r="E224" s="30"/>
      <c r="I224" s="30"/>
    </row>
    <row r="225">
      <c r="C225" s="30"/>
      <c r="D225" s="30"/>
      <c r="E225" s="30"/>
      <c r="I225" s="30"/>
    </row>
    <row r="226">
      <c r="C226" s="30"/>
      <c r="D226" s="30"/>
      <c r="E226" s="30"/>
      <c r="I226" s="30"/>
    </row>
    <row r="227">
      <c r="C227" s="30"/>
      <c r="D227" s="30"/>
      <c r="E227" s="30"/>
      <c r="I227" s="30"/>
    </row>
    <row r="228">
      <c r="C228" s="30"/>
      <c r="D228" s="30"/>
      <c r="E228" s="30"/>
      <c r="I228" s="30"/>
    </row>
    <row r="229">
      <c r="C229" s="30"/>
      <c r="D229" s="30"/>
      <c r="E229" s="30"/>
      <c r="I229" s="30"/>
    </row>
    <row r="230">
      <c r="C230" s="30"/>
      <c r="D230" s="30"/>
      <c r="E230" s="30"/>
      <c r="I230" s="30"/>
    </row>
    <row r="231">
      <c r="C231" s="30"/>
      <c r="D231" s="30"/>
      <c r="E231" s="30"/>
      <c r="I231" s="30"/>
    </row>
    <row r="232">
      <c r="C232" s="30"/>
      <c r="D232" s="30"/>
      <c r="E232" s="30"/>
      <c r="I232" s="30"/>
    </row>
    <row r="233">
      <c r="C233" s="30"/>
      <c r="D233" s="30"/>
      <c r="E233" s="30"/>
      <c r="I233" s="30"/>
    </row>
    <row r="234">
      <c r="C234" s="30"/>
      <c r="D234" s="30"/>
      <c r="E234" s="30"/>
      <c r="I234" s="30"/>
    </row>
    <row r="235">
      <c r="C235" s="30"/>
      <c r="D235" s="30"/>
      <c r="E235" s="30"/>
      <c r="I235" s="30"/>
    </row>
    <row r="236">
      <c r="C236" s="30"/>
      <c r="D236" s="30"/>
      <c r="E236" s="30"/>
      <c r="I236" s="30"/>
    </row>
    <row r="237">
      <c r="C237" s="30"/>
      <c r="D237" s="30"/>
      <c r="E237" s="30"/>
      <c r="I237" s="30"/>
    </row>
    <row r="238">
      <c r="C238" s="30"/>
      <c r="D238" s="30"/>
      <c r="E238" s="30"/>
      <c r="I238" s="30"/>
    </row>
    <row r="239">
      <c r="C239" s="30"/>
      <c r="D239" s="30"/>
      <c r="E239" s="30"/>
      <c r="I239" s="30"/>
    </row>
    <row r="240">
      <c r="C240" s="30"/>
      <c r="D240" s="30"/>
      <c r="E240" s="30"/>
      <c r="I240" s="30"/>
    </row>
    <row r="241">
      <c r="C241" s="30"/>
      <c r="D241" s="30"/>
      <c r="E241" s="30"/>
      <c r="I241" s="30"/>
    </row>
    <row r="242">
      <c r="C242" s="30"/>
      <c r="D242" s="30"/>
      <c r="E242" s="30"/>
      <c r="I242" s="30"/>
    </row>
    <row r="243">
      <c r="C243" s="30"/>
      <c r="D243" s="30"/>
      <c r="E243" s="30"/>
      <c r="I243" s="30"/>
    </row>
    <row r="244">
      <c r="C244" s="30"/>
      <c r="D244" s="30"/>
      <c r="E244" s="30"/>
      <c r="I244" s="30"/>
    </row>
    <row r="245">
      <c r="C245" s="30"/>
      <c r="D245" s="30"/>
      <c r="E245" s="30"/>
      <c r="I245" s="30"/>
    </row>
    <row r="246">
      <c r="C246" s="30"/>
      <c r="D246" s="30"/>
      <c r="E246" s="30"/>
      <c r="I246" s="30"/>
    </row>
    <row r="247">
      <c r="C247" s="30"/>
      <c r="D247" s="30"/>
      <c r="E247" s="30"/>
      <c r="I247" s="30"/>
    </row>
    <row r="248">
      <c r="C248" s="30"/>
      <c r="D248" s="30"/>
      <c r="E248" s="30"/>
      <c r="I248" s="30"/>
    </row>
    <row r="249">
      <c r="C249" s="30"/>
      <c r="D249" s="30"/>
      <c r="E249" s="30"/>
      <c r="I249" s="30"/>
    </row>
    <row r="250">
      <c r="C250" s="30"/>
      <c r="D250" s="30"/>
      <c r="E250" s="30"/>
      <c r="I250" s="30"/>
    </row>
    <row r="251">
      <c r="C251" s="30"/>
      <c r="D251" s="30"/>
      <c r="E251" s="30"/>
      <c r="I251" s="30"/>
    </row>
    <row r="252">
      <c r="C252" s="30"/>
      <c r="D252" s="30"/>
      <c r="E252" s="30"/>
      <c r="I252" s="30"/>
    </row>
    <row r="253">
      <c r="C253" s="30"/>
      <c r="D253" s="30"/>
      <c r="E253" s="30"/>
      <c r="I253" s="30"/>
    </row>
    <row r="254">
      <c r="C254" s="30"/>
      <c r="D254" s="30"/>
      <c r="E254" s="30"/>
      <c r="I254" s="30"/>
    </row>
    <row r="255">
      <c r="C255" s="30"/>
      <c r="D255" s="30"/>
      <c r="E255" s="30"/>
      <c r="I255" s="30"/>
    </row>
    <row r="256">
      <c r="C256" s="30"/>
      <c r="D256" s="30"/>
      <c r="E256" s="30"/>
      <c r="I256" s="30"/>
    </row>
    <row r="257">
      <c r="C257" s="30"/>
      <c r="D257" s="30"/>
      <c r="E257" s="30"/>
      <c r="I257" s="30"/>
    </row>
    <row r="258">
      <c r="C258" s="30"/>
      <c r="D258" s="30"/>
      <c r="E258" s="30"/>
      <c r="I258" s="30"/>
    </row>
    <row r="259">
      <c r="C259" s="30"/>
      <c r="D259" s="30"/>
      <c r="E259" s="30"/>
      <c r="I259" s="30"/>
    </row>
    <row r="260">
      <c r="C260" s="30"/>
      <c r="D260" s="30"/>
      <c r="E260" s="30"/>
      <c r="I260" s="30"/>
    </row>
    <row r="261">
      <c r="C261" s="30"/>
      <c r="D261" s="30"/>
      <c r="E261" s="30"/>
      <c r="I261" s="30"/>
    </row>
    <row r="262">
      <c r="C262" s="30"/>
      <c r="D262" s="30"/>
      <c r="E262" s="30"/>
      <c r="I262" s="30"/>
    </row>
    <row r="263">
      <c r="C263" s="30"/>
      <c r="D263" s="30"/>
      <c r="E263" s="30"/>
      <c r="I263" s="30"/>
    </row>
    <row r="264">
      <c r="C264" s="30"/>
      <c r="D264" s="30"/>
      <c r="E264" s="30"/>
      <c r="I264" s="30"/>
    </row>
    <row r="265">
      <c r="C265" s="30"/>
      <c r="D265" s="30"/>
      <c r="E265" s="30"/>
      <c r="I265" s="30"/>
    </row>
    <row r="266">
      <c r="C266" s="30"/>
      <c r="D266" s="30"/>
      <c r="E266" s="30"/>
      <c r="I266" s="30"/>
    </row>
    <row r="267">
      <c r="C267" s="30"/>
      <c r="D267" s="30"/>
      <c r="E267" s="30"/>
      <c r="I267" s="30"/>
    </row>
    <row r="268">
      <c r="C268" s="30"/>
      <c r="D268" s="30"/>
      <c r="E268" s="30"/>
      <c r="I268" s="30"/>
    </row>
    <row r="269">
      <c r="C269" s="30"/>
      <c r="D269" s="30"/>
      <c r="E269" s="30"/>
      <c r="I269" s="30"/>
    </row>
    <row r="270">
      <c r="C270" s="30"/>
      <c r="D270" s="30"/>
      <c r="E270" s="30"/>
      <c r="I270" s="30"/>
    </row>
    <row r="271">
      <c r="C271" s="30"/>
      <c r="D271" s="30"/>
      <c r="E271" s="30"/>
      <c r="I271" s="30"/>
    </row>
    <row r="272">
      <c r="C272" s="30"/>
      <c r="D272" s="30"/>
      <c r="E272" s="30"/>
      <c r="I272" s="30"/>
    </row>
    <row r="273">
      <c r="C273" s="30"/>
      <c r="D273" s="30"/>
      <c r="E273" s="30"/>
      <c r="I273" s="30"/>
    </row>
    <row r="274">
      <c r="C274" s="30"/>
      <c r="D274" s="30"/>
      <c r="E274" s="30"/>
      <c r="I274" s="30"/>
    </row>
    <row r="275">
      <c r="C275" s="30"/>
      <c r="D275" s="30"/>
      <c r="E275" s="30"/>
      <c r="I275" s="30"/>
    </row>
    <row r="276">
      <c r="C276" s="30"/>
      <c r="D276" s="30"/>
      <c r="E276" s="30"/>
      <c r="I276" s="30"/>
    </row>
    <row r="277">
      <c r="C277" s="30"/>
      <c r="D277" s="30"/>
      <c r="E277" s="30"/>
      <c r="I277" s="30"/>
    </row>
    <row r="278">
      <c r="C278" s="30"/>
      <c r="D278" s="30"/>
      <c r="E278" s="30"/>
      <c r="I278" s="30"/>
    </row>
    <row r="279">
      <c r="C279" s="30"/>
      <c r="D279" s="30"/>
      <c r="E279" s="30"/>
      <c r="I279" s="30"/>
    </row>
    <row r="280">
      <c r="C280" s="30"/>
      <c r="D280" s="30"/>
      <c r="E280" s="30"/>
      <c r="I280" s="30"/>
    </row>
    <row r="281">
      <c r="C281" s="30"/>
      <c r="D281" s="30"/>
      <c r="E281" s="30"/>
      <c r="I281" s="30"/>
    </row>
    <row r="282">
      <c r="C282" s="30"/>
      <c r="D282" s="30"/>
      <c r="E282" s="30"/>
      <c r="I282" s="30"/>
    </row>
    <row r="283">
      <c r="C283" s="30"/>
      <c r="D283" s="30"/>
      <c r="E283" s="30"/>
      <c r="I283" s="30"/>
    </row>
    <row r="284">
      <c r="C284" s="30"/>
      <c r="D284" s="30"/>
      <c r="E284" s="30"/>
      <c r="I284" s="30"/>
    </row>
    <row r="285">
      <c r="C285" s="30"/>
      <c r="D285" s="30"/>
      <c r="E285" s="30"/>
      <c r="I285" s="30"/>
    </row>
    <row r="286">
      <c r="C286" s="30"/>
      <c r="D286" s="30"/>
      <c r="E286" s="30"/>
      <c r="I286" s="30"/>
    </row>
    <row r="287">
      <c r="C287" s="30"/>
      <c r="D287" s="30"/>
      <c r="E287" s="30"/>
      <c r="I287" s="30"/>
    </row>
    <row r="288">
      <c r="C288" s="30"/>
      <c r="D288" s="30"/>
      <c r="E288" s="30"/>
      <c r="I288" s="30"/>
    </row>
    <row r="289">
      <c r="C289" s="30"/>
      <c r="D289" s="30"/>
      <c r="E289" s="30"/>
      <c r="I289" s="30"/>
    </row>
    <row r="290">
      <c r="C290" s="30"/>
      <c r="D290" s="30"/>
      <c r="E290" s="30"/>
      <c r="I290" s="30"/>
    </row>
    <row r="291">
      <c r="C291" s="30"/>
      <c r="D291" s="30"/>
      <c r="E291" s="30"/>
      <c r="I291" s="30"/>
    </row>
    <row r="292">
      <c r="C292" s="30"/>
      <c r="D292" s="30"/>
      <c r="E292" s="30"/>
      <c r="I292" s="30"/>
    </row>
    <row r="293">
      <c r="C293" s="30"/>
      <c r="D293" s="30"/>
      <c r="E293" s="30"/>
      <c r="I293" s="30"/>
    </row>
    <row r="294">
      <c r="C294" s="30"/>
      <c r="D294" s="30"/>
      <c r="E294" s="30"/>
      <c r="I294" s="30"/>
    </row>
    <row r="295">
      <c r="C295" s="30"/>
      <c r="D295" s="30"/>
      <c r="E295" s="30"/>
      <c r="I295" s="30"/>
    </row>
    <row r="296">
      <c r="C296" s="30"/>
      <c r="D296" s="30"/>
      <c r="E296" s="30"/>
      <c r="I296" s="30"/>
    </row>
    <row r="297">
      <c r="C297" s="30"/>
      <c r="D297" s="30"/>
      <c r="E297" s="30"/>
      <c r="I297" s="30"/>
    </row>
    <row r="298">
      <c r="C298" s="30"/>
      <c r="D298" s="30"/>
      <c r="E298" s="30"/>
      <c r="I298" s="30"/>
    </row>
    <row r="299">
      <c r="C299" s="30"/>
      <c r="D299" s="30"/>
      <c r="E299" s="30"/>
      <c r="I299" s="30"/>
    </row>
    <row r="300">
      <c r="C300" s="30"/>
      <c r="D300" s="30"/>
      <c r="E300" s="30"/>
      <c r="I300" s="30"/>
    </row>
    <row r="301">
      <c r="C301" s="30"/>
      <c r="D301" s="30"/>
      <c r="E301" s="30"/>
      <c r="I301" s="30"/>
    </row>
    <row r="302">
      <c r="C302" s="30"/>
      <c r="D302" s="30"/>
      <c r="E302" s="30"/>
      <c r="I302" s="30"/>
    </row>
    <row r="303">
      <c r="C303" s="30"/>
      <c r="D303" s="30"/>
      <c r="E303" s="30"/>
      <c r="I303" s="30"/>
    </row>
    <row r="304">
      <c r="C304" s="30"/>
      <c r="D304" s="30"/>
      <c r="E304" s="30"/>
      <c r="I304" s="30"/>
    </row>
    <row r="305">
      <c r="C305" s="30"/>
      <c r="D305" s="30"/>
      <c r="E305" s="30"/>
      <c r="I305" s="30"/>
    </row>
    <row r="306">
      <c r="C306" s="30"/>
      <c r="D306" s="30"/>
      <c r="E306" s="30"/>
      <c r="I306" s="30"/>
    </row>
    <row r="307">
      <c r="C307" s="30"/>
      <c r="D307" s="30"/>
      <c r="E307" s="30"/>
      <c r="I307" s="30"/>
    </row>
    <row r="308">
      <c r="C308" s="30"/>
      <c r="D308" s="30"/>
      <c r="E308" s="30"/>
      <c r="I308" s="30"/>
    </row>
    <row r="309">
      <c r="C309" s="30"/>
      <c r="D309" s="30"/>
      <c r="E309" s="30"/>
      <c r="I309" s="30"/>
    </row>
    <row r="310">
      <c r="C310" s="30"/>
      <c r="D310" s="30"/>
      <c r="E310" s="30"/>
      <c r="I310" s="30"/>
    </row>
    <row r="311">
      <c r="C311" s="30"/>
      <c r="D311" s="30"/>
      <c r="E311" s="30"/>
      <c r="I311" s="30"/>
    </row>
    <row r="312">
      <c r="C312" s="30"/>
      <c r="D312" s="30"/>
      <c r="E312" s="30"/>
      <c r="I312" s="30"/>
    </row>
    <row r="313">
      <c r="C313" s="30"/>
      <c r="D313" s="30"/>
      <c r="E313" s="30"/>
      <c r="I313" s="30"/>
    </row>
    <row r="314">
      <c r="C314" s="30"/>
      <c r="D314" s="30"/>
      <c r="E314" s="30"/>
      <c r="I314" s="30"/>
    </row>
    <row r="315">
      <c r="C315" s="30"/>
      <c r="D315" s="30"/>
      <c r="E315" s="30"/>
      <c r="I315" s="30"/>
    </row>
    <row r="316">
      <c r="C316" s="30"/>
      <c r="D316" s="30"/>
      <c r="E316" s="30"/>
      <c r="I316" s="30"/>
    </row>
    <row r="317">
      <c r="C317" s="30"/>
      <c r="D317" s="30"/>
      <c r="E317" s="30"/>
      <c r="I317" s="30"/>
    </row>
    <row r="318">
      <c r="C318" s="30"/>
      <c r="D318" s="30"/>
      <c r="E318" s="30"/>
      <c r="I318" s="30"/>
    </row>
    <row r="319">
      <c r="C319" s="30"/>
      <c r="D319" s="30"/>
      <c r="E319" s="30"/>
      <c r="I319" s="30"/>
    </row>
    <row r="320">
      <c r="C320" s="30"/>
      <c r="D320" s="30"/>
      <c r="E320" s="30"/>
      <c r="I320" s="30"/>
    </row>
    <row r="321">
      <c r="C321" s="30"/>
      <c r="D321" s="30"/>
      <c r="E321" s="30"/>
      <c r="I321" s="30"/>
    </row>
    <row r="322">
      <c r="C322" s="30"/>
      <c r="D322" s="30"/>
      <c r="E322" s="30"/>
      <c r="I322" s="30"/>
    </row>
    <row r="323">
      <c r="C323" s="30"/>
      <c r="D323" s="30"/>
      <c r="E323" s="30"/>
      <c r="I323" s="30"/>
    </row>
    <row r="324">
      <c r="C324" s="30"/>
      <c r="D324" s="30"/>
      <c r="E324" s="30"/>
      <c r="I324" s="30"/>
    </row>
    <row r="325">
      <c r="C325" s="30"/>
      <c r="D325" s="30"/>
      <c r="E325" s="30"/>
      <c r="I325" s="30"/>
    </row>
    <row r="326">
      <c r="C326" s="30"/>
      <c r="D326" s="30"/>
      <c r="E326" s="30"/>
      <c r="I326" s="30"/>
    </row>
    <row r="327">
      <c r="C327" s="30"/>
      <c r="D327" s="30"/>
      <c r="E327" s="30"/>
      <c r="I327" s="30"/>
    </row>
    <row r="328">
      <c r="C328" s="30"/>
      <c r="D328" s="30"/>
      <c r="E328" s="30"/>
      <c r="I328" s="30"/>
    </row>
    <row r="329">
      <c r="C329" s="30"/>
      <c r="D329" s="30"/>
      <c r="E329" s="30"/>
      <c r="I329" s="30"/>
    </row>
    <row r="330">
      <c r="C330" s="30"/>
      <c r="D330" s="30"/>
      <c r="E330" s="30"/>
      <c r="I330" s="30"/>
    </row>
    <row r="331">
      <c r="C331" s="30"/>
      <c r="D331" s="30"/>
      <c r="E331" s="30"/>
      <c r="I331" s="30"/>
    </row>
    <row r="332">
      <c r="C332" s="30"/>
      <c r="D332" s="30"/>
      <c r="E332" s="30"/>
      <c r="I332" s="30"/>
    </row>
    <row r="333">
      <c r="C333" s="30"/>
      <c r="D333" s="30"/>
      <c r="E333" s="30"/>
      <c r="I333" s="30"/>
    </row>
    <row r="334">
      <c r="C334" s="30"/>
      <c r="D334" s="30"/>
      <c r="E334" s="30"/>
      <c r="I334" s="30"/>
    </row>
    <row r="335">
      <c r="C335" s="30"/>
      <c r="D335" s="30"/>
      <c r="E335" s="30"/>
      <c r="I335" s="30"/>
    </row>
    <row r="336">
      <c r="C336" s="30"/>
      <c r="D336" s="30"/>
      <c r="E336" s="30"/>
      <c r="I336" s="30"/>
    </row>
    <row r="337">
      <c r="C337" s="30"/>
      <c r="D337" s="30"/>
      <c r="E337" s="30"/>
      <c r="I337" s="30"/>
    </row>
    <row r="338">
      <c r="C338" s="30"/>
      <c r="D338" s="30"/>
      <c r="E338" s="30"/>
      <c r="I338" s="30"/>
    </row>
    <row r="339">
      <c r="C339" s="30"/>
      <c r="D339" s="30"/>
      <c r="E339" s="30"/>
      <c r="I339" s="30"/>
    </row>
    <row r="340">
      <c r="C340" s="30"/>
      <c r="D340" s="30"/>
      <c r="E340" s="30"/>
      <c r="I340" s="30"/>
    </row>
    <row r="341">
      <c r="C341" s="30"/>
      <c r="D341" s="30"/>
      <c r="E341" s="30"/>
      <c r="I341" s="30"/>
    </row>
    <row r="342">
      <c r="C342" s="30"/>
      <c r="D342" s="30"/>
      <c r="E342" s="30"/>
      <c r="I342" s="30"/>
    </row>
    <row r="343">
      <c r="C343" s="30"/>
      <c r="D343" s="30"/>
      <c r="E343" s="30"/>
      <c r="I343" s="30"/>
    </row>
    <row r="344">
      <c r="C344" s="30"/>
      <c r="D344" s="30"/>
      <c r="E344" s="30"/>
      <c r="I344" s="30"/>
    </row>
    <row r="345">
      <c r="C345" s="30"/>
      <c r="D345" s="30"/>
      <c r="E345" s="30"/>
      <c r="I345" s="30"/>
    </row>
    <row r="346">
      <c r="C346" s="30"/>
      <c r="D346" s="30"/>
      <c r="E346" s="30"/>
      <c r="I346" s="30"/>
    </row>
    <row r="347">
      <c r="C347" s="30"/>
      <c r="D347" s="30"/>
      <c r="E347" s="30"/>
      <c r="I347" s="30"/>
    </row>
    <row r="348">
      <c r="C348" s="30"/>
      <c r="D348" s="30"/>
      <c r="E348" s="30"/>
      <c r="I348" s="30"/>
    </row>
    <row r="349">
      <c r="C349" s="30"/>
      <c r="D349" s="30"/>
      <c r="E349" s="30"/>
      <c r="I349" s="30"/>
    </row>
    <row r="350">
      <c r="C350" s="30"/>
      <c r="D350" s="30"/>
      <c r="E350" s="30"/>
      <c r="I350" s="30"/>
    </row>
    <row r="351">
      <c r="C351" s="30"/>
      <c r="D351" s="30"/>
      <c r="E351" s="30"/>
      <c r="I351" s="30"/>
    </row>
    <row r="352">
      <c r="C352" s="30"/>
      <c r="D352" s="30"/>
      <c r="E352" s="30"/>
      <c r="I352" s="30"/>
    </row>
    <row r="353">
      <c r="C353" s="30"/>
      <c r="D353" s="30"/>
      <c r="E353" s="30"/>
      <c r="I353" s="30"/>
    </row>
    <row r="354">
      <c r="C354" s="30"/>
      <c r="D354" s="30"/>
      <c r="E354" s="30"/>
      <c r="I354" s="30"/>
    </row>
    <row r="355">
      <c r="C355" s="30"/>
      <c r="D355" s="30"/>
      <c r="E355" s="30"/>
      <c r="I355" s="30"/>
    </row>
    <row r="356">
      <c r="C356" s="30"/>
      <c r="D356" s="30"/>
      <c r="E356" s="30"/>
      <c r="I356" s="30"/>
    </row>
    <row r="357">
      <c r="C357" s="30"/>
      <c r="D357" s="30"/>
      <c r="E357" s="30"/>
      <c r="I357" s="30"/>
    </row>
    <row r="358">
      <c r="C358" s="30"/>
      <c r="D358" s="30"/>
      <c r="E358" s="30"/>
      <c r="I358" s="30"/>
    </row>
    <row r="359">
      <c r="C359" s="30"/>
      <c r="D359" s="30"/>
      <c r="E359" s="30"/>
      <c r="I359" s="30"/>
    </row>
    <row r="360">
      <c r="C360" s="30"/>
      <c r="D360" s="30"/>
      <c r="E360" s="30"/>
      <c r="I360" s="30"/>
    </row>
    <row r="361">
      <c r="C361" s="30"/>
      <c r="D361" s="30"/>
      <c r="E361" s="30"/>
      <c r="I361" s="30"/>
    </row>
    <row r="362">
      <c r="C362" s="30"/>
      <c r="D362" s="30"/>
      <c r="E362" s="30"/>
      <c r="I362" s="30"/>
    </row>
    <row r="363">
      <c r="C363" s="30"/>
      <c r="D363" s="30"/>
      <c r="E363" s="30"/>
      <c r="I363" s="30"/>
    </row>
    <row r="364">
      <c r="C364" s="30"/>
      <c r="D364" s="30"/>
      <c r="E364" s="30"/>
      <c r="I364" s="30"/>
    </row>
    <row r="365">
      <c r="C365" s="30"/>
      <c r="D365" s="30"/>
      <c r="E365" s="30"/>
      <c r="I365" s="30"/>
    </row>
    <row r="366">
      <c r="C366" s="30"/>
      <c r="D366" s="30"/>
      <c r="E366" s="30"/>
      <c r="I366" s="30"/>
    </row>
    <row r="367">
      <c r="C367" s="30"/>
      <c r="D367" s="30"/>
      <c r="E367" s="30"/>
      <c r="I367" s="30"/>
    </row>
    <row r="368">
      <c r="C368" s="30"/>
      <c r="D368" s="30"/>
      <c r="E368" s="30"/>
      <c r="I368" s="30"/>
    </row>
    <row r="369">
      <c r="C369" s="30"/>
      <c r="D369" s="30"/>
      <c r="E369" s="30"/>
      <c r="I369" s="30"/>
    </row>
    <row r="370">
      <c r="C370" s="30"/>
      <c r="D370" s="30"/>
      <c r="E370" s="30"/>
      <c r="I370" s="30"/>
    </row>
    <row r="371">
      <c r="C371" s="30"/>
      <c r="D371" s="30"/>
      <c r="E371" s="30"/>
      <c r="I371" s="30"/>
    </row>
    <row r="372">
      <c r="C372" s="30"/>
      <c r="D372" s="30"/>
      <c r="E372" s="30"/>
      <c r="I372" s="30"/>
    </row>
    <row r="373">
      <c r="C373" s="30"/>
      <c r="D373" s="30"/>
      <c r="E373" s="30"/>
      <c r="I373" s="30"/>
    </row>
    <row r="374">
      <c r="C374" s="30"/>
      <c r="D374" s="30"/>
      <c r="E374" s="30"/>
      <c r="I374" s="30"/>
    </row>
    <row r="375">
      <c r="C375" s="30"/>
      <c r="D375" s="30"/>
      <c r="E375" s="30"/>
      <c r="I375" s="30"/>
    </row>
    <row r="376">
      <c r="C376" s="30"/>
      <c r="D376" s="30"/>
      <c r="E376" s="30"/>
      <c r="I376" s="30"/>
    </row>
    <row r="377">
      <c r="C377" s="30"/>
      <c r="D377" s="30"/>
      <c r="E377" s="30"/>
      <c r="I377" s="30"/>
    </row>
    <row r="378">
      <c r="C378" s="30"/>
      <c r="D378" s="30"/>
      <c r="E378" s="30"/>
      <c r="I378" s="30"/>
    </row>
    <row r="379">
      <c r="C379" s="30"/>
      <c r="D379" s="30"/>
      <c r="E379" s="30"/>
      <c r="I379" s="30"/>
    </row>
    <row r="380">
      <c r="C380" s="30"/>
      <c r="D380" s="30"/>
      <c r="E380" s="30"/>
      <c r="I380" s="30"/>
    </row>
    <row r="381">
      <c r="C381" s="30"/>
      <c r="D381" s="30"/>
      <c r="E381" s="30"/>
      <c r="I381" s="30"/>
    </row>
    <row r="382">
      <c r="C382" s="30"/>
      <c r="D382" s="30"/>
      <c r="E382" s="30"/>
      <c r="I382" s="30"/>
    </row>
    <row r="383">
      <c r="C383" s="30"/>
      <c r="D383" s="30"/>
      <c r="E383" s="30"/>
      <c r="I383" s="30"/>
    </row>
    <row r="384">
      <c r="C384" s="30"/>
      <c r="D384" s="30"/>
      <c r="E384" s="30"/>
      <c r="I384" s="30"/>
    </row>
    <row r="385">
      <c r="C385" s="30"/>
      <c r="D385" s="30"/>
      <c r="E385" s="30"/>
      <c r="I385" s="30"/>
    </row>
    <row r="386">
      <c r="C386" s="30"/>
      <c r="D386" s="30"/>
      <c r="E386" s="30"/>
      <c r="I386" s="30"/>
    </row>
    <row r="387">
      <c r="C387" s="30"/>
      <c r="D387" s="30"/>
      <c r="E387" s="30"/>
      <c r="I387" s="30"/>
    </row>
    <row r="388">
      <c r="C388" s="30"/>
      <c r="D388" s="30"/>
      <c r="E388" s="30"/>
      <c r="I388" s="30"/>
    </row>
    <row r="389">
      <c r="C389" s="30"/>
      <c r="D389" s="30"/>
      <c r="E389" s="30"/>
      <c r="I389" s="30"/>
    </row>
    <row r="390">
      <c r="C390" s="30"/>
      <c r="D390" s="30"/>
      <c r="E390" s="30"/>
      <c r="I390" s="30"/>
    </row>
    <row r="391">
      <c r="C391" s="30"/>
      <c r="D391" s="30"/>
      <c r="E391" s="30"/>
      <c r="I391" s="30"/>
    </row>
    <row r="392">
      <c r="C392" s="30"/>
      <c r="D392" s="30"/>
      <c r="E392" s="30"/>
      <c r="I392" s="30"/>
    </row>
    <row r="393">
      <c r="C393" s="30"/>
      <c r="D393" s="30"/>
      <c r="E393" s="30"/>
      <c r="I393" s="30"/>
    </row>
    <row r="394">
      <c r="C394" s="30"/>
      <c r="D394" s="30"/>
      <c r="E394" s="30"/>
      <c r="I394" s="30"/>
    </row>
    <row r="395">
      <c r="C395" s="30"/>
      <c r="D395" s="30"/>
      <c r="E395" s="30"/>
      <c r="I395" s="30"/>
    </row>
    <row r="396">
      <c r="C396" s="30"/>
      <c r="D396" s="30"/>
      <c r="E396" s="30"/>
      <c r="I396" s="30"/>
    </row>
    <row r="397">
      <c r="C397" s="30"/>
      <c r="D397" s="30"/>
      <c r="E397" s="30"/>
      <c r="I397" s="30"/>
    </row>
    <row r="398">
      <c r="C398" s="30"/>
      <c r="D398" s="30"/>
      <c r="E398" s="30"/>
      <c r="I398" s="30"/>
    </row>
    <row r="399">
      <c r="C399" s="30"/>
      <c r="D399" s="30"/>
      <c r="E399" s="30"/>
      <c r="I399" s="30"/>
    </row>
    <row r="400">
      <c r="C400" s="30"/>
      <c r="D400" s="30"/>
      <c r="E400" s="30"/>
      <c r="I400" s="30"/>
    </row>
    <row r="401">
      <c r="C401" s="30"/>
      <c r="D401" s="30"/>
      <c r="E401" s="30"/>
      <c r="I401" s="30"/>
    </row>
    <row r="402">
      <c r="C402" s="30"/>
      <c r="D402" s="30"/>
      <c r="E402" s="30"/>
      <c r="I402" s="30"/>
    </row>
    <row r="403">
      <c r="C403" s="30"/>
      <c r="D403" s="30"/>
      <c r="E403" s="30"/>
      <c r="I403" s="30"/>
    </row>
    <row r="404">
      <c r="C404" s="30"/>
      <c r="D404" s="30"/>
      <c r="E404" s="30"/>
      <c r="I404" s="30"/>
    </row>
    <row r="405">
      <c r="C405" s="30"/>
      <c r="D405" s="30"/>
      <c r="E405" s="30"/>
      <c r="I405" s="30"/>
    </row>
    <row r="406">
      <c r="C406" s="30"/>
      <c r="D406" s="30"/>
      <c r="E406" s="30"/>
      <c r="I406" s="30"/>
    </row>
    <row r="407">
      <c r="C407" s="30"/>
      <c r="D407" s="30"/>
      <c r="E407" s="30"/>
      <c r="I407" s="30"/>
    </row>
    <row r="408">
      <c r="C408" s="30"/>
      <c r="D408" s="30"/>
      <c r="E408" s="30"/>
      <c r="I408" s="30"/>
    </row>
    <row r="409">
      <c r="C409" s="30"/>
      <c r="D409" s="30"/>
      <c r="E409" s="30"/>
      <c r="I409" s="30"/>
    </row>
    <row r="410">
      <c r="C410" s="30"/>
      <c r="D410" s="30"/>
      <c r="E410" s="30"/>
      <c r="I410" s="30"/>
    </row>
    <row r="411">
      <c r="C411" s="30"/>
      <c r="D411" s="30"/>
      <c r="E411" s="30"/>
      <c r="I411" s="30"/>
    </row>
    <row r="412">
      <c r="C412" s="30"/>
      <c r="D412" s="30"/>
      <c r="E412" s="30"/>
      <c r="I412" s="30"/>
    </row>
    <row r="413">
      <c r="C413" s="30"/>
      <c r="D413" s="30"/>
      <c r="E413" s="30"/>
      <c r="I413" s="30"/>
    </row>
    <row r="414">
      <c r="C414" s="30"/>
      <c r="D414" s="30"/>
      <c r="E414" s="30"/>
      <c r="I414" s="30"/>
    </row>
    <row r="415">
      <c r="C415" s="30"/>
      <c r="D415" s="30"/>
      <c r="E415" s="30"/>
      <c r="I415" s="30"/>
    </row>
    <row r="416">
      <c r="C416" s="30"/>
      <c r="D416" s="30"/>
      <c r="E416" s="30"/>
      <c r="I416" s="30"/>
    </row>
    <row r="417">
      <c r="C417" s="30"/>
      <c r="D417" s="30"/>
      <c r="E417" s="30"/>
      <c r="I417" s="30"/>
    </row>
    <row r="418">
      <c r="C418" s="30"/>
      <c r="D418" s="30"/>
      <c r="E418" s="30"/>
      <c r="I418" s="30"/>
    </row>
    <row r="419">
      <c r="C419" s="30"/>
      <c r="D419" s="30"/>
      <c r="E419" s="30"/>
      <c r="I419" s="30"/>
    </row>
    <row r="420">
      <c r="C420" s="30"/>
      <c r="D420" s="30"/>
      <c r="E420" s="30"/>
      <c r="I420" s="30"/>
    </row>
    <row r="421">
      <c r="C421" s="30"/>
      <c r="D421" s="30"/>
      <c r="E421" s="30"/>
      <c r="I421" s="30"/>
    </row>
    <row r="422">
      <c r="C422" s="30"/>
      <c r="D422" s="30"/>
      <c r="E422" s="30"/>
      <c r="I422" s="30"/>
    </row>
    <row r="423">
      <c r="C423" s="30"/>
      <c r="D423" s="30"/>
      <c r="E423" s="30"/>
      <c r="I423" s="30"/>
    </row>
    <row r="424">
      <c r="C424" s="30"/>
      <c r="D424" s="30"/>
      <c r="E424" s="30"/>
      <c r="I424" s="30"/>
    </row>
    <row r="425">
      <c r="C425" s="30"/>
      <c r="D425" s="30"/>
      <c r="E425" s="30"/>
      <c r="I425" s="30"/>
    </row>
    <row r="426">
      <c r="C426" s="30"/>
      <c r="D426" s="30"/>
      <c r="E426" s="30"/>
      <c r="I426" s="30"/>
    </row>
    <row r="427">
      <c r="C427" s="30"/>
      <c r="D427" s="30"/>
      <c r="E427" s="30"/>
      <c r="I427" s="30"/>
    </row>
    <row r="428">
      <c r="C428" s="30"/>
      <c r="D428" s="30"/>
      <c r="E428" s="30"/>
      <c r="I428" s="30"/>
    </row>
    <row r="429">
      <c r="C429" s="30"/>
      <c r="D429" s="30"/>
      <c r="E429" s="30"/>
      <c r="I429" s="30"/>
    </row>
    <row r="430">
      <c r="C430" s="30"/>
      <c r="D430" s="30"/>
      <c r="E430" s="30"/>
      <c r="I430" s="30"/>
    </row>
    <row r="431">
      <c r="C431" s="30"/>
      <c r="D431" s="30"/>
      <c r="E431" s="30"/>
      <c r="I431" s="30"/>
    </row>
    <row r="432">
      <c r="C432" s="30"/>
      <c r="D432" s="30"/>
      <c r="E432" s="30"/>
      <c r="I432" s="30"/>
    </row>
    <row r="433">
      <c r="C433" s="30"/>
      <c r="D433" s="30"/>
      <c r="E433" s="30"/>
      <c r="I433" s="30"/>
    </row>
    <row r="434">
      <c r="C434" s="30"/>
      <c r="D434" s="30"/>
      <c r="E434" s="30"/>
      <c r="I434" s="30"/>
    </row>
    <row r="435">
      <c r="C435" s="30"/>
      <c r="D435" s="30"/>
      <c r="E435" s="30"/>
      <c r="I435" s="30"/>
    </row>
    <row r="436">
      <c r="C436" s="30"/>
      <c r="D436" s="30"/>
      <c r="E436" s="30"/>
      <c r="I436" s="30"/>
    </row>
    <row r="437">
      <c r="C437" s="30"/>
      <c r="D437" s="30"/>
      <c r="E437" s="30"/>
      <c r="I437" s="30"/>
    </row>
    <row r="438">
      <c r="C438" s="30"/>
      <c r="D438" s="30"/>
      <c r="E438" s="30"/>
      <c r="I438" s="30"/>
    </row>
    <row r="439">
      <c r="C439" s="30"/>
      <c r="D439" s="30"/>
      <c r="E439" s="30"/>
      <c r="I439" s="30"/>
    </row>
    <row r="440">
      <c r="C440" s="30"/>
      <c r="D440" s="30"/>
      <c r="E440" s="30"/>
      <c r="I440" s="30"/>
    </row>
    <row r="441">
      <c r="C441" s="30"/>
      <c r="D441" s="30"/>
      <c r="E441" s="30"/>
      <c r="I441" s="30"/>
    </row>
    <row r="442">
      <c r="C442" s="30"/>
      <c r="D442" s="30"/>
      <c r="E442" s="30"/>
      <c r="I442" s="30"/>
    </row>
    <row r="443">
      <c r="C443" s="30"/>
      <c r="D443" s="30"/>
      <c r="E443" s="30"/>
      <c r="I443" s="30"/>
    </row>
    <row r="444">
      <c r="C444" s="30"/>
      <c r="D444" s="30"/>
      <c r="E444" s="30"/>
      <c r="I444" s="30"/>
    </row>
    <row r="445">
      <c r="C445" s="30"/>
      <c r="D445" s="30"/>
      <c r="E445" s="30"/>
      <c r="I445" s="30"/>
    </row>
    <row r="446">
      <c r="C446" s="30"/>
      <c r="D446" s="30"/>
      <c r="E446" s="30"/>
      <c r="I446" s="30"/>
    </row>
    <row r="447">
      <c r="C447" s="30"/>
      <c r="D447" s="30"/>
      <c r="E447" s="30"/>
      <c r="I447" s="30"/>
    </row>
    <row r="448">
      <c r="C448" s="30"/>
      <c r="D448" s="30"/>
      <c r="E448" s="30"/>
      <c r="I448" s="30"/>
    </row>
    <row r="449">
      <c r="C449" s="30"/>
      <c r="D449" s="30"/>
      <c r="E449" s="30"/>
      <c r="I449" s="30"/>
    </row>
    <row r="450">
      <c r="C450" s="30"/>
      <c r="D450" s="30"/>
      <c r="E450" s="30"/>
      <c r="I450" s="30"/>
    </row>
    <row r="451">
      <c r="C451" s="30"/>
      <c r="D451" s="30"/>
      <c r="E451" s="30"/>
      <c r="I451" s="30"/>
    </row>
    <row r="452">
      <c r="C452" s="30"/>
      <c r="D452" s="30"/>
      <c r="E452" s="30"/>
      <c r="I452" s="30"/>
    </row>
    <row r="453">
      <c r="C453" s="30"/>
      <c r="D453" s="30"/>
      <c r="E453" s="30"/>
      <c r="I453" s="30"/>
    </row>
    <row r="454">
      <c r="C454" s="30"/>
      <c r="D454" s="30"/>
      <c r="E454" s="30"/>
      <c r="I454" s="30"/>
    </row>
    <row r="455">
      <c r="C455" s="30"/>
      <c r="D455" s="30"/>
      <c r="E455" s="30"/>
      <c r="I455" s="30"/>
    </row>
    <row r="456">
      <c r="C456" s="30"/>
      <c r="D456" s="30"/>
      <c r="E456" s="30"/>
      <c r="I456" s="30"/>
    </row>
    <row r="457">
      <c r="C457" s="30"/>
      <c r="D457" s="30"/>
      <c r="E457" s="30"/>
      <c r="I457" s="30"/>
    </row>
    <row r="458">
      <c r="C458" s="30"/>
      <c r="D458" s="30"/>
      <c r="E458" s="30"/>
      <c r="I458" s="30"/>
    </row>
    <row r="459">
      <c r="C459" s="30"/>
      <c r="D459" s="30"/>
      <c r="E459" s="30"/>
      <c r="I459" s="30"/>
    </row>
    <row r="460">
      <c r="C460" s="30"/>
      <c r="D460" s="30"/>
      <c r="E460" s="30"/>
      <c r="I460" s="30"/>
    </row>
    <row r="461">
      <c r="C461" s="30"/>
      <c r="D461" s="30"/>
      <c r="E461" s="30"/>
      <c r="I461" s="30"/>
    </row>
    <row r="462">
      <c r="C462" s="30"/>
      <c r="D462" s="30"/>
      <c r="E462" s="30"/>
      <c r="I462" s="30"/>
    </row>
    <row r="463">
      <c r="C463" s="30"/>
      <c r="D463" s="30"/>
      <c r="E463" s="30"/>
      <c r="I463" s="30"/>
    </row>
    <row r="464">
      <c r="C464" s="30"/>
      <c r="D464" s="30"/>
      <c r="E464" s="30"/>
      <c r="I464" s="30"/>
    </row>
    <row r="465">
      <c r="C465" s="30"/>
      <c r="D465" s="30"/>
      <c r="E465" s="30"/>
      <c r="I465" s="30"/>
    </row>
    <row r="466">
      <c r="C466" s="30"/>
      <c r="D466" s="30"/>
      <c r="E466" s="30"/>
      <c r="I466" s="30"/>
    </row>
    <row r="467">
      <c r="C467" s="30"/>
      <c r="D467" s="30"/>
      <c r="E467" s="30"/>
      <c r="I467" s="30"/>
    </row>
    <row r="468">
      <c r="C468" s="30"/>
      <c r="D468" s="30"/>
      <c r="E468" s="30"/>
      <c r="I468" s="30"/>
    </row>
    <row r="469">
      <c r="C469" s="30"/>
      <c r="D469" s="30"/>
      <c r="E469" s="30"/>
      <c r="I469" s="30"/>
    </row>
    <row r="470">
      <c r="C470" s="30"/>
      <c r="D470" s="30"/>
      <c r="E470" s="30"/>
      <c r="I470" s="30"/>
    </row>
    <row r="471">
      <c r="C471" s="30"/>
      <c r="D471" s="30"/>
      <c r="E471" s="30"/>
      <c r="I471" s="30"/>
    </row>
    <row r="472">
      <c r="C472" s="30"/>
      <c r="D472" s="30"/>
      <c r="E472" s="30"/>
      <c r="I472" s="30"/>
    </row>
    <row r="473">
      <c r="C473" s="30"/>
      <c r="D473" s="30"/>
      <c r="E473" s="30"/>
      <c r="I473" s="30"/>
    </row>
    <row r="474">
      <c r="C474" s="30"/>
      <c r="D474" s="30"/>
      <c r="E474" s="30"/>
      <c r="I474" s="30"/>
    </row>
    <row r="475">
      <c r="C475" s="30"/>
      <c r="D475" s="30"/>
      <c r="E475" s="30"/>
      <c r="I475" s="30"/>
    </row>
    <row r="476">
      <c r="C476" s="30"/>
      <c r="D476" s="30"/>
      <c r="E476" s="30"/>
      <c r="I476" s="30"/>
    </row>
    <row r="477">
      <c r="C477" s="30"/>
      <c r="D477" s="30"/>
      <c r="E477" s="30"/>
      <c r="I477" s="30"/>
    </row>
    <row r="478">
      <c r="C478" s="30"/>
      <c r="D478" s="30"/>
      <c r="E478" s="30"/>
      <c r="I478" s="30"/>
    </row>
    <row r="479">
      <c r="C479" s="30"/>
      <c r="D479" s="30"/>
      <c r="E479" s="30"/>
      <c r="I479" s="30"/>
    </row>
    <row r="480">
      <c r="C480" s="30"/>
      <c r="D480" s="30"/>
      <c r="E480" s="30"/>
      <c r="I480" s="30"/>
    </row>
    <row r="481">
      <c r="C481" s="30"/>
      <c r="D481" s="30"/>
      <c r="E481" s="30"/>
      <c r="I481" s="30"/>
    </row>
    <row r="482">
      <c r="C482" s="30"/>
      <c r="D482" s="30"/>
      <c r="E482" s="30"/>
      <c r="I482" s="30"/>
    </row>
    <row r="483">
      <c r="C483" s="30"/>
      <c r="D483" s="30"/>
      <c r="E483" s="30"/>
      <c r="I483" s="30"/>
    </row>
    <row r="484">
      <c r="C484" s="30"/>
      <c r="D484" s="30"/>
      <c r="E484" s="30"/>
      <c r="I484" s="30"/>
    </row>
    <row r="485">
      <c r="C485" s="30"/>
      <c r="D485" s="30"/>
      <c r="E485" s="30"/>
      <c r="I485" s="30"/>
    </row>
    <row r="486">
      <c r="C486" s="30"/>
      <c r="D486" s="30"/>
      <c r="E486" s="30"/>
      <c r="I486" s="30"/>
    </row>
    <row r="487">
      <c r="C487" s="30"/>
      <c r="D487" s="30"/>
      <c r="E487" s="30"/>
      <c r="I487" s="30"/>
    </row>
    <row r="488">
      <c r="C488" s="30"/>
      <c r="D488" s="30"/>
      <c r="E488" s="30"/>
      <c r="I488" s="30"/>
    </row>
    <row r="489">
      <c r="C489" s="30"/>
      <c r="D489" s="30"/>
      <c r="E489" s="30"/>
      <c r="I489" s="30"/>
    </row>
    <row r="490">
      <c r="C490" s="30"/>
      <c r="D490" s="30"/>
      <c r="E490" s="30"/>
      <c r="I490" s="30"/>
    </row>
    <row r="491">
      <c r="C491" s="30"/>
      <c r="D491" s="30"/>
      <c r="E491" s="30"/>
      <c r="I491" s="30"/>
    </row>
    <row r="492">
      <c r="C492" s="30"/>
      <c r="D492" s="30"/>
      <c r="E492" s="30"/>
      <c r="I492" s="30"/>
    </row>
    <row r="493">
      <c r="C493" s="30"/>
      <c r="D493" s="30"/>
      <c r="E493" s="30"/>
      <c r="I493" s="30"/>
    </row>
    <row r="494">
      <c r="C494" s="30"/>
      <c r="D494" s="30"/>
      <c r="E494" s="30"/>
      <c r="I494" s="30"/>
    </row>
    <row r="495">
      <c r="C495" s="30"/>
      <c r="D495" s="30"/>
      <c r="E495" s="30"/>
      <c r="I495" s="30"/>
    </row>
    <row r="496">
      <c r="C496" s="30"/>
      <c r="D496" s="30"/>
      <c r="E496" s="30"/>
      <c r="I496" s="30"/>
    </row>
    <row r="497">
      <c r="C497" s="30"/>
      <c r="D497" s="30"/>
      <c r="E497" s="30"/>
      <c r="I497" s="30"/>
    </row>
    <row r="498">
      <c r="C498" s="30"/>
      <c r="D498" s="30"/>
      <c r="E498" s="30"/>
      <c r="I498" s="30"/>
    </row>
    <row r="499">
      <c r="C499" s="30"/>
      <c r="D499" s="30"/>
      <c r="E499" s="30"/>
      <c r="I499" s="30"/>
    </row>
    <row r="500">
      <c r="C500" s="30"/>
      <c r="D500" s="30"/>
      <c r="E500" s="30"/>
      <c r="I500" s="30"/>
    </row>
    <row r="501">
      <c r="C501" s="30"/>
      <c r="D501" s="30"/>
      <c r="E501" s="30"/>
      <c r="I501" s="30"/>
    </row>
    <row r="502">
      <c r="C502" s="30"/>
      <c r="D502" s="30"/>
      <c r="E502" s="30"/>
      <c r="I502" s="30"/>
    </row>
    <row r="503">
      <c r="C503" s="30"/>
      <c r="D503" s="30"/>
      <c r="E503" s="30"/>
      <c r="I503" s="30"/>
    </row>
    <row r="504">
      <c r="C504" s="30"/>
      <c r="D504" s="30"/>
      <c r="E504" s="30"/>
      <c r="I504" s="30"/>
    </row>
    <row r="505">
      <c r="C505" s="30"/>
      <c r="D505" s="30"/>
      <c r="E505" s="30"/>
      <c r="I505" s="30"/>
    </row>
    <row r="506">
      <c r="C506" s="30"/>
      <c r="D506" s="30"/>
      <c r="E506" s="30"/>
      <c r="I506" s="30"/>
    </row>
    <row r="507">
      <c r="C507" s="30"/>
      <c r="D507" s="30"/>
      <c r="E507" s="30"/>
      <c r="I507" s="30"/>
    </row>
    <row r="508">
      <c r="C508" s="30"/>
      <c r="D508" s="30"/>
      <c r="E508" s="30"/>
      <c r="I508" s="30"/>
    </row>
    <row r="509">
      <c r="C509" s="30"/>
      <c r="D509" s="30"/>
      <c r="E509" s="30"/>
      <c r="I509" s="30"/>
    </row>
    <row r="510">
      <c r="C510" s="30"/>
      <c r="D510" s="30"/>
      <c r="E510" s="30"/>
      <c r="I510" s="30"/>
    </row>
    <row r="511">
      <c r="C511" s="30"/>
      <c r="D511" s="30"/>
      <c r="E511" s="30"/>
      <c r="I511" s="30"/>
    </row>
    <row r="512">
      <c r="C512" s="30"/>
      <c r="D512" s="30"/>
      <c r="E512" s="30"/>
      <c r="I512" s="30"/>
    </row>
    <row r="513">
      <c r="C513" s="30"/>
      <c r="D513" s="30"/>
      <c r="E513" s="30"/>
      <c r="I513" s="30"/>
    </row>
    <row r="514">
      <c r="C514" s="30"/>
      <c r="D514" s="30"/>
      <c r="E514" s="30"/>
      <c r="I514" s="30"/>
    </row>
    <row r="515">
      <c r="C515" s="30"/>
      <c r="D515" s="30"/>
      <c r="E515" s="30"/>
      <c r="I515" s="30"/>
    </row>
    <row r="516">
      <c r="C516" s="30"/>
      <c r="D516" s="30"/>
      <c r="E516" s="30"/>
      <c r="I516" s="30"/>
    </row>
    <row r="517">
      <c r="C517" s="30"/>
      <c r="D517" s="30"/>
      <c r="E517" s="30"/>
      <c r="I517" s="30"/>
    </row>
    <row r="518">
      <c r="C518" s="30"/>
      <c r="D518" s="30"/>
      <c r="E518" s="30"/>
      <c r="I518" s="30"/>
    </row>
    <row r="519">
      <c r="C519" s="30"/>
      <c r="D519" s="30"/>
      <c r="E519" s="30"/>
      <c r="I519" s="30"/>
    </row>
    <row r="520">
      <c r="C520" s="30"/>
      <c r="D520" s="30"/>
      <c r="E520" s="30"/>
      <c r="I520" s="30"/>
    </row>
    <row r="521">
      <c r="C521" s="30"/>
      <c r="D521" s="30"/>
      <c r="E521" s="30"/>
      <c r="I521" s="30"/>
    </row>
    <row r="522">
      <c r="C522" s="30"/>
      <c r="D522" s="30"/>
      <c r="E522" s="30"/>
      <c r="I522" s="30"/>
    </row>
    <row r="523">
      <c r="C523" s="30"/>
      <c r="D523" s="30"/>
      <c r="E523" s="30"/>
      <c r="I523" s="30"/>
    </row>
    <row r="524">
      <c r="C524" s="30"/>
      <c r="D524" s="30"/>
      <c r="E524" s="30"/>
      <c r="I524" s="30"/>
    </row>
    <row r="525">
      <c r="C525" s="30"/>
      <c r="D525" s="30"/>
      <c r="E525" s="30"/>
      <c r="I525" s="30"/>
    </row>
    <row r="526">
      <c r="C526" s="30"/>
      <c r="D526" s="30"/>
      <c r="E526" s="30"/>
      <c r="I526" s="30"/>
    </row>
    <row r="527">
      <c r="C527" s="30"/>
      <c r="D527" s="30"/>
      <c r="E527" s="30"/>
      <c r="I527" s="30"/>
    </row>
    <row r="528">
      <c r="C528" s="30"/>
      <c r="D528" s="30"/>
      <c r="E528" s="30"/>
      <c r="I528" s="30"/>
    </row>
    <row r="529">
      <c r="C529" s="30"/>
      <c r="D529" s="30"/>
      <c r="E529" s="30"/>
      <c r="I529" s="30"/>
    </row>
    <row r="530">
      <c r="C530" s="30"/>
      <c r="D530" s="30"/>
      <c r="E530" s="30"/>
      <c r="I530" s="30"/>
    </row>
    <row r="531">
      <c r="C531" s="30"/>
      <c r="D531" s="30"/>
      <c r="E531" s="30"/>
      <c r="I531" s="30"/>
    </row>
    <row r="532">
      <c r="C532" s="30"/>
      <c r="D532" s="30"/>
      <c r="E532" s="30"/>
      <c r="I532" s="30"/>
    </row>
    <row r="533">
      <c r="C533" s="30"/>
      <c r="D533" s="30"/>
      <c r="E533" s="30"/>
      <c r="I533" s="30"/>
    </row>
    <row r="534">
      <c r="C534" s="30"/>
      <c r="D534" s="30"/>
      <c r="E534" s="30"/>
      <c r="I534" s="30"/>
    </row>
    <row r="535">
      <c r="C535" s="30"/>
      <c r="D535" s="30"/>
      <c r="E535" s="30"/>
      <c r="I535" s="30"/>
    </row>
    <row r="536">
      <c r="C536" s="30"/>
      <c r="D536" s="30"/>
      <c r="E536" s="30"/>
      <c r="I536" s="30"/>
    </row>
    <row r="537">
      <c r="C537" s="30"/>
      <c r="D537" s="30"/>
      <c r="E537" s="30"/>
      <c r="I537" s="30"/>
    </row>
    <row r="538">
      <c r="C538" s="30"/>
      <c r="D538" s="30"/>
      <c r="E538" s="30"/>
      <c r="I538" s="30"/>
    </row>
    <row r="539">
      <c r="C539" s="30"/>
      <c r="D539" s="30"/>
      <c r="E539" s="30"/>
      <c r="I539" s="30"/>
    </row>
    <row r="540">
      <c r="C540" s="30"/>
      <c r="D540" s="30"/>
      <c r="E540" s="30"/>
      <c r="I540" s="30"/>
    </row>
    <row r="541">
      <c r="C541" s="30"/>
      <c r="D541" s="30"/>
      <c r="E541" s="30"/>
      <c r="I541" s="30"/>
    </row>
    <row r="542">
      <c r="C542" s="30"/>
      <c r="D542" s="30"/>
      <c r="E542" s="30"/>
      <c r="I542" s="30"/>
    </row>
    <row r="543">
      <c r="C543" s="30"/>
      <c r="D543" s="30"/>
      <c r="E543" s="30"/>
      <c r="I543" s="30"/>
    </row>
    <row r="544">
      <c r="C544" s="30"/>
      <c r="D544" s="30"/>
      <c r="E544" s="30"/>
      <c r="I544" s="30"/>
    </row>
    <row r="545">
      <c r="C545" s="30"/>
      <c r="D545" s="30"/>
      <c r="E545" s="30"/>
      <c r="I545" s="30"/>
    </row>
    <row r="546">
      <c r="C546" s="30"/>
      <c r="D546" s="30"/>
      <c r="E546" s="30"/>
      <c r="I546" s="30"/>
    </row>
    <row r="547">
      <c r="C547" s="30"/>
      <c r="D547" s="30"/>
      <c r="E547" s="30"/>
      <c r="I547" s="30"/>
    </row>
    <row r="548">
      <c r="C548" s="30"/>
      <c r="D548" s="30"/>
      <c r="E548" s="30"/>
      <c r="I548" s="30"/>
    </row>
    <row r="549">
      <c r="C549" s="30"/>
      <c r="D549" s="30"/>
      <c r="E549" s="30"/>
      <c r="I549" s="30"/>
    </row>
    <row r="550">
      <c r="C550" s="30"/>
      <c r="D550" s="30"/>
      <c r="E550" s="30"/>
      <c r="I550" s="30"/>
    </row>
    <row r="551">
      <c r="C551" s="30"/>
      <c r="D551" s="30"/>
      <c r="E551" s="30"/>
      <c r="I551" s="30"/>
    </row>
    <row r="552">
      <c r="C552" s="30"/>
      <c r="D552" s="30"/>
      <c r="E552" s="30"/>
      <c r="I552" s="30"/>
    </row>
    <row r="553">
      <c r="C553" s="30"/>
      <c r="D553" s="30"/>
      <c r="E553" s="30"/>
      <c r="I553" s="30"/>
    </row>
    <row r="554">
      <c r="C554" s="30"/>
      <c r="D554" s="30"/>
      <c r="E554" s="30"/>
      <c r="I554" s="30"/>
    </row>
    <row r="555">
      <c r="C555" s="30"/>
      <c r="D555" s="30"/>
      <c r="E555" s="30"/>
      <c r="I555" s="30"/>
    </row>
    <row r="556">
      <c r="C556" s="30"/>
      <c r="D556" s="30"/>
      <c r="E556" s="30"/>
      <c r="I556" s="30"/>
    </row>
    <row r="557">
      <c r="C557" s="30"/>
      <c r="D557" s="30"/>
      <c r="E557" s="30"/>
      <c r="I557" s="30"/>
    </row>
    <row r="558">
      <c r="C558" s="30"/>
      <c r="D558" s="30"/>
      <c r="E558" s="30"/>
      <c r="I558" s="30"/>
    </row>
    <row r="559">
      <c r="C559" s="30"/>
      <c r="D559" s="30"/>
      <c r="E559" s="30"/>
      <c r="I559" s="30"/>
    </row>
    <row r="560">
      <c r="C560" s="30"/>
      <c r="D560" s="30"/>
      <c r="E560" s="30"/>
      <c r="I560" s="30"/>
    </row>
    <row r="561">
      <c r="C561" s="30"/>
      <c r="D561" s="30"/>
      <c r="E561" s="30"/>
      <c r="I561" s="30"/>
    </row>
    <row r="562">
      <c r="C562" s="30"/>
      <c r="D562" s="30"/>
      <c r="E562" s="30"/>
      <c r="I562" s="30"/>
    </row>
    <row r="563">
      <c r="C563" s="30"/>
      <c r="D563" s="30"/>
      <c r="E563" s="30"/>
      <c r="I563" s="30"/>
    </row>
    <row r="564">
      <c r="C564" s="30"/>
      <c r="D564" s="30"/>
      <c r="E564" s="30"/>
      <c r="I564" s="30"/>
    </row>
    <row r="565">
      <c r="C565" s="30"/>
      <c r="D565" s="30"/>
      <c r="E565" s="30"/>
      <c r="I565" s="30"/>
    </row>
    <row r="566">
      <c r="C566" s="30"/>
      <c r="D566" s="30"/>
      <c r="E566" s="30"/>
      <c r="I566" s="30"/>
    </row>
    <row r="567">
      <c r="C567" s="30"/>
      <c r="D567" s="30"/>
      <c r="E567" s="30"/>
      <c r="I567" s="30"/>
    </row>
    <row r="568">
      <c r="C568" s="30"/>
      <c r="D568" s="30"/>
      <c r="E568" s="30"/>
      <c r="I568" s="30"/>
    </row>
    <row r="569">
      <c r="C569" s="30"/>
      <c r="D569" s="30"/>
      <c r="E569" s="30"/>
      <c r="I569" s="30"/>
    </row>
    <row r="570">
      <c r="C570" s="30"/>
      <c r="D570" s="30"/>
      <c r="E570" s="30"/>
      <c r="I570" s="30"/>
    </row>
    <row r="571">
      <c r="C571" s="30"/>
      <c r="D571" s="30"/>
      <c r="E571" s="30"/>
      <c r="I571" s="30"/>
    </row>
    <row r="572">
      <c r="C572" s="30"/>
      <c r="D572" s="30"/>
      <c r="E572" s="30"/>
      <c r="I572" s="30"/>
    </row>
    <row r="573">
      <c r="C573" s="30"/>
      <c r="D573" s="30"/>
      <c r="E573" s="30"/>
      <c r="I573" s="30"/>
    </row>
    <row r="574">
      <c r="C574" s="30"/>
      <c r="D574" s="30"/>
      <c r="E574" s="30"/>
      <c r="I574" s="30"/>
    </row>
    <row r="575">
      <c r="C575" s="30"/>
      <c r="D575" s="30"/>
      <c r="E575" s="30"/>
      <c r="I575" s="30"/>
    </row>
    <row r="576">
      <c r="C576" s="30"/>
      <c r="D576" s="30"/>
      <c r="E576" s="30"/>
      <c r="I576" s="30"/>
    </row>
    <row r="577">
      <c r="C577" s="30"/>
      <c r="D577" s="30"/>
      <c r="E577" s="30"/>
      <c r="I577" s="30"/>
    </row>
    <row r="578">
      <c r="C578" s="30"/>
      <c r="D578" s="30"/>
      <c r="E578" s="30"/>
      <c r="I578" s="30"/>
    </row>
    <row r="579">
      <c r="C579" s="30"/>
      <c r="D579" s="30"/>
      <c r="E579" s="30"/>
      <c r="I579" s="30"/>
    </row>
    <row r="580">
      <c r="C580" s="30"/>
      <c r="D580" s="30"/>
      <c r="E580" s="30"/>
      <c r="I580" s="30"/>
    </row>
    <row r="581">
      <c r="C581" s="30"/>
      <c r="D581" s="30"/>
      <c r="E581" s="30"/>
      <c r="I581" s="30"/>
    </row>
    <row r="582">
      <c r="C582" s="30"/>
      <c r="D582" s="30"/>
      <c r="E582" s="30"/>
      <c r="I582" s="30"/>
    </row>
    <row r="583">
      <c r="C583" s="30"/>
      <c r="D583" s="30"/>
      <c r="E583" s="30"/>
      <c r="I583" s="30"/>
    </row>
    <row r="584">
      <c r="C584" s="30"/>
      <c r="D584" s="30"/>
      <c r="E584" s="30"/>
      <c r="I584" s="30"/>
    </row>
    <row r="585">
      <c r="C585" s="30"/>
      <c r="D585" s="30"/>
      <c r="E585" s="30"/>
      <c r="I585" s="30"/>
    </row>
    <row r="586">
      <c r="C586" s="30"/>
      <c r="D586" s="30"/>
      <c r="E586" s="30"/>
      <c r="I586" s="30"/>
    </row>
    <row r="587">
      <c r="C587" s="30"/>
      <c r="D587" s="30"/>
      <c r="E587" s="30"/>
      <c r="I587" s="30"/>
    </row>
    <row r="588">
      <c r="C588" s="30"/>
      <c r="D588" s="30"/>
      <c r="E588" s="30"/>
      <c r="I588" s="30"/>
    </row>
    <row r="589">
      <c r="C589" s="30"/>
      <c r="D589" s="30"/>
      <c r="E589" s="30"/>
      <c r="I589" s="30"/>
    </row>
    <row r="590">
      <c r="C590" s="30"/>
      <c r="D590" s="30"/>
      <c r="E590" s="30"/>
      <c r="I590" s="30"/>
    </row>
    <row r="591">
      <c r="C591" s="30"/>
      <c r="D591" s="30"/>
      <c r="E591" s="30"/>
      <c r="I591" s="30"/>
    </row>
    <row r="592">
      <c r="C592" s="30"/>
      <c r="D592" s="30"/>
      <c r="E592" s="30"/>
      <c r="I592" s="30"/>
    </row>
    <row r="593">
      <c r="C593" s="30"/>
      <c r="D593" s="30"/>
      <c r="E593" s="30"/>
      <c r="I593" s="30"/>
    </row>
    <row r="594">
      <c r="C594" s="30"/>
      <c r="D594" s="30"/>
      <c r="E594" s="30"/>
      <c r="I594" s="30"/>
    </row>
    <row r="595">
      <c r="C595" s="30"/>
      <c r="D595" s="30"/>
      <c r="E595" s="30"/>
      <c r="I595" s="30"/>
    </row>
    <row r="596">
      <c r="C596" s="30"/>
      <c r="D596" s="30"/>
      <c r="E596" s="30"/>
      <c r="I596" s="30"/>
    </row>
    <row r="597">
      <c r="C597" s="30"/>
      <c r="D597" s="30"/>
      <c r="E597" s="30"/>
      <c r="I597" s="30"/>
    </row>
    <row r="598">
      <c r="C598" s="30"/>
      <c r="D598" s="30"/>
      <c r="E598" s="30"/>
      <c r="I598" s="30"/>
    </row>
    <row r="599">
      <c r="C599" s="30"/>
      <c r="D599" s="30"/>
      <c r="E599" s="30"/>
      <c r="I599" s="30"/>
    </row>
    <row r="600">
      <c r="C600" s="30"/>
      <c r="D600" s="30"/>
      <c r="E600" s="30"/>
      <c r="I600" s="30"/>
    </row>
    <row r="601">
      <c r="C601" s="30"/>
      <c r="D601" s="30"/>
      <c r="E601" s="30"/>
      <c r="I601" s="30"/>
    </row>
    <row r="602">
      <c r="C602" s="30"/>
      <c r="D602" s="30"/>
      <c r="E602" s="30"/>
      <c r="I602" s="30"/>
    </row>
    <row r="603">
      <c r="C603" s="30"/>
      <c r="D603" s="30"/>
      <c r="E603" s="30"/>
      <c r="I603" s="30"/>
    </row>
    <row r="604">
      <c r="C604" s="30"/>
      <c r="D604" s="30"/>
      <c r="E604" s="30"/>
      <c r="I604" s="30"/>
    </row>
    <row r="605">
      <c r="C605" s="30"/>
      <c r="D605" s="30"/>
      <c r="E605" s="30"/>
      <c r="I605" s="30"/>
    </row>
    <row r="606">
      <c r="C606" s="30"/>
      <c r="D606" s="30"/>
      <c r="E606" s="30"/>
      <c r="I606" s="30"/>
    </row>
    <row r="607">
      <c r="C607" s="30"/>
      <c r="D607" s="30"/>
      <c r="E607" s="30"/>
      <c r="I607" s="30"/>
    </row>
    <row r="608">
      <c r="C608" s="30"/>
      <c r="D608" s="30"/>
      <c r="E608" s="30"/>
      <c r="I608" s="30"/>
    </row>
    <row r="609">
      <c r="C609" s="30"/>
      <c r="D609" s="30"/>
      <c r="E609" s="30"/>
      <c r="I609" s="30"/>
    </row>
    <row r="610">
      <c r="C610" s="30"/>
      <c r="D610" s="30"/>
      <c r="E610" s="30"/>
      <c r="I610" s="30"/>
    </row>
    <row r="611">
      <c r="C611" s="30"/>
      <c r="D611" s="30"/>
      <c r="E611" s="30"/>
      <c r="I611" s="30"/>
    </row>
    <row r="612">
      <c r="C612" s="30"/>
      <c r="D612" s="30"/>
      <c r="E612" s="30"/>
      <c r="I612" s="30"/>
    </row>
    <row r="613">
      <c r="C613" s="30"/>
      <c r="D613" s="30"/>
      <c r="E613" s="30"/>
      <c r="I613" s="30"/>
    </row>
    <row r="614">
      <c r="C614" s="30"/>
      <c r="D614" s="30"/>
      <c r="E614" s="30"/>
      <c r="I614" s="30"/>
    </row>
    <row r="615">
      <c r="C615" s="30"/>
      <c r="D615" s="30"/>
      <c r="E615" s="30"/>
      <c r="I615" s="30"/>
    </row>
    <row r="616">
      <c r="C616" s="30"/>
      <c r="D616" s="30"/>
      <c r="E616" s="30"/>
      <c r="I616" s="30"/>
    </row>
    <row r="617">
      <c r="C617" s="30"/>
      <c r="D617" s="30"/>
      <c r="E617" s="30"/>
      <c r="I617" s="30"/>
    </row>
    <row r="618">
      <c r="C618" s="30"/>
      <c r="D618" s="30"/>
      <c r="E618" s="30"/>
      <c r="I618" s="30"/>
    </row>
    <row r="619">
      <c r="C619" s="30"/>
      <c r="D619" s="30"/>
      <c r="E619" s="30"/>
      <c r="I619" s="30"/>
    </row>
    <row r="620">
      <c r="C620" s="30"/>
      <c r="D620" s="30"/>
      <c r="E620" s="30"/>
      <c r="I620" s="30"/>
    </row>
    <row r="621">
      <c r="C621" s="30"/>
      <c r="D621" s="30"/>
      <c r="E621" s="30"/>
      <c r="I621" s="30"/>
    </row>
    <row r="622">
      <c r="C622" s="30"/>
      <c r="D622" s="30"/>
      <c r="E622" s="30"/>
      <c r="I622" s="30"/>
    </row>
    <row r="623">
      <c r="C623" s="30"/>
      <c r="D623" s="30"/>
      <c r="E623" s="30"/>
      <c r="I623" s="30"/>
    </row>
    <row r="624">
      <c r="C624" s="30"/>
      <c r="D624" s="30"/>
      <c r="E624" s="30"/>
      <c r="I624" s="30"/>
    </row>
    <row r="625">
      <c r="C625" s="30"/>
      <c r="D625" s="30"/>
      <c r="E625" s="30"/>
      <c r="I625" s="30"/>
    </row>
    <row r="626">
      <c r="C626" s="30"/>
      <c r="D626" s="30"/>
      <c r="E626" s="30"/>
      <c r="I626" s="30"/>
    </row>
    <row r="627">
      <c r="C627" s="30"/>
      <c r="D627" s="30"/>
      <c r="E627" s="30"/>
      <c r="I627" s="30"/>
    </row>
    <row r="628">
      <c r="C628" s="30"/>
      <c r="D628" s="30"/>
      <c r="E628" s="30"/>
      <c r="I628" s="30"/>
    </row>
    <row r="629">
      <c r="C629" s="30"/>
      <c r="D629" s="30"/>
      <c r="E629" s="30"/>
      <c r="I629" s="30"/>
    </row>
    <row r="630">
      <c r="C630" s="30"/>
      <c r="D630" s="30"/>
      <c r="E630" s="30"/>
      <c r="I630" s="30"/>
    </row>
    <row r="631">
      <c r="C631" s="30"/>
      <c r="D631" s="30"/>
      <c r="E631" s="30"/>
      <c r="I631" s="30"/>
    </row>
    <row r="632">
      <c r="C632" s="30"/>
      <c r="D632" s="30"/>
      <c r="E632" s="30"/>
      <c r="I632" s="30"/>
    </row>
    <row r="633">
      <c r="C633" s="30"/>
      <c r="D633" s="30"/>
      <c r="E633" s="30"/>
      <c r="I633" s="30"/>
    </row>
    <row r="634">
      <c r="C634" s="30"/>
      <c r="D634" s="30"/>
      <c r="E634" s="30"/>
      <c r="I634" s="30"/>
    </row>
    <row r="635">
      <c r="C635" s="30"/>
      <c r="D635" s="30"/>
      <c r="E635" s="30"/>
      <c r="I635" s="30"/>
    </row>
    <row r="636">
      <c r="C636" s="30"/>
      <c r="D636" s="30"/>
      <c r="E636" s="30"/>
      <c r="I636" s="30"/>
    </row>
    <row r="637">
      <c r="C637" s="30"/>
      <c r="D637" s="30"/>
      <c r="E637" s="30"/>
      <c r="I637" s="30"/>
    </row>
    <row r="638">
      <c r="C638" s="30"/>
      <c r="D638" s="30"/>
      <c r="E638" s="30"/>
      <c r="I638" s="30"/>
    </row>
    <row r="639">
      <c r="C639" s="30"/>
      <c r="D639" s="30"/>
      <c r="E639" s="30"/>
      <c r="I639" s="30"/>
    </row>
    <row r="640">
      <c r="C640" s="30"/>
      <c r="D640" s="30"/>
      <c r="E640" s="30"/>
      <c r="I640" s="30"/>
    </row>
    <row r="641">
      <c r="C641" s="30"/>
      <c r="D641" s="30"/>
      <c r="E641" s="30"/>
      <c r="I641" s="30"/>
    </row>
    <row r="642">
      <c r="C642" s="30"/>
      <c r="D642" s="30"/>
      <c r="E642" s="30"/>
      <c r="I642" s="30"/>
    </row>
    <row r="643">
      <c r="C643" s="30"/>
      <c r="D643" s="30"/>
      <c r="E643" s="30"/>
      <c r="I643" s="30"/>
    </row>
    <row r="644">
      <c r="C644" s="30"/>
      <c r="D644" s="30"/>
      <c r="E644" s="30"/>
      <c r="I644" s="30"/>
    </row>
    <row r="645">
      <c r="C645" s="30"/>
      <c r="D645" s="30"/>
      <c r="E645" s="30"/>
      <c r="I645" s="30"/>
    </row>
    <row r="646">
      <c r="C646" s="30"/>
      <c r="D646" s="30"/>
      <c r="E646" s="30"/>
      <c r="I646" s="30"/>
    </row>
    <row r="647">
      <c r="C647" s="30"/>
      <c r="D647" s="30"/>
      <c r="E647" s="30"/>
      <c r="I647" s="30"/>
    </row>
    <row r="648">
      <c r="C648" s="30"/>
      <c r="D648" s="30"/>
      <c r="E648" s="30"/>
      <c r="I648" s="30"/>
    </row>
    <row r="649">
      <c r="C649" s="30"/>
      <c r="D649" s="30"/>
      <c r="E649" s="30"/>
      <c r="I649" s="30"/>
    </row>
    <row r="650">
      <c r="C650" s="30"/>
      <c r="D650" s="30"/>
      <c r="E650" s="30"/>
      <c r="I650" s="30"/>
    </row>
    <row r="651">
      <c r="C651" s="30"/>
      <c r="D651" s="30"/>
      <c r="E651" s="30"/>
      <c r="I651" s="30"/>
    </row>
    <row r="652">
      <c r="C652" s="30"/>
      <c r="D652" s="30"/>
      <c r="E652" s="30"/>
      <c r="I652" s="30"/>
    </row>
    <row r="653">
      <c r="C653" s="30"/>
      <c r="D653" s="30"/>
      <c r="E653" s="30"/>
      <c r="I653" s="30"/>
    </row>
    <row r="654">
      <c r="C654" s="30"/>
      <c r="D654" s="30"/>
      <c r="E654" s="30"/>
      <c r="I654" s="30"/>
    </row>
    <row r="655">
      <c r="C655" s="30"/>
      <c r="D655" s="30"/>
      <c r="E655" s="30"/>
      <c r="I655" s="30"/>
    </row>
    <row r="656">
      <c r="C656" s="30"/>
      <c r="D656" s="30"/>
      <c r="E656" s="30"/>
      <c r="I656" s="30"/>
    </row>
    <row r="657">
      <c r="C657" s="30"/>
      <c r="D657" s="30"/>
      <c r="E657" s="30"/>
      <c r="I657" s="30"/>
    </row>
    <row r="658">
      <c r="C658" s="30"/>
      <c r="D658" s="30"/>
      <c r="E658" s="30"/>
      <c r="I658" s="30"/>
    </row>
    <row r="659">
      <c r="C659" s="30"/>
      <c r="D659" s="30"/>
      <c r="E659" s="30"/>
      <c r="I659" s="30"/>
    </row>
    <row r="660">
      <c r="C660" s="30"/>
      <c r="D660" s="30"/>
      <c r="E660" s="30"/>
      <c r="I660" s="30"/>
    </row>
    <row r="661">
      <c r="C661" s="30"/>
      <c r="D661" s="30"/>
      <c r="E661" s="30"/>
      <c r="I661" s="30"/>
    </row>
    <row r="662">
      <c r="C662" s="30"/>
      <c r="D662" s="30"/>
      <c r="E662" s="30"/>
      <c r="I662" s="30"/>
    </row>
    <row r="663">
      <c r="C663" s="30"/>
      <c r="D663" s="30"/>
      <c r="E663" s="30"/>
      <c r="I663" s="30"/>
    </row>
    <row r="664">
      <c r="C664" s="30"/>
      <c r="D664" s="30"/>
      <c r="E664" s="30"/>
      <c r="I664" s="30"/>
    </row>
    <row r="665">
      <c r="C665" s="30"/>
      <c r="D665" s="30"/>
      <c r="E665" s="30"/>
      <c r="I665" s="30"/>
    </row>
    <row r="666">
      <c r="C666" s="30"/>
      <c r="D666" s="30"/>
      <c r="E666" s="30"/>
      <c r="I666" s="30"/>
    </row>
    <row r="667">
      <c r="C667" s="30"/>
      <c r="D667" s="30"/>
      <c r="E667" s="30"/>
      <c r="I667" s="30"/>
    </row>
    <row r="668">
      <c r="C668" s="30"/>
      <c r="D668" s="30"/>
      <c r="E668" s="30"/>
      <c r="I668" s="30"/>
    </row>
    <row r="669">
      <c r="C669" s="30"/>
      <c r="D669" s="30"/>
      <c r="E669" s="30"/>
      <c r="I669" s="30"/>
    </row>
    <row r="670">
      <c r="C670" s="30"/>
      <c r="D670" s="30"/>
      <c r="E670" s="30"/>
      <c r="I670" s="30"/>
    </row>
    <row r="671">
      <c r="C671" s="30"/>
      <c r="D671" s="30"/>
      <c r="E671" s="30"/>
      <c r="I671" s="30"/>
    </row>
    <row r="672">
      <c r="C672" s="30"/>
      <c r="D672" s="30"/>
      <c r="E672" s="30"/>
      <c r="I672" s="30"/>
    </row>
    <row r="673">
      <c r="C673" s="30"/>
      <c r="D673" s="30"/>
      <c r="E673" s="30"/>
      <c r="I673" s="30"/>
    </row>
    <row r="674">
      <c r="C674" s="30"/>
      <c r="D674" s="30"/>
      <c r="E674" s="30"/>
      <c r="I674" s="30"/>
    </row>
    <row r="675">
      <c r="C675" s="30"/>
      <c r="D675" s="30"/>
      <c r="E675" s="30"/>
      <c r="I675" s="30"/>
    </row>
    <row r="676">
      <c r="C676" s="30"/>
      <c r="D676" s="30"/>
      <c r="E676" s="30"/>
      <c r="I676" s="30"/>
    </row>
    <row r="677">
      <c r="C677" s="30"/>
      <c r="D677" s="30"/>
      <c r="E677" s="30"/>
      <c r="I677" s="30"/>
    </row>
    <row r="678">
      <c r="C678" s="30"/>
      <c r="D678" s="30"/>
      <c r="E678" s="30"/>
      <c r="I678" s="30"/>
    </row>
    <row r="679">
      <c r="C679" s="30"/>
      <c r="D679" s="30"/>
      <c r="E679" s="30"/>
      <c r="I679" s="30"/>
    </row>
    <row r="680">
      <c r="C680" s="30"/>
      <c r="D680" s="30"/>
      <c r="E680" s="30"/>
      <c r="I680" s="30"/>
    </row>
    <row r="681">
      <c r="C681" s="30"/>
      <c r="D681" s="30"/>
      <c r="E681" s="30"/>
      <c r="I681" s="30"/>
    </row>
    <row r="682">
      <c r="C682" s="30"/>
      <c r="D682" s="30"/>
      <c r="E682" s="30"/>
      <c r="I682" s="30"/>
    </row>
    <row r="683">
      <c r="C683" s="30"/>
      <c r="D683" s="30"/>
      <c r="E683" s="30"/>
      <c r="I683" s="30"/>
    </row>
    <row r="684">
      <c r="C684" s="30"/>
      <c r="D684" s="30"/>
      <c r="E684" s="30"/>
      <c r="I684" s="30"/>
    </row>
    <row r="685">
      <c r="C685" s="30"/>
      <c r="D685" s="30"/>
      <c r="E685" s="30"/>
      <c r="I685" s="30"/>
    </row>
    <row r="686">
      <c r="C686" s="30"/>
      <c r="D686" s="30"/>
      <c r="E686" s="30"/>
      <c r="I686" s="30"/>
    </row>
    <row r="687">
      <c r="C687" s="30"/>
      <c r="D687" s="30"/>
      <c r="E687" s="30"/>
      <c r="I687" s="30"/>
    </row>
    <row r="688">
      <c r="C688" s="30"/>
      <c r="D688" s="30"/>
      <c r="E688" s="30"/>
      <c r="I688" s="30"/>
    </row>
    <row r="689">
      <c r="C689" s="30"/>
      <c r="D689" s="30"/>
      <c r="E689" s="30"/>
      <c r="I689" s="30"/>
    </row>
    <row r="690">
      <c r="C690" s="30"/>
      <c r="D690" s="30"/>
      <c r="E690" s="30"/>
      <c r="I690" s="30"/>
    </row>
    <row r="691">
      <c r="C691" s="30"/>
      <c r="D691" s="30"/>
      <c r="E691" s="30"/>
      <c r="I691" s="30"/>
    </row>
    <row r="692">
      <c r="C692" s="30"/>
      <c r="D692" s="30"/>
      <c r="E692" s="30"/>
      <c r="I692" s="30"/>
    </row>
    <row r="693">
      <c r="C693" s="30"/>
      <c r="D693" s="30"/>
      <c r="E693" s="30"/>
      <c r="I693" s="30"/>
    </row>
    <row r="694">
      <c r="C694" s="30"/>
      <c r="D694" s="30"/>
      <c r="E694" s="30"/>
      <c r="I694" s="30"/>
    </row>
    <row r="695">
      <c r="C695" s="30"/>
      <c r="D695" s="30"/>
      <c r="E695" s="30"/>
      <c r="I695" s="30"/>
    </row>
    <row r="696">
      <c r="C696" s="30"/>
      <c r="D696" s="30"/>
      <c r="E696" s="30"/>
      <c r="I696" s="30"/>
    </row>
    <row r="697">
      <c r="C697" s="30"/>
      <c r="D697" s="30"/>
      <c r="E697" s="30"/>
      <c r="I697" s="30"/>
    </row>
    <row r="698">
      <c r="C698" s="30"/>
      <c r="D698" s="30"/>
      <c r="E698" s="30"/>
      <c r="I698" s="30"/>
    </row>
    <row r="699">
      <c r="C699" s="30"/>
      <c r="D699" s="30"/>
      <c r="E699" s="30"/>
      <c r="I699" s="30"/>
    </row>
    <row r="700">
      <c r="C700" s="30"/>
      <c r="D700" s="30"/>
      <c r="E700" s="30"/>
      <c r="I700" s="30"/>
    </row>
    <row r="701">
      <c r="C701" s="30"/>
      <c r="D701" s="30"/>
      <c r="E701" s="30"/>
      <c r="I701" s="30"/>
    </row>
    <row r="702">
      <c r="C702" s="30"/>
      <c r="D702" s="30"/>
      <c r="E702" s="30"/>
      <c r="I702" s="30"/>
    </row>
    <row r="703">
      <c r="C703" s="30"/>
      <c r="D703" s="30"/>
      <c r="E703" s="30"/>
      <c r="I703" s="30"/>
    </row>
    <row r="704">
      <c r="C704" s="30"/>
      <c r="D704" s="30"/>
      <c r="E704" s="30"/>
      <c r="I704" s="30"/>
    </row>
    <row r="705">
      <c r="C705" s="30"/>
      <c r="D705" s="30"/>
      <c r="E705" s="30"/>
      <c r="I705" s="30"/>
    </row>
    <row r="706">
      <c r="C706" s="30"/>
      <c r="D706" s="30"/>
      <c r="E706" s="30"/>
      <c r="I706" s="30"/>
    </row>
    <row r="707">
      <c r="C707" s="30"/>
      <c r="D707" s="30"/>
      <c r="E707" s="30"/>
      <c r="I707" s="30"/>
    </row>
    <row r="708">
      <c r="C708" s="30"/>
      <c r="D708" s="30"/>
      <c r="E708" s="30"/>
      <c r="I708" s="30"/>
    </row>
    <row r="709">
      <c r="C709" s="30"/>
      <c r="D709" s="30"/>
      <c r="E709" s="30"/>
      <c r="I709" s="30"/>
    </row>
    <row r="710">
      <c r="C710" s="30"/>
      <c r="D710" s="30"/>
      <c r="E710" s="30"/>
      <c r="I710" s="30"/>
    </row>
    <row r="711">
      <c r="C711" s="30"/>
      <c r="D711" s="30"/>
      <c r="E711" s="30"/>
      <c r="I711" s="30"/>
    </row>
    <row r="712">
      <c r="C712" s="30"/>
      <c r="D712" s="30"/>
      <c r="E712" s="30"/>
      <c r="I712" s="30"/>
    </row>
    <row r="713">
      <c r="C713" s="30"/>
      <c r="D713" s="30"/>
      <c r="E713" s="30"/>
      <c r="I713" s="30"/>
    </row>
    <row r="714">
      <c r="C714" s="30"/>
      <c r="D714" s="30"/>
      <c r="E714" s="30"/>
      <c r="I714" s="30"/>
    </row>
    <row r="715">
      <c r="C715" s="30"/>
      <c r="D715" s="30"/>
      <c r="E715" s="30"/>
      <c r="I715" s="30"/>
    </row>
    <row r="716">
      <c r="C716" s="30"/>
      <c r="D716" s="30"/>
      <c r="E716" s="30"/>
      <c r="I716" s="30"/>
    </row>
    <row r="717">
      <c r="C717" s="30"/>
      <c r="D717" s="30"/>
      <c r="E717" s="30"/>
      <c r="I717" s="30"/>
    </row>
    <row r="718">
      <c r="C718" s="30"/>
      <c r="D718" s="30"/>
      <c r="E718" s="30"/>
      <c r="I718" s="30"/>
    </row>
    <row r="719">
      <c r="C719" s="30"/>
      <c r="D719" s="30"/>
      <c r="E719" s="30"/>
      <c r="I719" s="30"/>
    </row>
    <row r="720">
      <c r="C720" s="30"/>
      <c r="D720" s="30"/>
      <c r="E720" s="30"/>
      <c r="I720" s="30"/>
    </row>
    <row r="721">
      <c r="C721" s="30"/>
      <c r="D721" s="30"/>
      <c r="E721" s="30"/>
      <c r="I721" s="30"/>
    </row>
    <row r="722">
      <c r="C722" s="30"/>
      <c r="D722" s="30"/>
      <c r="E722" s="30"/>
      <c r="I722" s="30"/>
    </row>
    <row r="723">
      <c r="C723" s="30"/>
      <c r="D723" s="30"/>
      <c r="E723" s="30"/>
      <c r="I723" s="30"/>
    </row>
    <row r="724">
      <c r="C724" s="30"/>
      <c r="D724" s="30"/>
      <c r="E724" s="30"/>
      <c r="I724" s="30"/>
    </row>
    <row r="725">
      <c r="C725" s="30"/>
      <c r="D725" s="30"/>
      <c r="E725" s="30"/>
      <c r="I725" s="30"/>
    </row>
    <row r="726">
      <c r="C726" s="30"/>
      <c r="D726" s="30"/>
      <c r="E726" s="30"/>
      <c r="I726" s="30"/>
    </row>
    <row r="727">
      <c r="C727" s="30"/>
      <c r="D727" s="30"/>
      <c r="E727" s="30"/>
      <c r="I727" s="30"/>
    </row>
    <row r="728">
      <c r="C728" s="30"/>
      <c r="D728" s="30"/>
      <c r="E728" s="30"/>
      <c r="I728" s="30"/>
    </row>
    <row r="729">
      <c r="C729" s="30"/>
      <c r="D729" s="30"/>
      <c r="E729" s="30"/>
      <c r="I729" s="30"/>
    </row>
    <row r="730">
      <c r="C730" s="30"/>
      <c r="D730" s="30"/>
      <c r="E730" s="30"/>
      <c r="I730" s="30"/>
    </row>
    <row r="731">
      <c r="C731" s="30"/>
      <c r="D731" s="30"/>
      <c r="E731" s="30"/>
      <c r="I731" s="30"/>
    </row>
    <row r="732">
      <c r="C732" s="30"/>
      <c r="D732" s="30"/>
      <c r="E732" s="30"/>
      <c r="I732" s="30"/>
    </row>
    <row r="733">
      <c r="C733" s="30"/>
      <c r="D733" s="30"/>
      <c r="E733" s="30"/>
      <c r="I733" s="30"/>
    </row>
    <row r="734">
      <c r="C734" s="30"/>
      <c r="D734" s="30"/>
      <c r="E734" s="30"/>
      <c r="I734" s="30"/>
    </row>
    <row r="735">
      <c r="C735" s="30"/>
      <c r="D735" s="30"/>
      <c r="E735" s="30"/>
      <c r="I735" s="30"/>
    </row>
    <row r="736">
      <c r="C736" s="30"/>
      <c r="D736" s="30"/>
      <c r="E736" s="30"/>
      <c r="I736" s="30"/>
    </row>
    <row r="737">
      <c r="C737" s="30"/>
      <c r="D737" s="30"/>
      <c r="E737" s="30"/>
      <c r="I737" s="30"/>
    </row>
    <row r="738">
      <c r="C738" s="30"/>
      <c r="D738" s="30"/>
      <c r="E738" s="30"/>
      <c r="I738" s="30"/>
    </row>
    <row r="739">
      <c r="C739" s="30"/>
      <c r="D739" s="30"/>
      <c r="E739" s="30"/>
      <c r="I739" s="30"/>
    </row>
    <row r="740">
      <c r="C740" s="30"/>
      <c r="D740" s="30"/>
      <c r="E740" s="30"/>
      <c r="I740" s="30"/>
    </row>
    <row r="741">
      <c r="C741" s="30"/>
      <c r="D741" s="30"/>
      <c r="E741" s="30"/>
      <c r="I741" s="30"/>
    </row>
    <row r="742">
      <c r="C742" s="30"/>
      <c r="D742" s="30"/>
      <c r="E742" s="30"/>
      <c r="I742" s="30"/>
    </row>
    <row r="743">
      <c r="C743" s="30"/>
      <c r="D743" s="30"/>
      <c r="E743" s="30"/>
      <c r="I743" s="30"/>
    </row>
    <row r="744">
      <c r="C744" s="30"/>
      <c r="D744" s="30"/>
      <c r="E744" s="30"/>
      <c r="I744" s="30"/>
    </row>
    <row r="745">
      <c r="C745" s="30"/>
      <c r="D745" s="30"/>
      <c r="E745" s="30"/>
      <c r="I745" s="30"/>
    </row>
    <row r="746">
      <c r="C746" s="30"/>
      <c r="D746" s="30"/>
      <c r="E746" s="30"/>
      <c r="I746" s="30"/>
    </row>
    <row r="747">
      <c r="C747" s="30"/>
      <c r="D747" s="30"/>
      <c r="E747" s="30"/>
      <c r="I747" s="30"/>
    </row>
    <row r="748">
      <c r="C748" s="30"/>
      <c r="D748" s="30"/>
      <c r="E748" s="30"/>
      <c r="I748" s="30"/>
    </row>
    <row r="749">
      <c r="C749" s="30"/>
      <c r="D749" s="30"/>
      <c r="E749" s="30"/>
      <c r="I749" s="30"/>
    </row>
    <row r="750">
      <c r="C750" s="30"/>
      <c r="D750" s="30"/>
      <c r="E750" s="30"/>
      <c r="I750" s="30"/>
    </row>
    <row r="751">
      <c r="C751" s="30"/>
      <c r="D751" s="30"/>
      <c r="E751" s="30"/>
      <c r="I751" s="30"/>
    </row>
    <row r="752">
      <c r="C752" s="30"/>
      <c r="D752" s="30"/>
      <c r="E752" s="30"/>
      <c r="I752" s="30"/>
    </row>
    <row r="753">
      <c r="C753" s="30"/>
      <c r="D753" s="30"/>
      <c r="E753" s="30"/>
      <c r="I753" s="30"/>
    </row>
    <row r="754">
      <c r="C754" s="30"/>
      <c r="D754" s="30"/>
      <c r="E754" s="30"/>
      <c r="I754" s="30"/>
    </row>
    <row r="755">
      <c r="C755" s="30"/>
      <c r="D755" s="30"/>
      <c r="E755" s="30"/>
      <c r="I755" s="30"/>
    </row>
    <row r="756">
      <c r="C756" s="30"/>
      <c r="D756" s="30"/>
      <c r="E756" s="30"/>
      <c r="I756" s="30"/>
    </row>
    <row r="757">
      <c r="C757" s="30"/>
      <c r="D757" s="30"/>
      <c r="E757" s="30"/>
      <c r="I757" s="30"/>
    </row>
    <row r="758">
      <c r="C758" s="30"/>
      <c r="D758" s="30"/>
      <c r="E758" s="30"/>
      <c r="I758" s="30"/>
    </row>
    <row r="759">
      <c r="C759" s="30"/>
      <c r="D759" s="30"/>
      <c r="E759" s="30"/>
      <c r="I759" s="30"/>
    </row>
    <row r="760">
      <c r="C760" s="30"/>
      <c r="D760" s="30"/>
      <c r="E760" s="30"/>
      <c r="I760" s="30"/>
    </row>
    <row r="761">
      <c r="C761" s="30"/>
      <c r="D761" s="30"/>
      <c r="E761" s="30"/>
      <c r="I761" s="30"/>
    </row>
    <row r="762">
      <c r="C762" s="30"/>
      <c r="D762" s="30"/>
      <c r="E762" s="30"/>
      <c r="I762" s="30"/>
    </row>
    <row r="763">
      <c r="C763" s="30"/>
      <c r="D763" s="30"/>
      <c r="E763" s="30"/>
      <c r="I763" s="30"/>
    </row>
    <row r="764">
      <c r="C764" s="30"/>
      <c r="D764" s="30"/>
      <c r="E764" s="30"/>
      <c r="I764" s="30"/>
    </row>
    <row r="765">
      <c r="C765" s="30"/>
      <c r="D765" s="30"/>
      <c r="E765" s="30"/>
      <c r="I765" s="30"/>
    </row>
    <row r="766">
      <c r="C766" s="30"/>
      <c r="D766" s="30"/>
      <c r="E766" s="30"/>
      <c r="I766" s="30"/>
    </row>
    <row r="767">
      <c r="C767" s="30"/>
      <c r="D767" s="30"/>
      <c r="E767" s="30"/>
      <c r="I767" s="30"/>
    </row>
    <row r="768">
      <c r="C768" s="30"/>
      <c r="D768" s="30"/>
      <c r="E768" s="30"/>
      <c r="I768" s="30"/>
    </row>
    <row r="769">
      <c r="C769" s="30"/>
      <c r="D769" s="30"/>
      <c r="E769" s="30"/>
      <c r="I769" s="30"/>
    </row>
    <row r="770">
      <c r="C770" s="30"/>
      <c r="D770" s="30"/>
      <c r="E770" s="30"/>
      <c r="I770" s="30"/>
    </row>
    <row r="771">
      <c r="C771" s="30"/>
      <c r="D771" s="30"/>
      <c r="E771" s="30"/>
      <c r="I771" s="30"/>
    </row>
    <row r="772">
      <c r="C772" s="30"/>
      <c r="D772" s="30"/>
      <c r="E772" s="30"/>
      <c r="I772" s="30"/>
    </row>
    <row r="773">
      <c r="C773" s="30"/>
      <c r="D773" s="30"/>
      <c r="E773" s="30"/>
      <c r="I773" s="30"/>
    </row>
    <row r="774">
      <c r="C774" s="30"/>
      <c r="D774" s="30"/>
      <c r="E774" s="30"/>
      <c r="I774" s="30"/>
    </row>
    <row r="775">
      <c r="C775" s="30"/>
      <c r="D775" s="30"/>
      <c r="E775" s="30"/>
      <c r="I775" s="30"/>
    </row>
    <row r="776">
      <c r="C776" s="30"/>
      <c r="D776" s="30"/>
      <c r="E776" s="30"/>
      <c r="I776" s="30"/>
    </row>
    <row r="777">
      <c r="C777" s="30"/>
      <c r="D777" s="30"/>
      <c r="E777" s="30"/>
      <c r="I777" s="30"/>
    </row>
    <row r="778">
      <c r="C778" s="30"/>
      <c r="D778" s="30"/>
      <c r="E778" s="30"/>
      <c r="I778" s="30"/>
    </row>
    <row r="779">
      <c r="C779" s="30"/>
      <c r="D779" s="30"/>
      <c r="E779" s="30"/>
      <c r="I779" s="30"/>
    </row>
    <row r="780">
      <c r="C780" s="30"/>
      <c r="D780" s="30"/>
      <c r="E780" s="30"/>
      <c r="I780" s="30"/>
    </row>
    <row r="781">
      <c r="C781" s="30"/>
      <c r="D781" s="30"/>
      <c r="E781" s="30"/>
      <c r="I781" s="30"/>
    </row>
    <row r="782">
      <c r="C782" s="30"/>
      <c r="D782" s="30"/>
      <c r="E782" s="30"/>
      <c r="I782" s="30"/>
    </row>
    <row r="783">
      <c r="C783" s="30"/>
      <c r="D783" s="30"/>
      <c r="E783" s="30"/>
      <c r="I783" s="30"/>
    </row>
    <row r="784">
      <c r="C784" s="30"/>
      <c r="D784" s="30"/>
      <c r="E784" s="30"/>
      <c r="I784" s="30"/>
    </row>
    <row r="785">
      <c r="C785" s="30"/>
      <c r="D785" s="30"/>
      <c r="E785" s="30"/>
      <c r="I785" s="30"/>
    </row>
    <row r="786">
      <c r="C786" s="30"/>
      <c r="D786" s="30"/>
      <c r="E786" s="30"/>
      <c r="I786" s="30"/>
    </row>
    <row r="787">
      <c r="C787" s="30"/>
      <c r="D787" s="30"/>
      <c r="E787" s="30"/>
      <c r="I787" s="30"/>
    </row>
    <row r="788">
      <c r="C788" s="30"/>
      <c r="D788" s="30"/>
      <c r="E788" s="30"/>
      <c r="I788" s="30"/>
    </row>
    <row r="789">
      <c r="C789" s="30"/>
      <c r="D789" s="30"/>
      <c r="E789" s="30"/>
      <c r="I789" s="30"/>
    </row>
    <row r="790">
      <c r="C790" s="30"/>
      <c r="D790" s="30"/>
      <c r="E790" s="30"/>
      <c r="I790" s="30"/>
    </row>
    <row r="791">
      <c r="C791" s="30"/>
      <c r="D791" s="30"/>
      <c r="E791" s="30"/>
      <c r="I791" s="30"/>
    </row>
    <row r="792">
      <c r="C792" s="30"/>
      <c r="D792" s="30"/>
      <c r="E792" s="30"/>
      <c r="I792" s="30"/>
    </row>
    <row r="793">
      <c r="C793" s="30"/>
      <c r="D793" s="30"/>
      <c r="E793" s="30"/>
      <c r="I793" s="30"/>
    </row>
    <row r="794">
      <c r="C794" s="30"/>
      <c r="D794" s="30"/>
      <c r="E794" s="30"/>
      <c r="I794" s="30"/>
    </row>
    <row r="795">
      <c r="C795" s="30"/>
      <c r="D795" s="30"/>
      <c r="E795" s="30"/>
      <c r="I795" s="30"/>
    </row>
    <row r="796">
      <c r="C796" s="30"/>
      <c r="D796" s="30"/>
      <c r="E796" s="30"/>
      <c r="I796" s="30"/>
    </row>
    <row r="797">
      <c r="C797" s="30"/>
      <c r="D797" s="30"/>
      <c r="E797" s="30"/>
      <c r="I797" s="30"/>
    </row>
    <row r="798">
      <c r="C798" s="30"/>
      <c r="D798" s="30"/>
      <c r="E798" s="30"/>
      <c r="I798" s="30"/>
    </row>
    <row r="799">
      <c r="C799" s="30"/>
      <c r="D799" s="30"/>
      <c r="E799" s="30"/>
      <c r="I799" s="30"/>
    </row>
    <row r="800">
      <c r="C800" s="30"/>
      <c r="D800" s="30"/>
      <c r="E800" s="30"/>
      <c r="I800" s="30"/>
    </row>
    <row r="801">
      <c r="C801" s="30"/>
      <c r="D801" s="30"/>
      <c r="E801" s="30"/>
      <c r="I801" s="30"/>
    </row>
    <row r="802">
      <c r="C802" s="30"/>
      <c r="D802" s="30"/>
      <c r="E802" s="30"/>
      <c r="I802" s="30"/>
    </row>
    <row r="803">
      <c r="C803" s="30"/>
      <c r="D803" s="30"/>
      <c r="E803" s="30"/>
      <c r="I803" s="30"/>
    </row>
    <row r="804">
      <c r="C804" s="30"/>
      <c r="D804" s="30"/>
      <c r="E804" s="30"/>
      <c r="I804" s="30"/>
    </row>
    <row r="805">
      <c r="C805" s="30"/>
      <c r="D805" s="30"/>
      <c r="E805" s="30"/>
      <c r="I805" s="30"/>
    </row>
    <row r="806">
      <c r="C806" s="30"/>
      <c r="D806" s="30"/>
      <c r="E806" s="30"/>
      <c r="I806" s="30"/>
    </row>
    <row r="807">
      <c r="C807" s="30"/>
      <c r="D807" s="30"/>
      <c r="E807" s="30"/>
      <c r="I807" s="30"/>
    </row>
    <row r="808">
      <c r="C808" s="30"/>
      <c r="D808" s="30"/>
      <c r="E808" s="30"/>
      <c r="I808" s="30"/>
    </row>
    <row r="809">
      <c r="C809" s="30"/>
      <c r="D809" s="30"/>
      <c r="E809" s="30"/>
      <c r="I809" s="30"/>
    </row>
    <row r="810">
      <c r="C810" s="30"/>
      <c r="D810" s="30"/>
      <c r="E810" s="30"/>
      <c r="I810" s="30"/>
    </row>
    <row r="811">
      <c r="C811" s="30"/>
      <c r="D811" s="30"/>
      <c r="E811" s="30"/>
      <c r="I811" s="30"/>
    </row>
    <row r="812">
      <c r="C812" s="30"/>
      <c r="D812" s="30"/>
      <c r="E812" s="30"/>
      <c r="I812" s="30"/>
    </row>
    <row r="813">
      <c r="C813" s="30"/>
      <c r="D813" s="30"/>
      <c r="E813" s="30"/>
      <c r="I813" s="30"/>
    </row>
    <row r="814">
      <c r="C814" s="30"/>
      <c r="D814" s="30"/>
      <c r="E814" s="30"/>
      <c r="I814" s="30"/>
    </row>
    <row r="815">
      <c r="C815" s="30"/>
      <c r="D815" s="30"/>
      <c r="E815" s="30"/>
      <c r="I815" s="30"/>
    </row>
    <row r="816">
      <c r="C816" s="30"/>
      <c r="D816" s="30"/>
      <c r="E816" s="30"/>
      <c r="I816" s="30"/>
    </row>
    <row r="817">
      <c r="C817" s="30"/>
      <c r="D817" s="30"/>
      <c r="E817" s="30"/>
      <c r="I817" s="30"/>
    </row>
    <row r="818">
      <c r="C818" s="30"/>
      <c r="D818" s="30"/>
      <c r="E818" s="30"/>
      <c r="I818" s="30"/>
    </row>
    <row r="819">
      <c r="C819" s="30"/>
      <c r="D819" s="30"/>
      <c r="E819" s="30"/>
      <c r="I819" s="30"/>
    </row>
    <row r="820">
      <c r="C820" s="30"/>
      <c r="D820" s="30"/>
      <c r="E820" s="30"/>
      <c r="I820" s="30"/>
    </row>
    <row r="821">
      <c r="C821" s="30"/>
      <c r="D821" s="30"/>
      <c r="E821" s="30"/>
      <c r="I821" s="30"/>
    </row>
    <row r="822">
      <c r="C822" s="30"/>
      <c r="D822" s="30"/>
      <c r="E822" s="30"/>
      <c r="I822" s="30"/>
    </row>
    <row r="823">
      <c r="C823" s="30"/>
      <c r="D823" s="30"/>
      <c r="E823" s="30"/>
      <c r="I823" s="30"/>
    </row>
    <row r="824">
      <c r="C824" s="30"/>
      <c r="D824" s="30"/>
      <c r="E824" s="30"/>
      <c r="I824" s="30"/>
    </row>
    <row r="825">
      <c r="C825" s="30"/>
      <c r="D825" s="30"/>
      <c r="E825" s="30"/>
      <c r="I825" s="30"/>
    </row>
    <row r="826">
      <c r="C826" s="30"/>
      <c r="D826" s="30"/>
      <c r="E826" s="30"/>
      <c r="I826" s="30"/>
    </row>
    <row r="827">
      <c r="C827" s="30"/>
      <c r="D827" s="30"/>
      <c r="E827" s="30"/>
      <c r="I827" s="30"/>
    </row>
    <row r="828">
      <c r="C828" s="30"/>
      <c r="D828" s="30"/>
      <c r="E828" s="30"/>
      <c r="I828" s="30"/>
    </row>
    <row r="829">
      <c r="C829" s="30"/>
      <c r="D829" s="30"/>
      <c r="E829" s="30"/>
      <c r="I829" s="30"/>
    </row>
    <row r="830">
      <c r="C830" s="30"/>
      <c r="D830" s="30"/>
      <c r="E830" s="30"/>
      <c r="I830" s="30"/>
    </row>
    <row r="831">
      <c r="C831" s="30"/>
      <c r="D831" s="30"/>
      <c r="E831" s="30"/>
      <c r="I831" s="30"/>
    </row>
    <row r="832">
      <c r="C832" s="30"/>
      <c r="D832" s="30"/>
      <c r="E832" s="30"/>
      <c r="I832" s="30"/>
    </row>
    <row r="833">
      <c r="C833" s="30"/>
      <c r="D833" s="30"/>
      <c r="E833" s="30"/>
      <c r="I833" s="30"/>
    </row>
    <row r="834">
      <c r="C834" s="30"/>
      <c r="D834" s="30"/>
      <c r="E834" s="30"/>
      <c r="I834" s="30"/>
    </row>
    <row r="835">
      <c r="C835" s="30"/>
      <c r="D835" s="30"/>
      <c r="E835" s="30"/>
      <c r="I835" s="30"/>
    </row>
    <row r="836">
      <c r="C836" s="30"/>
      <c r="D836" s="30"/>
      <c r="E836" s="30"/>
      <c r="I836" s="30"/>
    </row>
    <row r="837">
      <c r="C837" s="30"/>
      <c r="D837" s="30"/>
      <c r="E837" s="30"/>
      <c r="I837" s="30"/>
    </row>
    <row r="838">
      <c r="C838" s="30"/>
      <c r="D838" s="30"/>
      <c r="E838" s="30"/>
      <c r="I838" s="30"/>
    </row>
    <row r="839">
      <c r="C839" s="30"/>
      <c r="D839" s="30"/>
      <c r="E839" s="30"/>
      <c r="I839" s="30"/>
    </row>
    <row r="840">
      <c r="C840" s="30"/>
      <c r="D840" s="30"/>
      <c r="E840" s="30"/>
      <c r="I840" s="30"/>
    </row>
    <row r="841">
      <c r="C841" s="30"/>
      <c r="D841" s="30"/>
      <c r="E841" s="30"/>
      <c r="I841" s="30"/>
    </row>
    <row r="842">
      <c r="C842" s="30"/>
      <c r="D842" s="30"/>
      <c r="E842" s="30"/>
      <c r="I842" s="30"/>
    </row>
    <row r="843">
      <c r="C843" s="30"/>
      <c r="D843" s="30"/>
      <c r="E843" s="30"/>
      <c r="I843" s="30"/>
    </row>
    <row r="844">
      <c r="C844" s="30"/>
      <c r="D844" s="30"/>
      <c r="E844" s="30"/>
      <c r="I844" s="30"/>
    </row>
    <row r="845">
      <c r="C845" s="30"/>
      <c r="D845" s="30"/>
      <c r="E845" s="30"/>
      <c r="I845" s="30"/>
    </row>
    <row r="846">
      <c r="C846" s="30"/>
      <c r="D846" s="30"/>
      <c r="E846" s="30"/>
      <c r="I846" s="30"/>
    </row>
    <row r="847">
      <c r="C847" s="30"/>
      <c r="D847" s="30"/>
      <c r="E847" s="30"/>
      <c r="I847" s="30"/>
    </row>
    <row r="848">
      <c r="C848" s="30"/>
      <c r="D848" s="30"/>
      <c r="E848" s="30"/>
      <c r="I848" s="30"/>
    </row>
    <row r="849">
      <c r="C849" s="30"/>
      <c r="D849" s="30"/>
      <c r="E849" s="30"/>
      <c r="I849" s="30"/>
    </row>
    <row r="850">
      <c r="C850" s="30"/>
      <c r="D850" s="30"/>
      <c r="E850" s="30"/>
      <c r="I850" s="30"/>
    </row>
    <row r="851">
      <c r="C851" s="30"/>
      <c r="D851" s="30"/>
      <c r="E851" s="30"/>
      <c r="I851" s="30"/>
    </row>
    <row r="852">
      <c r="C852" s="30"/>
      <c r="D852" s="30"/>
      <c r="E852" s="30"/>
      <c r="I852" s="30"/>
    </row>
    <row r="853">
      <c r="C853" s="30"/>
      <c r="D853" s="30"/>
      <c r="E853" s="30"/>
      <c r="I853" s="30"/>
    </row>
    <row r="854">
      <c r="C854" s="30"/>
      <c r="D854" s="30"/>
      <c r="E854" s="30"/>
      <c r="I854" s="30"/>
    </row>
    <row r="855">
      <c r="C855" s="30"/>
      <c r="D855" s="30"/>
      <c r="E855" s="30"/>
      <c r="I855" s="30"/>
    </row>
    <row r="856">
      <c r="C856" s="30"/>
      <c r="D856" s="30"/>
      <c r="E856" s="30"/>
      <c r="I856" s="30"/>
    </row>
    <row r="857">
      <c r="C857" s="30"/>
      <c r="D857" s="30"/>
      <c r="E857" s="30"/>
      <c r="I857" s="30"/>
    </row>
    <row r="858">
      <c r="C858" s="30"/>
      <c r="D858" s="30"/>
      <c r="E858" s="30"/>
      <c r="I858" s="30"/>
    </row>
    <row r="859">
      <c r="C859" s="30"/>
      <c r="D859" s="30"/>
      <c r="E859" s="30"/>
      <c r="I859" s="30"/>
    </row>
    <row r="860">
      <c r="C860" s="30"/>
      <c r="D860" s="30"/>
      <c r="E860" s="30"/>
      <c r="I860" s="30"/>
    </row>
    <row r="861">
      <c r="C861" s="30"/>
      <c r="D861" s="30"/>
      <c r="E861" s="30"/>
      <c r="I861" s="30"/>
    </row>
    <row r="862">
      <c r="C862" s="30"/>
      <c r="D862" s="30"/>
      <c r="E862" s="30"/>
      <c r="I862" s="30"/>
    </row>
    <row r="863">
      <c r="C863" s="30"/>
      <c r="D863" s="30"/>
      <c r="E863" s="30"/>
      <c r="I863" s="30"/>
    </row>
    <row r="864">
      <c r="C864" s="30"/>
      <c r="D864" s="30"/>
      <c r="E864" s="30"/>
      <c r="I864" s="30"/>
    </row>
    <row r="865">
      <c r="C865" s="30"/>
      <c r="D865" s="30"/>
      <c r="E865" s="30"/>
      <c r="I865" s="30"/>
    </row>
    <row r="866">
      <c r="C866" s="30"/>
      <c r="D866" s="30"/>
      <c r="E866" s="30"/>
      <c r="I866" s="30"/>
    </row>
    <row r="867">
      <c r="C867" s="30"/>
      <c r="D867" s="30"/>
      <c r="E867" s="30"/>
      <c r="I867" s="30"/>
    </row>
    <row r="868">
      <c r="C868" s="30"/>
      <c r="D868" s="30"/>
      <c r="E868" s="30"/>
      <c r="I868" s="30"/>
    </row>
    <row r="869">
      <c r="C869" s="30"/>
      <c r="D869" s="30"/>
      <c r="E869" s="30"/>
      <c r="I869" s="30"/>
    </row>
    <row r="870">
      <c r="C870" s="30"/>
      <c r="D870" s="30"/>
      <c r="E870" s="30"/>
      <c r="I870" s="30"/>
    </row>
    <row r="871">
      <c r="C871" s="30"/>
      <c r="D871" s="30"/>
      <c r="E871" s="30"/>
      <c r="I871" s="30"/>
    </row>
    <row r="872">
      <c r="C872" s="30"/>
      <c r="D872" s="30"/>
      <c r="E872" s="30"/>
      <c r="I872" s="30"/>
    </row>
    <row r="873">
      <c r="C873" s="30"/>
      <c r="D873" s="30"/>
      <c r="E873" s="30"/>
      <c r="I873" s="30"/>
    </row>
    <row r="874">
      <c r="C874" s="30"/>
      <c r="D874" s="30"/>
      <c r="E874" s="30"/>
      <c r="I874" s="30"/>
    </row>
    <row r="875">
      <c r="C875" s="30"/>
      <c r="D875" s="30"/>
      <c r="E875" s="30"/>
      <c r="I875" s="30"/>
    </row>
    <row r="876">
      <c r="C876" s="30"/>
      <c r="D876" s="30"/>
      <c r="E876" s="30"/>
      <c r="I876" s="30"/>
    </row>
    <row r="877">
      <c r="C877" s="30"/>
      <c r="D877" s="30"/>
      <c r="E877" s="30"/>
      <c r="I877" s="30"/>
    </row>
    <row r="878">
      <c r="C878" s="30"/>
      <c r="D878" s="30"/>
      <c r="E878" s="30"/>
      <c r="I878" s="30"/>
    </row>
    <row r="879">
      <c r="C879" s="30"/>
      <c r="D879" s="30"/>
      <c r="E879" s="30"/>
      <c r="I879" s="30"/>
    </row>
    <row r="880">
      <c r="C880" s="30"/>
      <c r="D880" s="30"/>
      <c r="E880" s="30"/>
      <c r="I880" s="30"/>
    </row>
    <row r="881">
      <c r="C881" s="30"/>
      <c r="D881" s="30"/>
      <c r="E881" s="30"/>
      <c r="I881" s="30"/>
    </row>
    <row r="882">
      <c r="C882" s="30"/>
      <c r="D882" s="30"/>
      <c r="E882" s="30"/>
      <c r="I882" s="30"/>
    </row>
    <row r="883">
      <c r="C883" s="30"/>
      <c r="D883" s="30"/>
      <c r="E883" s="30"/>
      <c r="I883" s="30"/>
    </row>
    <row r="884">
      <c r="C884" s="30"/>
      <c r="D884" s="30"/>
      <c r="E884" s="30"/>
      <c r="I884" s="30"/>
    </row>
    <row r="885">
      <c r="C885" s="30"/>
      <c r="D885" s="30"/>
      <c r="E885" s="30"/>
      <c r="I885" s="30"/>
    </row>
    <row r="886">
      <c r="C886" s="30"/>
      <c r="D886" s="30"/>
      <c r="E886" s="30"/>
      <c r="I886" s="30"/>
    </row>
    <row r="887">
      <c r="C887" s="30"/>
      <c r="D887" s="30"/>
      <c r="E887" s="30"/>
      <c r="I887" s="30"/>
    </row>
    <row r="888">
      <c r="C888" s="30"/>
      <c r="D888" s="30"/>
      <c r="E888" s="30"/>
      <c r="I888" s="30"/>
    </row>
    <row r="889">
      <c r="C889" s="30"/>
      <c r="D889" s="30"/>
      <c r="E889" s="30"/>
      <c r="I889" s="30"/>
    </row>
    <row r="890">
      <c r="C890" s="30"/>
      <c r="D890" s="30"/>
      <c r="E890" s="30"/>
      <c r="I890" s="30"/>
    </row>
    <row r="891">
      <c r="C891" s="30"/>
      <c r="D891" s="30"/>
      <c r="E891" s="30"/>
      <c r="I891" s="30"/>
    </row>
    <row r="892">
      <c r="C892" s="30"/>
      <c r="D892" s="30"/>
      <c r="E892" s="30"/>
      <c r="I892" s="30"/>
    </row>
    <row r="893">
      <c r="C893" s="30"/>
      <c r="D893" s="30"/>
      <c r="E893" s="30"/>
      <c r="I893" s="30"/>
    </row>
    <row r="894">
      <c r="C894" s="30"/>
      <c r="D894" s="30"/>
      <c r="E894" s="30"/>
      <c r="I894" s="30"/>
    </row>
    <row r="895">
      <c r="C895" s="30"/>
      <c r="D895" s="30"/>
      <c r="E895" s="30"/>
      <c r="I895" s="30"/>
    </row>
    <row r="896">
      <c r="C896" s="30"/>
      <c r="D896" s="30"/>
      <c r="E896" s="30"/>
      <c r="I896" s="30"/>
    </row>
    <row r="897">
      <c r="C897" s="30"/>
      <c r="D897" s="30"/>
      <c r="E897" s="30"/>
      <c r="I897" s="30"/>
    </row>
    <row r="898">
      <c r="C898" s="30"/>
      <c r="D898" s="30"/>
      <c r="E898" s="30"/>
      <c r="I898" s="30"/>
    </row>
    <row r="899">
      <c r="C899" s="30"/>
      <c r="D899" s="30"/>
      <c r="E899" s="30"/>
      <c r="I899" s="30"/>
    </row>
    <row r="900">
      <c r="C900" s="30"/>
      <c r="D900" s="30"/>
      <c r="E900" s="30"/>
      <c r="I900" s="30"/>
    </row>
    <row r="901">
      <c r="C901" s="30"/>
      <c r="D901" s="30"/>
      <c r="E901" s="30"/>
      <c r="I901" s="30"/>
    </row>
    <row r="902">
      <c r="C902" s="30"/>
      <c r="D902" s="30"/>
      <c r="E902" s="30"/>
      <c r="I902" s="30"/>
    </row>
    <row r="903">
      <c r="C903" s="30"/>
      <c r="D903" s="30"/>
      <c r="E903" s="30"/>
      <c r="I903" s="30"/>
    </row>
    <row r="904">
      <c r="C904" s="30"/>
      <c r="D904" s="30"/>
      <c r="E904" s="30"/>
      <c r="I904" s="30"/>
    </row>
    <row r="905">
      <c r="C905" s="30"/>
      <c r="D905" s="30"/>
      <c r="E905" s="30"/>
      <c r="I905" s="30"/>
    </row>
    <row r="906">
      <c r="C906" s="30"/>
      <c r="D906" s="30"/>
      <c r="E906" s="30"/>
      <c r="I906" s="30"/>
    </row>
    <row r="907">
      <c r="C907" s="30"/>
      <c r="D907" s="30"/>
      <c r="E907" s="30"/>
      <c r="I907" s="30"/>
    </row>
    <row r="908">
      <c r="C908" s="30"/>
      <c r="D908" s="30"/>
      <c r="E908" s="30"/>
      <c r="I908" s="30"/>
    </row>
    <row r="909">
      <c r="C909" s="30"/>
      <c r="D909" s="30"/>
      <c r="E909" s="30"/>
      <c r="I909" s="30"/>
    </row>
    <row r="910">
      <c r="C910" s="30"/>
      <c r="D910" s="30"/>
      <c r="E910" s="30"/>
      <c r="I910" s="30"/>
    </row>
    <row r="911">
      <c r="C911" s="30"/>
      <c r="D911" s="30"/>
      <c r="E911" s="30"/>
      <c r="I911" s="30"/>
    </row>
    <row r="912">
      <c r="C912" s="30"/>
      <c r="D912" s="30"/>
      <c r="E912" s="30"/>
      <c r="I912" s="30"/>
    </row>
    <row r="913">
      <c r="C913" s="30"/>
      <c r="D913" s="30"/>
      <c r="E913" s="30"/>
      <c r="I913" s="30"/>
    </row>
    <row r="914">
      <c r="C914" s="30"/>
      <c r="D914" s="30"/>
      <c r="E914" s="30"/>
      <c r="I914" s="30"/>
    </row>
    <row r="915">
      <c r="C915" s="30"/>
      <c r="D915" s="30"/>
      <c r="E915" s="30"/>
      <c r="I915" s="30"/>
    </row>
    <row r="916">
      <c r="C916" s="30"/>
      <c r="D916" s="30"/>
      <c r="E916" s="30"/>
      <c r="I916" s="30"/>
    </row>
    <row r="917">
      <c r="C917" s="30"/>
      <c r="D917" s="30"/>
      <c r="E917" s="30"/>
      <c r="I917" s="30"/>
    </row>
    <row r="918">
      <c r="C918" s="30"/>
      <c r="D918" s="30"/>
      <c r="E918" s="30"/>
      <c r="I918" s="30"/>
    </row>
    <row r="919">
      <c r="C919" s="30"/>
      <c r="D919" s="30"/>
      <c r="E919" s="30"/>
      <c r="I919" s="30"/>
    </row>
    <row r="920">
      <c r="C920" s="30"/>
      <c r="D920" s="30"/>
      <c r="E920" s="30"/>
      <c r="I920" s="30"/>
    </row>
    <row r="921">
      <c r="C921" s="30"/>
      <c r="D921" s="30"/>
      <c r="E921" s="30"/>
      <c r="I921" s="30"/>
    </row>
    <row r="922">
      <c r="C922" s="30"/>
      <c r="D922" s="30"/>
      <c r="E922" s="30"/>
      <c r="I922" s="30"/>
    </row>
    <row r="923">
      <c r="C923" s="30"/>
      <c r="D923" s="30"/>
      <c r="E923" s="30"/>
      <c r="I923" s="30"/>
    </row>
    <row r="924">
      <c r="C924" s="30"/>
      <c r="D924" s="30"/>
      <c r="E924" s="30"/>
      <c r="I924" s="30"/>
    </row>
    <row r="925">
      <c r="C925" s="30"/>
      <c r="D925" s="30"/>
      <c r="E925" s="30"/>
      <c r="I925" s="30"/>
    </row>
    <row r="926">
      <c r="C926" s="30"/>
      <c r="D926" s="30"/>
      <c r="E926" s="30"/>
      <c r="I926" s="30"/>
    </row>
    <row r="927">
      <c r="C927" s="30"/>
      <c r="D927" s="30"/>
      <c r="E927" s="30"/>
      <c r="I927" s="30"/>
    </row>
    <row r="928">
      <c r="C928" s="30"/>
      <c r="D928" s="30"/>
      <c r="E928" s="30"/>
      <c r="I928" s="30"/>
    </row>
    <row r="929">
      <c r="C929" s="30"/>
      <c r="D929" s="30"/>
      <c r="E929" s="30"/>
      <c r="I929" s="30"/>
    </row>
    <row r="930">
      <c r="C930" s="30"/>
      <c r="D930" s="30"/>
      <c r="E930" s="30"/>
      <c r="I930" s="30"/>
    </row>
    <row r="931">
      <c r="C931" s="30"/>
      <c r="D931" s="30"/>
      <c r="E931" s="30"/>
      <c r="I931" s="30"/>
    </row>
    <row r="932">
      <c r="C932" s="30"/>
      <c r="D932" s="30"/>
      <c r="E932" s="30"/>
      <c r="I932" s="30"/>
    </row>
    <row r="933">
      <c r="C933" s="30"/>
      <c r="D933" s="30"/>
      <c r="E933" s="30"/>
      <c r="I933" s="30"/>
    </row>
    <row r="934">
      <c r="C934" s="30"/>
      <c r="D934" s="30"/>
      <c r="E934" s="30"/>
      <c r="I934" s="30"/>
    </row>
    <row r="935">
      <c r="C935" s="30"/>
      <c r="D935" s="30"/>
      <c r="E935" s="30"/>
      <c r="I935" s="30"/>
    </row>
    <row r="936">
      <c r="C936" s="30"/>
      <c r="D936" s="30"/>
      <c r="E936" s="30"/>
      <c r="I936" s="30"/>
    </row>
    <row r="937">
      <c r="C937" s="30"/>
      <c r="D937" s="30"/>
      <c r="E937" s="30"/>
      <c r="I937" s="30"/>
    </row>
    <row r="938">
      <c r="C938" s="30"/>
      <c r="D938" s="30"/>
      <c r="E938" s="30"/>
      <c r="I938" s="30"/>
    </row>
    <row r="939">
      <c r="C939" s="30"/>
      <c r="D939" s="30"/>
      <c r="E939" s="30"/>
      <c r="I939" s="30"/>
    </row>
    <row r="940">
      <c r="C940" s="30"/>
      <c r="D940" s="30"/>
      <c r="E940" s="30"/>
      <c r="I940" s="30"/>
    </row>
    <row r="941">
      <c r="C941" s="30"/>
      <c r="D941" s="30"/>
      <c r="E941" s="30"/>
      <c r="I941" s="30"/>
    </row>
    <row r="942">
      <c r="C942" s="30"/>
      <c r="D942" s="30"/>
      <c r="E942" s="30"/>
      <c r="I942" s="30"/>
    </row>
    <row r="943">
      <c r="C943" s="30"/>
      <c r="D943" s="30"/>
      <c r="E943" s="30"/>
      <c r="I943" s="30"/>
    </row>
    <row r="944">
      <c r="C944" s="30"/>
      <c r="D944" s="30"/>
      <c r="E944" s="30"/>
      <c r="I944" s="30"/>
    </row>
    <row r="945">
      <c r="C945" s="30"/>
      <c r="D945" s="30"/>
      <c r="E945" s="30"/>
      <c r="I945" s="30"/>
    </row>
    <row r="946">
      <c r="C946" s="30"/>
      <c r="D946" s="30"/>
      <c r="E946" s="30"/>
      <c r="I946" s="30"/>
    </row>
    <row r="947">
      <c r="C947" s="30"/>
      <c r="D947" s="30"/>
      <c r="E947" s="30"/>
      <c r="I947" s="30"/>
    </row>
    <row r="948">
      <c r="C948" s="30"/>
      <c r="D948" s="30"/>
      <c r="E948" s="30"/>
      <c r="I948" s="30"/>
    </row>
    <row r="949">
      <c r="C949" s="30"/>
      <c r="D949" s="30"/>
      <c r="E949" s="30"/>
      <c r="I949" s="30"/>
    </row>
    <row r="950">
      <c r="C950" s="30"/>
      <c r="D950" s="30"/>
      <c r="E950" s="30"/>
      <c r="I950" s="30"/>
    </row>
    <row r="951">
      <c r="C951" s="30"/>
      <c r="D951" s="30"/>
      <c r="E951" s="30"/>
      <c r="I951" s="30"/>
    </row>
    <row r="952">
      <c r="C952" s="30"/>
      <c r="D952" s="30"/>
      <c r="E952" s="30"/>
      <c r="I952" s="30"/>
    </row>
    <row r="953">
      <c r="C953" s="30"/>
      <c r="D953" s="30"/>
      <c r="E953" s="30"/>
      <c r="I953" s="30"/>
    </row>
    <row r="954">
      <c r="C954" s="30"/>
      <c r="D954" s="30"/>
      <c r="E954" s="30"/>
      <c r="I954" s="30"/>
    </row>
    <row r="955">
      <c r="C955" s="30"/>
      <c r="D955" s="30"/>
      <c r="E955" s="30"/>
      <c r="I955" s="30"/>
    </row>
    <row r="956">
      <c r="C956" s="30"/>
      <c r="D956" s="30"/>
      <c r="E956" s="30"/>
      <c r="I956" s="30"/>
    </row>
    <row r="957">
      <c r="C957" s="30"/>
      <c r="D957" s="30"/>
      <c r="E957" s="30"/>
      <c r="I957" s="30"/>
    </row>
    <row r="958">
      <c r="C958" s="30"/>
      <c r="D958" s="30"/>
      <c r="E958" s="30"/>
      <c r="I958" s="30"/>
    </row>
    <row r="959">
      <c r="C959" s="30"/>
      <c r="D959" s="30"/>
      <c r="E959" s="30"/>
      <c r="I959" s="30"/>
    </row>
    <row r="960">
      <c r="C960" s="30"/>
      <c r="D960" s="30"/>
      <c r="E960" s="30"/>
      <c r="I960" s="30"/>
    </row>
    <row r="961">
      <c r="C961" s="30"/>
      <c r="D961" s="30"/>
      <c r="E961" s="30"/>
      <c r="I961" s="30"/>
    </row>
    <row r="962">
      <c r="C962" s="30"/>
      <c r="D962" s="30"/>
      <c r="E962" s="30"/>
      <c r="I962" s="30"/>
    </row>
    <row r="963">
      <c r="C963" s="30"/>
      <c r="D963" s="30"/>
      <c r="E963" s="30"/>
      <c r="I963" s="30"/>
    </row>
    <row r="964">
      <c r="C964" s="30"/>
      <c r="D964" s="30"/>
      <c r="E964" s="30"/>
      <c r="I964" s="30"/>
    </row>
    <row r="965">
      <c r="C965" s="30"/>
      <c r="D965" s="30"/>
      <c r="E965" s="30"/>
      <c r="I965" s="30"/>
    </row>
    <row r="966">
      <c r="C966" s="30"/>
      <c r="D966" s="30"/>
      <c r="E966" s="30"/>
      <c r="I966" s="30"/>
    </row>
    <row r="967">
      <c r="C967" s="30"/>
      <c r="D967" s="30"/>
      <c r="E967" s="30"/>
      <c r="I967" s="30"/>
    </row>
    <row r="968">
      <c r="C968" s="30"/>
      <c r="D968" s="30"/>
      <c r="E968" s="30"/>
      <c r="I968" s="30"/>
    </row>
    <row r="969">
      <c r="C969" s="30"/>
      <c r="D969" s="30"/>
      <c r="E969" s="30"/>
      <c r="I969" s="30"/>
    </row>
    <row r="970">
      <c r="C970" s="30"/>
      <c r="D970" s="30"/>
      <c r="E970" s="30"/>
      <c r="I970" s="30"/>
    </row>
    <row r="971">
      <c r="C971" s="30"/>
      <c r="D971" s="30"/>
      <c r="E971" s="30"/>
      <c r="I971" s="30"/>
    </row>
    <row r="972">
      <c r="C972" s="30"/>
      <c r="D972" s="30"/>
      <c r="E972" s="30"/>
      <c r="I972" s="30"/>
    </row>
    <row r="973">
      <c r="C973" s="30"/>
      <c r="D973" s="30"/>
      <c r="E973" s="30"/>
      <c r="I973" s="30"/>
    </row>
    <row r="974">
      <c r="C974" s="30"/>
      <c r="D974" s="30"/>
      <c r="E974" s="30"/>
      <c r="I974" s="30"/>
    </row>
    <row r="975">
      <c r="C975" s="30"/>
      <c r="D975" s="30"/>
      <c r="E975" s="30"/>
      <c r="I975" s="30"/>
    </row>
    <row r="976">
      <c r="C976" s="30"/>
      <c r="D976" s="30"/>
      <c r="E976" s="30"/>
      <c r="I976" s="30"/>
    </row>
    <row r="977">
      <c r="C977" s="30"/>
      <c r="D977" s="30"/>
      <c r="E977" s="30"/>
      <c r="I977" s="30"/>
    </row>
    <row r="978">
      <c r="C978" s="30"/>
      <c r="D978" s="30"/>
      <c r="E978" s="30"/>
      <c r="I978" s="30"/>
    </row>
    <row r="979">
      <c r="C979" s="30"/>
      <c r="D979" s="30"/>
      <c r="E979" s="30"/>
      <c r="I979" s="30"/>
    </row>
    <row r="980">
      <c r="C980" s="30"/>
      <c r="D980" s="30"/>
      <c r="E980" s="30"/>
      <c r="I980" s="30"/>
    </row>
    <row r="981">
      <c r="C981" s="30"/>
      <c r="D981" s="30"/>
      <c r="E981" s="30"/>
      <c r="I981" s="30"/>
    </row>
    <row r="982">
      <c r="C982" s="30"/>
      <c r="D982" s="30"/>
      <c r="E982" s="30"/>
      <c r="I982" s="30"/>
    </row>
    <row r="983">
      <c r="C983" s="30"/>
      <c r="D983" s="30"/>
      <c r="E983" s="30"/>
      <c r="I983" s="30"/>
    </row>
    <row r="984">
      <c r="C984" s="30"/>
      <c r="D984" s="30"/>
      <c r="E984" s="30"/>
      <c r="I984" s="30"/>
    </row>
    <row r="985">
      <c r="C985" s="30"/>
      <c r="D985" s="30"/>
      <c r="E985" s="30"/>
      <c r="I985" s="30"/>
    </row>
    <row r="986">
      <c r="C986" s="30"/>
      <c r="D986" s="30"/>
      <c r="E986" s="30"/>
      <c r="I986" s="30"/>
    </row>
    <row r="987">
      <c r="C987" s="30"/>
      <c r="D987" s="30"/>
      <c r="E987" s="30"/>
      <c r="I987" s="30"/>
    </row>
    <row r="988">
      <c r="C988" s="30"/>
      <c r="D988" s="30"/>
      <c r="E988" s="30"/>
      <c r="I988" s="30"/>
    </row>
    <row r="989">
      <c r="C989" s="30"/>
      <c r="D989" s="30"/>
      <c r="E989" s="30"/>
      <c r="I989" s="30"/>
    </row>
    <row r="990">
      <c r="C990" s="30"/>
      <c r="D990" s="30"/>
      <c r="E990" s="30"/>
      <c r="I990" s="30"/>
    </row>
    <row r="991">
      <c r="C991" s="30"/>
      <c r="D991" s="30"/>
      <c r="E991" s="30"/>
      <c r="I991" s="30"/>
    </row>
    <row r="992">
      <c r="C992" s="30"/>
      <c r="D992" s="30"/>
      <c r="E992" s="30"/>
      <c r="I992" s="30"/>
    </row>
    <row r="993">
      <c r="C993" s="30"/>
      <c r="D993" s="30"/>
      <c r="E993" s="30"/>
      <c r="I993" s="30"/>
    </row>
    <row r="994">
      <c r="C994" s="30"/>
      <c r="D994" s="30"/>
      <c r="E994" s="30"/>
      <c r="I994" s="30"/>
    </row>
    <row r="995">
      <c r="C995" s="30"/>
      <c r="D995" s="30"/>
      <c r="E995" s="30"/>
      <c r="I995" s="30"/>
    </row>
    <row r="996">
      <c r="C996" s="30"/>
      <c r="D996" s="30"/>
      <c r="E996" s="30"/>
      <c r="I996" s="30"/>
    </row>
    <row r="997">
      <c r="C997" s="30"/>
      <c r="D997" s="30"/>
      <c r="E997" s="30"/>
      <c r="I997" s="30"/>
    </row>
    <row r="998">
      <c r="C998" s="30"/>
      <c r="D998" s="30"/>
      <c r="E998" s="30"/>
      <c r="I998" s="30"/>
    </row>
    <row r="999">
      <c r="C999" s="30"/>
      <c r="D999" s="30"/>
      <c r="E999" s="30"/>
      <c r="I999" s="30"/>
    </row>
    <row r="1000">
      <c r="C1000" s="30"/>
      <c r="D1000" s="30"/>
      <c r="E1000" s="30"/>
      <c r="I1000" s="30"/>
    </row>
    <row r="1001">
      <c r="C1001" s="30"/>
      <c r="D1001" s="30"/>
      <c r="E1001" s="30"/>
      <c r="I1001" s="30"/>
    </row>
    <row r="1002">
      <c r="C1002" s="30"/>
      <c r="D1002" s="30"/>
      <c r="E1002" s="30"/>
      <c r="I1002" s="30"/>
    </row>
    <row r="1003">
      <c r="C1003" s="30"/>
      <c r="D1003" s="30"/>
      <c r="E1003" s="30"/>
      <c r="I1003" s="30"/>
    </row>
    <row r="1004">
      <c r="C1004" s="30"/>
      <c r="D1004" s="30"/>
      <c r="E1004" s="30"/>
      <c r="I1004" s="30"/>
    </row>
    <row r="1005">
      <c r="C1005" s="30"/>
      <c r="D1005" s="30"/>
      <c r="E1005" s="30"/>
      <c r="I1005" s="30"/>
    </row>
    <row r="1006">
      <c r="C1006" s="30"/>
      <c r="D1006" s="30"/>
      <c r="E1006" s="30"/>
      <c r="I1006" s="30"/>
    </row>
    <row r="1007">
      <c r="C1007" s="30"/>
      <c r="D1007" s="30"/>
      <c r="E1007" s="30"/>
      <c r="I1007" s="30"/>
    </row>
    <row r="1008">
      <c r="C1008" s="30"/>
      <c r="D1008" s="30"/>
      <c r="E1008" s="30"/>
      <c r="I1008" s="30"/>
    </row>
    <row r="1009">
      <c r="C1009" s="30"/>
      <c r="D1009" s="30"/>
      <c r="E1009" s="30"/>
      <c r="I1009" s="30"/>
    </row>
    <row r="1010">
      <c r="C1010" s="30"/>
      <c r="D1010" s="30"/>
      <c r="E1010" s="30"/>
      <c r="I1010" s="30"/>
    </row>
    <row r="1011">
      <c r="C1011" s="30"/>
      <c r="D1011" s="30"/>
      <c r="E1011" s="30"/>
      <c r="I1011" s="30"/>
    </row>
    <row r="1012">
      <c r="C1012" s="30"/>
      <c r="D1012" s="30"/>
      <c r="E1012" s="30"/>
      <c r="I1012" s="30"/>
    </row>
    <row r="1013">
      <c r="C1013" s="30"/>
      <c r="D1013" s="30"/>
      <c r="E1013" s="30"/>
      <c r="I1013" s="30"/>
    </row>
    <row r="1014">
      <c r="C1014" s="30"/>
      <c r="D1014" s="30"/>
      <c r="E1014" s="30"/>
      <c r="I1014" s="30"/>
    </row>
    <row r="1015">
      <c r="C1015" s="30"/>
      <c r="D1015" s="30"/>
      <c r="E1015" s="30"/>
      <c r="I1015" s="30"/>
    </row>
    <row r="1016">
      <c r="C1016" s="30"/>
      <c r="D1016" s="30"/>
      <c r="E1016" s="30"/>
      <c r="I1016" s="30"/>
    </row>
    <row r="1017">
      <c r="C1017" s="30"/>
      <c r="D1017" s="30"/>
      <c r="E1017" s="30"/>
      <c r="I1017" s="30"/>
    </row>
    <row r="1018">
      <c r="C1018" s="30"/>
      <c r="D1018" s="30"/>
      <c r="E1018" s="30"/>
      <c r="I1018" s="30"/>
    </row>
    <row r="1019">
      <c r="C1019" s="30"/>
      <c r="D1019" s="30"/>
      <c r="E1019" s="30"/>
      <c r="I1019" s="30"/>
    </row>
    <row r="1020">
      <c r="C1020" s="30"/>
      <c r="D1020" s="30"/>
      <c r="E1020" s="30"/>
      <c r="I1020" s="30"/>
    </row>
    <row r="1021">
      <c r="C1021" s="30"/>
      <c r="D1021" s="30"/>
      <c r="E1021" s="30"/>
      <c r="I1021" s="30"/>
    </row>
    <row r="1022">
      <c r="C1022" s="30"/>
      <c r="D1022" s="30"/>
      <c r="E1022" s="30"/>
      <c r="I1022" s="30"/>
    </row>
    <row r="1023">
      <c r="C1023" s="30"/>
      <c r="D1023" s="30"/>
      <c r="E1023" s="30"/>
      <c r="I1023" s="30"/>
    </row>
    <row r="1024">
      <c r="C1024" s="30"/>
      <c r="D1024" s="30"/>
      <c r="E1024" s="30"/>
      <c r="I1024" s="30"/>
    </row>
    <row r="1025">
      <c r="C1025" s="30"/>
      <c r="D1025" s="30"/>
      <c r="E1025" s="30"/>
      <c r="I1025" s="30"/>
    </row>
    <row r="1026">
      <c r="C1026" s="30"/>
      <c r="D1026" s="30"/>
      <c r="E1026" s="30"/>
      <c r="I1026" s="3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1.25"/>
    <col customWidth="1" min="3" max="3" width="6.5"/>
    <col customWidth="1" min="4" max="4" width="5.13"/>
    <col customWidth="1" min="5" max="5" width="10.25"/>
    <col customWidth="1" min="6" max="6" width="8.88"/>
    <col customWidth="1" min="7" max="7" width="10.0"/>
    <col customWidth="1" min="8" max="8" width="13.38"/>
    <col customWidth="1" min="9" max="9" width="18.38"/>
    <col hidden="1" min="10" max="10" width="12.63"/>
  </cols>
  <sheetData>
    <row r="1">
      <c r="A1" s="6" t="s">
        <v>2</v>
      </c>
      <c r="B1" s="71" t="s">
        <v>4605</v>
      </c>
      <c r="C1" s="5" t="s">
        <v>4</v>
      </c>
      <c r="D1" s="5" t="s">
        <v>5</v>
      </c>
      <c r="E1" s="3" t="s">
        <v>4571</v>
      </c>
      <c r="F1" s="3" t="s">
        <v>13</v>
      </c>
      <c r="G1" s="3" t="s">
        <v>4606</v>
      </c>
      <c r="H1" s="6" t="s">
        <v>3</v>
      </c>
      <c r="I1" s="6" t="s">
        <v>16</v>
      </c>
      <c r="J1" s="72" t="s">
        <v>4607</v>
      </c>
    </row>
    <row r="2">
      <c r="A2" s="13" t="s">
        <v>4608</v>
      </c>
      <c r="B2" s="10">
        <v>45870.0</v>
      </c>
      <c r="C2" s="11" t="s">
        <v>175</v>
      </c>
      <c r="D2" s="11" t="s">
        <v>97</v>
      </c>
      <c r="G2" s="17"/>
      <c r="H2" s="17"/>
      <c r="I2" s="13"/>
      <c r="J2" s="13"/>
    </row>
    <row r="3">
      <c r="A3" s="13" t="s">
        <v>4609</v>
      </c>
      <c r="B3" s="10">
        <v>45855.0</v>
      </c>
      <c r="C3" s="11" t="s">
        <v>76</v>
      </c>
      <c r="D3" s="11" t="s">
        <v>38</v>
      </c>
      <c r="G3" s="17"/>
      <c r="H3" s="17"/>
      <c r="I3" s="13" t="s">
        <v>335</v>
      </c>
      <c r="J3" s="13"/>
    </row>
    <row r="4">
      <c r="A4" s="13" t="s">
        <v>4610</v>
      </c>
      <c r="B4" s="10">
        <v>45854.0</v>
      </c>
      <c r="C4" s="11" t="s">
        <v>55</v>
      </c>
      <c r="D4" s="11" t="s">
        <v>221</v>
      </c>
      <c r="G4" s="17"/>
      <c r="H4" s="17"/>
      <c r="I4" s="13"/>
      <c r="J4" s="13"/>
    </row>
    <row r="5">
      <c r="A5" s="13" t="s">
        <v>2103</v>
      </c>
      <c r="B5" s="10">
        <v>45849.0</v>
      </c>
      <c r="C5" s="11" t="s">
        <v>108</v>
      </c>
      <c r="D5" s="11" t="s">
        <v>38</v>
      </c>
      <c r="G5" s="17"/>
      <c r="H5" s="17"/>
      <c r="I5" s="13" t="s">
        <v>42</v>
      </c>
      <c r="J5" s="13"/>
    </row>
    <row r="6">
      <c r="A6" s="13" t="s">
        <v>4611</v>
      </c>
      <c r="B6" s="10">
        <v>45833.0</v>
      </c>
      <c r="C6" s="11" t="s">
        <v>186</v>
      </c>
      <c r="D6" s="11" t="s">
        <v>38</v>
      </c>
      <c r="G6" s="17"/>
      <c r="H6" s="17"/>
      <c r="I6" s="13" t="s">
        <v>42</v>
      </c>
      <c r="J6" s="13"/>
    </row>
    <row r="7">
      <c r="A7" s="13" t="s">
        <v>1866</v>
      </c>
      <c r="B7" s="10">
        <v>45828.0</v>
      </c>
      <c r="C7" s="11" t="s">
        <v>101</v>
      </c>
      <c r="D7" s="11" t="s">
        <v>38</v>
      </c>
      <c r="G7" s="17"/>
      <c r="H7" s="17"/>
      <c r="I7" s="13" t="s">
        <v>69</v>
      </c>
      <c r="J7" s="13"/>
    </row>
    <row r="8">
      <c r="A8" s="13" t="s">
        <v>4612</v>
      </c>
      <c r="B8" s="10">
        <v>45798.0</v>
      </c>
      <c r="C8" s="11" t="s">
        <v>362</v>
      </c>
      <c r="D8" s="11" t="s">
        <v>38</v>
      </c>
      <c r="G8" s="17"/>
      <c r="H8" s="17"/>
      <c r="I8" s="13" t="s">
        <v>42</v>
      </c>
      <c r="J8" s="13"/>
    </row>
    <row r="9">
      <c r="A9" s="13" t="s">
        <v>4613</v>
      </c>
      <c r="B9" s="10">
        <v>45689.0</v>
      </c>
      <c r="C9" s="11" t="s">
        <v>186</v>
      </c>
      <c r="D9" s="11" t="s">
        <v>93</v>
      </c>
      <c r="G9" s="17"/>
      <c r="H9" s="17"/>
      <c r="I9" s="13" t="s">
        <v>42</v>
      </c>
      <c r="J9" s="13"/>
    </row>
    <row r="10">
      <c r="A10" s="13" t="s">
        <v>4614</v>
      </c>
      <c r="B10" s="10">
        <v>45505.0</v>
      </c>
      <c r="C10" s="11" t="s">
        <v>111</v>
      </c>
      <c r="D10" s="11" t="s">
        <v>77</v>
      </c>
      <c r="G10" s="17"/>
      <c r="H10" s="17"/>
      <c r="I10" s="13"/>
      <c r="J10" s="13"/>
    </row>
    <row r="11">
      <c r="A11" s="13" t="s">
        <v>4615</v>
      </c>
      <c r="B11" s="10">
        <v>45469.0</v>
      </c>
      <c r="C11" s="11" t="s">
        <v>346</v>
      </c>
      <c r="D11" s="11" t="s">
        <v>38</v>
      </c>
      <c r="G11" s="17"/>
      <c r="H11" s="17"/>
      <c r="I11" s="13"/>
      <c r="J11" s="13"/>
    </row>
    <row r="12">
      <c r="A12" s="13" t="s">
        <v>1575</v>
      </c>
      <c r="B12" s="10">
        <v>45460.0</v>
      </c>
      <c r="C12" s="11" t="s">
        <v>138</v>
      </c>
      <c r="D12" s="11" t="s">
        <v>38</v>
      </c>
      <c r="E12" s="17">
        <v>45902.0</v>
      </c>
      <c r="F12" s="11">
        <f t="shared" ref="F12:F13" si="1">ROUND(((E12-B12)/365)*12,0)</f>
        <v>15</v>
      </c>
      <c r="G12" s="17"/>
      <c r="H12" s="17"/>
      <c r="I12" s="13" t="s">
        <v>42</v>
      </c>
      <c r="J12" s="13"/>
    </row>
    <row r="13">
      <c r="A13" s="13" t="s">
        <v>1537</v>
      </c>
      <c r="B13" s="10">
        <v>45442.0</v>
      </c>
      <c r="C13" s="11" t="s">
        <v>72</v>
      </c>
      <c r="D13" s="11" t="s">
        <v>38</v>
      </c>
      <c r="E13" s="17">
        <v>45743.0</v>
      </c>
      <c r="F13" s="11">
        <f t="shared" si="1"/>
        <v>10</v>
      </c>
      <c r="G13" s="17">
        <v>45743.0</v>
      </c>
      <c r="H13" s="17"/>
      <c r="I13" s="13" t="s">
        <v>335</v>
      </c>
      <c r="J13" s="13"/>
    </row>
    <row r="14">
      <c r="A14" s="13" t="s">
        <v>4616</v>
      </c>
      <c r="B14" s="10">
        <v>45413.0</v>
      </c>
      <c r="C14" s="11" t="s">
        <v>49</v>
      </c>
      <c r="D14" s="11" t="s">
        <v>58</v>
      </c>
      <c r="G14" s="17"/>
      <c r="H14" s="17"/>
      <c r="I14" s="13"/>
      <c r="J14" s="13"/>
    </row>
    <row r="15">
      <c r="A15" s="13" t="s">
        <v>4617</v>
      </c>
      <c r="B15" s="10">
        <v>45413.0</v>
      </c>
      <c r="C15" s="11" t="s">
        <v>235</v>
      </c>
      <c r="D15" s="11" t="s">
        <v>97</v>
      </c>
      <c r="E15" s="17"/>
      <c r="F15" s="11"/>
      <c r="G15" s="17">
        <v>45780.0</v>
      </c>
      <c r="H15" s="17"/>
      <c r="I15" s="13"/>
      <c r="J15" s="13"/>
    </row>
    <row r="16">
      <c r="A16" s="13" t="s">
        <v>1655</v>
      </c>
      <c r="B16" s="10">
        <v>45394.0</v>
      </c>
      <c r="C16" s="11" t="s">
        <v>116</v>
      </c>
      <c r="D16" s="11" t="s">
        <v>38</v>
      </c>
      <c r="E16" s="17">
        <v>45762.0</v>
      </c>
      <c r="F16" s="11">
        <f t="shared" ref="F16:F17" si="2">ROUND(((E16-B16)/365)*12,0)</f>
        <v>12</v>
      </c>
      <c r="G16" s="17">
        <v>45745.0</v>
      </c>
      <c r="H16" s="17"/>
      <c r="I16" s="13" t="s">
        <v>42</v>
      </c>
      <c r="J16" s="13"/>
    </row>
    <row r="17">
      <c r="A17" s="13" t="s">
        <v>2396</v>
      </c>
      <c r="B17" s="10">
        <v>45394.0</v>
      </c>
      <c r="C17" s="11" t="s">
        <v>108</v>
      </c>
      <c r="D17" s="11" t="s">
        <v>38</v>
      </c>
      <c r="E17" s="17">
        <v>45793.0</v>
      </c>
      <c r="F17" s="11">
        <f t="shared" si="2"/>
        <v>13</v>
      </c>
      <c r="G17" s="17">
        <v>45773.0</v>
      </c>
      <c r="H17" s="17"/>
      <c r="I17" s="13" t="s">
        <v>42</v>
      </c>
      <c r="J17" s="13"/>
    </row>
    <row r="18">
      <c r="A18" s="13" t="s">
        <v>1035</v>
      </c>
      <c r="B18" s="10">
        <v>45383.0</v>
      </c>
      <c r="C18" s="11" t="s">
        <v>162</v>
      </c>
      <c r="D18" s="11" t="s">
        <v>38</v>
      </c>
      <c r="E18" s="17"/>
      <c r="F18" s="11"/>
      <c r="G18" s="17"/>
      <c r="H18" s="17"/>
      <c r="I18" s="13" t="s">
        <v>4618</v>
      </c>
      <c r="J18" s="13"/>
    </row>
    <row r="19">
      <c r="A19" s="13" t="s">
        <v>3323</v>
      </c>
      <c r="B19" s="10">
        <v>45363.0</v>
      </c>
      <c r="C19" s="11" t="s">
        <v>72</v>
      </c>
      <c r="D19" s="11" t="s">
        <v>38</v>
      </c>
      <c r="E19" s="17">
        <v>45777.0</v>
      </c>
      <c r="F19" s="11">
        <f t="shared" ref="F19:F21" si="3">ROUND(((E19-B19)/365)*12,0)</f>
        <v>14</v>
      </c>
      <c r="G19" s="17">
        <v>45749.0</v>
      </c>
      <c r="H19" s="17"/>
      <c r="I19" s="13" t="s">
        <v>335</v>
      </c>
      <c r="J19" s="13"/>
    </row>
    <row r="20">
      <c r="A20" s="13" t="s">
        <v>4619</v>
      </c>
      <c r="B20" s="10">
        <v>45140.0</v>
      </c>
      <c r="C20" s="11" t="s">
        <v>83</v>
      </c>
      <c r="D20" s="11" t="s">
        <v>38</v>
      </c>
      <c r="E20" s="17">
        <v>45379.0</v>
      </c>
      <c r="F20" s="11">
        <f t="shared" si="3"/>
        <v>8</v>
      </c>
      <c r="G20" s="17">
        <v>45379.0</v>
      </c>
      <c r="H20" s="17"/>
      <c r="I20" s="13" t="s">
        <v>42</v>
      </c>
      <c r="J20" s="13"/>
    </row>
    <row r="21">
      <c r="A21" s="13" t="s">
        <v>2010</v>
      </c>
      <c r="B21" s="10">
        <v>45131.0</v>
      </c>
      <c r="C21" s="11" t="s">
        <v>156</v>
      </c>
      <c r="D21" s="11" t="s">
        <v>38</v>
      </c>
      <c r="E21" s="17">
        <v>45511.0</v>
      </c>
      <c r="F21" s="11">
        <f t="shared" si="3"/>
        <v>12</v>
      </c>
      <c r="G21" s="17"/>
      <c r="H21" s="17"/>
      <c r="I21" s="13" t="s">
        <v>42</v>
      </c>
      <c r="J21" s="13"/>
    </row>
    <row r="22">
      <c r="A22" s="13" t="s">
        <v>1118</v>
      </c>
      <c r="B22" s="10">
        <v>45124.0</v>
      </c>
      <c r="C22" s="11" t="s">
        <v>103</v>
      </c>
      <c r="D22" s="11" t="s">
        <v>221</v>
      </c>
      <c r="G22" s="17"/>
      <c r="H22" s="17"/>
      <c r="I22" s="13" t="s">
        <v>42</v>
      </c>
      <c r="J22" s="13"/>
    </row>
    <row r="23">
      <c r="A23" s="13" t="s">
        <v>4620</v>
      </c>
      <c r="B23" s="10">
        <v>45086.0</v>
      </c>
      <c r="C23" s="11" t="s">
        <v>362</v>
      </c>
      <c r="D23" s="11" t="s">
        <v>38</v>
      </c>
      <c r="G23" s="17"/>
      <c r="H23" s="17"/>
      <c r="I23" s="13" t="s">
        <v>69</v>
      </c>
      <c r="J23" s="13"/>
    </row>
    <row r="24">
      <c r="A24" s="13" t="s">
        <v>4621</v>
      </c>
      <c r="B24" s="10">
        <v>44935.0</v>
      </c>
      <c r="C24" s="11" t="s">
        <v>72</v>
      </c>
      <c r="D24" s="11" t="s">
        <v>38</v>
      </c>
      <c r="E24" s="17">
        <v>45146.0</v>
      </c>
      <c r="F24" s="11">
        <f>ROUND(((E24-B24)/365)*12,0)</f>
        <v>7</v>
      </c>
      <c r="G24" s="17">
        <v>45128.0</v>
      </c>
      <c r="H24" s="17"/>
      <c r="I24" s="13" t="s">
        <v>42</v>
      </c>
      <c r="J24" s="13"/>
    </row>
    <row r="25">
      <c r="A25" s="13" t="s">
        <v>4622</v>
      </c>
      <c r="B25" s="10">
        <v>44927.0</v>
      </c>
      <c r="C25" s="11" t="s">
        <v>111</v>
      </c>
      <c r="D25" s="11" t="s">
        <v>88</v>
      </c>
      <c r="E25" s="17"/>
      <c r="F25" s="11"/>
      <c r="G25" s="17">
        <v>45389.0</v>
      </c>
      <c r="H25" s="17"/>
      <c r="I25" s="13"/>
      <c r="J25" s="13"/>
    </row>
    <row r="26">
      <c r="A26" s="13" t="s">
        <v>1465</v>
      </c>
      <c r="B26" s="10">
        <v>44927.0</v>
      </c>
      <c r="C26" s="11" t="s">
        <v>346</v>
      </c>
      <c r="D26" s="11" t="s">
        <v>213</v>
      </c>
      <c r="E26" s="17"/>
      <c r="F26" s="11"/>
      <c r="G26" s="17"/>
      <c r="H26" s="17"/>
      <c r="I26" s="13"/>
      <c r="J26" s="13"/>
    </row>
    <row r="27">
      <c r="A27" s="13" t="s">
        <v>464</v>
      </c>
      <c r="B27" s="10">
        <v>44866.0</v>
      </c>
      <c r="C27" s="11" t="s">
        <v>126</v>
      </c>
      <c r="D27" s="11" t="s">
        <v>93</v>
      </c>
      <c r="E27" s="17"/>
      <c r="F27" s="11"/>
      <c r="G27" s="17"/>
      <c r="H27" s="17">
        <v>45292.0</v>
      </c>
      <c r="I27" s="13"/>
      <c r="J27" s="13"/>
    </row>
    <row r="28">
      <c r="A28" s="13" t="s">
        <v>4623</v>
      </c>
      <c r="B28" s="10">
        <v>44866.0</v>
      </c>
      <c r="C28" s="11" t="s">
        <v>186</v>
      </c>
      <c r="D28" s="11" t="s">
        <v>77</v>
      </c>
      <c r="E28" s="17">
        <v>45063.0</v>
      </c>
      <c r="F28" s="11">
        <f>ROUND(((E28-B28)/365)*12,0)</f>
        <v>6</v>
      </c>
      <c r="G28" s="17">
        <v>45063.0</v>
      </c>
      <c r="H28" s="17"/>
      <c r="I28" s="13"/>
      <c r="J28" s="13"/>
    </row>
    <row r="29">
      <c r="A29" s="13" t="s">
        <v>4624</v>
      </c>
      <c r="B29" s="10">
        <v>44743.0</v>
      </c>
      <c r="C29" s="11" t="s">
        <v>76</v>
      </c>
      <c r="D29" s="11" t="s">
        <v>38</v>
      </c>
      <c r="G29" s="17">
        <v>45073.0</v>
      </c>
      <c r="H29" s="17"/>
      <c r="I29" s="13"/>
      <c r="J29" s="13"/>
    </row>
    <row r="30">
      <c r="A30" s="13" t="s">
        <v>4625</v>
      </c>
      <c r="B30" s="10">
        <v>44652.0</v>
      </c>
      <c r="C30" s="11" t="s">
        <v>116</v>
      </c>
      <c r="D30" s="11" t="s">
        <v>93</v>
      </c>
      <c r="G30" s="17"/>
      <c r="H30" s="17"/>
      <c r="I30" s="13"/>
      <c r="J30" s="13"/>
    </row>
    <row r="31">
      <c r="A31" s="13" t="s">
        <v>892</v>
      </c>
      <c r="B31" s="10">
        <v>44628.0</v>
      </c>
      <c r="C31" s="11" t="s">
        <v>143</v>
      </c>
      <c r="D31" s="11" t="s">
        <v>77</v>
      </c>
      <c r="G31" s="17">
        <v>45063.0</v>
      </c>
      <c r="H31" s="17"/>
      <c r="I31" s="13" t="s">
        <v>4626</v>
      </c>
      <c r="J31" s="13"/>
    </row>
    <row r="32">
      <c r="A32" s="13" t="s">
        <v>4627</v>
      </c>
      <c r="B32" s="10">
        <v>44562.0</v>
      </c>
      <c r="C32" s="11" t="s">
        <v>358</v>
      </c>
      <c r="D32" s="11" t="s">
        <v>93</v>
      </c>
      <c r="E32" s="17"/>
      <c r="F32" s="11"/>
      <c r="G32" s="17">
        <v>45356.0</v>
      </c>
      <c r="H32" s="17"/>
      <c r="I32" s="13"/>
      <c r="J32" s="13"/>
    </row>
    <row r="33">
      <c r="A33" s="13" t="s">
        <v>4628</v>
      </c>
      <c r="B33" s="10">
        <v>44470.0</v>
      </c>
      <c r="C33" s="11" t="s">
        <v>156</v>
      </c>
      <c r="D33" s="11" t="s">
        <v>38</v>
      </c>
      <c r="E33" s="17">
        <v>45017.0</v>
      </c>
      <c r="F33" s="11">
        <f t="shared" ref="F33:F37" si="4">ROUND(((E33-B33)/365)*12,0)</f>
        <v>18</v>
      </c>
      <c r="G33" s="17">
        <v>44764.0</v>
      </c>
      <c r="H33" s="17"/>
      <c r="I33" s="13"/>
      <c r="J33" s="13"/>
    </row>
    <row r="34">
      <c r="A34" s="13" t="s">
        <v>4629</v>
      </c>
      <c r="B34" s="10">
        <v>44447.0</v>
      </c>
      <c r="C34" s="11" t="s">
        <v>108</v>
      </c>
      <c r="D34" s="11" t="s">
        <v>38</v>
      </c>
      <c r="E34" s="17">
        <v>44828.0</v>
      </c>
      <c r="F34" s="11">
        <f t="shared" si="4"/>
        <v>13</v>
      </c>
      <c r="G34" s="17">
        <v>44797.0</v>
      </c>
      <c r="H34" s="17"/>
      <c r="I34" s="13" t="s">
        <v>69</v>
      </c>
      <c r="J34" s="13"/>
    </row>
    <row r="35">
      <c r="A35" s="13" t="s">
        <v>4630</v>
      </c>
      <c r="B35" s="10">
        <v>44447.0</v>
      </c>
      <c r="C35" s="11" t="s">
        <v>186</v>
      </c>
      <c r="D35" s="11" t="s">
        <v>38</v>
      </c>
      <c r="E35" s="17">
        <v>44660.0</v>
      </c>
      <c r="F35" s="11">
        <f t="shared" si="4"/>
        <v>7</v>
      </c>
      <c r="G35" s="17">
        <v>44695.0</v>
      </c>
      <c r="H35" s="17"/>
      <c r="I35" s="13" t="s">
        <v>42</v>
      </c>
      <c r="J35" s="13"/>
    </row>
    <row r="36">
      <c r="A36" s="13" t="s">
        <v>4631</v>
      </c>
      <c r="B36" s="10">
        <v>44409.0</v>
      </c>
      <c r="C36" s="11" t="s">
        <v>37</v>
      </c>
      <c r="D36" s="11" t="s">
        <v>38</v>
      </c>
      <c r="E36" s="17">
        <v>44659.0</v>
      </c>
      <c r="F36" s="11">
        <f t="shared" si="4"/>
        <v>8</v>
      </c>
      <c r="G36" s="17">
        <v>44659.0</v>
      </c>
      <c r="H36" s="17"/>
      <c r="I36" s="13"/>
      <c r="J36" s="13"/>
    </row>
    <row r="37">
      <c r="A37" s="13" t="s">
        <v>4632</v>
      </c>
      <c r="B37" s="10">
        <v>44375.0</v>
      </c>
      <c r="C37" s="11" t="s">
        <v>186</v>
      </c>
      <c r="D37" s="11" t="s">
        <v>97</v>
      </c>
      <c r="E37" s="17">
        <v>44675.0</v>
      </c>
      <c r="F37" s="11">
        <f t="shared" si="4"/>
        <v>10</v>
      </c>
      <c r="G37" s="17">
        <v>44675.0</v>
      </c>
      <c r="H37" s="17"/>
      <c r="I37" s="13" t="s">
        <v>42</v>
      </c>
      <c r="J37" s="13"/>
    </row>
    <row r="38">
      <c r="A38" s="13" t="s">
        <v>2679</v>
      </c>
      <c r="B38" s="10">
        <v>44350.0</v>
      </c>
      <c r="C38" s="11" t="s">
        <v>52</v>
      </c>
      <c r="D38" s="11" t="s">
        <v>38</v>
      </c>
      <c r="G38" s="17">
        <v>44721.0</v>
      </c>
      <c r="H38" s="17"/>
      <c r="I38" s="13" t="s">
        <v>335</v>
      </c>
      <c r="J38" s="13"/>
    </row>
    <row r="39">
      <c r="A39" s="13" t="s">
        <v>4633</v>
      </c>
      <c r="B39" s="10">
        <v>44287.0</v>
      </c>
      <c r="C39" s="11" t="s">
        <v>230</v>
      </c>
      <c r="D39" s="11" t="s">
        <v>93</v>
      </c>
      <c r="E39" s="17">
        <v>44718.0</v>
      </c>
      <c r="F39" s="11">
        <f>ROUND(((E39-B39)/365)*12,0)</f>
        <v>14</v>
      </c>
      <c r="G39" s="17">
        <v>44718.0</v>
      </c>
      <c r="H39" s="17"/>
      <c r="I39" s="13"/>
      <c r="J39" s="13"/>
    </row>
    <row r="40">
      <c r="A40" s="13" t="s">
        <v>4634</v>
      </c>
      <c r="B40" s="10">
        <v>44197.0</v>
      </c>
      <c r="C40" s="11" t="s">
        <v>235</v>
      </c>
      <c r="D40" s="11" t="s">
        <v>97</v>
      </c>
      <c r="E40" s="17">
        <v>44778.0</v>
      </c>
      <c r="G40" s="17">
        <v>44757.0</v>
      </c>
      <c r="H40" s="17"/>
      <c r="I40" s="13"/>
      <c r="J40" s="13"/>
    </row>
    <row r="41">
      <c r="A41" s="13" t="s">
        <v>4635</v>
      </c>
      <c r="B41" s="10">
        <v>44197.0</v>
      </c>
      <c r="C41" s="11" t="s">
        <v>235</v>
      </c>
      <c r="D41" s="11" t="s">
        <v>97</v>
      </c>
      <c r="E41" s="17">
        <v>44695.0</v>
      </c>
      <c r="G41" s="17">
        <v>44695.0</v>
      </c>
      <c r="H41" s="17"/>
      <c r="I41" s="13"/>
      <c r="J41" s="13"/>
    </row>
    <row r="42">
      <c r="A42" s="13" t="s">
        <v>1473</v>
      </c>
      <c r="B42" s="10">
        <v>44136.0</v>
      </c>
      <c r="C42" s="11" t="s">
        <v>175</v>
      </c>
      <c r="D42" s="11" t="s">
        <v>93</v>
      </c>
      <c r="G42" s="17">
        <v>44421.0</v>
      </c>
      <c r="H42" s="17"/>
      <c r="I42" s="13"/>
      <c r="J42" s="13"/>
    </row>
    <row r="43">
      <c r="A43" s="13" t="s">
        <v>4636</v>
      </c>
      <c r="B43" s="10">
        <v>44106.0</v>
      </c>
      <c r="C43" s="11" t="s">
        <v>150</v>
      </c>
      <c r="D43" s="11" t="s">
        <v>38</v>
      </c>
      <c r="E43" s="17">
        <v>44287.0</v>
      </c>
      <c r="F43" s="11">
        <f t="shared" ref="F43:F44" si="5">ROUND(((E43-B43)/365)*12,0)</f>
        <v>6</v>
      </c>
      <c r="G43" s="17">
        <v>44287.0</v>
      </c>
      <c r="H43" s="17"/>
      <c r="I43" s="13" t="s">
        <v>4637</v>
      </c>
      <c r="J43" s="13" t="s">
        <v>4638</v>
      </c>
    </row>
    <row r="44">
      <c r="A44" s="13" t="s">
        <v>4639</v>
      </c>
      <c r="B44" s="10">
        <v>44083.0</v>
      </c>
      <c r="C44" s="11" t="s">
        <v>186</v>
      </c>
      <c r="D44" s="11" t="s">
        <v>38</v>
      </c>
      <c r="E44" s="17">
        <v>44337.0</v>
      </c>
      <c r="F44" s="11">
        <f t="shared" si="5"/>
        <v>8</v>
      </c>
      <c r="G44" s="17">
        <v>44321.0</v>
      </c>
      <c r="H44" s="17"/>
      <c r="I44" s="13"/>
      <c r="J44" s="13"/>
    </row>
    <row r="45">
      <c r="A45" s="13" t="s">
        <v>4640</v>
      </c>
      <c r="B45" s="10">
        <v>44075.0</v>
      </c>
      <c r="C45" s="11" t="s">
        <v>186</v>
      </c>
      <c r="D45" s="11" t="s">
        <v>38</v>
      </c>
      <c r="E45" s="17"/>
      <c r="F45" s="11"/>
      <c r="G45" s="17">
        <v>44325.0</v>
      </c>
      <c r="H45" s="17"/>
      <c r="I45" s="13"/>
      <c r="J45" s="13"/>
    </row>
    <row r="46">
      <c r="A46" s="13" t="s">
        <v>3504</v>
      </c>
      <c r="B46" s="10">
        <v>43739.0</v>
      </c>
      <c r="C46" s="11" t="s">
        <v>126</v>
      </c>
      <c r="D46" s="11" t="s">
        <v>38</v>
      </c>
      <c r="E46" s="17">
        <v>44041.0</v>
      </c>
      <c r="F46" s="11">
        <f t="shared" ref="F46:F47" si="6">ROUND(((E46-B46)/365)*12,0)</f>
        <v>10</v>
      </c>
      <c r="G46" s="17">
        <v>44041.0</v>
      </c>
      <c r="H46" s="17"/>
      <c r="I46" s="13"/>
      <c r="J46" s="13"/>
    </row>
    <row r="47">
      <c r="A47" s="13" t="s">
        <v>4641</v>
      </c>
      <c r="B47" s="10">
        <v>43692.0</v>
      </c>
      <c r="C47" s="11" t="s">
        <v>83</v>
      </c>
      <c r="D47" s="11" t="s">
        <v>58</v>
      </c>
      <c r="E47" s="17">
        <v>44322.0</v>
      </c>
      <c r="F47" s="11">
        <f t="shared" si="6"/>
        <v>21</v>
      </c>
      <c r="G47" s="17">
        <v>44322.0</v>
      </c>
      <c r="H47" s="17"/>
      <c r="I47" s="13" t="s">
        <v>1332</v>
      </c>
      <c r="J47" s="13"/>
    </row>
    <row r="48">
      <c r="A48" s="13" t="s">
        <v>1541</v>
      </c>
      <c r="B48" s="10">
        <v>43344.0</v>
      </c>
      <c r="C48" s="11" t="s">
        <v>186</v>
      </c>
      <c r="D48" s="11" t="s">
        <v>38</v>
      </c>
      <c r="G48" s="17">
        <v>43624.0</v>
      </c>
      <c r="H48" s="17">
        <v>43647.0</v>
      </c>
      <c r="I48" s="13"/>
      <c r="J48" s="13"/>
    </row>
    <row r="49">
      <c r="A49" s="13" t="s">
        <v>3690</v>
      </c>
      <c r="B49" s="10">
        <v>43313.0</v>
      </c>
      <c r="C49" s="11" t="s">
        <v>358</v>
      </c>
      <c r="D49" s="11" t="s">
        <v>58</v>
      </c>
      <c r="E49" s="17">
        <v>43713.0</v>
      </c>
      <c r="F49" s="11">
        <f t="shared" ref="F49:F51" si="7">ROUND(((E49-B49)/365)*12,0)</f>
        <v>13</v>
      </c>
      <c r="G49" s="17">
        <v>43698.0</v>
      </c>
      <c r="I49" s="13"/>
      <c r="J49" s="13"/>
    </row>
    <row r="50">
      <c r="A50" s="13" t="s">
        <v>4642</v>
      </c>
      <c r="B50" s="10">
        <v>43221.0</v>
      </c>
      <c r="C50" s="11" t="s">
        <v>83</v>
      </c>
      <c r="D50" s="11" t="s">
        <v>77</v>
      </c>
      <c r="E50" s="17">
        <v>43591.0</v>
      </c>
      <c r="F50" s="11">
        <f t="shared" si="7"/>
        <v>12</v>
      </c>
      <c r="G50" s="17">
        <v>43559.0</v>
      </c>
      <c r="I50" s="13"/>
      <c r="J50" s="13"/>
    </row>
    <row r="51">
      <c r="A51" s="13" t="s">
        <v>4643</v>
      </c>
      <c r="B51" s="17">
        <v>43191.0</v>
      </c>
      <c r="C51" s="11" t="s">
        <v>44</v>
      </c>
      <c r="D51" s="11" t="s">
        <v>93</v>
      </c>
      <c r="E51" s="17">
        <v>43609.0</v>
      </c>
      <c r="F51" s="11">
        <f t="shared" si="7"/>
        <v>14</v>
      </c>
      <c r="G51" s="17">
        <v>43609.0</v>
      </c>
      <c r="H51" s="17"/>
      <c r="I51" s="13"/>
      <c r="J51" s="13"/>
    </row>
    <row r="52">
      <c r="A52" s="13" t="s">
        <v>4202</v>
      </c>
      <c r="B52" s="17">
        <v>43101.0</v>
      </c>
      <c r="C52" s="11" t="s">
        <v>83</v>
      </c>
      <c r="D52" s="11" t="s">
        <v>38</v>
      </c>
      <c r="H52" s="17"/>
      <c r="I52" s="13"/>
      <c r="J52" s="13"/>
    </row>
    <row r="53">
      <c r="A53" s="13" t="s">
        <v>1820</v>
      </c>
      <c r="B53" s="17">
        <v>42954.0</v>
      </c>
      <c r="C53" s="11" t="s">
        <v>274</v>
      </c>
      <c r="D53" s="11" t="s">
        <v>221</v>
      </c>
      <c r="H53" s="17">
        <v>43249.0</v>
      </c>
      <c r="I53" s="13"/>
      <c r="J53" s="13" t="s">
        <v>4644</v>
      </c>
    </row>
    <row r="54">
      <c r="A54" s="13" t="s">
        <v>4645</v>
      </c>
      <c r="B54" s="17">
        <v>42948.0</v>
      </c>
      <c r="C54" s="11" t="s">
        <v>362</v>
      </c>
      <c r="D54" s="11" t="s">
        <v>93</v>
      </c>
      <c r="E54" s="17">
        <v>43268.0</v>
      </c>
      <c r="F54" s="11">
        <f t="shared" ref="F54:F55" si="8">ROUND(((E54-B54)/365)*12,0)</f>
        <v>11</v>
      </c>
      <c r="G54" s="17">
        <v>43268.0</v>
      </c>
      <c r="I54" s="13"/>
    </row>
    <row r="55">
      <c r="A55" s="13" t="s">
        <v>4646</v>
      </c>
      <c r="B55" s="17">
        <v>42929.0</v>
      </c>
      <c r="C55" s="11" t="s">
        <v>4647</v>
      </c>
      <c r="D55" s="11" t="s">
        <v>93</v>
      </c>
      <c r="E55" s="17">
        <v>43511.0</v>
      </c>
      <c r="F55" s="11">
        <f t="shared" si="8"/>
        <v>19</v>
      </c>
      <c r="G55" s="17">
        <v>43511.0</v>
      </c>
      <c r="H55" s="17"/>
      <c r="I55" s="13" t="s">
        <v>335</v>
      </c>
      <c r="J55" s="13"/>
    </row>
    <row r="56">
      <c r="A56" s="13" t="s">
        <v>1577</v>
      </c>
      <c r="B56" s="17">
        <v>42842.0</v>
      </c>
      <c r="C56" s="11" t="s">
        <v>186</v>
      </c>
      <c r="D56" s="11" t="s">
        <v>58</v>
      </c>
      <c r="E56" s="17">
        <v>43563.0</v>
      </c>
      <c r="G56" s="17">
        <v>43218.0</v>
      </c>
      <c r="H56" s="17">
        <v>43606.0</v>
      </c>
      <c r="I56" s="13" t="s">
        <v>42</v>
      </c>
      <c r="J56" s="13"/>
    </row>
    <row r="57">
      <c r="A57" s="13" t="s">
        <v>4648</v>
      </c>
      <c r="B57" s="17">
        <v>42811.0</v>
      </c>
      <c r="C57" s="11" t="s">
        <v>83</v>
      </c>
      <c r="D57" s="11" t="s">
        <v>58</v>
      </c>
      <c r="E57" s="17">
        <v>43237.0</v>
      </c>
      <c r="F57" s="11">
        <f>ROUND(((E57-B57)/365)*12,0)</f>
        <v>14</v>
      </c>
      <c r="G57" s="17">
        <v>42856.0</v>
      </c>
      <c r="I57" s="13" t="s">
        <v>1332</v>
      </c>
      <c r="J57" s="13"/>
    </row>
    <row r="58">
      <c r="A58" s="13" t="s">
        <v>4649</v>
      </c>
      <c r="B58" s="17">
        <v>42736.0</v>
      </c>
      <c r="C58" s="11" t="s">
        <v>735</v>
      </c>
      <c r="D58" s="11" t="s">
        <v>93</v>
      </c>
      <c r="E58" s="17">
        <v>43257.0</v>
      </c>
      <c r="F58" s="11"/>
      <c r="G58" s="17">
        <v>43257.0</v>
      </c>
      <c r="I58" s="13"/>
      <c r="J58" s="13"/>
    </row>
    <row r="59">
      <c r="A59" s="13" t="s">
        <v>4650</v>
      </c>
      <c r="B59" s="17">
        <v>42598.0</v>
      </c>
      <c r="C59" s="11" t="s">
        <v>83</v>
      </c>
      <c r="D59" s="11" t="s">
        <v>38</v>
      </c>
      <c r="E59" s="17">
        <v>42868.0</v>
      </c>
      <c r="F59" s="11">
        <f>ROUND(((E59-B59)/365)*12,0)</f>
        <v>9</v>
      </c>
      <c r="G59" s="17">
        <v>42856.0</v>
      </c>
      <c r="I59" s="13" t="s">
        <v>1332</v>
      </c>
      <c r="J59" s="13" t="s">
        <v>4651</v>
      </c>
    </row>
    <row r="60">
      <c r="A60" s="13" t="s">
        <v>4652</v>
      </c>
      <c r="B60" s="17">
        <v>42536.0</v>
      </c>
      <c r="C60" s="11" t="s">
        <v>83</v>
      </c>
      <c r="D60" s="11" t="s">
        <v>38</v>
      </c>
      <c r="F60" s="17"/>
      <c r="G60" s="17">
        <v>42838.0</v>
      </c>
      <c r="I60" s="13" t="s">
        <v>1332</v>
      </c>
      <c r="J60" s="13" t="s">
        <v>4653</v>
      </c>
    </row>
    <row r="61">
      <c r="A61" s="13"/>
      <c r="C61" s="30"/>
      <c r="D61" s="30"/>
      <c r="J61" s="13"/>
    </row>
    <row r="62">
      <c r="C62" s="30"/>
      <c r="D62" s="30"/>
      <c r="J62" s="13" t="s">
        <v>4654</v>
      </c>
    </row>
    <row r="63">
      <c r="C63" s="30"/>
      <c r="D63" s="30"/>
    </row>
    <row r="64">
      <c r="C64" s="30"/>
      <c r="D64" s="30"/>
    </row>
    <row r="65">
      <c r="C65" s="30"/>
      <c r="D65" s="30"/>
    </row>
    <row r="66">
      <c r="C66" s="30"/>
      <c r="D66" s="30"/>
    </row>
    <row r="67">
      <c r="C67" s="30"/>
      <c r="D67" s="3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3.38"/>
    <col customWidth="1" min="3" max="3" width="14.0"/>
    <col customWidth="1" hidden="1" min="5" max="5" width="18.0"/>
    <col customWidth="1" hidden="1" min="6" max="6" width="17.38"/>
    <col customWidth="1" hidden="1" min="7" max="7" width="6.5"/>
    <col customWidth="1" hidden="1" min="8" max="8" width="12.13"/>
    <col customWidth="1" hidden="1" min="9" max="9" width="5.75"/>
  </cols>
  <sheetData>
    <row r="1">
      <c r="A1" s="6" t="s">
        <v>2</v>
      </c>
      <c r="B1" s="6" t="s">
        <v>3</v>
      </c>
      <c r="C1" s="5" t="s">
        <v>4655</v>
      </c>
      <c r="D1" s="73" t="s">
        <v>4656</v>
      </c>
      <c r="E1" s="74" t="s">
        <v>4657</v>
      </c>
      <c r="F1" s="6" t="s">
        <v>4658</v>
      </c>
      <c r="G1" s="6" t="s">
        <v>4659</v>
      </c>
      <c r="H1" s="6" t="s">
        <v>4660</v>
      </c>
      <c r="I1" s="6" t="s">
        <v>4661</v>
      </c>
    </row>
    <row r="2">
      <c r="A2" s="13" t="s">
        <v>3573</v>
      </c>
      <c r="B2" s="10">
        <v>40544.0</v>
      </c>
      <c r="C2" s="11" t="s">
        <v>4662</v>
      </c>
      <c r="D2" s="75">
        <f>MAX((B2-B3)/365, 1)</f>
        <v>1</v>
      </c>
      <c r="E2" s="76"/>
      <c r="H2" s="13" t="s">
        <v>4663</v>
      </c>
      <c r="I2">
        <f>COUNTIF(G:G,1)</f>
        <v>30</v>
      </c>
    </row>
    <row r="3">
      <c r="A3" s="13" t="s">
        <v>3573</v>
      </c>
      <c r="B3" s="10">
        <v>40280.0</v>
      </c>
      <c r="C3" s="11"/>
      <c r="D3" s="75"/>
      <c r="E3" s="77" t="s">
        <v>2889</v>
      </c>
      <c r="H3" s="13" t="s">
        <v>4664</v>
      </c>
      <c r="I3">
        <f>COUNTIF(G:G,0)</f>
        <v>28</v>
      </c>
    </row>
    <row r="4">
      <c r="A4" s="13" t="s">
        <v>2352</v>
      </c>
      <c r="B4" s="10">
        <v>42544.0</v>
      </c>
      <c r="C4" s="11" t="s">
        <v>4662</v>
      </c>
      <c r="D4" s="75">
        <f>MAX((B4-B5)/365, 1)</f>
        <v>4.479452055</v>
      </c>
      <c r="E4" s="76"/>
    </row>
    <row r="5">
      <c r="A5" s="13" t="s">
        <v>2352</v>
      </c>
      <c r="B5" s="10">
        <v>40909.0</v>
      </c>
      <c r="C5" s="11"/>
      <c r="D5" s="75"/>
      <c r="E5" s="77" t="s">
        <v>2889</v>
      </c>
    </row>
    <row r="6">
      <c r="A6" s="13" t="s">
        <v>4059</v>
      </c>
      <c r="B6" s="10">
        <v>38643.0</v>
      </c>
      <c r="C6" s="11" t="s">
        <v>4662</v>
      </c>
      <c r="D6" s="75">
        <f>MAX((B6-B7)/365, 1)</f>
        <v>10.22191781</v>
      </c>
      <c r="E6" s="76"/>
    </row>
    <row r="7">
      <c r="A7" s="13" t="s">
        <v>4059</v>
      </c>
      <c r="B7" s="10">
        <v>34912.0</v>
      </c>
      <c r="C7" s="30"/>
      <c r="D7" s="75"/>
      <c r="E7" s="77" t="s">
        <v>2889</v>
      </c>
    </row>
    <row r="8">
      <c r="A8" s="13" t="s">
        <v>3184</v>
      </c>
      <c r="B8" s="10">
        <v>41451.0</v>
      </c>
      <c r="C8" s="11" t="s">
        <v>4662</v>
      </c>
      <c r="D8" s="75">
        <f>MAX((B8-B9)/365, 1)</f>
        <v>1.131506849</v>
      </c>
      <c r="E8" s="78"/>
    </row>
    <row r="9">
      <c r="A9" s="13" t="s">
        <v>3184</v>
      </c>
      <c r="B9" s="10">
        <v>41038.0</v>
      </c>
      <c r="C9" s="30"/>
      <c r="D9" s="75"/>
      <c r="E9" s="77" t="s">
        <v>2889</v>
      </c>
    </row>
    <row r="10">
      <c r="A10" s="13" t="s">
        <v>1609</v>
      </c>
      <c r="B10" s="10">
        <v>43577.0</v>
      </c>
      <c r="C10" s="11" t="s">
        <v>4662</v>
      </c>
      <c r="D10" s="75">
        <f>MAX((B10-B11)/365, 1)</f>
        <v>1.726027397</v>
      </c>
      <c r="E10" s="78"/>
      <c r="F10" s="79" t="s">
        <v>42</v>
      </c>
      <c r="G10" s="13">
        <v>1.0</v>
      </c>
    </row>
    <row r="11">
      <c r="A11" s="13" t="s">
        <v>1609</v>
      </c>
      <c r="B11" s="10">
        <v>42947.0</v>
      </c>
      <c r="C11" s="11"/>
      <c r="D11" s="75"/>
      <c r="E11" s="79" t="s">
        <v>42</v>
      </c>
    </row>
    <row r="12">
      <c r="A12" s="13" t="s">
        <v>2321</v>
      </c>
      <c r="B12" s="10">
        <v>42580.0</v>
      </c>
      <c r="C12" s="11" t="s">
        <v>4662</v>
      </c>
      <c r="D12" s="75">
        <f>MAX((B12-B13)/365, 1)</f>
        <v>4.578082192</v>
      </c>
      <c r="E12" s="78"/>
    </row>
    <row r="13">
      <c r="A13" s="13" t="s">
        <v>2321</v>
      </c>
      <c r="B13" s="10">
        <v>40909.0</v>
      </c>
      <c r="C13" s="11"/>
      <c r="D13" s="75"/>
      <c r="E13" s="77" t="s">
        <v>2889</v>
      </c>
    </row>
    <row r="14">
      <c r="A14" s="13" t="s">
        <v>2449</v>
      </c>
      <c r="B14" s="10">
        <v>42439.0</v>
      </c>
      <c r="C14" s="11" t="s">
        <v>4665</v>
      </c>
      <c r="D14" s="75">
        <f>MAX((B14-B15)/365, 1)</f>
        <v>3.660273973</v>
      </c>
      <c r="E14" s="78"/>
      <c r="F14" s="13" t="s">
        <v>761</v>
      </c>
      <c r="G14" s="13">
        <v>0.0</v>
      </c>
    </row>
    <row r="15">
      <c r="A15" s="13" t="s">
        <v>2449</v>
      </c>
      <c r="B15" s="10">
        <v>41103.0</v>
      </c>
      <c r="C15" s="11"/>
      <c r="D15" s="75"/>
      <c r="E15" s="77" t="s">
        <v>282</v>
      </c>
    </row>
    <row r="16">
      <c r="A16" s="13" t="s">
        <v>1744</v>
      </c>
      <c r="B16" s="10">
        <v>43313.0</v>
      </c>
      <c r="C16" s="11" t="s">
        <v>4662</v>
      </c>
      <c r="D16" s="75">
        <f>MAX((B16-B17)/365, 1)</f>
        <v>6.002739726</v>
      </c>
      <c r="E16" s="78"/>
    </row>
    <row r="17">
      <c r="A17" s="13" t="s">
        <v>1744</v>
      </c>
      <c r="B17" s="10">
        <v>41122.0</v>
      </c>
      <c r="C17" s="11"/>
      <c r="D17" s="75"/>
      <c r="E17" s="79" t="s">
        <v>494</v>
      </c>
    </row>
    <row r="18">
      <c r="A18" s="13" t="s">
        <v>628</v>
      </c>
      <c r="B18" s="10">
        <v>45017.0</v>
      </c>
      <c r="C18" s="11" t="s">
        <v>4666</v>
      </c>
      <c r="D18" s="75">
        <f t="shared" ref="D18:D19" si="1">MAX((B18-B19)/365, 1)</f>
        <v>7.252054795</v>
      </c>
      <c r="E18" s="78"/>
    </row>
    <row r="19">
      <c r="A19" s="13" t="s">
        <v>628</v>
      </c>
      <c r="B19" s="10">
        <v>42370.0</v>
      </c>
      <c r="C19" s="11" t="s">
        <v>4662</v>
      </c>
      <c r="D19" s="75">
        <f t="shared" si="1"/>
        <v>1.504109589</v>
      </c>
      <c r="E19" s="77" t="s">
        <v>2889</v>
      </c>
    </row>
    <row r="20">
      <c r="A20" s="13" t="s">
        <v>628</v>
      </c>
      <c r="B20" s="10">
        <v>41821.0</v>
      </c>
      <c r="C20" s="11"/>
      <c r="D20" s="75"/>
      <c r="E20" s="77" t="s">
        <v>2889</v>
      </c>
    </row>
    <row r="21">
      <c r="A21" s="13" t="s">
        <v>3278</v>
      </c>
      <c r="B21" s="10">
        <v>41275.0</v>
      </c>
      <c r="C21" s="11" t="s">
        <v>4662</v>
      </c>
      <c r="D21" s="75">
        <f>MAX((B21-B22)/365, 1)</f>
        <v>1.002739726</v>
      </c>
      <c r="E21" s="78"/>
    </row>
    <row r="22">
      <c r="A22" s="13" t="s">
        <v>3278</v>
      </c>
      <c r="B22" s="10">
        <v>40909.0</v>
      </c>
      <c r="C22" s="11"/>
      <c r="D22" s="75"/>
      <c r="E22" s="77" t="s">
        <v>2889</v>
      </c>
    </row>
    <row r="23">
      <c r="A23" s="13" t="s">
        <v>1819</v>
      </c>
      <c r="B23" s="10">
        <v>43250.0</v>
      </c>
      <c r="C23" s="11" t="s">
        <v>4665</v>
      </c>
      <c r="D23" s="75">
        <f>MAX((B23-B24)/365, 1)</f>
        <v>6.016438356</v>
      </c>
      <c r="E23" s="78"/>
      <c r="F23" s="13" t="s">
        <v>69</v>
      </c>
      <c r="G23" s="13">
        <v>0.0</v>
      </c>
    </row>
    <row r="24">
      <c r="A24" s="13" t="s">
        <v>1819</v>
      </c>
      <c r="B24" s="10">
        <v>41054.0</v>
      </c>
      <c r="C24" s="11"/>
      <c r="D24" s="75"/>
      <c r="E24" s="78" t="str">
        <f t="array" ref="E24">INDEX('TJ List'!O:O,MATCH(A24&amp;B24,'TJ List'!A:A&amp;'TJ List'!B:B,0))
</f>
        <v>Dr. Lewis Yocum</v>
      </c>
    </row>
    <row r="25">
      <c r="A25" s="13" t="s">
        <v>393</v>
      </c>
      <c r="B25" s="10">
        <v>45383.0</v>
      </c>
      <c r="C25" s="11" t="s">
        <v>4666</v>
      </c>
      <c r="D25" s="75">
        <f>MAX((B25-B26)/365, 1)</f>
        <v>2.81369863</v>
      </c>
      <c r="E25" s="78"/>
    </row>
    <row r="26">
      <c r="A26" s="13" t="s">
        <v>393</v>
      </c>
      <c r="B26" s="10">
        <v>44356.0</v>
      </c>
      <c r="C26" s="11"/>
      <c r="D26" s="75"/>
      <c r="E26" s="77" t="s">
        <v>2889</v>
      </c>
    </row>
    <row r="27">
      <c r="A27" s="13" t="s">
        <v>783</v>
      </c>
      <c r="B27" s="10">
        <v>44762.0</v>
      </c>
      <c r="C27" s="11" t="s">
        <v>4666</v>
      </c>
      <c r="D27" s="75">
        <f>MAX((B27-B28)/365, 1)</f>
        <v>11.39452055</v>
      </c>
      <c r="E27" s="78"/>
    </row>
    <row r="28">
      <c r="A28" s="13" t="s">
        <v>783</v>
      </c>
      <c r="B28" s="10">
        <v>40603.0</v>
      </c>
      <c r="C28" s="11"/>
      <c r="D28" s="75"/>
      <c r="E28" s="77" t="s">
        <v>2889</v>
      </c>
    </row>
    <row r="29">
      <c r="A29" s="13" t="s">
        <v>1223</v>
      </c>
      <c r="B29" s="10">
        <v>44228.0</v>
      </c>
      <c r="C29" s="11" t="s">
        <v>4665</v>
      </c>
      <c r="D29" s="75">
        <f>MAX((B29-B30)/365, 1)</f>
        <v>8.534246575</v>
      </c>
      <c r="E29" s="78"/>
    </row>
    <row r="30">
      <c r="A30" s="13" t="s">
        <v>1223</v>
      </c>
      <c r="B30" s="10">
        <v>41113.0</v>
      </c>
      <c r="C30" s="11"/>
      <c r="D30" s="75"/>
      <c r="E30" s="77" t="s">
        <v>2889</v>
      </c>
    </row>
    <row r="31">
      <c r="A31" s="13" t="s">
        <v>3038</v>
      </c>
      <c r="B31" s="10">
        <v>41719.0</v>
      </c>
      <c r="C31" s="11" t="s">
        <v>4662</v>
      </c>
      <c r="D31" s="75">
        <f>MAX((B31-B32)/365, 1)</f>
        <v>1.747945205</v>
      </c>
      <c r="E31" s="78"/>
      <c r="F31" s="13" t="s">
        <v>69</v>
      </c>
      <c r="G31" s="13">
        <v>0.0</v>
      </c>
    </row>
    <row r="32">
      <c r="A32" s="13" t="s">
        <v>3038</v>
      </c>
      <c r="B32" s="10">
        <v>41081.0</v>
      </c>
      <c r="C32" s="30"/>
      <c r="D32" s="75"/>
      <c r="E32" s="78" t="str">
        <f t="array" ref="E32">INDEX('TJ List'!O:O,MATCH(A32&amp;B32,'TJ List'!A:A&amp;'TJ List'!B:B,0))
</f>
        <v>Dr. James Andrews</v>
      </c>
    </row>
    <row r="33">
      <c r="A33" s="13" t="s">
        <v>921</v>
      </c>
      <c r="B33" s="10">
        <v>44562.0</v>
      </c>
      <c r="C33" s="11" t="s">
        <v>4662</v>
      </c>
      <c r="D33" s="75">
        <f>MAX((B33-B34)/365, 1)</f>
        <v>8.005479452</v>
      </c>
      <c r="E33" s="78"/>
      <c r="F33" s="13"/>
      <c r="G33" s="13"/>
    </row>
    <row r="34">
      <c r="A34" s="13" t="s">
        <v>921</v>
      </c>
      <c r="B34" s="10">
        <v>41640.0</v>
      </c>
      <c r="C34" s="11"/>
      <c r="D34" s="75"/>
      <c r="E34" s="77" t="s">
        <v>2889</v>
      </c>
      <c r="F34" s="13"/>
      <c r="G34" s="13"/>
    </row>
    <row r="35">
      <c r="A35" s="13" t="s">
        <v>242</v>
      </c>
      <c r="B35" s="10">
        <v>45640.0</v>
      </c>
      <c r="C35" s="11" t="s">
        <v>4666</v>
      </c>
      <c r="D35" s="75">
        <f>MAX((B35-B36)/365, 1)</f>
        <v>7.490410959</v>
      </c>
      <c r="E35" s="78"/>
      <c r="F35" s="13"/>
      <c r="G35" s="13"/>
    </row>
    <row r="36">
      <c r="A36" s="13" t="s">
        <v>242</v>
      </c>
      <c r="B36" s="10">
        <v>42906.0</v>
      </c>
      <c r="C36" s="11"/>
      <c r="D36" s="75"/>
      <c r="E36" s="78" t="str">
        <f t="array" ref="E36">INDEX('TJ List'!O:O,MATCH(A36&amp;B36,'TJ List'!A:A&amp;'TJ List'!B:B,0))
</f>
        <v>Dr. James Andrews</v>
      </c>
      <c r="F36" s="13"/>
      <c r="G36" s="13"/>
    </row>
    <row r="37">
      <c r="A37" s="13" t="s">
        <v>4008</v>
      </c>
      <c r="B37" s="10">
        <v>38718.0</v>
      </c>
      <c r="C37" s="11" t="s">
        <v>4665</v>
      </c>
      <c r="D37" s="75">
        <f>MAX((B37-B38)/365, 1)</f>
        <v>1</v>
      </c>
      <c r="E37" s="78"/>
      <c r="F37" s="13" t="s">
        <v>355</v>
      </c>
      <c r="G37" s="13">
        <v>1.0</v>
      </c>
    </row>
    <row r="38">
      <c r="A38" s="13" t="s">
        <v>4008</v>
      </c>
      <c r="B38" s="10">
        <v>38554.0</v>
      </c>
      <c r="C38" s="30"/>
      <c r="D38" s="75"/>
      <c r="E38" s="78" t="str">
        <f t="array" ref="E38">INDEX('TJ List'!O:O,MATCH(A38&amp;B38,'TJ List'!A:A&amp;'TJ List'!B:B,0))
</f>
        <v>Dr. Timothy Kremchek</v>
      </c>
    </row>
    <row r="39">
      <c r="A39" s="13" t="s">
        <v>3400</v>
      </c>
      <c r="B39" s="10">
        <v>41018.0</v>
      </c>
      <c r="C39" s="11" t="s">
        <v>4662</v>
      </c>
      <c r="D39" s="75">
        <f>MAX((B39-B40)/365, 1)</f>
        <v>9.304109589</v>
      </c>
      <c r="E39" s="78"/>
    </row>
    <row r="40">
      <c r="A40" s="13" t="s">
        <v>3400</v>
      </c>
      <c r="B40" s="10">
        <v>37622.0</v>
      </c>
      <c r="C40" s="30"/>
      <c r="D40" s="75"/>
      <c r="E40" s="77" t="s">
        <v>2889</v>
      </c>
    </row>
    <row r="41">
      <c r="A41" s="13" t="s">
        <v>1143</v>
      </c>
      <c r="B41" s="10">
        <v>44317.0</v>
      </c>
      <c r="C41" s="11" t="s">
        <v>4662</v>
      </c>
      <c r="D41" s="75">
        <f>MAX((B41-B42)/365, 1)</f>
        <v>3.331506849</v>
      </c>
      <c r="E41" s="78"/>
    </row>
    <row r="42">
      <c r="A42" s="13" t="s">
        <v>1143</v>
      </c>
      <c r="B42" s="10">
        <v>43101.0</v>
      </c>
      <c r="C42" s="11"/>
      <c r="D42" s="75"/>
      <c r="E42" s="77" t="s">
        <v>2889</v>
      </c>
    </row>
    <row r="43">
      <c r="A43" s="13" t="s">
        <v>260</v>
      </c>
      <c r="B43" s="10">
        <v>45901.0</v>
      </c>
      <c r="C43" s="11" t="s">
        <v>4666</v>
      </c>
      <c r="D43" s="75">
        <f t="shared" ref="D43:D44" si="2">MAX((B43-B44)/365, 1)</f>
        <v>2.430136986</v>
      </c>
      <c r="E43" s="78"/>
    </row>
    <row r="44">
      <c r="A44" s="13" t="s">
        <v>260</v>
      </c>
      <c r="B44" s="10">
        <v>45014.0</v>
      </c>
      <c r="C44" s="11" t="s">
        <v>4662</v>
      </c>
      <c r="D44" s="75">
        <f t="shared" si="2"/>
        <v>10.96986301</v>
      </c>
      <c r="E44" s="77" t="s">
        <v>2889</v>
      </c>
    </row>
    <row r="45">
      <c r="A45" s="13" t="s">
        <v>260</v>
      </c>
      <c r="B45" s="10">
        <v>41010.0</v>
      </c>
      <c r="C45" s="11"/>
      <c r="D45" s="75"/>
      <c r="E45" s="77" t="s">
        <v>2889</v>
      </c>
    </row>
    <row r="46">
      <c r="A46" s="13" t="s">
        <v>1350</v>
      </c>
      <c r="B46" s="10">
        <v>44096.0</v>
      </c>
      <c r="C46" s="11" t="s">
        <v>4662</v>
      </c>
      <c r="D46" s="75">
        <f>MAX((B46-B47)/365, 1)</f>
        <v>6.320547945</v>
      </c>
      <c r="E46" s="78"/>
    </row>
    <row r="47">
      <c r="A47" s="13" t="s">
        <v>1350</v>
      </c>
      <c r="B47" s="10">
        <v>41789.0</v>
      </c>
      <c r="C47" s="11"/>
      <c r="D47" s="75"/>
      <c r="E47" s="77" t="s">
        <v>2889</v>
      </c>
    </row>
    <row r="48">
      <c r="A48" s="13" t="s">
        <v>4011</v>
      </c>
      <c r="B48" s="10">
        <v>38899.0</v>
      </c>
      <c r="C48" s="11" t="s">
        <v>4665</v>
      </c>
      <c r="D48" s="75">
        <f>MAX((B48-B49)/365, 1)</f>
        <v>1.139726027</v>
      </c>
      <c r="E48" s="78"/>
    </row>
    <row r="49">
      <c r="A49" s="13" t="s">
        <v>4011</v>
      </c>
      <c r="B49" s="10">
        <v>38483.0</v>
      </c>
      <c r="C49" s="30"/>
      <c r="D49" s="75"/>
      <c r="E49" s="78" t="str">
        <f t="array" ref="E49">INDEX('TJ List'!O:O,MATCH(A49&amp;B49,'TJ List'!A:A&amp;'TJ List'!B:B,0))
</f>
        <v>Dr. Lewis Yocum</v>
      </c>
    </row>
    <row r="50">
      <c r="A50" s="13" t="s">
        <v>4361</v>
      </c>
      <c r="B50" s="10">
        <v>36368.0</v>
      </c>
      <c r="C50" s="11" t="s">
        <v>4662</v>
      </c>
      <c r="D50" s="75">
        <f>MAX((B50-B51)/365, 1)</f>
        <v>3.071232877</v>
      </c>
      <c r="E50" s="78"/>
      <c r="F50" s="13" t="s">
        <v>761</v>
      </c>
      <c r="G50" s="13">
        <v>1.0</v>
      </c>
    </row>
    <row r="51">
      <c r="A51" s="13" t="s">
        <v>4361</v>
      </c>
      <c r="B51" s="10">
        <v>35247.0</v>
      </c>
      <c r="C51" s="30"/>
      <c r="D51" s="75"/>
      <c r="E51" s="78" t="str">
        <f t="array" ref="E51">INDEX('TJ List'!O:O,MATCH(A51&amp;B51,'TJ List'!A:A&amp;'TJ List'!B:B,0))
</f>
        <v>Dr. James Andrews</v>
      </c>
    </row>
    <row r="52">
      <c r="A52" s="13" t="s">
        <v>3346</v>
      </c>
      <c r="B52" s="10">
        <v>41091.0</v>
      </c>
      <c r="C52" s="11" t="s">
        <v>4662</v>
      </c>
      <c r="D52" s="75">
        <f>MAX((B52-B53)/365, 1)</f>
        <v>7.501369863</v>
      </c>
      <c r="E52" s="78"/>
    </row>
    <row r="53">
      <c r="A53" s="13" t="s">
        <v>3346</v>
      </c>
      <c r="B53" s="10">
        <v>38353.0</v>
      </c>
      <c r="C53" s="11"/>
      <c r="D53" s="75"/>
      <c r="E53" s="79" t="s">
        <v>2889</v>
      </c>
    </row>
    <row r="54">
      <c r="A54" s="13" t="s">
        <v>3850</v>
      </c>
      <c r="B54" s="10">
        <v>39583.0</v>
      </c>
      <c r="C54" s="11" t="s">
        <v>4662</v>
      </c>
      <c r="D54" s="75">
        <f>MAX((B54-B55)/365, 1)</f>
        <v>6</v>
      </c>
      <c r="E54" s="78"/>
      <c r="F54" s="13" t="s">
        <v>761</v>
      </c>
      <c r="G54" s="13">
        <v>1.0</v>
      </c>
    </row>
    <row r="55">
      <c r="A55" s="13" t="s">
        <v>3850</v>
      </c>
      <c r="B55" s="10">
        <v>37393.0</v>
      </c>
      <c r="C55" s="30"/>
      <c r="D55" s="75"/>
      <c r="E55" s="78" t="str">
        <f t="array" ref="E55">INDEX('TJ List'!O:O,MATCH(A55&amp;B55,'TJ List'!A:A&amp;'TJ List'!B:B,0))
</f>
        <v>Dr. James Andrews</v>
      </c>
    </row>
    <row r="56">
      <c r="A56" s="13" t="s">
        <v>822</v>
      </c>
      <c r="B56" s="10">
        <v>44699.0</v>
      </c>
      <c r="C56" s="11" t="s">
        <v>4662</v>
      </c>
      <c r="D56" s="75">
        <f>MAX((B56-B57)/365, 1)</f>
        <v>5.75890411</v>
      </c>
      <c r="E56" s="78"/>
      <c r="F56" s="13" t="s">
        <v>42</v>
      </c>
      <c r="G56" s="13">
        <v>1.0</v>
      </c>
    </row>
    <row r="57">
      <c r="A57" s="13" t="s">
        <v>822</v>
      </c>
      <c r="B57" s="10">
        <v>42597.0</v>
      </c>
      <c r="C57" s="11"/>
      <c r="D57" s="75"/>
      <c r="E57" s="79" t="s">
        <v>42</v>
      </c>
    </row>
    <row r="58">
      <c r="A58" s="13" t="s">
        <v>3636</v>
      </c>
      <c r="B58" s="10">
        <v>40288.0</v>
      </c>
      <c r="C58" s="11" t="s">
        <v>4662</v>
      </c>
      <c r="D58" s="75">
        <f>MAX((B58-B59)/365, 1)</f>
        <v>4.301369863</v>
      </c>
      <c r="E58" s="78"/>
    </row>
    <row r="59">
      <c r="A59" s="13" t="s">
        <v>3636</v>
      </c>
      <c r="B59" s="10">
        <v>38718.0</v>
      </c>
      <c r="C59" s="30"/>
      <c r="D59" s="75"/>
      <c r="E59" s="77" t="s">
        <v>2889</v>
      </c>
    </row>
    <row r="60">
      <c r="A60" s="13" t="s">
        <v>473</v>
      </c>
      <c r="B60" s="10">
        <v>45292.0</v>
      </c>
      <c r="C60" s="11" t="s">
        <v>4666</v>
      </c>
      <c r="D60" s="75">
        <f>MAX((B60-B61)/365, 1)</f>
        <v>1.753424658</v>
      </c>
      <c r="E60" s="78"/>
      <c r="F60" s="13"/>
      <c r="G60" s="13"/>
    </row>
    <row r="61">
      <c r="A61" s="13" t="s">
        <v>473</v>
      </c>
      <c r="B61" s="10">
        <v>44652.0</v>
      </c>
      <c r="C61" s="11"/>
      <c r="D61" s="75"/>
      <c r="E61" s="77" t="s">
        <v>2889</v>
      </c>
      <c r="F61" s="13"/>
      <c r="G61" s="13"/>
    </row>
    <row r="62">
      <c r="A62" s="13" t="s">
        <v>1587</v>
      </c>
      <c r="B62" s="10">
        <v>43600.0</v>
      </c>
      <c r="C62" s="11" t="s">
        <v>4662</v>
      </c>
      <c r="D62" s="75">
        <f>MAX((B62-B63)/365, 1)</f>
        <v>1.131506849</v>
      </c>
      <c r="E62" s="78"/>
      <c r="F62" s="13" t="s">
        <v>42</v>
      </c>
      <c r="G62" s="13">
        <v>1.0</v>
      </c>
    </row>
    <row r="63">
      <c r="A63" s="13" t="s">
        <v>1587</v>
      </c>
      <c r="B63" s="10">
        <v>43187.0</v>
      </c>
      <c r="C63" s="11"/>
      <c r="D63" s="75"/>
      <c r="E63" s="79" t="s">
        <v>42</v>
      </c>
    </row>
    <row r="64">
      <c r="A64" s="13" t="s">
        <v>2825</v>
      </c>
      <c r="B64" s="10">
        <v>42005.0</v>
      </c>
      <c r="C64" s="11" t="s">
        <v>4662</v>
      </c>
      <c r="D64" s="75">
        <f>MAX((B64-B65)/365, 1)</f>
        <v>3.756164384</v>
      </c>
      <c r="E64" s="78"/>
    </row>
    <row r="65">
      <c r="A65" s="13" t="s">
        <v>2825</v>
      </c>
      <c r="B65" s="10">
        <v>40634.0</v>
      </c>
      <c r="C65" s="11"/>
      <c r="D65" s="75"/>
      <c r="E65" s="77" t="s">
        <v>2889</v>
      </c>
    </row>
    <row r="66">
      <c r="A66" s="13" t="s">
        <v>1383</v>
      </c>
      <c r="B66" s="10">
        <v>44041.0</v>
      </c>
      <c r="C66" s="11" t="s">
        <v>4662</v>
      </c>
      <c r="D66" s="75">
        <f>MAX((B66-B67)/365, 1)</f>
        <v>6.164383562</v>
      </c>
      <c r="E66" s="78"/>
    </row>
    <row r="67">
      <c r="A67" s="13" t="s">
        <v>1383</v>
      </c>
      <c r="B67" s="10">
        <v>41791.0</v>
      </c>
      <c r="C67" s="11"/>
      <c r="D67" s="75"/>
      <c r="E67" s="79" t="s">
        <v>2889</v>
      </c>
    </row>
    <row r="68">
      <c r="A68" s="13" t="s">
        <v>4667</v>
      </c>
      <c r="B68" s="10">
        <v>43831.0</v>
      </c>
      <c r="C68" s="11" t="s">
        <v>4665</v>
      </c>
      <c r="D68" s="75">
        <f>MAX((B68-B69)/365, 1)</f>
        <v>2.252054795</v>
      </c>
      <c r="E68" s="78"/>
    </row>
    <row r="69">
      <c r="A69" s="13" t="s">
        <v>4667</v>
      </c>
      <c r="B69" s="10">
        <v>43009.0</v>
      </c>
      <c r="C69" s="11"/>
      <c r="D69" s="75"/>
      <c r="E69" s="77" t="s">
        <v>2889</v>
      </c>
    </row>
    <row r="70">
      <c r="A70" s="13" t="s">
        <v>1490</v>
      </c>
      <c r="B70" s="10">
        <v>43741.0</v>
      </c>
      <c r="C70" s="11" t="s">
        <v>4662</v>
      </c>
      <c r="D70" s="75">
        <f>MAX((B70-B71)/365, 1)</f>
        <v>5.526027397</v>
      </c>
      <c r="E70" s="78"/>
    </row>
    <row r="71">
      <c r="A71" s="13" t="s">
        <v>1490</v>
      </c>
      <c r="B71" s="10">
        <v>41724.0</v>
      </c>
      <c r="C71" s="11"/>
      <c r="D71" s="75"/>
      <c r="E71" s="77" t="s">
        <v>42</v>
      </c>
    </row>
    <row r="72">
      <c r="A72" s="13" t="s">
        <v>1612</v>
      </c>
      <c r="B72" s="10">
        <v>43564.0</v>
      </c>
      <c r="C72" s="11" t="s">
        <v>4665</v>
      </c>
      <c r="D72" s="75">
        <f t="shared" ref="D72:D73" si="3">MAX((B72-B73)/365, 1)</f>
        <v>2.183561644</v>
      </c>
      <c r="E72" s="78"/>
    </row>
    <row r="73">
      <c r="A73" s="13" t="s">
        <v>1612</v>
      </c>
      <c r="B73" s="10">
        <v>42767.0</v>
      </c>
      <c r="C73" s="11" t="s">
        <v>4665</v>
      </c>
      <c r="D73" s="75">
        <f t="shared" si="3"/>
        <v>6.090410959</v>
      </c>
      <c r="E73" s="77" t="s">
        <v>2889</v>
      </c>
    </row>
    <row r="74">
      <c r="A74" s="13" t="s">
        <v>1612</v>
      </c>
      <c r="B74" s="10">
        <v>40544.0</v>
      </c>
      <c r="C74" s="11"/>
      <c r="D74" s="75"/>
      <c r="E74" s="77" t="s">
        <v>2889</v>
      </c>
    </row>
    <row r="75">
      <c r="A75" s="13" t="s">
        <v>3059</v>
      </c>
      <c r="B75" s="10">
        <v>41688.0</v>
      </c>
      <c r="C75" s="11" t="s">
        <v>4662</v>
      </c>
      <c r="D75" s="75">
        <f>MAX((B75-B76)/365, 1)</f>
        <v>1.742465753</v>
      </c>
      <c r="E75" s="78"/>
      <c r="F75" s="13" t="s">
        <v>761</v>
      </c>
      <c r="G75" s="13">
        <v>0.0</v>
      </c>
    </row>
    <row r="76">
      <c r="A76" s="13" t="s">
        <v>3059</v>
      </c>
      <c r="B76" s="10">
        <v>41052.0</v>
      </c>
      <c r="C76" s="30"/>
      <c r="D76" s="75"/>
      <c r="E76" s="78" t="str">
        <f t="array" ref="E76">INDEX('TJ List'!O:O,MATCH(A76&amp;B76,'TJ List'!A:A&amp;'TJ List'!B:B,0))
</f>
        <v>Dr. Lewis Yocum</v>
      </c>
    </row>
    <row r="77">
      <c r="A77" s="13" t="s">
        <v>3187</v>
      </c>
      <c r="B77" s="10">
        <v>41443.0</v>
      </c>
      <c r="C77" s="11" t="s">
        <v>4662</v>
      </c>
      <c r="D77" s="75">
        <f>MAX((B77-B78)/365, 1)</f>
        <v>1</v>
      </c>
      <c r="E77" s="78"/>
      <c r="F77" s="13" t="s">
        <v>761</v>
      </c>
      <c r="G77" s="13">
        <v>0.0</v>
      </c>
    </row>
    <row r="78">
      <c r="A78" s="13" t="s">
        <v>3187</v>
      </c>
      <c r="B78" s="10">
        <v>41099.0</v>
      </c>
      <c r="C78" s="30"/>
      <c r="D78" s="75"/>
      <c r="E78" s="78" t="str">
        <f t="array" ref="E78">INDEX('TJ List'!O:O,MATCH(A78&amp;B78,'TJ List'!A:A&amp;'TJ List'!B:B,0))
</f>
        <v>Dr. Lewis Yocum</v>
      </c>
    </row>
    <row r="79">
      <c r="A79" s="13" t="s">
        <v>2441</v>
      </c>
      <c r="B79" s="10">
        <v>42453.0</v>
      </c>
      <c r="C79" s="11" t="s">
        <v>4665</v>
      </c>
      <c r="D79" s="75">
        <f>MAX((B79-B80)/365, 1)</f>
        <v>1</v>
      </c>
      <c r="E79" s="78"/>
    </row>
    <row r="80">
      <c r="A80" s="13" t="s">
        <v>2441</v>
      </c>
      <c r="B80" s="10">
        <v>42136.0</v>
      </c>
      <c r="C80" s="11"/>
      <c r="D80" s="75"/>
      <c r="E80" s="77" t="s">
        <v>2889</v>
      </c>
    </row>
    <row r="81">
      <c r="A81" s="13" t="s">
        <v>4299</v>
      </c>
      <c r="B81" s="10">
        <v>37081.0</v>
      </c>
      <c r="C81" s="11" t="s">
        <v>4662</v>
      </c>
      <c r="D81" s="75">
        <f>MAX((B81-B82)/365, 1)</f>
        <v>6.326027397</v>
      </c>
      <c r="E81" s="78"/>
      <c r="F81" s="13" t="s">
        <v>4062</v>
      </c>
      <c r="G81" s="13">
        <v>1.0</v>
      </c>
    </row>
    <row r="82">
      <c r="A82" s="13" t="s">
        <v>4299</v>
      </c>
      <c r="B82" s="10">
        <v>34772.0</v>
      </c>
      <c r="C82" s="30"/>
      <c r="D82" s="75"/>
      <c r="E82" s="78" t="str">
        <f t="array" ref="E82">INDEX('TJ List'!O:O,MATCH(A82&amp;B82,'TJ List'!A:A&amp;'TJ List'!B:B,0))
</f>
        <v>Dr. Frank Jobe</v>
      </c>
    </row>
    <row r="83">
      <c r="A83" s="13" t="s">
        <v>747</v>
      </c>
      <c r="B83" s="10">
        <v>44813.0</v>
      </c>
      <c r="C83" s="11" t="s">
        <v>4666</v>
      </c>
      <c r="D83" s="75">
        <f>MAX((B83-B84)/365, 1)</f>
        <v>5.375342466</v>
      </c>
      <c r="E83" s="78"/>
      <c r="F83" s="13"/>
      <c r="G83" s="13"/>
    </row>
    <row r="84">
      <c r="A84" s="13" t="s">
        <v>747</v>
      </c>
      <c r="B84" s="10">
        <v>42851.0</v>
      </c>
      <c r="C84" s="11"/>
      <c r="D84" s="75"/>
      <c r="E84" s="77" t="s">
        <v>2889</v>
      </c>
      <c r="F84" s="13"/>
      <c r="G84" s="13"/>
    </row>
    <row r="85">
      <c r="A85" s="13" t="s">
        <v>457</v>
      </c>
      <c r="B85" s="10">
        <v>45292.0</v>
      </c>
      <c r="C85" s="11" t="s">
        <v>4662</v>
      </c>
      <c r="D85" s="75">
        <f>MAX((B85-B86)/365, 1)</f>
        <v>7.002739726</v>
      </c>
      <c r="E85" s="78"/>
      <c r="F85" s="13"/>
      <c r="G85" s="13"/>
    </row>
    <row r="86">
      <c r="A86" s="13" t="s">
        <v>457</v>
      </c>
      <c r="B86" s="10">
        <v>42736.0</v>
      </c>
      <c r="C86" s="11"/>
      <c r="D86" s="75"/>
      <c r="E86" s="77" t="s">
        <v>2889</v>
      </c>
      <c r="F86" s="13"/>
      <c r="G86" s="13"/>
    </row>
    <row r="87">
      <c r="A87" s="13" t="s">
        <v>571</v>
      </c>
      <c r="B87" s="10">
        <v>45090.0</v>
      </c>
      <c r="C87" s="11" t="s">
        <v>4666</v>
      </c>
      <c r="D87" s="75">
        <f>MAX((B87-B88)/365, 1)</f>
        <v>3.783561644</v>
      </c>
      <c r="E87" s="78"/>
      <c r="F87" s="13"/>
      <c r="G87" s="13"/>
    </row>
    <row r="88">
      <c r="A88" s="13" t="s">
        <v>571</v>
      </c>
      <c r="B88" s="10">
        <v>43709.0</v>
      </c>
      <c r="C88" s="11"/>
      <c r="D88" s="75"/>
      <c r="E88" s="80" t="s">
        <v>2889</v>
      </c>
      <c r="F88" s="13"/>
      <c r="G88" s="13"/>
    </row>
    <row r="89">
      <c r="A89" s="13" t="s">
        <v>4263</v>
      </c>
      <c r="B89" s="10">
        <v>37370.0</v>
      </c>
      <c r="C89" s="11" t="s">
        <v>4665</v>
      </c>
      <c r="D89" s="75">
        <f>MAX((B89-B90)/365, 1)</f>
        <v>1</v>
      </c>
      <c r="E89" s="78"/>
      <c r="F89" s="13" t="s">
        <v>662</v>
      </c>
      <c r="G89" s="13">
        <v>0.0</v>
      </c>
    </row>
    <row r="90">
      <c r="A90" s="13" t="s">
        <v>4263</v>
      </c>
      <c r="B90" s="10">
        <v>37012.0</v>
      </c>
      <c r="C90" s="30"/>
      <c r="D90" s="75"/>
      <c r="E90" s="78" t="str">
        <f t="array" ref="E90">INDEX('TJ List'!O:O,MATCH(A90&amp;B90,'TJ List'!A:A&amp;'TJ List'!B:B,0))
</f>
        <v>Dr. James Andrews</v>
      </c>
    </row>
    <row r="91">
      <c r="A91" s="13" t="s">
        <v>86</v>
      </c>
      <c r="B91" s="10">
        <v>45852.0</v>
      </c>
      <c r="C91" s="11" t="s">
        <v>4666</v>
      </c>
      <c r="D91" s="75">
        <f>MAX((B91-B92)/365, 1)</f>
        <v>4.293150685</v>
      </c>
      <c r="E91" s="78"/>
      <c r="F91" s="13" t="s">
        <v>42</v>
      </c>
      <c r="G91" s="13">
        <v>0.0</v>
      </c>
    </row>
    <row r="92">
      <c r="A92" s="13" t="s">
        <v>86</v>
      </c>
      <c r="B92" s="10">
        <v>44285.0</v>
      </c>
      <c r="C92" s="11"/>
      <c r="D92" s="75"/>
      <c r="E92" s="79" t="s">
        <v>69</v>
      </c>
    </row>
    <row r="93">
      <c r="A93" s="13" t="s">
        <v>3968</v>
      </c>
      <c r="B93" s="10">
        <v>39083.0</v>
      </c>
      <c r="C93" s="11" t="s">
        <v>4662</v>
      </c>
      <c r="D93" s="75">
        <f>MAX((B93-B94)/365, 1)</f>
        <v>1</v>
      </c>
      <c r="E93" s="78"/>
    </row>
    <row r="94">
      <c r="A94" s="13" t="s">
        <v>3968</v>
      </c>
      <c r="B94" s="10">
        <v>38718.0</v>
      </c>
      <c r="C94" s="30"/>
      <c r="D94" s="75"/>
      <c r="E94" s="77" t="s">
        <v>2889</v>
      </c>
    </row>
    <row r="95">
      <c r="A95" s="13" t="s">
        <v>4070</v>
      </c>
      <c r="B95" s="10">
        <v>38534.0</v>
      </c>
      <c r="C95" s="11" t="s">
        <v>4665</v>
      </c>
      <c r="D95" s="75">
        <f>MAX((B95-B96)/365, 1)</f>
        <v>2.326027397</v>
      </c>
      <c r="E95" s="78"/>
    </row>
    <row r="96">
      <c r="A96" s="13" t="s">
        <v>4070</v>
      </c>
      <c r="B96" s="10">
        <v>37685.0</v>
      </c>
      <c r="C96" s="30"/>
      <c r="D96" s="75"/>
      <c r="E96" s="77" t="s">
        <v>2889</v>
      </c>
    </row>
    <row r="97">
      <c r="A97" s="13" t="s">
        <v>4245</v>
      </c>
      <c r="B97" s="10">
        <v>37500.0</v>
      </c>
      <c r="C97" s="11" t="s">
        <v>4662</v>
      </c>
      <c r="D97" s="75">
        <f>MAX((B97-B98)/365, 1)</f>
        <v>1.347945205</v>
      </c>
      <c r="E97" s="78"/>
      <c r="F97" s="13" t="s">
        <v>2059</v>
      </c>
      <c r="G97" s="13">
        <v>1.0</v>
      </c>
    </row>
    <row r="98">
      <c r="A98" s="13" t="s">
        <v>4245</v>
      </c>
      <c r="B98" s="10">
        <v>37008.0</v>
      </c>
      <c r="C98" s="30"/>
      <c r="D98" s="75"/>
      <c r="E98" s="78" t="str">
        <f t="array" ref="E98">INDEX('TJ List'!O:O,MATCH(A98&amp;B98,'TJ List'!A:A&amp;'TJ List'!B:B,0))
</f>
        <v>Dr. Thomas Mehlhoff</v>
      </c>
    </row>
    <row r="99">
      <c r="A99" s="13" t="s">
        <v>2010</v>
      </c>
      <c r="B99" s="10">
        <v>42970.0</v>
      </c>
      <c r="C99" s="11" t="s">
        <v>4662</v>
      </c>
      <c r="D99" s="75">
        <f>MAX((B99-B100)/365, 1)</f>
        <v>1.402739726</v>
      </c>
      <c r="E99" s="78"/>
      <c r="F99" s="13" t="s">
        <v>42</v>
      </c>
      <c r="G99" s="13">
        <v>0.0</v>
      </c>
    </row>
    <row r="100">
      <c r="A100" s="13" t="s">
        <v>2010</v>
      </c>
      <c r="B100" s="10">
        <v>42458.0</v>
      </c>
      <c r="C100" s="11"/>
      <c r="D100" s="75"/>
      <c r="E100" s="77" t="s">
        <v>2438</v>
      </c>
    </row>
    <row r="101">
      <c r="A101" s="13" t="s">
        <v>293</v>
      </c>
      <c r="B101" s="10">
        <v>45485.0</v>
      </c>
      <c r="C101" s="11" t="s">
        <v>4666</v>
      </c>
      <c r="D101" s="75">
        <f>MAX((B101-B102)/365, 1)</f>
        <v>5.339726027</v>
      </c>
      <c r="E101" s="78"/>
      <c r="F101" s="79" t="s">
        <v>42</v>
      </c>
      <c r="G101" s="13">
        <v>0.0</v>
      </c>
    </row>
    <row r="102">
      <c r="A102" s="13" t="s">
        <v>293</v>
      </c>
      <c r="B102" s="10">
        <v>43536.0</v>
      </c>
      <c r="C102" s="11"/>
      <c r="D102" s="75"/>
      <c r="E102" s="79" t="s">
        <v>1407</v>
      </c>
      <c r="F102" s="78"/>
      <c r="G102" s="13"/>
    </row>
    <row r="103">
      <c r="A103" s="13" t="s">
        <v>552</v>
      </c>
      <c r="B103" s="10">
        <v>45125.0</v>
      </c>
      <c r="C103" s="11" t="s">
        <v>4662</v>
      </c>
      <c r="D103" s="75">
        <f>MAX((B103-B104)/365, 1)</f>
        <v>2.183561644</v>
      </c>
      <c r="E103" s="78"/>
      <c r="F103" s="78" t="s">
        <v>69</v>
      </c>
      <c r="G103" s="13">
        <v>1.0</v>
      </c>
    </row>
    <row r="104">
      <c r="A104" s="13" t="s">
        <v>552</v>
      </c>
      <c r="B104" s="10">
        <v>44328.0</v>
      </c>
      <c r="C104" s="11"/>
      <c r="D104" s="75"/>
      <c r="E104" s="78" t="str">
        <f t="array" ref="E104">INDEX('TJ List'!O:O,MATCH(A104&amp;B104,'TJ List'!A:A&amp;'TJ List'!B:B,0))
</f>
        <v>Dr. Neal ElAttrache</v>
      </c>
      <c r="F104" s="13"/>
      <c r="G104" s="13"/>
    </row>
    <row r="105">
      <c r="A105" s="13" t="s">
        <v>2015</v>
      </c>
      <c r="B105" s="10">
        <v>42951.0</v>
      </c>
      <c r="C105" s="11" t="s">
        <v>4662</v>
      </c>
      <c r="D105" s="75">
        <f>MAX((B105-B106)/365, 1)</f>
        <v>8.008219178</v>
      </c>
      <c r="E105" s="78"/>
      <c r="F105" s="13" t="s">
        <v>355</v>
      </c>
      <c r="G105" s="13">
        <v>1.0</v>
      </c>
    </row>
    <row r="106">
      <c r="A106" s="13" t="s">
        <v>2015</v>
      </c>
      <c r="B106" s="10">
        <v>40028.0</v>
      </c>
      <c r="C106" s="11"/>
      <c r="D106" s="75"/>
      <c r="E106" s="13" t="s">
        <v>355</v>
      </c>
    </row>
    <row r="107">
      <c r="A107" s="13" t="s">
        <v>3099</v>
      </c>
      <c r="B107" s="10">
        <v>41640.0</v>
      </c>
      <c r="C107" s="11" t="s">
        <v>4665</v>
      </c>
      <c r="D107" s="75">
        <f>MAX((B107-B108)/365, 1)</f>
        <v>5.421917808</v>
      </c>
      <c r="E107" s="78"/>
    </row>
    <row r="108">
      <c r="A108" s="13" t="s">
        <v>3099</v>
      </c>
      <c r="B108" s="10">
        <v>39661.0</v>
      </c>
      <c r="C108" s="11"/>
      <c r="D108" s="75"/>
      <c r="E108" s="77" t="s">
        <v>2889</v>
      </c>
    </row>
    <row r="109">
      <c r="A109" s="13" t="s">
        <v>1010</v>
      </c>
      <c r="B109" s="10">
        <v>44485.0</v>
      </c>
      <c r="C109" s="11" t="s">
        <v>4662</v>
      </c>
      <c r="D109" s="75">
        <f>MAX((B109-B110)/365, 1)</f>
        <v>3.791780822</v>
      </c>
      <c r="E109" s="78"/>
    </row>
    <row r="110">
      <c r="A110" s="13" t="s">
        <v>1010</v>
      </c>
      <c r="B110" s="10">
        <v>43101.0</v>
      </c>
      <c r="C110" s="11"/>
      <c r="D110" s="75"/>
      <c r="E110" s="77" t="s">
        <v>2889</v>
      </c>
    </row>
    <row r="111">
      <c r="A111" s="13" t="s">
        <v>3217</v>
      </c>
      <c r="B111" s="10">
        <v>41395.0</v>
      </c>
      <c r="C111" s="11" t="s">
        <v>4662</v>
      </c>
      <c r="D111" s="75">
        <f>MAX((B111-B112)/365, 1)</f>
        <v>1.750684932</v>
      </c>
      <c r="E111" s="78"/>
    </row>
    <row r="112">
      <c r="A112" s="13" t="s">
        <v>3217</v>
      </c>
      <c r="B112" s="10">
        <v>40756.0</v>
      </c>
      <c r="C112" s="30"/>
      <c r="D112" s="75"/>
      <c r="E112" s="77" t="s">
        <v>2889</v>
      </c>
    </row>
    <row r="113">
      <c r="A113" s="13" t="s">
        <v>1808</v>
      </c>
      <c r="B113" s="10">
        <v>43257.0</v>
      </c>
      <c r="C113" s="11" t="s">
        <v>4666</v>
      </c>
      <c r="D113" s="75">
        <f>MAX((B113-B114)/365, 1)</f>
        <v>2.97260274</v>
      </c>
      <c r="E113" s="78"/>
    </row>
    <row r="114">
      <c r="A114" s="13" t="s">
        <v>1808</v>
      </c>
      <c r="B114" s="10">
        <v>42172.0</v>
      </c>
      <c r="C114" s="11"/>
      <c r="D114" s="75"/>
      <c r="E114" s="79" t="s">
        <v>2889</v>
      </c>
    </row>
    <row r="115">
      <c r="A115" s="13" t="s">
        <v>4438</v>
      </c>
      <c r="B115" s="10">
        <v>34191.0</v>
      </c>
      <c r="C115" s="11" t="s">
        <v>4662</v>
      </c>
      <c r="D115" s="75">
        <f>MAX((B115-B116)/365, 1)</f>
        <v>2.608219178</v>
      </c>
      <c r="E115" s="78"/>
    </row>
    <row r="116">
      <c r="A116" s="13" t="s">
        <v>4438</v>
      </c>
      <c r="B116" s="10">
        <v>33239.0</v>
      </c>
      <c r="C116" s="11"/>
      <c r="D116" s="75"/>
      <c r="E116" s="77" t="s">
        <v>2889</v>
      </c>
    </row>
    <row r="117">
      <c r="A117" s="13" t="s">
        <v>2861</v>
      </c>
      <c r="B117" s="10">
        <v>42005.0</v>
      </c>
      <c r="C117" s="11" t="s">
        <v>4662</v>
      </c>
      <c r="D117" s="75">
        <f>MAX((B117-B118)/365, 1)</f>
        <v>2.252054795</v>
      </c>
      <c r="E117" s="78"/>
      <c r="F117" s="38" t="s">
        <v>355</v>
      </c>
      <c r="G117" s="13">
        <v>0.0</v>
      </c>
    </row>
    <row r="118">
      <c r="A118" s="13" t="s">
        <v>2861</v>
      </c>
      <c r="B118" s="10">
        <v>41183.0</v>
      </c>
      <c r="C118" s="11"/>
      <c r="D118" s="75"/>
      <c r="E118" s="79" t="s">
        <v>42</v>
      </c>
    </row>
    <row r="119">
      <c r="A119" s="13" t="s">
        <v>4228</v>
      </c>
      <c r="B119" s="10">
        <v>37622.0</v>
      </c>
      <c r="C119" s="11" t="s">
        <v>4662</v>
      </c>
      <c r="D119" s="75">
        <f>MAX((B119-B120)/365, 1)</f>
        <v>3.002739726</v>
      </c>
      <c r="E119" s="78"/>
    </row>
    <row r="120">
      <c r="A120" s="13" t="s">
        <v>4228</v>
      </c>
      <c r="B120" s="10">
        <v>36526.0</v>
      </c>
      <c r="C120" s="30"/>
      <c r="D120" s="75"/>
      <c r="E120" s="77" t="s">
        <v>2889</v>
      </c>
    </row>
    <row r="121">
      <c r="A121" s="13" t="s">
        <v>802</v>
      </c>
      <c r="B121" s="10">
        <v>44730.0</v>
      </c>
      <c r="C121" s="11" t="s">
        <v>4662</v>
      </c>
      <c r="D121" s="75">
        <f>MAX((B121-B122)/365, 1)</f>
        <v>18.14520548</v>
      </c>
      <c r="E121" s="78"/>
    </row>
    <row r="122">
      <c r="A122" s="13" t="s">
        <v>802</v>
      </c>
      <c r="B122" s="10">
        <v>38107.0</v>
      </c>
      <c r="C122" s="11"/>
      <c r="D122" s="75"/>
      <c r="E122" s="77" t="s">
        <v>2889</v>
      </c>
    </row>
    <row r="123">
      <c r="A123" s="13" t="s">
        <v>2095</v>
      </c>
      <c r="B123" s="10">
        <v>42871.0</v>
      </c>
      <c r="C123" s="11" t="s">
        <v>4662</v>
      </c>
      <c r="D123" s="75">
        <f>MAX((B123-B124)/365, 1)</f>
        <v>1.147945205</v>
      </c>
      <c r="E123" s="78"/>
    </row>
    <row r="124">
      <c r="A124" s="13" t="s">
        <v>2095</v>
      </c>
      <c r="B124" s="10">
        <v>42452.0</v>
      </c>
      <c r="C124" s="11"/>
      <c r="D124" s="75"/>
      <c r="E124" s="77" t="s">
        <v>2889</v>
      </c>
    </row>
    <row r="125">
      <c r="A125" s="13" t="s">
        <v>2660</v>
      </c>
      <c r="B125" s="10">
        <v>42173.0</v>
      </c>
      <c r="C125" s="11" t="s">
        <v>4662</v>
      </c>
      <c r="D125" s="75">
        <f>MAX((B125-B126)/365, 1)</f>
        <v>3.046575342</v>
      </c>
      <c r="E125" s="78"/>
    </row>
    <row r="126">
      <c r="A126" s="13" t="s">
        <v>2660</v>
      </c>
      <c r="B126" s="10">
        <v>41061.0</v>
      </c>
      <c r="C126" s="11"/>
      <c r="D126" s="75"/>
      <c r="E126" s="77" t="s">
        <v>2889</v>
      </c>
    </row>
    <row r="127">
      <c r="A127" s="13" t="s">
        <v>1621</v>
      </c>
      <c r="B127" s="10">
        <v>43556.0</v>
      </c>
      <c r="C127" s="11" t="s">
        <v>4662</v>
      </c>
      <c r="D127" s="75">
        <f>MAX((B127-B128)/365, 1)</f>
        <v>1.246575342</v>
      </c>
      <c r="E127" s="78"/>
    </row>
    <row r="128">
      <c r="A128" s="13" t="s">
        <v>1621</v>
      </c>
      <c r="B128" s="10">
        <v>43101.0</v>
      </c>
      <c r="C128" s="11"/>
      <c r="D128" s="75"/>
      <c r="E128" s="77" t="s">
        <v>2889</v>
      </c>
    </row>
    <row r="129">
      <c r="A129" s="13" t="s">
        <v>934</v>
      </c>
      <c r="B129" s="10">
        <v>44562.0</v>
      </c>
      <c r="C129" s="11" t="s">
        <v>4665</v>
      </c>
      <c r="D129" s="75">
        <f>MAX((B129-B130)/365, 1)</f>
        <v>1</v>
      </c>
      <c r="E129" s="78"/>
      <c r="F129" s="13"/>
      <c r="G129" s="13"/>
    </row>
    <row r="130">
      <c r="A130" s="13" t="s">
        <v>934</v>
      </c>
      <c r="B130" s="10">
        <v>44197.0</v>
      </c>
      <c r="C130" s="11"/>
      <c r="D130" s="75"/>
      <c r="E130" s="77" t="s">
        <v>2889</v>
      </c>
      <c r="F130" s="13"/>
      <c r="G130" s="13"/>
    </row>
    <row r="131">
      <c r="A131" s="13" t="s">
        <v>573</v>
      </c>
      <c r="B131" s="10">
        <v>45089.0</v>
      </c>
      <c r="C131" s="11" t="s">
        <v>4666</v>
      </c>
      <c r="D131" s="75">
        <f>MAX((B131-B132)/365, 1)</f>
        <v>12.67945205</v>
      </c>
      <c r="E131" s="78"/>
      <c r="F131" s="13" t="s">
        <v>42</v>
      </c>
      <c r="G131" s="13">
        <v>0.0</v>
      </c>
    </row>
    <row r="132">
      <c r="A132" s="13" t="s">
        <v>573</v>
      </c>
      <c r="B132" s="10">
        <v>40461.0</v>
      </c>
      <c r="C132" s="11"/>
      <c r="D132" s="75"/>
      <c r="E132" s="78" t="str">
        <f t="array" ref="E132">INDEX('TJ List'!O:O,MATCH(A132&amp;B132,'TJ List'!A:A&amp;'TJ List'!B:B,0))
</f>
        <v>Dr. David Altchek</v>
      </c>
    </row>
    <row r="133">
      <c r="A133" s="13" t="s">
        <v>1887</v>
      </c>
      <c r="B133" s="10">
        <v>43186.0</v>
      </c>
      <c r="C133" s="11" t="s">
        <v>4662</v>
      </c>
      <c r="D133" s="75">
        <f>MAX((B133-B134)/365, 1)</f>
        <v>1.64109589</v>
      </c>
      <c r="E133" s="78"/>
    </row>
    <row r="134">
      <c r="A134" s="13" t="s">
        <v>1887</v>
      </c>
      <c r="B134" s="10">
        <v>42587.0</v>
      </c>
      <c r="C134" s="11"/>
      <c r="D134" s="75"/>
      <c r="E134" s="77" t="s">
        <v>2889</v>
      </c>
    </row>
    <row r="135">
      <c r="A135" s="13" t="s">
        <v>1088</v>
      </c>
      <c r="B135" s="10">
        <v>44375.0</v>
      </c>
      <c r="C135" s="11" t="s">
        <v>4662</v>
      </c>
      <c r="D135" s="75">
        <f>MAX((B135-B136)/365, 1)</f>
        <v>2.909589041</v>
      </c>
      <c r="E135" s="78"/>
    </row>
    <row r="136">
      <c r="A136" s="13" t="s">
        <v>1088</v>
      </c>
      <c r="B136" s="10">
        <v>43313.0</v>
      </c>
      <c r="C136" s="11"/>
      <c r="D136" s="75"/>
      <c r="E136" s="77" t="s">
        <v>2889</v>
      </c>
    </row>
    <row r="137">
      <c r="A137" s="13" t="s">
        <v>1516</v>
      </c>
      <c r="B137" s="10">
        <v>43690.0</v>
      </c>
      <c r="C137" s="11" t="s">
        <v>4662</v>
      </c>
      <c r="D137" s="75">
        <f>MAX((B137-B138)/365, 1)</f>
        <v>5.347945205</v>
      </c>
      <c r="E137" s="78"/>
      <c r="F137" s="13" t="s">
        <v>1407</v>
      </c>
      <c r="G137" s="13">
        <v>1.0</v>
      </c>
    </row>
    <row r="138">
      <c r="A138" s="13" t="s">
        <v>1516</v>
      </c>
      <c r="B138" s="10">
        <v>41738.0</v>
      </c>
      <c r="C138" s="11"/>
      <c r="D138" s="75"/>
      <c r="E138" s="78" t="str">
        <f t="array" ref="E138">INDEX('TJ List'!O:O,MATCH(A138&amp;B138,'TJ List'!A:A&amp;'TJ List'!B:B,0))
</f>
        <v>Dr. David Altchek</v>
      </c>
    </row>
    <row r="139">
      <c r="A139" s="13" t="s">
        <v>3037</v>
      </c>
      <c r="B139" s="10">
        <v>41722.0</v>
      </c>
      <c r="C139" s="11" t="s">
        <v>4665</v>
      </c>
      <c r="D139" s="75">
        <f>MAX((B139-B140)/365, 1)</f>
        <v>4.405479452</v>
      </c>
      <c r="E139" s="78"/>
      <c r="F139" s="13" t="s">
        <v>761</v>
      </c>
      <c r="G139" s="13">
        <v>1.0</v>
      </c>
    </row>
    <row r="140">
      <c r="A140" s="13" t="s">
        <v>3037</v>
      </c>
      <c r="B140" s="10">
        <v>40114.0</v>
      </c>
      <c r="C140" s="30"/>
      <c r="D140" s="75"/>
      <c r="E140" s="78" t="str">
        <f t="array" ref="E140">INDEX('TJ List'!O:O,MATCH(A140&amp;B140,'TJ List'!A:A&amp;'TJ List'!B:B,0))
</f>
        <v>Dr. James Andrews</v>
      </c>
    </row>
    <row r="141">
      <c r="A141" s="13" t="s">
        <v>4322</v>
      </c>
      <c r="B141" s="10">
        <v>36892.0</v>
      </c>
      <c r="C141" s="11" t="s">
        <v>4662</v>
      </c>
      <c r="D141" s="75">
        <f>MAX((B141-B142)/365, 1)</f>
        <v>3.002739726</v>
      </c>
      <c r="E141" s="78"/>
    </row>
    <row r="142">
      <c r="A142" s="13" t="s">
        <v>4322</v>
      </c>
      <c r="B142" s="10">
        <v>35796.0</v>
      </c>
      <c r="C142" s="30"/>
      <c r="D142" s="75"/>
      <c r="E142" s="77" t="s">
        <v>2889</v>
      </c>
    </row>
    <row r="143">
      <c r="A143" s="13" t="s">
        <v>3703</v>
      </c>
      <c r="B143" s="10">
        <v>40057.0</v>
      </c>
      <c r="C143" s="11" t="s">
        <v>4662</v>
      </c>
      <c r="D143" s="75">
        <f t="shared" ref="D143:D144" si="4">MAX((B143-B144)/365, 1)</f>
        <v>1</v>
      </c>
      <c r="E143" s="78"/>
      <c r="F143" s="78" t="s">
        <v>1332</v>
      </c>
      <c r="G143" s="13">
        <v>1.0</v>
      </c>
    </row>
    <row r="144">
      <c r="A144" s="13" t="s">
        <v>3703</v>
      </c>
      <c r="B144" s="10">
        <v>39980.0</v>
      </c>
      <c r="C144" s="11" t="s">
        <v>4662</v>
      </c>
      <c r="D144" s="75">
        <f t="shared" si="4"/>
        <v>11.43013699</v>
      </c>
      <c r="E144" s="78" t="str">
        <f t="array" ref="E144">INDEX('TJ List'!O:O,MATCH(A144&amp;B144,'TJ List'!A:A&amp;'TJ List'!B:B,0))
</f>
        <v>Dr. George Paletta</v>
      </c>
      <c r="F144" s="78" t="s">
        <v>1332</v>
      </c>
      <c r="G144" s="13">
        <v>1.0</v>
      </c>
    </row>
    <row r="145">
      <c r="A145" s="13" t="s">
        <v>3703</v>
      </c>
      <c r="B145" s="10">
        <v>35808.0</v>
      </c>
      <c r="C145" s="30"/>
      <c r="D145" s="75"/>
      <c r="E145" s="78" t="str">
        <f t="array" ref="E145">INDEX('TJ List'!O:O,MATCH(A145&amp;B145,'TJ List'!A:A&amp;'TJ List'!B:B,0))
</f>
        <v>Dr. George Paletta</v>
      </c>
    </row>
    <row r="146">
      <c r="A146" s="13" t="s">
        <v>3118</v>
      </c>
      <c r="B146" s="10">
        <v>41640.0</v>
      </c>
      <c r="C146" s="11" t="s">
        <v>4665</v>
      </c>
      <c r="D146" s="75">
        <f>MAX((B146-B147)/365, 1)</f>
        <v>8.005479452</v>
      </c>
      <c r="E146" s="78"/>
    </row>
    <row r="147">
      <c r="A147" s="13" t="s">
        <v>3118</v>
      </c>
      <c r="B147" s="10">
        <v>38718.0</v>
      </c>
      <c r="C147" s="11"/>
      <c r="D147" s="75"/>
      <c r="E147" s="77" t="s">
        <v>2889</v>
      </c>
    </row>
    <row r="148">
      <c r="A148" s="13" t="s">
        <v>4398</v>
      </c>
      <c r="B148" s="10">
        <v>35490.0</v>
      </c>
      <c r="C148" s="11" t="s">
        <v>4662</v>
      </c>
      <c r="D148" s="75">
        <f>MAX((B148-B149)/365, 1)</f>
        <v>1.498630137</v>
      </c>
      <c r="E148" s="78"/>
    </row>
    <row r="149">
      <c r="A149" s="13" t="s">
        <v>4398</v>
      </c>
      <c r="B149" s="10">
        <v>34943.0</v>
      </c>
      <c r="C149" s="11"/>
      <c r="D149" s="75"/>
      <c r="E149" s="77" t="s">
        <v>2889</v>
      </c>
    </row>
    <row r="150">
      <c r="A150" s="13" t="s">
        <v>2878</v>
      </c>
      <c r="B150" s="10">
        <v>41921.0</v>
      </c>
      <c r="C150" s="11" t="s">
        <v>4665</v>
      </c>
      <c r="D150" s="75">
        <f>MAX((B150-B151)/365, 1)</f>
        <v>1.115068493</v>
      </c>
      <c r="E150" s="78"/>
      <c r="F150" s="13" t="s">
        <v>761</v>
      </c>
      <c r="G150" s="13">
        <v>0.0</v>
      </c>
    </row>
    <row r="151">
      <c r="A151" s="13" t="s">
        <v>2878</v>
      </c>
      <c r="B151" s="10">
        <v>41514.0</v>
      </c>
      <c r="C151" s="11"/>
      <c r="D151" s="75"/>
      <c r="E151" s="78" t="str">
        <f t="array" ref="E151">INDEX('TJ List'!O:O,MATCH(A151&amp;B151,'TJ List'!A:A&amp;'TJ List'!B:B,0))
</f>
        <v>Dr. David Altchek</v>
      </c>
    </row>
    <row r="152">
      <c r="A152" s="13" t="s">
        <v>3409</v>
      </c>
      <c r="B152" s="10">
        <v>41001.0</v>
      </c>
      <c r="C152" s="11" t="s">
        <v>4662</v>
      </c>
      <c r="D152" s="75">
        <f>MAX((B152-B153)/365, 1)</f>
        <v>9.257534247</v>
      </c>
      <c r="E152" s="78"/>
      <c r="F152" s="13" t="s">
        <v>3309</v>
      </c>
      <c r="G152" s="13">
        <v>0.0</v>
      </c>
    </row>
    <row r="153">
      <c r="A153" s="13" t="s">
        <v>3409</v>
      </c>
      <c r="B153" s="10">
        <v>37622.0</v>
      </c>
      <c r="C153" s="30"/>
      <c r="D153" s="75"/>
      <c r="E153" s="78" t="str">
        <f t="array" ref="E153">INDEX('TJ List'!O:O,MATCH(A153&amp;B153,'TJ List'!A:A&amp;'TJ List'!B:B,0))
</f>
        <v>Dr. Frank Jobe</v>
      </c>
    </row>
    <row r="154">
      <c r="A154" s="13" t="s">
        <v>2725</v>
      </c>
      <c r="B154" s="10">
        <v>42123.0</v>
      </c>
      <c r="C154" s="11" t="s">
        <v>4662</v>
      </c>
      <c r="D154" s="75">
        <f>MAX((B154-B155)/365, 1)</f>
        <v>5.095890411</v>
      </c>
      <c r="E154" s="78"/>
      <c r="F154" s="13" t="s">
        <v>42</v>
      </c>
      <c r="G154" s="13">
        <v>0.0</v>
      </c>
    </row>
    <row r="155">
      <c r="A155" s="13" t="s">
        <v>2725</v>
      </c>
      <c r="B155" s="10">
        <v>40263.0</v>
      </c>
      <c r="C155" s="11"/>
      <c r="D155" s="75"/>
      <c r="E155" s="78" t="str">
        <f t="array" ref="E155">INDEX('TJ List'!O:O,MATCH(A155&amp;B155,'TJ List'!A:A&amp;'TJ List'!B:B,0))
</f>
        <v>Dr. David Altchek</v>
      </c>
    </row>
    <row r="156">
      <c r="A156" s="13" t="s">
        <v>805</v>
      </c>
      <c r="B156" s="10">
        <v>44713.0</v>
      </c>
      <c r="C156" s="11" t="s">
        <v>4662</v>
      </c>
      <c r="D156" s="75">
        <f>MAX((B156-B157)/365, 1)</f>
        <v>4.871232877</v>
      </c>
      <c r="E156" s="78"/>
      <c r="F156" s="13" t="s">
        <v>69</v>
      </c>
      <c r="G156" s="13">
        <v>0.0</v>
      </c>
    </row>
    <row r="157">
      <c r="A157" s="13" t="s">
        <v>805</v>
      </c>
      <c r="B157" s="10">
        <v>42935.0</v>
      </c>
      <c r="C157" s="11"/>
      <c r="D157" s="75"/>
      <c r="E157" s="79" t="s">
        <v>42</v>
      </c>
    </row>
    <row r="158">
      <c r="A158" s="13" t="s">
        <v>2778</v>
      </c>
      <c r="B158" s="10">
        <v>42081.0</v>
      </c>
      <c r="C158" s="11" t="s">
        <v>4665</v>
      </c>
      <c r="D158" s="75">
        <f>MAX((B158-B159)/365, 1)</f>
        <v>1.838356164</v>
      </c>
      <c r="E158" s="78"/>
      <c r="F158" s="13" t="s">
        <v>42</v>
      </c>
      <c r="G158" s="13">
        <v>0.0</v>
      </c>
    </row>
    <row r="159">
      <c r="A159" s="13" t="s">
        <v>2778</v>
      </c>
      <c r="B159" s="10">
        <v>41410.0</v>
      </c>
      <c r="C159" s="11"/>
      <c r="D159" s="75"/>
      <c r="E159" s="78" t="str">
        <f t="array" ref="E159">INDEX('TJ List'!O:O,MATCH(A159&amp;B159,'TJ List'!A:A&amp;'TJ List'!B:B,0))
</f>
        <v>Dr. James Andrews</v>
      </c>
    </row>
    <row r="160">
      <c r="A160" s="13" t="s">
        <v>3407</v>
      </c>
      <c r="B160" s="10">
        <v>41009.0</v>
      </c>
      <c r="C160" s="11" t="s">
        <v>4665</v>
      </c>
      <c r="D160" s="75">
        <f>MAX((B160-B161)/365, 1)</f>
        <v>2.97260274</v>
      </c>
      <c r="E160" s="78"/>
      <c r="F160" s="13" t="s">
        <v>761</v>
      </c>
      <c r="G160" s="13">
        <v>1.0</v>
      </c>
    </row>
    <row r="161">
      <c r="A161" s="13" t="s">
        <v>3407</v>
      </c>
      <c r="B161" s="10">
        <v>39924.0</v>
      </c>
      <c r="C161" s="30"/>
      <c r="D161" s="75"/>
      <c r="E161" s="78" t="str">
        <f t="array" ref="E161">INDEX('TJ List'!O:O,MATCH(A161&amp;B161,'TJ List'!A:A&amp;'TJ List'!B:B,0))
</f>
        <v>Dr. James Andrews</v>
      </c>
    </row>
    <row r="162">
      <c r="A162" s="13" t="s">
        <v>1032</v>
      </c>
      <c r="B162" s="10">
        <v>44440.0</v>
      </c>
      <c r="C162" s="11" t="s">
        <v>4666</v>
      </c>
      <c r="D162" s="75">
        <f>MAX((B162-B163)/365, 1)</f>
        <v>17.83561644</v>
      </c>
      <c r="E162" s="78"/>
    </row>
    <row r="163">
      <c r="A163" s="13" t="s">
        <v>1032</v>
      </c>
      <c r="B163" s="10">
        <v>37930.0</v>
      </c>
      <c r="C163" s="11"/>
      <c r="D163" s="75"/>
      <c r="E163" s="77" t="s">
        <v>2889</v>
      </c>
    </row>
    <row r="164">
      <c r="A164" s="13" t="s">
        <v>1033</v>
      </c>
      <c r="B164" s="10">
        <v>44440.0</v>
      </c>
      <c r="C164" s="11" t="s">
        <v>4662</v>
      </c>
      <c r="D164" s="75">
        <f>MAX((B164-B165)/365, 1)</f>
        <v>9.090410959</v>
      </c>
      <c r="E164" s="78"/>
    </row>
    <row r="165">
      <c r="A165" s="13" t="s">
        <v>1033</v>
      </c>
      <c r="B165" s="10">
        <v>41122.0</v>
      </c>
      <c r="C165" s="11"/>
      <c r="D165" s="75"/>
      <c r="E165" s="77" t="s">
        <v>2889</v>
      </c>
    </row>
    <row r="166">
      <c r="A166" s="13" t="s">
        <v>4456</v>
      </c>
      <c r="B166" s="10">
        <v>33490.0</v>
      </c>
      <c r="C166" s="11" t="s">
        <v>4662</v>
      </c>
      <c r="D166" s="75">
        <f>MAX((B166-B167)/365, 1)</f>
        <v>1</v>
      </c>
      <c r="E166" s="78"/>
    </row>
    <row r="167">
      <c r="A167" s="13" t="s">
        <v>4456</v>
      </c>
      <c r="B167" s="10">
        <v>33151.0</v>
      </c>
      <c r="C167" s="11"/>
      <c r="D167" s="75"/>
      <c r="E167" s="77" t="s">
        <v>2889</v>
      </c>
    </row>
    <row r="168">
      <c r="A168" s="13" t="s">
        <v>1577</v>
      </c>
      <c r="B168" s="10">
        <v>43606.0</v>
      </c>
      <c r="C168" s="11" t="s">
        <v>4666</v>
      </c>
      <c r="D168" s="75">
        <f>MAX((B168-B169)/365, 1)</f>
        <v>6.638356164</v>
      </c>
      <c r="E168" s="78"/>
    </row>
    <row r="169">
      <c r="A169" s="13" t="s">
        <v>1577</v>
      </c>
      <c r="B169" s="10">
        <v>41183.0</v>
      </c>
      <c r="C169" s="11"/>
      <c r="D169" s="75"/>
      <c r="E169" s="77" t="s">
        <v>2889</v>
      </c>
    </row>
    <row r="170">
      <c r="A170" s="13" t="s">
        <v>1307</v>
      </c>
      <c r="B170" s="10">
        <v>44197.0</v>
      </c>
      <c r="C170" s="11" t="s">
        <v>4662</v>
      </c>
      <c r="D170" s="75">
        <f>MAX((B170-B171)/365, 1)</f>
        <v>1.002739726</v>
      </c>
      <c r="E170" s="78"/>
      <c r="F170" s="13"/>
      <c r="G170" s="13"/>
    </row>
    <row r="171">
      <c r="A171" s="13" t="s">
        <v>1307</v>
      </c>
      <c r="B171" s="10">
        <v>43831.0</v>
      </c>
      <c r="C171" s="11"/>
      <c r="D171" s="75"/>
      <c r="E171" s="77" t="s">
        <v>2889</v>
      </c>
      <c r="F171" s="13"/>
      <c r="G171" s="13"/>
    </row>
    <row r="172">
      <c r="A172" s="13" t="s">
        <v>1776</v>
      </c>
      <c r="B172" s="10">
        <v>43291.0</v>
      </c>
      <c r="C172" s="11" t="s">
        <v>4665</v>
      </c>
      <c r="D172" s="75">
        <f>MAX((B172-B173)/365, 1)</f>
        <v>7.106849315</v>
      </c>
      <c r="E172" s="78"/>
      <c r="F172" s="13" t="s">
        <v>69</v>
      </c>
      <c r="G172" s="13">
        <v>0.0</v>
      </c>
    </row>
    <row r="173">
      <c r="A173" s="13" t="s">
        <v>1776</v>
      </c>
      <c r="B173" s="10">
        <v>40697.0</v>
      </c>
      <c r="C173" s="11"/>
      <c r="D173" s="75"/>
      <c r="E173" s="78" t="str">
        <f t="array" ref="E173">INDEX('TJ List'!O:O,MATCH(A173&amp;B173,'TJ List'!A:A&amp;'TJ List'!B:B,0))
</f>
        <v>Dr. Lewis Yocum</v>
      </c>
    </row>
    <row r="174">
      <c r="A174" s="13" t="s">
        <v>327</v>
      </c>
      <c r="B174" s="10">
        <v>45446.0</v>
      </c>
      <c r="C174" s="11" t="s">
        <v>4666</v>
      </c>
      <c r="D174" s="75">
        <f>MAX((B174-B175)/365, 1)</f>
        <v>2.104109589</v>
      </c>
      <c r="E174" s="78"/>
      <c r="F174" s="79" t="s">
        <v>42</v>
      </c>
      <c r="G174" s="13">
        <v>0.0</v>
      </c>
    </row>
    <row r="175">
      <c r="A175" s="13" t="s">
        <v>327</v>
      </c>
      <c r="B175" s="10">
        <v>44678.0</v>
      </c>
      <c r="C175" s="11"/>
      <c r="D175" s="75"/>
      <c r="E175" s="79" t="s">
        <v>42</v>
      </c>
    </row>
    <row r="176">
      <c r="A176" s="13" t="s">
        <v>3495</v>
      </c>
      <c r="B176" s="10">
        <v>40736.0</v>
      </c>
      <c r="C176" s="11" t="s">
        <v>4662</v>
      </c>
      <c r="D176" s="75">
        <f>MAX((B176-B177)/365, 1)</f>
        <v>1.364383562</v>
      </c>
      <c r="E176" s="78"/>
    </row>
    <row r="177">
      <c r="A177" s="13" t="s">
        <v>3495</v>
      </c>
      <c r="B177" s="10">
        <v>40238.0</v>
      </c>
      <c r="C177" s="30"/>
      <c r="D177" s="75"/>
      <c r="E177" s="77" t="s">
        <v>2889</v>
      </c>
    </row>
    <row r="178">
      <c r="A178" s="13" t="s">
        <v>1265</v>
      </c>
      <c r="B178" s="10">
        <v>44197.0</v>
      </c>
      <c r="C178" s="11" t="s">
        <v>4662</v>
      </c>
      <c r="D178" s="75">
        <f>MAX((B178-B179)/365, 1)</f>
        <v>3.002739726</v>
      </c>
      <c r="E178" s="78"/>
      <c r="F178" s="13"/>
      <c r="G178" s="13"/>
    </row>
    <row r="179">
      <c r="A179" s="13" t="s">
        <v>1265</v>
      </c>
      <c r="B179" s="10">
        <v>43101.0</v>
      </c>
      <c r="C179" s="11"/>
      <c r="D179" s="75"/>
      <c r="E179" s="77" t="s">
        <v>2889</v>
      </c>
      <c r="F179" s="13"/>
      <c r="G179" s="13"/>
    </row>
    <row r="180">
      <c r="A180" s="13" t="s">
        <v>2887</v>
      </c>
      <c r="B180" s="10">
        <v>41899.0</v>
      </c>
      <c r="C180" s="11" t="s">
        <v>4662</v>
      </c>
      <c r="D180" s="75">
        <f t="shared" ref="D180:D181" si="5">MAX((B180-B181)/365, 1)</f>
        <v>1.339726027</v>
      </c>
      <c r="E180" s="78"/>
      <c r="F180" s="13" t="s">
        <v>69</v>
      </c>
      <c r="G180" s="13">
        <v>0.0</v>
      </c>
    </row>
    <row r="181">
      <c r="A181" s="13" t="s">
        <v>2887</v>
      </c>
      <c r="B181" s="10">
        <v>41410.0</v>
      </c>
      <c r="C181" s="11" t="s">
        <v>4662</v>
      </c>
      <c r="D181" s="75">
        <f t="shared" si="5"/>
        <v>8.375342466</v>
      </c>
      <c r="E181" s="78" t="str">
        <f t="array" ref="E181">INDEX('TJ List'!O:O,MATCH(A181&amp;B181,'TJ List'!A:A&amp;'TJ List'!B:B,0))
</f>
        <v>Dr. James Andrews</v>
      </c>
      <c r="F181" s="78" t="s">
        <v>761</v>
      </c>
      <c r="G181" s="13">
        <v>1.0</v>
      </c>
    </row>
    <row r="182">
      <c r="A182" s="13" t="s">
        <v>2887</v>
      </c>
      <c r="B182" s="10">
        <v>38353.0</v>
      </c>
      <c r="C182" s="30"/>
      <c r="D182" s="75"/>
      <c r="E182" s="78" t="str">
        <f t="array" ref="E182">INDEX('TJ List'!O:O,MATCH(A182&amp;B182,'TJ List'!A:A&amp;'TJ List'!B:B,0))
</f>
        <v>Dr. James Andrews</v>
      </c>
    </row>
    <row r="183">
      <c r="A183" s="13" t="s">
        <v>3393</v>
      </c>
      <c r="B183" s="10">
        <v>41030.0</v>
      </c>
      <c r="C183" s="11" t="s">
        <v>4665</v>
      </c>
      <c r="D183" s="75">
        <f>MAX((B183-B184)/365, 1)</f>
        <v>10.3369863</v>
      </c>
      <c r="E183" s="78"/>
    </row>
    <row r="184">
      <c r="A184" s="13" t="s">
        <v>3393</v>
      </c>
      <c r="B184" s="10">
        <v>37257.0</v>
      </c>
      <c r="C184" s="11"/>
      <c r="D184" s="75"/>
      <c r="E184" s="77" t="s">
        <v>2889</v>
      </c>
    </row>
    <row r="185">
      <c r="A185" s="13" t="s">
        <v>172</v>
      </c>
      <c r="B185" s="10">
        <v>45748.0</v>
      </c>
      <c r="C185" s="11" t="s">
        <v>4666</v>
      </c>
      <c r="D185" s="75">
        <f>MAX((B185-B186)/365, 1)</f>
        <v>6.821917808</v>
      </c>
      <c r="E185" s="78"/>
    </row>
    <row r="186">
      <c r="A186" s="13" t="s">
        <v>172</v>
      </c>
      <c r="B186" s="10">
        <v>43258.0</v>
      </c>
      <c r="C186" s="11"/>
      <c r="D186" s="75"/>
      <c r="E186" s="79" t="s">
        <v>494</v>
      </c>
    </row>
    <row r="187">
      <c r="A187" s="13" t="s">
        <v>1797</v>
      </c>
      <c r="B187" s="10">
        <v>43265.0</v>
      </c>
      <c r="C187" s="11" t="s">
        <v>4662</v>
      </c>
      <c r="D187" s="75">
        <f>MAX((B187-B188)/365, 1)</f>
        <v>1.728767123</v>
      </c>
      <c r="E187" s="78"/>
    </row>
    <row r="188">
      <c r="A188" s="13" t="s">
        <v>1797</v>
      </c>
      <c r="B188" s="10">
        <v>42634.0</v>
      </c>
      <c r="C188" s="11"/>
      <c r="D188" s="75"/>
      <c r="E188" s="77" t="s">
        <v>2889</v>
      </c>
    </row>
    <row r="189">
      <c r="A189" s="13" t="s">
        <v>1095</v>
      </c>
      <c r="B189" s="10">
        <v>44362.0</v>
      </c>
      <c r="C189" s="11" t="s">
        <v>4662</v>
      </c>
      <c r="D189" s="75">
        <f>MAX((B189-B190)/365, 1)</f>
        <v>1.369863014</v>
      </c>
      <c r="E189" s="78"/>
    </row>
    <row r="190">
      <c r="A190" s="13" t="s">
        <v>1095</v>
      </c>
      <c r="B190" s="10">
        <v>43862.0</v>
      </c>
      <c r="C190" s="11"/>
      <c r="D190" s="75"/>
      <c r="E190" s="77" t="s">
        <v>2889</v>
      </c>
    </row>
    <row r="191">
      <c r="A191" s="13" t="s">
        <v>325</v>
      </c>
      <c r="B191" s="10">
        <v>45448.0</v>
      </c>
      <c r="C191" s="11" t="s">
        <v>4666</v>
      </c>
      <c r="D191" s="75">
        <f>MAX((B191-B192)/365, 1)</f>
        <v>7.430136986</v>
      </c>
      <c r="E191" s="78"/>
    </row>
    <row r="192">
      <c r="A192" s="13" t="s">
        <v>325</v>
      </c>
      <c r="B192" s="10">
        <v>42736.0</v>
      </c>
      <c r="C192" s="11"/>
      <c r="D192" s="75"/>
      <c r="E192" s="77" t="s">
        <v>2889</v>
      </c>
    </row>
    <row r="193">
      <c r="A193" s="13" t="s">
        <v>3770</v>
      </c>
      <c r="B193" s="10">
        <v>39814.0</v>
      </c>
      <c r="C193" s="11" t="s">
        <v>4662</v>
      </c>
      <c r="D193" s="75">
        <f>MAX((B193-B194)/365, 1)</f>
        <v>1.002739726</v>
      </c>
      <c r="E193" s="78"/>
    </row>
    <row r="194">
      <c r="A194" s="13" t="s">
        <v>3770</v>
      </c>
      <c r="B194" s="10">
        <v>39448.0</v>
      </c>
      <c r="C194" s="30"/>
      <c r="D194" s="75"/>
      <c r="E194" s="77" t="s">
        <v>2889</v>
      </c>
    </row>
    <row r="195">
      <c r="A195" s="13" t="s">
        <v>3008</v>
      </c>
      <c r="B195" s="10">
        <v>41753.0</v>
      </c>
      <c r="C195" s="11" t="s">
        <v>4665</v>
      </c>
      <c r="D195" s="75">
        <f>MAX((B195-B196)/365, 1)</f>
        <v>6.728767123</v>
      </c>
      <c r="E195" s="78"/>
      <c r="F195" s="13" t="s">
        <v>761</v>
      </c>
      <c r="G195" s="13">
        <v>1.0</v>
      </c>
    </row>
    <row r="196">
      <c r="A196" s="13" t="s">
        <v>3008</v>
      </c>
      <c r="B196" s="10">
        <v>39297.0</v>
      </c>
      <c r="C196" s="30"/>
      <c r="D196" s="75"/>
      <c r="E196" s="78" t="str">
        <f t="array" ref="E196">INDEX('TJ List'!O:O,MATCH(A196&amp;B196,'TJ List'!A:A&amp;'TJ List'!B:B,0))
</f>
        <v>Dr. James Andrews</v>
      </c>
    </row>
    <row r="197">
      <c r="A197" s="13" t="s">
        <v>1838</v>
      </c>
      <c r="B197" s="10">
        <v>43221.0</v>
      </c>
      <c r="C197" s="11" t="s">
        <v>4665</v>
      </c>
      <c r="D197" s="75">
        <f>MAX((B197-B198)/365, 1)</f>
        <v>3.854794521</v>
      </c>
      <c r="E197" s="78"/>
    </row>
    <row r="198">
      <c r="A198" s="13" t="s">
        <v>1838</v>
      </c>
      <c r="B198" s="10">
        <v>41814.0</v>
      </c>
      <c r="C198" s="11"/>
      <c r="D198" s="75"/>
      <c r="E198" s="78" t="str">
        <f t="array" ref="E198">INDEX('TJ List'!O:O,MATCH(A198&amp;B198,'TJ List'!A:A&amp;'TJ List'!B:B,0))
</f>
        <v>Dr. James Andrews</v>
      </c>
    </row>
    <row r="199">
      <c r="A199" s="13" t="s">
        <v>1535</v>
      </c>
      <c r="B199" s="10">
        <v>43649.0</v>
      </c>
      <c r="C199" s="11" t="s">
        <v>4662</v>
      </c>
      <c r="D199" s="75">
        <f>MAX((B199-B200)/365, 1)</f>
        <v>6.257534247</v>
      </c>
      <c r="E199" s="78"/>
      <c r="F199" s="13" t="s">
        <v>42</v>
      </c>
      <c r="G199" s="13">
        <v>0.0</v>
      </c>
    </row>
    <row r="200">
      <c r="A200" s="13" t="s">
        <v>1535</v>
      </c>
      <c r="B200" s="10">
        <v>41365.0</v>
      </c>
      <c r="C200" s="11"/>
      <c r="D200" s="75"/>
      <c r="E200" s="79" t="s">
        <v>355</v>
      </c>
    </row>
    <row r="201">
      <c r="A201" s="13" t="s">
        <v>166</v>
      </c>
      <c r="B201" s="10">
        <v>45765.0</v>
      </c>
      <c r="C201" s="11" t="s">
        <v>4666</v>
      </c>
      <c r="D201" s="75">
        <f>MAX((B201-B202)/365, 1)</f>
        <v>7.660273973</v>
      </c>
      <c r="E201" s="78"/>
    </row>
    <row r="202">
      <c r="A202" s="13" t="s">
        <v>166</v>
      </c>
      <c r="B202" s="10">
        <v>42969.0</v>
      </c>
      <c r="C202" s="11"/>
      <c r="D202" s="75"/>
      <c r="E202" s="77" t="s">
        <v>2889</v>
      </c>
    </row>
    <row r="203">
      <c r="A203" s="13" t="s">
        <v>2726</v>
      </c>
      <c r="B203" s="10">
        <v>42123.0</v>
      </c>
      <c r="C203" s="11" t="s">
        <v>4662</v>
      </c>
      <c r="D203" s="75">
        <f>MAX((B203-B204)/365, 1)</f>
        <v>4.326027397</v>
      </c>
      <c r="E203" s="78"/>
    </row>
    <row r="204">
      <c r="A204" s="13" t="s">
        <v>2726</v>
      </c>
      <c r="B204" s="10">
        <v>40544.0</v>
      </c>
      <c r="C204" s="11"/>
      <c r="D204" s="75"/>
      <c r="E204" s="77" t="s">
        <v>2889</v>
      </c>
    </row>
    <row r="205">
      <c r="A205" s="13" t="s">
        <v>4668</v>
      </c>
      <c r="B205" s="10">
        <v>43210.0</v>
      </c>
      <c r="C205" s="11" t="s">
        <v>4665</v>
      </c>
      <c r="D205" s="75">
        <f>MAX((B205-B206)/365, 1)</f>
        <v>1.189041096</v>
      </c>
      <c r="E205" s="78"/>
    </row>
    <row r="206">
      <c r="A206" s="13" t="s">
        <v>4668</v>
      </c>
      <c r="B206" s="10">
        <v>42776.0</v>
      </c>
      <c r="C206" s="11"/>
      <c r="D206" s="75"/>
      <c r="E206" s="77" t="s">
        <v>2889</v>
      </c>
    </row>
    <row r="207">
      <c r="A207" s="13" t="s">
        <v>691</v>
      </c>
      <c r="B207" s="10">
        <v>44927.0</v>
      </c>
      <c r="C207" s="11" t="s">
        <v>4666</v>
      </c>
      <c r="D207" s="75">
        <f>MAX((B207-B208)/365, 1)</f>
        <v>6.002739726</v>
      </c>
      <c r="E207" s="78"/>
    </row>
    <row r="208">
      <c r="A208" s="13" t="s">
        <v>691</v>
      </c>
      <c r="B208" s="17">
        <v>42736.0</v>
      </c>
      <c r="C208" s="11"/>
      <c r="D208" s="75"/>
      <c r="E208" s="77" t="s">
        <v>2889</v>
      </c>
    </row>
    <row r="209">
      <c r="A209" s="13" t="s">
        <v>1193</v>
      </c>
      <c r="B209" s="10">
        <v>44279.0</v>
      </c>
      <c r="C209" s="11" t="s">
        <v>4662</v>
      </c>
      <c r="D209" s="75">
        <f>MAX((B209-B210)/365, 1)</f>
        <v>15.23561644</v>
      </c>
      <c r="E209" s="78"/>
    </row>
    <row r="210">
      <c r="A210" s="13" t="s">
        <v>1193</v>
      </c>
      <c r="B210" s="10">
        <v>38718.0</v>
      </c>
      <c r="C210" s="11"/>
      <c r="D210" s="75"/>
      <c r="E210" s="79" t="s">
        <v>2889</v>
      </c>
    </row>
    <row r="211">
      <c r="A211" s="13" t="s">
        <v>3042</v>
      </c>
      <c r="B211" s="10">
        <v>41716.0</v>
      </c>
      <c r="C211" s="11" t="s">
        <v>4662</v>
      </c>
      <c r="D211" s="75">
        <f>MAX((B211-B212)/365, 1)</f>
        <v>3.583561644</v>
      </c>
      <c r="E211" s="78"/>
      <c r="F211" s="13" t="s">
        <v>761</v>
      </c>
      <c r="G211" s="13">
        <v>1.0</v>
      </c>
    </row>
    <row r="212">
      <c r="A212" s="13" t="s">
        <v>3042</v>
      </c>
      <c r="B212" s="10">
        <v>40408.0</v>
      </c>
      <c r="C212" s="30"/>
      <c r="D212" s="75"/>
      <c r="E212" s="78" t="str">
        <f t="array" ref="E212">INDEX('TJ List'!O:O,MATCH(A212&amp;B212,'TJ List'!A:A&amp;'TJ List'!B:B,0))
</f>
        <v>Dr. James Andrews</v>
      </c>
    </row>
    <row r="213">
      <c r="A213" s="13" t="s">
        <v>3361</v>
      </c>
      <c r="B213" s="10">
        <v>41079.0</v>
      </c>
      <c r="C213" s="11" t="s">
        <v>4662</v>
      </c>
      <c r="D213" s="75">
        <f>MAX((B213-B214)/365, 1)</f>
        <v>4.906849315</v>
      </c>
      <c r="E213" s="78"/>
      <c r="F213" s="13" t="s">
        <v>761</v>
      </c>
      <c r="G213" s="13">
        <v>0.0</v>
      </c>
    </row>
    <row r="214">
      <c r="A214" s="13" t="s">
        <v>3361</v>
      </c>
      <c r="B214" s="10">
        <v>39288.0</v>
      </c>
      <c r="C214" s="30"/>
      <c r="D214" s="75"/>
      <c r="E214" s="78" t="str">
        <f t="array" ref="E214">INDEX('TJ List'!O:O,MATCH(A214&amp;B214,'TJ List'!A:A&amp;'TJ List'!B:B,0))
</f>
        <v>Dr. David Altchek</v>
      </c>
    </row>
    <row r="215">
      <c r="A215" s="13" t="s">
        <v>1938</v>
      </c>
      <c r="B215" s="10">
        <v>43101.0</v>
      </c>
      <c r="C215" s="11" t="s">
        <v>4662</v>
      </c>
      <c r="D215" s="75">
        <f>MAX((B215-B216)/365, 1)</f>
        <v>1.58630137</v>
      </c>
      <c r="E215" s="78"/>
    </row>
    <row r="216">
      <c r="A216" s="13" t="s">
        <v>1938</v>
      </c>
      <c r="B216" s="10">
        <v>42522.0</v>
      </c>
      <c r="C216" s="11"/>
      <c r="D216" s="75"/>
      <c r="E216" s="77" t="s">
        <v>2889</v>
      </c>
    </row>
    <row r="217">
      <c r="A217" s="13" t="s">
        <v>4669</v>
      </c>
      <c r="B217" s="10">
        <v>44562.0</v>
      </c>
      <c r="C217" s="11" t="s">
        <v>4662</v>
      </c>
      <c r="D217" s="75">
        <f>MAX((B217-B218)/365, 1)</f>
        <v>1.446575342</v>
      </c>
      <c r="E217" s="78"/>
    </row>
    <row r="218">
      <c r="A218" s="13" t="s">
        <v>4669</v>
      </c>
      <c r="B218" s="10">
        <v>44034.0</v>
      </c>
      <c r="C218" s="11"/>
      <c r="D218" s="75"/>
      <c r="E218" s="77" t="s">
        <v>2889</v>
      </c>
    </row>
    <row r="219">
      <c r="A219" s="13" t="s">
        <v>4349</v>
      </c>
      <c r="B219" s="10">
        <v>36526.0</v>
      </c>
      <c r="C219" s="11" t="s">
        <v>4662</v>
      </c>
      <c r="D219" s="75">
        <f>MAX((B219-B220)/365, 1)</f>
        <v>4.002739726</v>
      </c>
      <c r="E219" s="78"/>
    </row>
    <row r="220">
      <c r="A220" s="13" t="s">
        <v>4349</v>
      </c>
      <c r="B220" s="10">
        <v>35065.0</v>
      </c>
      <c r="C220" s="30"/>
      <c r="D220" s="75"/>
      <c r="E220" s="77" t="s">
        <v>2889</v>
      </c>
    </row>
    <row r="221">
      <c r="A221" s="13" t="s">
        <v>3659</v>
      </c>
      <c r="B221" s="10">
        <v>40179.0</v>
      </c>
      <c r="C221" s="11" t="s">
        <v>4662</v>
      </c>
      <c r="D221" s="75">
        <f>MAX((B221-B222)/365, 1)</f>
        <v>4.002739726</v>
      </c>
      <c r="E221" s="78"/>
    </row>
    <row r="222">
      <c r="A222" s="13" t="s">
        <v>3659</v>
      </c>
      <c r="B222" s="10">
        <v>38718.0</v>
      </c>
      <c r="C222" s="30"/>
      <c r="D222" s="75"/>
      <c r="E222" s="77" t="s">
        <v>2889</v>
      </c>
    </row>
    <row r="223">
      <c r="A223" s="13" t="s">
        <v>51</v>
      </c>
      <c r="B223" s="10">
        <v>45931.0</v>
      </c>
      <c r="C223" s="11" t="s">
        <v>4666</v>
      </c>
      <c r="D223" s="75">
        <f>MAX((B223-B224)/365, 1)</f>
        <v>2.37260274</v>
      </c>
      <c r="E223" s="78"/>
    </row>
    <row r="224">
      <c r="A224" s="13" t="s">
        <v>51</v>
      </c>
      <c r="B224" s="10">
        <v>45065.0</v>
      </c>
      <c r="C224" s="11"/>
      <c r="D224" s="75"/>
      <c r="E224" s="77" t="s">
        <v>2889</v>
      </c>
    </row>
    <row r="225">
      <c r="A225" s="13" t="s">
        <v>4670</v>
      </c>
      <c r="B225" s="10">
        <v>42790.0</v>
      </c>
      <c r="C225" s="11" t="s">
        <v>4662</v>
      </c>
      <c r="D225" s="75">
        <f>MAX((B225-B226)/365, 1)</f>
        <v>1</v>
      </c>
      <c r="E225" s="78"/>
    </row>
    <row r="226">
      <c r="A226" s="13" t="s">
        <v>4670</v>
      </c>
      <c r="B226" s="10">
        <v>42430.0</v>
      </c>
      <c r="C226" s="11"/>
      <c r="D226" s="75"/>
      <c r="E226" s="77" t="s">
        <v>2889</v>
      </c>
    </row>
    <row r="227">
      <c r="A227" s="13" t="s">
        <v>2559</v>
      </c>
      <c r="B227" s="10">
        <v>42298.0</v>
      </c>
      <c r="C227" s="11" t="s">
        <v>4665</v>
      </c>
      <c r="D227" s="75">
        <f>MAX((B227-B228)/365, 1)</f>
        <v>1.556164384</v>
      </c>
      <c r="E227" s="78"/>
    </row>
    <row r="228">
      <c r="A228" s="13" t="s">
        <v>2559</v>
      </c>
      <c r="B228" s="10">
        <v>41730.0</v>
      </c>
      <c r="C228" s="11"/>
      <c r="D228" s="75"/>
      <c r="E228" s="77" t="s">
        <v>2889</v>
      </c>
    </row>
    <row r="229">
      <c r="A229" s="13" t="s">
        <v>431</v>
      </c>
      <c r="B229" s="10">
        <v>45352.0</v>
      </c>
      <c r="C229" s="11" t="s">
        <v>4662</v>
      </c>
      <c r="D229" s="75">
        <f>MAX((B229-B230)/365, 1)</f>
        <v>8.961643836</v>
      </c>
      <c r="E229" s="78"/>
    </row>
    <row r="230">
      <c r="A230" s="13" t="s">
        <v>431</v>
      </c>
      <c r="B230" s="10">
        <v>42081.0</v>
      </c>
      <c r="C230" s="11"/>
      <c r="D230" s="75"/>
      <c r="E230" s="77" t="s">
        <v>2889</v>
      </c>
    </row>
    <row r="231">
      <c r="A231" s="13" t="s">
        <v>3508</v>
      </c>
      <c r="B231" s="10">
        <v>40696.0</v>
      </c>
      <c r="C231" s="11" t="s">
        <v>4662</v>
      </c>
      <c r="D231" s="75">
        <f>MAX((B231-B232)/365, 1)</f>
        <v>2.090410959</v>
      </c>
      <c r="E231" s="78"/>
    </row>
    <row r="232">
      <c r="A232" s="13" t="s">
        <v>3508</v>
      </c>
      <c r="B232" s="10">
        <v>39933.0</v>
      </c>
      <c r="C232" s="30"/>
      <c r="D232" s="75"/>
      <c r="E232" s="77" t="s">
        <v>2889</v>
      </c>
    </row>
    <row r="233">
      <c r="A233" s="13" t="s">
        <v>708</v>
      </c>
      <c r="B233" s="10">
        <v>44927.0</v>
      </c>
      <c r="C233" s="11" t="s">
        <v>4666</v>
      </c>
      <c r="D233" s="75">
        <f>MAX((B233-B234)/365, 1)</f>
        <v>1.671232877</v>
      </c>
      <c r="E233" s="78"/>
    </row>
    <row r="234">
      <c r="A234" s="13" t="s">
        <v>708</v>
      </c>
      <c r="B234" s="10">
        <v>44317.0</v>
      </c>
      <c r="C234" s="11"/>
      <c r="D234" s="75"/>
      <c r="E234" s="77" t="s">
        <v>2889</v>
      </c>
    </row>
    <row r="235">
      <c r="A235" s="13" t="s">
        <v>4358</v>
      </c>
      <c r="B235" s="10">
        <v>36424.0</v>
      </c>
      <c r="C235" s="11" t="s">
        <v>4665</v>
      </c>
      <c r="D235" s="75">
        <f>MAX((B235-B236)/365, 1)</f>
        <v>1.02739726</v>
      </c>
      <c r="E235" s="78"/>
    </row>
    <row r="236">
      <c r="A236" s="13" t="s">
        <v>4358</v>
      </c>
      <c r="B236" s="10">
        <v>36049.0</v>
      </c>
      <c r="C236" s="30"/>
      <c r="D236" s="75"/>
      <c r="E236" s="78" t="str">
        <f t="array" ref="E236">INDEX('TJ List'!O:O,MATCH(A236&amp;B236,'TJ List'!A:A&amp;'TJ List'!B:B,0))
</f>
        <v>Dr. Lewis Yocum</v>
      </c>
    </row>
    <row r="237">
      <c r="A237" s="13" t="s">
        <v>1541</v>
      </c>
      <c r="B237" s="10">
        <v>43647.0</v>
      </c>
      <c r="C237" s="11" t="s">
        <v>4662</v>
      </c>
      <c r="D237" s="75">
        <f>MAX((B237-B238)/365, 1)</f>
        <v>12.50410959</v>
      </c>
      <c r="E237" s="78"/>
    </row>
    <row r="238">
      <c r="A238" s="13" t="s">
        <v>1541</v>
      </c>
      <c r="B238" s="10">
        <v>39083.0</v>
      </c>
      <c r="C238" s="11"/>
      <c r="D238" s="75"/>
      <c r="E238" s="77" t="s">
        <v>2889</v>
      </c>
    </row>
    <row r="239">
      <c r="A239" s="13" t="s">
        <v>4071</v>
      </c>
      <c r="B239" s="10">
        <v>38534.0</v>
      </c>
      <c r="C239" s="11" t="s">
        <v>4665</v>
      </c>
      <c r="D239" s="75">
        <f>MAX((B239-B240)/365, 1)</f>
        <v>4.832876712</v>
      </c>
      <c r="E239" s="78"/>
    </row>
    <row r="240">
      <c r="A240" s="13" t="s">
        <v>4071</v>
      </c>
      <c r="B240" s="10">
        <v>36770.0</v>
      </c>
      <c r="C240" s="30"/>
      <c r="D240" s="75"/>
      <c r="E240" s="77" t="s">
        <v>2889</v>
      </c>
    </row>
    <row r="241">
      <c r="A241" s="13" t="s">
        <v>4671</v>
      </c>
      <c r="B241" s="10">
        <v>44531.0</v>
      </c>
      <c r="C241" s="11" t="s">
        <v>4666</v>
      </c>
      <c r="D241" s="75">
        <f>MAX((B241-B242)/365, 1)</f>
        <v>1</v>
      </c>
      <c r="E241" s="78"/>
    </row>
    <row r="242">
      <c r="A242" s="13" t="s">
        <v>4671</v>
      </c>
      <c r="B242" s="10">
        <v>44256.0</v>
      </c>
      <c r="C242" s="11"/>
      <c r="D242" s="75"/>
      <c r="E242" s="77" t="s">
        <v>2889</v>
      </c>
    </row>
    <row r="243">
      <c r="A243" s="13" t="s">
        <v>994</v>
      </c>
      <c r="B243" s="10">
        <v>44562.0</v>
      </c>
      <c r="C243" s="11" t="s">
        <v>4662</v>
      </c>
      <c r="D243" s="75">
        <f>MAX((B243-B244)/365, 1)</f>
        <v>2.580821918</v>
      </c>
      <c r="E243" s="78"/>
    </row>
    <row r="244">
      <c r="A244" s="13" t="s">
        <v>994</v>
      </c>
      <c r="B244" s="10">
        <v>43620.0</v>
      </c>
      <c r="C244" s="11"/>
      <c r="D244" s="75"/>
      <c r="E244" s="78" t="str">
        <f t="array" ref="E244">INDEX('TJ List'!O:O,MATCH(A244&amp;B244,'TJ List'!A:A&amp;'TJ List'!B:B,0))
</f>
        <v>Dr. James Andrews</v>
      </c>
    </row>
    <row r="245">
      <c r="A245" s="13" t="s">
        <v>2637</v>
      </c>
      <c r="B245" s="10">
        <v>42200.0</v>
      </c>
      <c r="C245" s="11" t="s">
        <v>4665</v>
      </c>
      <c r="D245" s="75">
        <f>MAX((B245-B246)/365, 1)</f>
        <v>6.536986301</v>
      </c>
      <c r="E245" s="78"/>
    </row>
    <row r="246">
      <c r="A246" s="13" t="s">
        <v>2637</v>
      </c>
      <c r="B246" s="10">
        <v>39814.0</v>
      </c>
      <c r="C246" s="11"/>
      <c r="D246" s="75"/>
      <c r="E246" s="77" t="s">
        <v>2889</v>
      </c>
    </row>
    <row r="247">
      <c r="A247" s="13" t="s">
        <v>692</v>
      </c>
      <c r="B247" s="10">
        <v>44927.0</v>
      </c>
      <c r="C247" s="11" t="s">
        <v>4666</v>
      </c>
      <c r="D247" s="75">
        <f>MAX((B247-B248)/365, 1)</f>
        <v>6.687671233</v>
      </c>
      <c r="E247" s="78"/>
    </row>
    <row r="248">
      <c r="A248" s="13" t="s">
        <v>692</v>
      </c>
      <c r="B248" s="10">
        <v>42486.0</v>
      </c>
      <c r="C248" s="11"/>
      <c r="D248" s="75"/>
      <c r="E248" s="78" t="str">
        <f t="array" ref="E248">INDEX('TJ List'!O:O,MATCH(A248&amp;B248,'TJ List'!A:A&amp;'TJ List'!B:B,0))
</f>
        <v>Dr. James Andrews</v>
      </c>
    </row>
    <row r="249">
      <c r="A249" s="13" t="s">
        <v>1325</v>
      </c>
      <c r="B249" s="10">
        <v>44152.0</v>
      </c>
      <c r="C249" s="11" t="s">
        <v>4662</v>
      </c>
      <c r="D249" s="75">
        <f>MAX((B249-B250)/365, 1)</f>
        <v>8.301369863</v>
      </c>
      <c r="E249" s="78"/>
    </row>
    <row r="250">
      <c r="A250" s="13" t="s">
        <v>1325</v>
      </c>
      <c r="B250" s="10">
        <v>41122.0</v>
      </c>
      <c r="C250" s="11"/>
      <c r="D250" s="75"/>
      <c r="E250" s="77" t="s">
        <v>2889</v>
      </c>
    </row>
    <row r="251">
      <c r="A251" s="13" t="s">
        <v>3996</v>
      </c>
      <c r="B251" s="10">
        <v>38546.0</v>
      </c>
      <c r="C251" s="11" t="s">
        <v>4662</v>
      </c>
      <c r="D251" s="75">
        <f>MAX((B251-B252)/365, 1)</f>
        <v>1</v>
      </c>
      <c r="E251" s="78"/>
      <c r="F251" s="13" t="s">
        <v>3998</v>
      </c>
      <c r="G251" s="13">
        <v>0.0</v>
      </c>
    </row>
    <row r="252">
      <c r="A252" s="13" t="s">
        <v>3996</v>
      </c>
      <c r="B252" s="10">
        <v>38181.0</v>
      </c>
      <c r="C252" s="30"/>
      <c r="D252" s="75"/>
      <c r="E252" s="78" t="str">
        <f t="array" ref="E252">INDEX('TJ List'!O:O,MATCH(A252&amp;B252,'TJ List'!A:A&amp;'TJ List'!B:B,0))
</f>
        <v>Dr. George Paletta</v>
      </c>
    </row>
    <row r="253">
      <c r="A253" s="13" t="s">
        <v>4311</v>
      </c>
      <c r="B253" s="10">
        <v>36892.0</v>
      </c>
      <c r="C253" s="11" t="s">
        <v>4662</v>
      </c>
      <c r="D253" s="75">
        <f>MAX((B253-B254)/365, 1)</f>
        <v>2.002739726</v>
      </c>
      <c r="E253" s="78"/>
    </row>
    <row r="254">
      <c r="A254" s="13" t="s">
        <v>4311</v>
      </c>
      <c r="B254" s="10">
        <v>36161.0</v>
      </c>
      <c r="C254" s="30"/>
      <c r="D254" s="75"/>
      <c r="E254" s="77" t="s">
        <v>2889</v>
      </c>
    </row>
    <row r="255">
      <c r="A255" s="13" t="s">
        <v>2302</v>
      </c>
      <c r="B255" s="10">
        <v>42601.0</v>
      </c>
      <c r="C255" s="11" t="s">
        <v>4662</v>
      </c>
      <c r="D255" s="75">
        <f>MAX((B255-B256)/365, 1)</f>
        <v>9.238356164</v>
      </c>
      <c r="E255" s="78"/>
    </row>
    <row r="256">
      <c r="A256" s="13" t="s">
        <v>2302</v>
      </c>
      <c r="B256" s="10">
        <v>39229.0</v>
      </c>
      <c r="C256" s="11"/>
      <c r="D256" s="75"/>
      <c r="E256" s="77" t="s">
        <v>2889</v>
      </c>
    </row>
    <row r="257">
      <c r="A257" s="13" t="s">
        <v>1333</v>
      </c>
      <c r="B257" s="10">
        <v>44118.0</v>
      </c>
      <c r="C257" s="11" t="s">
        <v>4662</v>
      </c>
      <c r="D257" s="75">
        <f>MAX((B257-B258)/365, 1)</f>
        <v>3.375342466</v>
      </c>
      <c r="E257" s="78"/>
      <c r="F257" s="13" t="s">
        <v>42</v>
      </c>
      <c r="G257" s="13">
        <v>1.0</v>
      </c>
    </row>
    <row r="258">
      <c r="A258" s="13" t="s">
        <v>1333</v>
      </c>
      <c r="B258" s="10">
        <v>42886.0</v>
      </c>
      <c r="C258" s="11"/>
      <c r="D258" s="75"/>
      <c r="E258" s="79" t="s">
        <v>42</v>
      </c>
    </row>
    <row r="259">
      <c r="A259" s="13" t="s">
        <v>2657</v>
      </c>
      <c r="B259" s="10">
        <v>42179.0</v>
      </c>
      <c r="C259" s="11" t="s">
        <v>4665</v>
      </c>
      <c r="D259" s="75">
        <f>MAX((B259-B260)/365, 1)</f>
        <v>6.479452055</v>
      </c>
      <c r="E259" s="78"/>
      <c r="F259" s="13" t="s">
        <v>69</v>
      </c>
      <c r="G259" s="13">
        <v>0.0</v>
      </c>
    </row>
    <row r="260">
      <c r="A260" s="13" t="s">
        <v>2657</v>
      </c>
      <c r="B260" s="10">
        <v>39814.0</v>
      </c>
      <c r="C260" s="11"/>
      <c r="D260" s="75"/>
      <c r="E260" s="79" t="s">
        <v>3309</v>
      </c>
    </row>
    <row r="261">
      <c r="A261" s="13" t="s">
        <v>3001</v>
      </c>
      <c r="B261" s="10">
        <v>41759.0</v>
      </c>
      <c r="C261" s="11" t="s">
        <v>4665</v>
      </c>
      <c r="D261" s="75">
        <f>MAX((B261-B262)/365, 1)</f>
        <v>4.328767123</v>
      </c>
      <c r="E261" s="78"/>
    </row>
    <row r="262">
      <c r="A262" s="13" t="s">
        <v>3001</v>
      </c>
      <c r="B262" s="10">
        <v>40179.0</v>
      </c>
      <c r="C262" s="30"/>
      <c r="D262" s="75"/>
      <c r="E262" s="77" t="s">
        <v>2889</v>
      </c>
    </row>
    <row r="263">
      <c r="A263" s="19" t="s">
        <v>2014</v>
      </c>
      <c r="B263" s="10">
        <v>42961.0</v>
      </c>
      <c r="C263" s="11" t="s">
        <v>4662</v>
      </c>
      <c r="D263" s="75">
        <f>MAX((B263-B264)/365, 1)</f>
        <v>6.621917808</v>
      </c>
      <c r="E263" s="78"/>
    </row>
    <row r="264">
      <c r="A264" s="19" t="s">
        <v>2014</v>
      </c>
      <c r="B264" s="10">
        <v>40544.0</v>
      </c>
      <c r="C264" s="11"/>
      <c r="D264" s="75"/>
      <c r="E264" s="79" t="s">
        <v>2889</v>
      </c>
    </row>
    <row r="265">
      <c r="A265" s="13" t="s">
        <v>3022</v>
      </c>
      <c r="B265" s="10">
        <v>41730.0</v>
      </c>
      <c r="C265" s="11" t="s">
        <v>4662</v>
      </c>
      <c r="D265" s="75">
        <f>MAX((B265-B266)/365, 1)</f>
        <v>5.901369863</v>
      </c>
      <c r="E265" s="78"/>
      <c r="F265" s="13" t="s">
        <v>761</v>
      </c>
      <c r="G265" s="13">
        <v>1.0</v>
      </c>
    </row>
    <row r="266">
      <c r="A266" s="13" t="s">
        <v>3022</v>
      </c>
      <c r="B266" s="10">
        <v>39576.0</v>
      </c>
      <c r="C266" s="30"/>
      <c r="D266" s="75"/>
      <c r="E266" s="78" t="str">
        <f t="array" ref="E266">INDEX('TJ List'!O:O,MATCH(A266&amp;B266,'TJ List'!A:A&amp;'TJ List'!B:B,0))
</f>
        <v>Dr. James Andrews</v>
      </c>
    </row>
    <row r="267">
      <c r="A267" s="13" t="s">
        <v>1549</v>
      </c>
      <c r="B267" s="10">
        <v>43630.0</v>
      </c>
      <c r="C267" s="11" t="s">
        <v>4665</v>
      </c>
      <c r="D267" s="75">
        <f>MAX((B267-B268)/365, 1)</f>
        <v>1.235616438</v>
      </c>
      <c r="E267" s="78"/>
    </row>
    <row r="268">
      <c r="A268" s="13" t="s">
        <v>1549</v>
      </c>
      <c r="B268" s="10">
        <v>43179.0</v>
      </c>
      <c r="C268" s="11"/>
      <c r="D268" s="75"/>
      <c r="E268" s="79" t="s">
        <v>1031</v>
      </c>
    </row>
    <row r="269">
      <c r="A269" s="13" t="s">
        <v>1739</v>
      </c>
      <c r="B269" s="10">
        <v>43356.0</v>
      </c>
      <c r="C269" s="11" t="s">
        <v>4662</v>
      </c>
      <c r="D269" s="75">
        <f>MAX((B269-B270)/365, 1)</f>
        <v>5.35890411</v>
      </c>
      <c r="E269" s="78"/>
      <c r="F269" s="13" t="s">
        <v>1031</v>
      </c>
      <c r="G269" s="13">
        <v>0.0</v>
      </c>
    </row>
    <row r="270">
      <c r="A270" s="13" t="s">
        <v>1739</v>
      </c>
      <c r="B270" s="10">
        <v>41400.0</v>
      </c>
      <c r="C270" s="11"/>
      <c r="D270" s="75"/>
      <c r="E270" s="79" t="s">
        <v>3210</v>
      </c>
    </row>
    <row r="271">
      <c r="A271" s="13" t="s">
        <v>1949</v>
      </c>
      <c r="B271" s="10">
        <v>43101.0</v>
      </c>
      <c r="C271" s="11" t="s">
        <v>4665</v>
      </c>
      <c r="D271" s="75">
        <f>MAX((B271-B272)/365, 1)</f>
        <v>6.843835616</v>
      </c>
      <c r="E271" s="78"/>
    </row>
    <row r="272">
      <c r="A272" s="13" t="s">
        <v>1949</v>
      </c>
      <c r="B272" s="10">
        <v>40603.0</v>
      </c>
      <c r="C272" s="11"/>
      <c r="D272" s="75"/>
      <c r="E272" s="77" t="s">
        <v>2889</v>
      </c>
    </row>
    <row r="273">
      <c r="A273" s="13" t="s">
        <v>3308</v>
      </c>
      <c r="B273" s="10">
        <v>41212.0</v>
      </c>
      <c r="C273" s="11" t="s">
        <v>4662</v>
      </c>
      <c r="D273" s="75">
        <f>MAX((B273-B274)/365, 1)</f>
        <v>7.336986301</v>
      </c>
      <c r="E273" s="78"/>
      <c r="F273" s="13" t="s">
        <v>3309</v>
      </c>
      <c r="G273" s="13">
        <v>1.0</v>
      </c>
    </row>
    <row r="274">
      <c r="A274" s="13" t="s">
        <v>3308</v>
      </c>
      <c r="B274" s="10">
        <v>38534.0</v>
      </c>
      <c r="C274" s="30"/>
      <c r="D274" s="75"/>
      <c r="E274" s="78" t="str">
        <f t="array" ref="E274">INDEX('TJ List'!O:O,MATCH(A274&amp;B274,'TJ List'!A:A&amp;'TJ List'!B:B,0))
</f>
        <v>Dr. Lewis Yocum</v>
      </c>
    </row>
    <row r="275">
      <c r="A275" s="13" t="s">
        <v>2088</v>
      </c>
      <c r="B275" s="10">
        <v>42878.0</v>
      </c>
      <c r="C275" s="11" t="s">
        <v>4662</v>
      </c>
      <c r="D275" s="75">
        <f>MAX((B275-B276)/365, 1)</f>
        <v>7.128767123</v>
      </c>
      <c r="E275" s="78"/>
    </row>
    <row r="276">
      <c r="A276" s="13" t="s">
        <v>2088</v>
      </c>
      <c r="B276" s="10">
        <v>40276.0</v>
      </c>
      <c r="C276" s="11"/>
      <c r="D276" s="75"/>
      <c r="E276" s="77" t="s">
        <v>2889</v>
      </c>
    </row>
    <row r="277">
      <c r="A277" s="13" t="s">
        <v>2011</v>
      </c>
      <c r="B277" s="10">
        <v>42969.0</v>
      </c>
      <c r="C277" s="11" t="s">
        <v>4662</v>
      </c>
      <c r="D277" s="75">
        <f>MAX((B277-B278)/365, 1)</f>
        <v>6.04109589</v>
      </c>
      <c r="E277" s="78"/>
      <c r="F277" s="13" t="s">
        <v>761</v>
      </c>
      <c r="G277" s="13">
        <v>1.0</v>
      </c>
    </row>
    <row r="278">
      <c r="A278" s="13" t="s">
        <v>2011</v>
      </c>
      <c r="B278" s="10">
        <v>40764.0</v>
      </c>
      <c r="C278" s="11"/>
      <c r="D278" s="75"/>
      <c r="E278" s="78" t="str">
        <f t="array" ref="E278">INDEX('TJ List'!O:O,MATCH(A278&amp;B278,'TJ List'!A:A&amp;'TJ List'!B:B,0))
</f>
        <v>Dr. James Andrews</v>
      </c>
    </row>
    <row r="279">
      <c r="A279" s="13" t="s">
        <v>1369</v>
      </c>
      <c r="B279" s="10">
        <v>44062.0</v>
      </c>
      <c r="C279" s="11" t="s">
        <v>4666</v>
      </c>
      <c r="D279" s="75">
        <f>MAX((B279-B280)/365, 1)</f>
        <v>10.45205479</v>
      </c>
      <c r="E279" s="78"/>
    </row>
    <row r="280">
      <c r="A280" s="13" t="s">
        <v>1369</v>
      </c>
      <c r="B280" s="10">
        <v>40247.0</v>
      </c>
      <c r="C280" s="11"/>
      <c r="D280" s="75"/>
      <c r="E280" s="77" t="s">
        <v>2889</v>
      </c>
    </row>
    <row r="281">
      <c r="A281" s="13" t="s">
        <v>1539</v>
      </c>
      <c r="B281" s="10">
        <v>43647.0</v>
      </c>
      <c r="C281" s="11" t="s">
        <v>4662</v>
      </c>
      <c r="D281" s="75">
        <f>MAX((B281-B282)/365, 1)</f>
        <v>3.252054795</v>
      </c>
      <c r="E281" s="78"/>
    </row>
    <row r="282">
      <c r="A282" s="13" t="s">
        <v>1539</v>
      </c>
      <c r="B282" s="10">
        <v>42460.0</v>
      </c>
      <c r="C282" s="11"/>
      <c r="D282" s="75"/>
      <c r="E282" s="78" t="str">
        <f t="array" ref="E282">INDEX('TJ List'!O:O,MATCH(A282&amp;B282,'TJ List'!A:A&amp;'TJ List'!B:B,0))
</f>
        <v>Dr. James Andrews</v>
      </c>
    </row>
    <row r="283">
      <c r="A283" s="13" t="s">
        <v>3853</v>
      </c>
      <c r="B283" s="10">
        <v>39569.0</v>
      </c>
      <c r="C283" s="11" t="s">
        <v>4662</v>
      </c>
      <c r="D283" s="75">
        <f>MAX((B283-B284)/365, 1)</f>
        <v>1.589041096</v>
      </c>
      <c r="E283" s="78"/>
    </row>
    <row r="284">
      <c r="A284" s="13" t="s">
        <v>3853</v>
      </c>
      <c r="B284" s="10">
        <v>38989.0</v>
      </c>
      <c r="C284" s="30"/>
      <c r="D284" s="75"/>
      <c r="E284" s="78" t="str">
        <f t="array" ref="E284">INDEX('TJ List'!O:O,MATCH(A284&amp;B284,'TJ List'!A:A&amp;'TJ List'!B:B,0))
</f>
        <v>Dr. Lewis Yocum</v>
      </c>
    </row>
    <row r="285">
      <c r="A285" s="13" t="s">
        <v>4121</v>
      </c>
      <c r="B285" s="10">
        <v>38290.0</v>
      </c>
      <c r="C285" s="11" t="s">
        <v>4662</v>
      </c>
      <c r="D285" s="75">
        <f>MAX((B285-B286)/365, 1)</f>
        <v>3.553424658</v>
      </c>
      <c r="E285" s="78"/>
      <c r="F285" s="13" t="s">
        <v>355</v>
      </c>
      <c r="G285" s="13">
        <v>0.0</v>
      </c>
    </row>
    <row r="286">
      <c r="A286" s="13" t="s">
        <v>4121</v>
      </c>
      <c r="B286" s="10">
        <v>36993.0</v>
      </c>
      <c r="C286" s="30"/>
      <c r="D286" s="75"/>
      <c r="E286" s="78" t="str">
        <f t="array" ref="E286">INDEX('TJ List'!O:O,MATCH(A286&amp;B286,'TJ List'!A:A&amp;'TJ List'!B:B,0))
</f>
        <v>Dr. James Andrews</v>
      </c>
    </row>
    <row r="287">
      <c r="A287" s="13" t="s">
        <v>2960</v>
      </c>
      <c r="B287" s="10">
        <v>41795.0</v>
      </c>
      <c r="C287" s="11" t="s">
        <v>4662</v>
      </c>
      <c r="D287" s="75">
        <f>MAX((B287-B288)/365, 1)</f>
        <v>9.706849315</v>
      </c>
      <c r="E287" s="78"/>
    </row>
    <row r="288">
      <c r="A288" s="13" t="s">
        <v>2960</v>
      </c>
      <c r="B288" s="10">
        <v>38252.0</v>
      </c>
      <c r="C288" s="30"/>
      <c r="D288" s="75"/>
      <c r="E288" s="77" t="s">
        <v>2889</v>
      </c>
    </row>
    <row r="289">
      <c r="A289" s="13" t="s">
        <v>3188</v>
      </c>
      <c r="B289" s="10">
        <v>41437.0</v>
      </c>
      <c r="C289" s="11" t="s">
        <v>4662</v>
      </c>
      <c r="D289" s="75">
        <f>MAX((B289-B290)/365, 1)</f>
        <v>8.783561644</v>
      </c>
      <c r="E289" s="78"/>
      <c r="G289" s="13">
        <v>0.0</v>
      </c>
    </row>
    <row r="290">
      <c r="A290" s="13" t="s">
        <v>3188</v>
      </c>
      <c r="B290" s="10">
        <v>38231.0</v>
      </c>
      <c r="C290" s="30"/>
      <c r="D290" s="75"/>
      <c r="E290" s="78" t="str">
        <f t="array" ref="E290">INDEX('TJ List'!O:O,MATCH(A290&amp;B290,'TJ List'!A:A&amp;'TJ List'!B:B,0))
</f>
        <v>Dr. Lewis Yocum</v>
      </c>
    </row>
    <row r="291">
      <c r="A291" s="13" t="s">
        <v>516</v>
      </c>
      <c r="B291" s="10">
        <v>45159.0</v>
      </c>
      <c r="C291" s="11" t="s">
        <v>4666</v>
      </c>
      <c r="D291" s="75">
        <f>MAX((B291-B292)/365, 1)</f>
        <v>7.816438356</v>
      </c>
      <c r="E291" s="78"/>
      <c r="F291" s="13"/>
      <c r="G291" s="13"/>
    </row>
    <row r="292">
      <c r="A292" s="13" t="s">
        <v>516</v>
      </c>
      <c r="B292" s="17">
        <v>42306.0</v>
      </c>
      <c r="C292" s="11"/>
      <c r="D292" s="75"/>
      <c r="E292" s="79" t="s">
        <v>2889</v>
      </c>
      <c r="F292" s="13"/>
      <c r="G292" s="13"/>
    </row>
    <row r="293">
      <c r="A293" s="13" t="s">
        <v>3728</v>
      </c>
      <c r="B293" s="10">
        <v>39994.0</v>
      </c>
      <c r="C293" s="11" t="s">
        <v>4662</v>
      </c>
      <c r="D293" s="75">
        <f>MAX((B293-B294)/365, 1)</f>
        <v>4.810958904</v>
      </c>
      <c r="E293" s="78"/>
      <c r="F293" s="13" t="s">
        <v>761</v>
      </c>
      <c r="G293" s="13">
        <v>1.0</v>
      </c>
    </row>
    <row r="294">
      <c r="A294" s="13" t="s">
        <v>3728</v>
      </c>
      <c r="B294" s="10">
        <v>38238.0</v>
      </c>
      <c r="C294" s="30"/>
      <c r="D294" s="75"/>
      <c r="E294" s="78" t="str">
        <f t="array" ref="E294">INDEX('TJ List'!O:O,MATCH(A294&amp;B294,'TJ List'!A:A&amp;'TJ List'!B:B,0))
</f>
        <v>Dr. James Andrews</v>
      </c>
    </row>
    <row r="295">
      <c r="A295" s="13" t="s">
        <v>3599</v>
      </c>
      <c r="B295" s="10">
        <v>40422.0</v>
      </c>
      <c r="C295" s="11" t="s">
        <v>4662</v>
      </c>
      <c r="D295" s="75">
        <f>MAX((B295-B296)/365, 1)</f>
        <v>7.671232877</v>
      </c>
      <c r="E295" s="78"/>
    </row>
    <row r="296">
      <c r="A296" s="13" t="s">
        <v>3599</v>
      </c>
      <c r="B296" s="10">
        <v>37622.0</v>
      </c>
      <c r="C296" s="30"/>
      <c r="D296" s="75"/>
      <c r="E296" s="77" t="s">
        <v>2889</v>
      </c>
    </row>
    <row r="297">
      <c r="A297" s="13" t="s">
        <v>54</v>
      </c>
      <c r="B297" s="10">
        <v>45931.0</v>
      </c>
      <c r="C297" s="11" t="s">
        <v>4666</v>
      </c>
      <c r="D297" s="75">
        <f>MAX((B297-B298)/365, 1)</f>
        <v>1</v>
      </c>
      <c r="E297" s="78"/>
      <c r="F297" s="13" t="s">
        <v>42</v>
      </c>
      <c r="G297" s="13">
        <v>1.0</v>
      </c>
    </row>
    <row r="298">
      <c r="A298" s="13" t="s">
        <v>54</v>
      </c>
      <c r="B298" s="10">
        <v>46517.0</v>
      </c>
      <c r="C298" s="11"/>
      <c r="D298" s="75"/>
      <c r="E298" s="13" t="s">
        <v>69</v>
      </c>
      <c r="F298" s="13"/>
      <c r="G298" s="13"/>
    </row>
    <row r="299">
      <c r="A299" s="13" t="s">
        <v>502</v>
      </c>
      <c r="B299" s="10">
        <v>45188.0</v>
      </c>
      <c r="C299" s="11" t="s">
        <v>4662</v>
      </c>
      <c r="D299" s="75">
        <f>MAX((B299-B300)/365, 1)</f>
        <v>4.969863014</v>
      </c>
      <c r="E299" s="78"/>
      <c r="F299" s="13" t="s">
        <v>69</v>
      </c>
      <c r="G299" s="13">
        <v>1.0</v>
      </c>
    </row>
    <row r="300">
      <c r="A300" s="13" t="s">
        <v>502</v>
      </c>
      <c r="B300" s="10">
        <v>43374.0</v>
      </c>
      <c r="C300" s="11"/>
      <c r="D300" s="75"/>
      <c r="E300" s="13" t="s">
        <v>69</v>
      </c>
      <c r="F300" s="13"/>
      <c r="G300" s="13"/>
    </row>
    <row r="301">
      <c r="A301" s="13" t="s">
        <v>4411</v>
      </c>
      <c r="B301" s="10">
        <v>35229.0</v>
      </c>
      <c r="C301" s="11" t="s">
        <v>4662</v>
      </c>
      <c r="D301" s="75">
        <f>MAX((B301-B302)/365, 1)</f>
        <v>6.904109589</v>
      </c>
      <c r="E301" s="78"/>
      <c r="F301" s="13" t="s">
        <v>3309</v>
      </c>
      <c r="G301" s="13">
        <v>0.0</v>
      </c>
    </row>
    <row r="302">
      <c r="A302" s="13" t="s">
        <v>4411</v>
      </c>
      <c r="B302" s="10">
        <v>32709.0</v>
      </c>
      <c r="C302" s="30"/>
      <c r="D302" s="75"/>
      <c r="E302" s="78" t="str">
        <f t="array" ref="E302">INDEX('TJ List'!O:O,MATCH(A302&amp;B302,'TJ List'!A:A&amp;'TJ List'!B:B,0))
</f>
        <v>Dr. Frank Jobe</v>
      </c>
    </row>
    <row r="303">
      <c r="A303" s="13" t="s">
        <v>1717</v>
      </c>
      <c r="B303" s="10">
        <v>43466.0</v>
      </c>
      <c r="C303" s="11" t="s">
        <v>4665</v>
      </c>
      <c r="D303" s="75">
        <f>MAX((B303-B304)/365, 1)</f>
        <v>1</v>
      </c>
      <c r="E303" s="78"/>
    </row>
    <row r="304">
      <c r="A304" s="13" t="s">
        <v>1717</v>
      </c>
      <c r="B304" s="10">
        <v>43160.0</v>
      </c>
      <c r="C304" s="11"/>
      <c r="D304" s="75"/>
      <c r="E304" s="77" t="s">
        <v>2889</v>
      </c>
    </row>
    <row r="305">
      <c r="A305" s="13" t="s">
        <v>2368</v>
      </c>
      <c r="B305" s="10">
        <v>42516.0</v>
      </c>
      <c r="C305" s="11" t="s">
        <v>4665</v>
      </c>
      <c r="D305" s="75">
        <f>MAX((B305-B306)/365, 1)</f>
        <v>4.720547945</v>
      </c>
      <c r="E305" s="78"/>
    </row>
    <row r="306">
      <c r="A306" s="13" t="s">
        <v>2368</v>
      </c>
      <c r="B306" s="10">
        <v>40793.0</v>
      </c>
      <c r="C306" s="11"/>
      <c r="D306" s="75"/>
      <c r="E306" s="77" t="s">
        <v>2889</v>
      </c>
    </row>
    <row r="307">
      <c r="A307" s="13" t="s">
        <v>1035</v>
      </c>
      <c r="B307" s="10">
        <v>44435.0</v>
      </c>
      <c r="C307" s="11" t="s">
        <v>4662</v>
      </c>
      <c r="D307" s="75">
        <f>MAX((B307-B308)/365, 1)</f>
        <v>4.397260274</v>
      </c>
      <c r="E307" s="78"/>
      <c r="F307" s="13" t="s">
        <v>355</v>
      </c>
      <c r="G307" s="13">
        <v>1.0</v>
      </c>
    </row>
    <row r="308">
      <c r="A308" s="13" t="s">
        <v>1035</v>
      </c>
      <c r="B308" s="10">
        <v>42830.0</v>
      </c>
      <c r="C308" s="11"/>
      <c r="D308" s="75"/>
      <c r="E308" s="79" t="s">
        <v>355</v>
      </c>
    </row>
    <row r="309">
      <c r="A309" s="13" t="s">
        <v>2409</v>
      </c>
      <c r="B309" s="10">
        <v>42475.0</v>
      </c>
      <c r="C309" s="11" t="s">
        <v>4662</v>
      </c>
      <c r="D309" s="75">
        <f>MAX((B309-B310)/365, 1)</f>
        <v>1.098630137</v>
      </c>
      <c r="E309" s="78"/>
      <c r="F309" s="13" t="s">
        <v>69</v>
      </c>
      <c r="G309" s="13">
        <v>0.0</v>
      </c>
    </row>
    <row r="310">
      <c r="A310" s="13" t="s">
        <v>2409</v>
      </c>
      <c r="B310" s="10">
        <v>42074.0</v>
      </c>
      <c r="C310" s="11"/>
      <c r="D310" s="75"/>
      <c r="E310" s="78" t="str">
        <f t="array" ref="E310">INDEX('TJ List'!O:O,MATCH(A310&amp;B310,'TJ List'!A:A&amp;'TJ List'!B:B,0))
</f>
        <v>Dr. James Andrews</v>
      </c>
    </row>
    <row r="311">
      <c r="A311" s="13" t="s">
        <v>4064</v>
      </c>
      <c r="B311" s="10">
        <v>38565.0</v>
      </c>
      <c r="C311" s="11" t="s">
        <v>4665</v>
      </c>
      <c r="D311" s="75">
        <f>MAX((B311-B312)/365, 1)</f>
        <v>1.895890411</v>
      </c>
      <c r="E311" s="78"/>
      <c r="F311" s="13" t="s">
        <v>761</v>
      </c>
      <c r="G311" s="13">
        <v>1.0</v>
      </c>
    </row>
    <row r="312">
      <c r="A312" s="13" t="s">
        <v>4064</v>
      </c>
      <c r="B312" s="10">
        <v>37873.0</v>
      </c>
      <c r="C312" s="30"/>
      <c r="D312" s="75"/>
      <c r="E312" s="78" t="str">
        <f t="array" ref="E312">INDEX('TJ List'!O:O,MATCH(A312&amp;B312,'TJ List'!A:A&amp;'TJ List'!B:B,0))
</f>
        <v>Dr. James Andrews</v>
      </c>
    </row>
    <row r="313">
      <c r="A313" s="13" t="s">
        <v>3337</v>
      </c>
      <c r="B313" s="10">
        <v>41108.0</v>
      </c>
      <c r="C313" s="11" t="s">
        <v>4665</v>
      </c>
      <c r="D313" s="75">
        <f>MAX((B313-B314)/365, 1)</f>
        <v>12.97260274</v>
      </c>
      <c r="E313" s="78"/>
    </row>
    <row r="314">
      <c r="A314" s="13" t="s">
        <v>3337</v>
      </c>
      <c r="B314" s="10">
        <v>36373.0</v>
      </c>
      <c r="C314" s="30"/>
      <c r="D314" s="75"/>
      <c r="E314" s="77" t="s">
        <v>2889</v>
      </c>
    </row>
    <row r="315">
      <c r="A315" s="13" t="s">
        <v>1567</v>
      </c>
      <c r="B315" s="10">
        <v>43617.0</v>
      </c>
      <c r="C315" s="11" t="s">
        <v>4662</v>
      </c>
      <c r="D315" s="75">
        <f>MAX((B315-B316)/365, 1)</f>
        <v>5.416438356</v>
      </c>
      <c r="E315" s="78"/>
    </row>
    <row r="316">
      <c r="A316" s="13" t="s">
        <v>1567</v>
      </c>
      <c r="B316" s="10">
        <v>41640.0</v>
      </c>
      <c r="C316" s="11"/>
      <c r="D316" s="75"/>
      <c r="E316" s="77" t="s">
        <v>2889</v>
      </c>
    </row>
    <row r="317">
      <c r="A317" s="13" t="s">
        <v>587</v>
      </c>
      <c r="B317" s="10">
        <v>45078.0</v>
      </c>
      <c r="C317" s="11" t="s">
        <v>4666</v>
      </c>
      <c r="D317" s="75">
        <f>MAX((B317-B318)/365, 1)</f>
        <v>5.756164384</v>
      </c>
      <c r="E317" s="78"/>
    </row>
    <row r="318">
      <c r="A318" s="13" t="s">
        <v>587</v>
      </c>
      <c r="B318" s="10">
        <v>42977.0</v>
      </c>
      <c r="C318" s="11"/>
      <c r="D318" s="75"/>
      <c r="E318" s="78" t="str">
        <f t="array" ref="E318">INDEX('TJ List'!O:O,MATCH(A318&amp;B318,'TJ List'!A:A&amp;'TJ List'!B:B,0))
</f>
        <v>Dr. Neal ElAttrache</v>
      </c>
    </row>
    <row r="319">
      <c r="A319" s="13" t="s">
        <v>2529</v>
      </c>
      <c r="B319" s="10">
        <v>42370.0</v>
      </c>
      <c r="C319" s="11" t="s">
        <v>4665</v>
      </c>
      <c r="D319" s="75">
        <f>MAX((B319-B320)/365, 1)</f>
        <v>1</v>
      </c>
      <c r="E319" s="78"/>
    </row>
    <row r="320">
      <c r="A320" s="13" t="s">
        <v>2529</v>
      </c>
      <c r="B320" s="10">
        <v>42094.0</v>
      </c>
      <c r="C320" s="11"/>
      <c r="D320" s="75"/>
      <c r="E320" s="78" t="str">
        <f t="array" ref="E320">INDEX('TJ List'!O:O,MATCH(A320&amp;B320,'TJ List'!A:A&amp;'TJ List'!B:B,0))
</f>
        <v>Dr. James Andrews</v>
      </c>
    </row>
    <row r="321">
      <c r="A321" s="13" t="s">
        <v>2923</v>
      </c>
      <c r="B321" s="10">
        <v>41843.0</v>
      </c>
      <c r="C321" s="11" t="s">
        <v>4662</v>
      </c>
      <c r="D321" s="75">
        <f>MAX((B321-B322)/365, 1)</f>
        <v>8.561643836</v>
      </c>
      <c r="E321" s="78"/>
    </row>
    <row r="322">
      <c r="A322" s="13" t="s">
        <v>2923</v>
      </c>
      <c r="B322" s="10">
        <v>38718.0</v>
      </c>
      <c r="C322" s="30"/>
      <c r="D322" s="75"/>
      <c r="E322" s="77" t="s">
        <v>2889</v>
      </c>
    </row>
    <row r="323">
      <c r="A323" s="13" t="s">
        <v>75</v>
      </c>
      <c r="B323" s="10">
        <v>45870.0</v>
      </c>
      <c r="C323" s="11" t="s">
        <v>4666</v>
      </c>
      <c r="D323" s="75">
        <f>MAX((B323-B324)/365, 1)</f>
        <v>1</v>
      </c>
      <c r="E323" s="78"/>
    </row>
    <row r="324">
      <c r="A324" s="13" t="s">
        <v>75</v>
      </c>
      <c r="B324" s="10">
        <v>47119.0</v>
      </c>
      <c r="C324" s="11"/>
      <c r="D324" s="75"/>
      <c r="E324" s="77" t="s">
        <v>2889</v>
      </c>
    </row>
    <row r="325">
      <c r="A325" s="13" t="s">
        <v>3716</v>
      </c>
      <c r="B325" s="10">
        <v>40008.0</v>
      </c>
      <c r="C325" s="11" t="s">
        <v>4665</v>
      </c>
      <c r="D325" s="75">
        <f>MAX((B325-B326)/365, 1)</f>
        <v>7.073972603</v>
      </c>
      <c r="E325" s="78"/>
    </row>
    <row r="326">
      <c r="A326" s="13" t="s">
        <v>3716</v>
      </c>
      <c r="B326" s="10">
        <v>37426.0</v>
      </c>
      <c r="C326" s="30"/>
      <c r="D326" s="75"/>
      <c r="E326" s="77" t="s">
        <v>2889</v>
      </c>
    </row>
    <row r="327">
      <c r="A327" s="13" t="s">
        <v>3837</v>
      </c>
      <c r="B327" s="10">
        <v>39624.0</v>
      </c>
      <c r="C327" s="11" t="s">
        <v>4665</v>
      </c>
      <c r="D327" s="75">
        <f>MAX((B327-B328)/365, 1)</f>
        <v>1.035616438</v>
      </c>
      <c r="E327" s="78"/>
      <c r="F327" s="13" t="s">
        <v>1407</v>
      </c>
      <c r="G327" s="13">
        <v>1.0</v>
      </c>
    </row>
    <row r="328">
      <c r="A328" s="13" t="s">
        <v>3837</v>
      </c>
      <c r="B328" s="10">
        <v>39246.0</v>
      </c>
      <c r="C328" s="30"/>
      <c r="D328" s="75"/>
      <c r="E328" s="78" t="str">
        <f t="array" ref="E328">INDEX('TJ List'!O:O,MATCH(A328&amp;B328,'TJ List'!A:A&amp;'TJ List'!B:B,0))
</f>
        <v>Dr. David Altchek</v>
      </c>
    </row>
    <row r="329">
      <c r="A329" s="13" t="s">
        <v>4022</v>
      </c>
      <c r="B329" s="10">
        <v>38852.0</v>
      </c>
      <c r="C329" s="11" t="s">
        <v>4662</v>
      </c>
      <c r="D329" s="75">
        <f>MAX((B329-B330)/365, 1)</f>
        <v>10.37534247</v>
      </c>
      <c r="E329" s="78"/>
    </row>
    <row r="330">
      <c r="A330" s="13" t="s">
        <v>4022</v>
      </c>
      <c r="B330" s="10">
        <v>35065.0</v>
      </c>
      <c r="C330" s="30"/>
      <c r="D330" s="75"/>
      <c r="E330" s="77" t="s">
        <v>2889</v>
      </c>
    </row>
    <row r="331">
      <c r="A331" s="13" t="s">
        <v>755</v>
      </c>
      <c r="B331" s="10">
        <v>44796.0</v>
      </c>
      <c r="C331" s="11" t="s">
        <v>4662</v>
      </c>
      <c r="D331" s="75">
        <f>MAX((B331-B332)/365, 1)</f>
        <v>7.054794521</v>
      </c>
      <c r="E331" s="78"/>
      <c r="F331" s="13" t="s">
        <v>1407</v>
      </c>
      <c r="G331" s="13">
        <v>1.0</v>
      </c>
    </row>
    <row r="332">
      <c r="A332" s="13" t="s">
        <v>755</v>
      </c>
      <c r="B332" s="10">
        <v>42221.0</v>
      </c>
      <c r="C332" s="11"/>
      <c r="D332" s="75"/>
      <c r="E332" s="79" t="s">
        <v>69</v>
      </c>
    </row>
    <row r="333">
      <c r="A333" s="13" t="s">
        <v>2335</v>
      </c>
      <c r="B333" s="10">
        <v>42552.0</v>
      </c>
      <c r="C333" s="11" t="s">
        <v>4662</v>
      </c>
      <c r="D333" s="75">
        <f>MAX((B333-B334)/365, 1)</f>
        <v>2.498630137</v>
      </c>
      <c r="E333" s="78"/>
    </row>
    <row r="334">
      <c r="A334" s="13" t="s">
        <v>2335</v>
      </c>
      <c r="B334" s="10">
        <v>41640.0</v>
      </c>
      <c r="C334" s="11"/>
      <c r="D334" s="75"/>
      <c r="E334" s="77" t="s">
        <v>2889</v>
      </c>
    </row>
    <row r="335">
      <c r="A335" s="13" t="s">
        <v>977</v>
      </c>
      <c r="B335" s="10">
        <v>44562.0</v>
      </c>
      <c r="C335" s="11" t="s">
        <v>4662</v>
      </c>
      <c r="D335" s="75">
        <f>MAX((B335-B336)/365, 1)</f>
        <v>2.002739726</v>
      </c>
      <c r="E335" s="78"/>
    </row>
    <row r="336">
      <c r="A336" s="13" t="s">
        <v>977</v>
      </c>
      <c r="B336" s="10">
        <v>43831.0</v>
      </c>
      <c r="C336" s="11"/>
      <c r="D336" s="75"/>
      <c r="E336" s="79" t="s">
        <v>2889</v>
      </c>
    </row>
    <row r="337">
      <c r="A337" s="13" t="s">
        <v>2427</v>
      </c>
      <c r="B337" s="10">
        <v>42430.0</v>
      </c>
      <c r="C337" s="11" t="s">
        <v>4662</v>
      </c>
      <c r="D337" s="75">
        <f>MAX((B337-B338)/365, 1)</f>
        <v>1</v>
      </c>
      <c r="E337" s="78"/>
    </row>
    <row r="338">
      <c r="A338" s="13" t="s">
        <v>2427</v>
      </c>
      <c r="B338" s="10">
        <v>42088.0</v>
      </c>
      <c r="C338" s="11"/>
      <c r="D338" s="75"/>
      <c r="E338" s="77" t="s">
        <v>2889</v>
      </c>
    </row>
    <row r="339">
      <c r="A339" s="13" t="s">
        <v>3723</v>
      </c>
      <c r="B339" s="10">
        <v>39995.0</v>
      </c>
      <c r="C339" s="11" t="s">
        <v>4662</v>
      </c>
      <c r="D339" s="75">
        <f>MAX((B339-B340)/365, 1)</f>
        <v>8.501369863</v>
      </c>
      <c r="E339" s="78"/>
      <c r="F339" s="13" t="s">
        <v>3309</v>
      </c>
      <c r="G339" s="13">
        <v>1.0</v>
      </c>
    </row>
    <row r="340">
      <c r="A340" s="13" t="s">
        <v>3723</v>
      </c>
      <c r="B340" s="10">
        <v>36892.0</v>
      </c>
      <c r="C340" s="30"/>
      <c r="D340" s="75"/>
      <c r="E340" s="78" t="str">
        <f t="array" ref="E340">INDEX('TJ List'!O:O,MATCH(A340&amp;B340,'TJ List'!A:A&amp;'TJ List'!B:B,0))
</f>
        <v>Dr. Lewis Yocum</v>
      </c>
    </row>
    <row r="341">
      <c r="A341" s="13" t="s">
        <v>2069</v>
      </c>
      <c r="B341" s="17">
        <v>42892.0</v>
      </c>
      <c r="C341" s="11" t="s">
        <v>4665</v>
      </c>
      <c r="D341" s="75">
        <f>MAX((B341-B342)/365, 1)</f>
        <v>2.02739726</v>
      </c>
      <c r="E341" s="78"/>
    </row>
    <row r="342">
      <c r="A342" s="13" t="s">
        <v>2069</v>
      </c>
      <c r="B342" s="17">
        <v>42152.0</v>
      </c>
      <c r="C342" s="30"/>
      <c r="D342" s="75"/>
      <c r="E342" s="79" t="s">
        <v>2889</v>
      </c>
    </row>
    <row r="343">
      <c r="A343" s="13" t="s">
        <v>87</v>
      </c>
      <c r="B343" s="17">
        <v>45839.0</v>
      </c>
      <c r="C343" s="11" t="s">
        <v>4666</v>
      </c>
      <c r="D343" s="75">
        <f>MAX((B343-B344)/365, 1)</f>
        <v>1</v>
      </c>
      <c r="E343" s="78"/>
    </row>
    <row r="344">
      <c r="A344" s="13" t="s">
        <v>87</v>
      </c>
      <c r="B344" s="17">
        <v>45658.0</v>
      </c>
      <c r="C344" s="30"/>
      <c r="D344" s="75"/>
      <c r="E344" s="79" t="s">
        <v>2889</v>
      </c>
    </row>
    <row r="345">
      <c r="C345" s="30"/>
      <c r="D345" s="75"/>
      <c r="E345" s="78"/>
    </row>
    <row r="346">
      <c r="C346" s="30"/>
      <c r="D346" s="75"/>
      <c r="E346" s="78"/>
    </row>
    <row r="347">
      <c r="C347" s="30"/>
      <c r="D347" s="75"/>
      <c r="E347" s="78"/>
    </row>
    <row r="348">
      <c r="C348" s="30"/>
      <c r="D348" s="75"/>
      <c r="E348" s="78"/>
    </row>
    <row r="349">
      <c r="C349" s="30"/>
      <c r="D349" s="75"/>
      <c r="E349" s="78"/>
    </row>
    <row r="350">
      <c r="C350" s="30"/>
      <c r="D350" s="75"/>
      <c r="E350" s="78"/>
    </row>
    <row r="351">
      <c r="C351" s="30"/>
      <c r="D351" s="75"/>
      <c r="E351" s="78"/>
    </row>
    <row r="352">
      <c r="C352" s="30"/>
      <c r="D352" s="75"/>
      <c r="E352" s="78"/>
    </row>
    <row r="353">
      <c r="C353" s="30"/>
      <c r="D353" s="75"/>
      <c r="E353" s="78"/>
    </row>
    <row r="354">
      <c r="C354" s="30"/>
      <c r="D354" s="75"/>
      <c r="E354" s="78"/>
    </row>
    <row r="355">
      <c r="C355" s="30"/>
      <c r="D355" s="75"/>
      <c r="E355" s="78"/>
    </row>
    <row r="356">
      <c r="C356" s="30"/>
      <c r="D356" s="75"/>
      <c r="E356" s="78"/>
    </row>
    <row r="357">
      <c r="C357" s="30"/>
      <c r="D357" s="75"/>
      <c r="E357" s="78"/>
    </row>
    <row r="358">
      <c r="C358" s="30"/>
      <c r="D358" s="75"/>
      <c r="E358" s="78"/>
    </row>
    <row r="359">
      <c r="C359" s="30"/>
      <c r="D359" s="75"/>
      <c r="E359" s="78"/>
    </row>
    <row r="360">
      <c r="C360" s="30"/>
      <c r="D360" s="75"/>
      <c r="E360" s="78"/>
    </row>
    <row r="361">
      <c r="C361" s="30"/>
      <c r="D361" s="75"/>
      <c r="E361" s="78"/>
    </row>
    <row r="362">
      <c r="C362" s="30"/>
      <c r="D362" s="75"/>
      <c r="E362" s="78"/>
    </row>
    <row r="363">
      <c r="C363" s="30"/>
      <c r="D363" s="75"/>
      <c r="E363" s="78"/>
    </row>
    <row r="364">
      <c r="C364" s="30"/>
      <c r="D364" s="75"/>
      <c r="E364" s="78"/>
    </row>
    <row r="365">
      <c r="C365" s="30"/>
      <c r="D365" s="75"/>
      <c r="E365" s="78"/>
    </row>
    <row r="366">
      <c r="C366" s="30"/>
      <c r="D366" s="75"/>
      <c r="E366" s="7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88"/>
    <col customWidth="1" min="3" max="3" width="200.13"/>
    <col customWidth="1" min="4" max="4" width="20.5"/>
    <col customWidth="1" min="5" max="5" width="60.88"/>
    <col customWidth="1" hidden="1" min="7" max="7" width="21.13"/>
    <col customWidth="1" hidden="1" min="8" max="8" width="11.75"/>
    <col customWidth="1" hidden="1" min="9" max="9" width="7.25"/>
    <col customWidth="1" hidden="1" min="10" max="10" width="9.13"/>
    <col customWidth="1" hidden="1" min="12" max="12" width="18.0"/>
    <col customWidth="1" hidden="1" min="13" max="13" width="5.25"/>
    <col customWidth="1" hidden="1" min="14" max="14" width="11.63"/>
    <col customWidth="1" hidden="1" min="15" max="15" width="9.25"/>
    <col customWidth="1" hidden="1" min="16" max="16" width="9.13"/>
    <col customWidth="1" hidden="1" min="17" max="17" width="6.88"/>
    <col customWidth="1" hidden="1" min="19" max="19" width="15.38"/>
    <col customWidth="1" hidden="1" min="20" max="20" width="11.75"/>
    <col customWidth="1" hidden="1" min="21" max="21" width="7.25"/>
    <col customWidth="1" hidden="1" min="23" max="23" width="18.5"/>
    <col customWidth="1" hidden="1" min="24" max="24" width="5.13"/>
    <col customWidth="1" hidden="1" min="25" max="25" width="7.25"/>
    <col customWidth="1" hidden="1" min="26" max="26" width="9.13"/>
  </cols>
  <sheetData>
    <row r="1">
      <c r="A1" s="81" t="s">
        <v>4672</v>
      </c>
      <c r="F1" s="82"/>
      <c r="G1" s="6" t="s">
        <v>4673</v>
      </c>
      <c r="H1" s="5" t="s">
        <v>4</v>
      </c>
      <c r="I1" s="6" t="s">
        <v>4674</v>
      </c>
      <c r="J1" s="6" t="s">
        <v>4675</v>
      </c>
      <c r="K1" s="6"/>
      <c r="L1" s="6" t="s">
        <v>4676</v>
      </c>
      <c r="M1" s="5" t="s">
        <v>4</v>
      </c>
      <c r="N1" s="83" t="s">
        <v>4677</v>
      </c>
      <c r="O1" s="83" t="s">
        <v>4674</v>
      </c>
      <c r="P1" s="6" t="s">
        <v>4675</v>
      </c>
      <c r="Q1" s="6" t="s">
        <v>4678</v>
      </c>
      <c r="R1" s="82"/>
      <c r="S1" s="6" t="s">
        <v>4679</v>
      </c>
      <c r="T1" s="5" t="s">
        <v>4</v>
      </c>
      <c r="U1" s="6" t="s">
        <v>4674</v>
      </c>
      <c r="V1" s="82"/>
      <c r="W1" s="6" t="s">
        <v>4673</v>
      </c>
      <c r="X1" s="6" t="s">
        <v>4</v>
      </c>
      <c r="Y1" s="6" t="s">
        <v>4674</v>
      </c>
      <c r="Z1" s="84" t="s">
        <v>4675</v>
      </c>
    </row>
    <row r="2">
      <c r="A2" s="85" t="s">
        <v>4</v>
      </c>
      <c r="B2" s="81" t="s">
        <v>4680</v>
      </c>
      <c r="C2" s="85" t="s">
        <v>4681</v>
      </c>
      <c r="D2" s="81" t="s">
        <v>4682</v>
      </c>
      <c r="E2" s="85" t="s">
        <v>4683</v>
      </c>
      <c r="F2" s="82"/>
      <c r="G2" s="13" t="s">
        <v>4684</v>
      </c>
      <c r="H2" s="11" t="s">
        <v>4685</v>
      </c>
      <c r="I2" s="13">
        <v>20633.0</v>
      </c>
      <c r="J2" t="str">
        <f t="array" ref="J2">INDEX('TJ List'!B:B,MATCH(I2,'TJ List'!N:N,0),0)</f>
        <v>#N/A</v>
      </c>
      <c r="K2" s="6"/>
      <c r="L2" s="13" t="s">
        <v>506</v>
      </c>
      <c r="M2" s="11" t="s">
        <v>101</v>
      </c>
      <c r="N2" s="86" t="s">
        <v>317</v>
      </c>
      <c r="O2" s="86">
        <v>26260.0</v>
      </c>
      <c r="P2" s="10">
        <f t="array" ref="P2">INDEX('TJ List'!B:B,MATCH(O2,'TJ List'!N:N,0),0)</f>
        <v>45170</v>
      </c>
      <c r="Q2">
        <f t="array" ref="Q2">IFERROR(INDEX(I:I,MATCH(O2,I:I,0),0),0)
</f>
        <v>0</v>
      </c>
      <c r="R2" s="82"/>
      <c r="S2" s="13" t="s">
        <v>4686</v>
      </c>
      <c r="T2" s="11" t="s">
        <v>49</v>
      </c>
      <c r="U2" s="13">
        <v>16959.0</v>
      </c>
      <c r="W2" s="13" t="s">
        <v>3734</v>
      </c>
      <c r="X2" s="13" t="s">
        <v>4685</v>
      </c>
      <c r="Y2" s="13">
        <v>12988.0</v>
      </c>
      <c r="Z2" s="87">
        <v>39973.0</v>
      </c>
    </row>
    <row r="3">
      <c r="A3" s="11" t="s">
        <v>126</v>
      </c>
      <c r="B3" s="30">
        <f t="shared" ref="B3:B32" si="1">COUNTIFS(H:H,A3,J:J,"&gt;0")</f>
        <v>18</v>
      </c>
      <c r="C3" t="str">
        <f>IFERROR(__xludf.DUMMYFUNCTION("IF(B3&gt;0,JOIN("", "",TRANSPOSE(INDIRECT(ADDRESS(MATCH(A3,H:H,0),7)&amp;"":""&amp;ADDRESS(MATCH(A3,H:H,0)+B3-1,7)))),"""")"),"Daniel Hudson, Ryan Brasier, Brusdar Graterol, Michael Grove, Brent Honeywell, Dinelson Lamet, Anthony Banda, Michael Kopech, Gus Varland, Ricky Vanasco, James Paxton, Justin Wrobleski, Tyler Glasnow, Edgardo Henriquez, Walker Buehler, Kyle Hurt, River Ry"&amp;"an, Yoshinobu Yamamoto")</f>
        <v>Daniel Hudson, Ryan Brasier, Brusdar Graterol, Michael Grove, Brent Honeywell, Dinelson Lamet, Anthony Banda, Michael Kopech, Gus Varland, Ricky Vanasco, James Paxton, Justin Wrobleski, Tyler Glasnow, Edgardo Henriquez, Walker Buehler, Kyle Hurt, River Ryan, Yoshinobu Yamamoto</v>
      </c>
      <c r="D3" s="30">
        <f t="shared" ref="D3:D32" si="2">COUNTIFS(M:M,A3,P:P,"&gt;0",Q:Q,0)</f>
        <v>3</v>
      </c>
      <c r="E3" t="str">
        <f>IFERROR(__xludf.DUMMYFUNCTION("IF(D3&gt;0,JOIN("", "",TRANSPOSE(INDIRECT(ADDRESS(MATCH(A3,M:M,0),12)&amp;"":""&amp;ADDRESS(MATCH(A3,M:M,0)+D3-1,12)))),"""")"),"Dustin May, Tony Gonsolin, Emmet Sheehan")</f>
        <v>Dustin May, Tony Gonsolin, Emmet Sheehan</v>
      </c>
      <c r="G3" s="13" t="s">
        <v>4687</v>
      </c>
      <c r="H3" s="11" t="s">
        <v>4685</v>
      </c>
      <c r="I3" s="13">
        <v>17479.0</v>
      </c>
      <c r="J3" t="str">
        <f t="array" ref="J3">INDEX('TJ List'!B:B,MATCH(I3,'TJ List'!N:N,0),0)</f>
        <v>#N/A</v>
      </c>
      <c r="K3" s="6"/>
      <c r="L3" s="13" t="s">
        <v>749</v>
      </c>
      <c r="M3" s="11" t="s">
        <v>116</v>
      </c>
      <c r="N3" s="86" t="s">
        <v>4688</v>
      </c>
      <c r="O3" s="86">
        <v>20468.0</v>
      </c>
      <c r="P3" s="10">
        <f t="array" ref="P3">INDEX('TJ List'!B:B,MATCH(O3,'TJ List'!N:N,0),0)</f>
        <v>44811</v>
      </c>
      <c r="Q3">
        <f t="array" ref="Q3">IFERROR(INDEX(I:I,MATCH(O3,I:I,0),0),0)
</f>
        <v>0</v>
      </c>
      <c r="S3" s="13" t="s">
        <v>4689</v>
      </c>
      <c r="T3" s="11" t="s">
        <v>101</v>
      </c>
      <c r="U3" s="13">
        <v>10200.0</v>
      </c>
      <c r="W3" s="13" t="s">
        <v>4690</v>
      </c>
      <c r="X3" s="13" t="s">
        <v>4685</v>
      </c>
      <c r="Y3" s="13">
        <v>13767.0</v>
      </c>
      <c r="Z3" s="87">
        <v>41534.0</v>
      </c>
    </row>
    <row r="4">
      <c r="A4" s="11" t="s">
        <v>108</v>
      </c>
      <c r="B4" s="30">
        <f t="shared" si="1"/>
        <v>18</v>
      </c>
      <c r="C4" t="str">
        <f>IFERROR(__xludf.DUMMYFUNCTION("IF(B4&gt;0,JOIN("", "",TRANSPOSE(INDIRECT(ADDRESS(MATCH(A4,H:H,0),7)&amp;"":""&amp;ADDRESS(MATCH(A4,H:H,0)+B4-1,7)))),"""")"),"Ron Marinaccio, Clay Holmes, Jonathan Loáisiga, Victor González, Clarke Schmidt, Clayton Beeter, Mark Leiter Jr., Carlos Rodón, Tim Mayza, Tommy Kahnle, Caleb Ferguson, Nick Burdi, Yoendrys Gómez, Luis Gil, Cody Poteet, Scott Effross, Nestor Cortes, Gerri"&amp;"t Cole")</f>
        <v>Ron Marinaccio, Clay Holmes, Jonathan Loáisiga, Victor González, Clarke Schmidt, Clayton Beeter, Mark Leiter Jr., Carlos Rodón, Tim Mayza, Tommy Kahnle, Caleb Ferguson, Nick Burdi, Yoendrys Gómez, Luis Gil, Cody Poteet, Scott Effross, Nestor Cortes, Gerrit Cole</v>
      </c>
      <c r="D4" s="30">
        <f t="shared" si="2"/>
        <v>2</v>
      </c>
      <c r="E4" t="str">
        <f>IFERROR(__xludf.DUMMYFUNCTION("IF(D4&gt;0,JOIN("", "",TRANSPOSE(INDIRECT(ADDRESS(MATCH(A4,M:M,0),12)&amp;"":""&amp;ADDRESS(MATCH(A4,M:M,0)+D4-1,12)))),"""")"),"JT Brubaker, Lou Trivino")</f>
        <v>JT Brubaker, Lou Trivino</v>
      </c>
      <c r="G4" s="13" t="s">
        <v>4691</v>
      </c>
      <c r="H4" s="11" t="s">
        <v>4685</v>
      </c>
      <c r="I4" s="13">
        <v>13774.0</v>
      </c>
      <c r="J4" t="str">
        <f t="array" ref="J4">INDEX('TJ List'!B:B,MATCH(I4,'TJ List'!N:N,0),0)</f>
        <v>#N/A</v>
      </c>
      <c r="K4" s="6"/>
      <c r="L4" s="13" t="s">
        <v>498</v>
      </c>
      <c r="M4" s="11" t="s">
        <v>116</v>
      </c>
      <c r="N4" s="86" t="s">
        <v>4688</v>
      </c>
      <c r="O4" s="86">
        <v>17759.0</v>
      </c>
      <c r="P4" s="10">
        <f t="array" ref="P4">INDEX('TJ List'!B:B,MATCH(O4,'TJ List'!N:N,0),0)</f>
        <v>45205</v>
      </c>
      <c r="Q4">
        <f t="array" ref="Q4">IFERROR(INDEX(I:I,MATCH(O4,I:I,0),0),0)
</f>
        <v>0</v>
      </c>
      <c r="S4" s="13" t="s">
        <v>4692</v>
      </c>
      <c r="T4" s="11" t="s">
        <v>55</v>
      </c>
      <c r="U4" s="13">
        <v>15194.0</v>
      </c>
      <c r="W4" s="13" t="s">
        <v>3128</v>
      </c>
      <c r="X4" s="13" t="s">
        <v>4685</v>
      </c>
      <c r="Y4" s="13">
        <v>19225.0</v>
      </c>
      <c r="Z4" s="87">
        <v>41579.0</v>
      </c>
    </row>
    <row r="5">
      <c r="A5" s="11" t="s">
        <v>192</v>
      </c>
      <c r="B5" s="30">
        <f t="shared" si="1"/>
        <v>16</v>
      </c>
      <c r="C5" t="str">
        <f>IFERROR(__xludf.DUMMYFUNCTION("IF(B5&gt;0,JOIN("", "",TRANSPOSE(INDIRECT(ADDRESS(MATCH(A5,H:H,0),7)&amp;"":""&amp;ADDRESS(MATCH(A5,H:H,0)+B5-1,7)))),"""")"),"Cal Quantrill, Noah Davis, Seth Halvorsen, Josh Rogers, Matt Carasiti, Ty Blach, Peter Lambert, Jalen Beeks, Dakota Hudson, Jaden Hill, John Curtiss, Bradley Blalock, Lucas Gilbreath, Germán Márquez, Antonio Senzatela, Ryan Feltner")</f>
        <v>Cal Quantrill, Noah Davis, Seth Halvorsen, Josh Rogers, Matt Carasiti, Ty Blach, Peter Lambert, Jalen Beeks, Dakota Hudson, Jaden Hill, John Curtiss, Bradley Blalock, Lucas Gilbreath, Germán Márquez, Antonio Senzatela, Ryan Feltner</v>
      </c>
      <c r="D5" s="30">
        <f t="shared" si="2"/>
        <v>0</v>
      </c>
      <c r="E5" t="str">
        <f>IFERROR(__xludf.DUMMYFUNCTION("IF(D5&gt;0,JOIN("", "",TRANSPOSE(INDIRECT(ADDRESS(MATCH(A5,M:M,0),12)&amp;"":""&amp;ADDRESS(MATCH(A5,M:M,0)+D5-1,12)))),"""")"),"")</f>
        <v/>
      </c>
      <c r="G5" s="13" t="s">
        <v>4693</v>
      </c>
      <c r="H5" s="11" t="s">
        <v>4685</v>
      </c>
      <c r="I5" s="13">
        <v>19360.0</v>
      </c>
      <c r="J5" t="str">
        <f t="array" ref="J5">INDEX('TJ List'!B:B,MATCH(I5,'TJ List'!N:N,0),0)</f>
        <v>#N/A</v>
      </c>
      <c r="K5" s="6"/>
      <c r="L5" s="13" t="s">
        <v>4694</v>
      </c>
      <c r="M5" s="11" t="s">
        <v>138</v>
      </c>
      <c r="N5" s="86" t="s">
        <v>4695</v>
      </c>
      <c r="O5" s="86">
        <v>20666.0</v>
      </c>
      <c r="P5" s="10">
        <f t="array" ref="P5">INDEX('TJ List'!B:B,MATCH(O5,'TJ List'!N:N,0),0)</f>
        <v>45208</v>
      </c>
      <c r="Q5">
        <f t="array" ref="Q5">IFERROR(INDEX(I:I,MATCH(O5,I:I,0),0),0)
</f>
        <v>0</v>
      </c>
      <c r="S5" s="13" t="s">
        <v>4696</v>
      </c>
      <c r="T5" s="11" t="s">
        <v>167</v>
      </c>
      <c r="U5" s="13">
        <v>14593.0</v>
      </c>
      <c r="W5" s="13" t="s">
        <v>3062</v>
      </c>
      <c r="X5" s="13" t="s">
        <v>4685</v>
      </c>
      <c r="Y5" s="13">
        <v>19244.0</v>
      </c>
      <c r="Z5" s="87">
        <v>41673.0</v>
      </c>
    </row>
    <row r="6">
      <c r="A6" s="11" t="s">
        <v>111</v>
      </c>
      <c r="B6" s="30">
        <f t="shared" si="1"/>
        <v>16</v>
      </c>
      <c r="C6" t="str">
        <f>IFERROR(__xludf.DUMMYFUNCTION("IF(B6&gt;0,JOIN("", "",TRANSPOSE(INDIRECT(ADDRESS(MATCH(A6,H:H,0),7)&amp;"":""&amp;ADDRESS(MATCH(A6,H:H,0)+B6-1,7)))),"""")"),"Andrew Chafin, Will Vest, Tarik Skubal, Shelby Miller, Jason Foley, Tyler Holton, Mason Englert, Brant Hurter, Joey Wentz, Ricky Vanasco, Alex Faedo, Brenan Hanifee, Kenta Maeda, Sean Guenther, Casey Mize, Reese Olson")</f>
        <v>Andrew Chafin, Will Vest, Tarik Skubal, Shelby Miller, Jason Foley, Tyler Holton, Mason Englert, Brant Hurter, Joey Wentz, Ricky Vanasco, Alex Faedo, Brenan Hanifee, Kenta Maeda, Sean Guenther, Casey Mize, Reese Olson</v>
      </c>
      <c r="D6" s="30">
        <f t="shared" si="2"/>
        <v>1</v>
      </c>
      <c r="E6" t="str">
        <f>IFERROR(__xludf.DUMMYFUNCTION("IF(D6&gt;0,JOIN("", "",TRANSPOSE(INDIRECT(ADDRESS(MATCH(A6,M:M,0),12)&amp;"":""&amp;ADDRESS(MATCH(A6,M:M,0)+D6-1,12)))),"""")"),"Sawyer Gipson-Long")</f>
        <v>Sawyer Gipson-Long</v>
      </c>
      <c r="G6" s="13" t="s">
        <v>4697</v>
      </c>
      <c r="H6" s="11" t="s">
        <v>4685</v>
      </c>
      <c r="I6" s="13">
        <v>17586.0</v>
      </c>
      <c r="J6" t="str">
        <f t="array" ref="J6">INDEX('TJ List'!B:B,MATCH(I6,'TJ List'!N:N,0),0)</f>
        <v>#N/A</v>
      </c>
      <c r="K6" s="6"/>
      <c r="L6" s="13" t="s">
        <v>3323</v>
      </c>
      <c r="M6" s="11" t="s">
        <v>72</v>
      </c>
      <c r="N6" s="86" t="s">
        <v>4698</v>
      </c>
      <c r="O6" s="86">
        <v>15474.0</v>
      </c>
      <c r="P6" s="10">
        <f t="array" ref="P6">INDEX('TJ List'!B:B,MATCH(O6,'TJ List'!N:N,0),0)</f>
        <v>41152</v>
      </c>
      <c r="Q6">
        <f t="array" ref="Q6">IFERROR(INDEX(I:I,MATCH(O6,I:I,0),0),0)
</f>
        <v>0</v>
      </c>
      <c r="S6" s="13" t="s">
        <v>4699</v>
      </c>
      <c r="T6" s="11" t="s">
        <v>37</v>
      </c>
      <c r="U6" s="13">
        <v>20536.0</v>
      </c>
      <c r="W6" s="13" t="s">
        <v>4700</v>
      </c>
      <c r="X6" s="13" t="s">
        <v>4685</v>
      </c>
      <c r="Y6" s="13">
        <v>6902.0</v>
      </c>
      <c r="Z6" s="87">
        <v>41778.0</v>
      </c>
    </row>
    <row r="7">
      <c r="A7" s="11" t="s">
        <v>143</v>
      </c>
      <c r="B7" s="30">
        <f t="shared" si="1"/>
        <v>17</v>
      </c>
      <c r="C7" t="str">
        <f>IFERROR(__xludf.DUMMYFUNCTION("IF(B7&gt;0,JOIN("", "",TRANSPOSE(INDIRECT(ADDRESS(MATCH(A7,H:H,0),7)&amp;"":""&amp;ADDRESS(MATCH(A7,H:H,0)+B7-1,7)))),"""")"),"Erick Fedde, Chris Flexen, Steven Wilson, Sean Burke, Michael Kopech, Chad Kuhl, Gus Varland, John Brebbia, Justin Anderson, Mike Clevinger, Jake Eder, Garrett Crochet, Matt Foster, Davis Martin, Jonathan Cannon, Michael Soroka, Jared Shuster")</f>
        <v>Erick Fedde, Chris Flexen, Steven Wilson, Sean Burke, Michael Kopech, Chad Kuhl, Gus Varland, John Brebbia, Justin Anderson, Mike Clevinger, Jake Eder, Garrett Crochet, Matt Foster, Davis Martin, Jonathan Cannon, Michael Soroka, Jared Shuster</v>
      </c>
      <c r="D7" s="30">
        <f t="shared" si="2"/>
        <v>2</v>
      </c>
      <c r="E7" t="str">
        <f>IFERROR(__xludf.DUMMYFUNCTION("IF(D7&gt;0,JOIN("", "",TRANSPOSE(INDIRECT(ADDRESS(MATCH(A7,M:M,0),12)&amp;"":""&amp;ADDRESS(MATCH(A7,M:M,0)+D7-1,12)))),"""")"),"Jimmy Lambert, Jesse Scholtens")</f>
        <v>Jimmy Lambert, Jesse Scholtens</v>
      </c>
      <c r="G7" s="13" t="s">
        <v>70</v>
      </c>
      <c r="H7" s="11" t="s">
        <v>4685</v>
      </c>
      <c r="I7" s="13">
        <v>14309.0</v>
      </c>
      <c r="J7" s="87">
        <f t="array" ref="J7">INDEX('TJ List'!B:B,MATCH(I7,'TJ List'!N:N,0),0)</f>
        <v>45909</v>
      </c>
      <c r="K7" s="6"/>
      <c r="L7" s="13" t="s">
        <v>1172</v>
      </c>
      <c r="M7" s="11" t="s">
        <v>72</v>
      </c>
      <c r="N7" s="86" t="s">
        <v>4698</v>
      </c>
      <c r="O7" s="86" t="s">
        <v>1173</v>
      </c>
      <c r="P7" s="10">
        <f t="array" ref="P7">INDEX('TJ List'!B:B,MATCH(O7,'TJ List'!N:N,0),0)</f>
        <v>44299</v>
      </c>
      <c r="Q7">
        <f t="array" ref="Q7">IFERROR(INDEX(I:I,MATCH(O7,I:I,0),0),0)
</f>
        <v>0</v>
      </c>
      <c r="S7" s="13" t="s">
        <v>4701</v>
      </c>
      <c r="T7" s="11" t="s">
        <v>108</v>
      </c>
      <c r="U7" s="13">
        <v>21707.0</v>
      </c>
      <c r="W7" s="13" t="s">
        <v>2964</v>
      </c>
      <c r="X7" s="13" t="s">
        <v>4685</v>
      </c>
      <c r="Y7" s="13">
        <v>17425.0</v>
      </c>
      <c r="Z7" s="87">
        <v>41793.0</v>
      </c>
    </row>
    <row r="8">
      <c r="A8" s="11" t="s">
        <v>362</v>
      </c>
      <c r="B8" s="30">
        <f t="shared" si="1"/>
        <v>14</v>
      </c>
      <c r="C8" t="str">
        <f>IFERROR(__xludf.DUMMYFUNCTION("IF(B8&gt;0,JOIN("", "",TRANSPOSE(INDIRECT(ADDRESS(MATCH(A8,H:H,0),7)&amp;"":""&amp;ADDRESS(MATCH(A8,H:H,0)+B8-1,7)))),"""")"),"Ryan Borucki, Justin Bruihl, Martín Pérez, Domingo Germán, Brady Feigl, Marco Gonzales, Brent Honeywell, Colin Holderman, Ben Heller, Jose E. Hernandez, Joey Wentz, Jalen Beeks, Daulton Jefferies, Mike Burrows")</f>
        <v>Ryan Borucki, Justin Bruihl, Martín Pérez, Domingo Germán, Brady Feigl, Marco Gonzales, Brent Honeywell, Colin Holderman, Ben Heller, Jose E. Hernandez, Joey Wentz, Jalen Beeks, Daulton Jefferies, Mike Burrows</v>
      </c>
      <c r="D8" s="30">
        <f t="shared" si="2"/>
        <v>2</v>
      </c>
      <c r="E8" t="str">
        <f>IFERROR(__xludf.DUMMYFUNCTION("IF(D8&gt;0,JOIN("", "",TRANSPOSE(INDIRECT(ADDRESS(MATCH(A8,M:M,0),12)&amp;"":""&amp;ADDRESS(MATCH(A8,M:M,0)+D8-1,12)))),"""")"),"Johan Oviedo, Dauri Moreta")</f>
        <v>Johan Oviedo, Dauri Moreta</v>
      </c>
      <c r="G8" s="13" t="s">
        <v>4702</v>
      </c>
      <c r="H8" s="11" t="s">
        <v>4685</v>
      </c>
      <c r="I8" s="13">
        <v>11861.0</v>
      </c>
      <c r="J8" t="str">
        <f t="array" ref="J8">INDEX('TJ List'!B:B,MATCH(I8,'TJ List'!N:N,0),0)</f>
        <v>#N/A</v>
      </c>
      <c r="K8" s="6"/>
      <c r="L8" s="13" t="s">
        <v>521</v>
      </c>
      <c r="M8" s="11" t="s">
        <v>72</v>
      </c>
      <c r="N8" s="86" t="s">
        <v>4698</v>
      </c>
      <c r="O8" s="86">
        <v>3548.0</v>
      </c>
      <c r="P8" s="10">
        <f t="array" ref="P8">INDEX('TJ List'!B:B,MATCH(O8,'TJ List'!N:N,0),0)</f>
        <v>45140</v>
      </c>
      <c r="Q8">
        <f t="array" ref="Q8">IFERROR(INDEX(I:I,MATCH(O8,I:I,0),0),0)
</f>
        <v>0</v>
      </c>
      <c r="S8" s="13" t="s">
        <v>4703</v>
      </c>
      <c r="T8" s="11" t="s">
        <v>103</v>
      </c>
      <c r="U8" s="13">
        <v>17496.0</v>
      </c>
      <c r="W8" s="13" t="s">
        <v>2825</v>
      </c>
      <c r="X8" s="13" t="s">
        <v>4685</v>
      </c>
      <c r="Y8" s="13">
        <v>15256.0</v>
      </c>
      <c r="Z8" s="87">
        <v>42005.0</v>
      </c>
    </row>
    <row r="9">
      <c r="A9" s="11" t="s">
        <v>186</v>
      </c>
      <c r="B9" s="30">
        <f t="shared" si="1"/>
        <v>14</v>
      </c>
      <c r="C9" t="str">
        <f>IFERROR(__xludf.DUMMYFUNCTION("IF(B9&gt;0,JOIN("", "",TRANSPOSE(INDIRECT(ADDRESS(MATCH(A9,H:H,0),7)&amp;"":""&amp;ADDRESS(MATCH(A9,H:H,0)+B9-1,7)))),"""")"),"Andrew Chafin, Andrew Heaney, Nathan Eovaldi, Daniel Robert, Dane Dunning, Owen White, David Robertson, Matt Festa, Kirby Yates, José Leclerc, Jonathan Hernández, Tyler Mahle, Kumar Rocker, Jacob deGrom")</f>
        <v>Andrew Chafin, Andrew Heaney, Nathan Eovaldi, Daniel Robert, Dane Dunning, Owen White, David Robertson, Matt Festa, Kirby Yates, José Leclerc, Jonathan Hernández, Tyler Mahle, Kumar Rocker, Jacob deGrom</v>
      </c>
      <c r="D9" s="30">
        <f t="shared" si="2"/>
        <v>1</v>
      </c>
      <c r="E9" t="str">
        <f>IFERROR(__xludf.DUMMYFUNCTION("IF(D9&gt;0,JOIN("", "",TRANSPOSE(INDIRECT(ADDRESS(MATCH(A9,M:M,0),12)&amp;"":""&amp;ADDRESS(MATCH(A9,M:M,0)+D9-1,12)))),"""")"),"Carson Coleman")</f>
        <v>Carson Coleman</v>
      </c>
      <c r="G9" s="13" t="s">
        <v>4704</v>
      </c>
      <c r="H9" s="11" t="s">
        <v>4685</v>
      </c>
      <c r="I9" s="13">
        <v>17878.0</v>
      </c>
      <c r="J9" t="str">
        <f t="array" ref="J9">INDEX('TJ List'!B:B,MATCH(I9,'TJ List'!N:N,0),0)</f>
        <v>#N/A</v>
      </c>
      <c r="K9" s="6"/>
      <c r="L9" s="13" t="s">
        <v>374</v>
      </c>
      <c r="M9" s="11" t="s">
        <v>72</v>
      </c>
      <c r="N9" s="86" t="s">
        <v>4698</v>
      </c>
      <c r="O9" s="86">
        <v>26214.0</v>
      </c>
      <c r="P9" s="10">
        <f t="array" ref="P9">INDEX('TJ List'!B:B,MATCH(O9,'TJ List'!N:N,0),0)</f>
        <v>45392</v>
      </c>
      <c r="Q9">
        <f t="array" ref="Q9">IFERROR(INDEX(I:I,MATCH(O9,I:I,0),0),0)
</f>
        <v>0</v>
      </c>
      <c r="S9" s="13" t="s">
        <v>4705</v>
      </c>
      <c r="T9" s="11" t="s">
        <v>103</v>
      </c>
      <c r="U9" s="13">
        <v>17338.0</v>
      </c>
      <c r="W9" s="13" t="s">
        <v>2749</v>
      </c>
      <c r="X9" s="13" t="s">
        <v>4685</v>
      </c>
      <c r="Y9" s="13">
        <v>12784.0</v>
      </c>
      <c r="Z9" s="87">
        <v>42101.0</v>
      </c>
    </row>
    <row r="10">
      <c r="A10" s="11" t="s">
        <v>116</v>
      </c>
      <c r="B10" s="30">
        <f t="shared" si="1"/>
        <v>13</v>
      </c>
      <c r="C10" t="str">
        <f>IFERROR(__xludf.DUMMYFUNCTION("IF(B10&gt;0,JOIN("", "",TRANSPOSE(INDIRECT(ADDRESS(MATCH(A10,H:H,0),7)&amp;"":""&amp;ADDRESS(MATCH(A10,H:H,0)+B10-1,7)))),"""")"),"Charlie Morton, Max Fried, A.J. Minter, Aaron Bummer, Spencer Strider, Chris Sale, John Brebbia, Spencer Schwellenbach, Daysbel Hernández, Luke Jackson, Tyler Matzek, Ray Kerr, Reynaldo López")</f>
        <v>Charlie Morton, Max Fried, A.J. Minter, Aaron Bummer, Spencer Strider, Chris Sale, John Brebbia, Spencer Schwellenbach, Daysbel Hernández, Luke Jackson, Tyler Matzek, Ray Kerr, Reynaldo López</v>
      </c>
      <c r="D10" s="30">
        <f t="shared" si="2"/>
        <v>2</v>
      </c>
      <c r="E10" t="str">
        <f>IFERROR(__xludf.DUMMYFUNCTION("IF(D10&gt;0,JOIN("", "",TRANSPOSE(INDIRECT(ADDRESS(MATCH(A10,M:M,0),12)&amp;"":""&amp;ADDRESS(MATCH(A10,M:M,0)+D10-1,12)))),"""")"),"Huascar Ynoa, Angel Perdomo")</f>
        <v>Huascar Ynoa, Angel Perdomo</v>
      </c>
      <c r="G10" s="13" t="s">
        <v>4706</v>
      </c>
      <c r="H10" s="11" t="s">
        <v>4685</v>
      </c>
      <c r="I10" s="13">
        <v>14542.0</v>
      </c>
      <c r="J10" t="str">
        <f t="array" ref="J10">INDEX('TJ List'!B:B,MATCH(I10,'TJ List'!N:N,0),0)</f>
        <v>#N/A</v>
      </c>
      <c r="K10" s="6"/>
      <c r="L10" s="13" t="s">
        <v>1545</v>
      </c>
      <c r="M10" s="11" t="s">
        <v>143</v>
      </c>
      <c r="N10" s="86" t="s">
        <v>4707</v>
      </c>
      <c r="O10" s="86">
        <v>19541.0</v>
      </c>
      <c r="P10" s="10">
        <f t="array" ref="P10">INDEX('TJ List'!B:B,MATCH(O10,'TJ List'!N:N,0),0)</f>
        <v>43641</v>
      </c>
      <c r="Q10">
        <f t="array" ref="Q10">IFERROR(INDEX(I:I,MATCH(O10,I:I,0),0),0)
</f>
        <v>0</v>
      </c>
      <c r="S10" s="13" t="s">
        <v>2317</v>
      </c>
      <c r="T10" s="11" t="s">
        <v>150</v>
      </c>
      <c r="U10" s="13">
        <v>20572.0</v>
      </c>
      <c r="W10" s="13" t="s">
        <v>2685</v>
      </c>
      <c r="X10" s="13" t="s">
        <v>4685</v>
      </c>
      <c r="Y10" s="13">
        <v>26304.0</v>
      </c>
      <c r="Z10" s="87">
        <v>42156.0</v>
      </c>
    </row>
    <row r="11">
      <c r="A11" s="11" t="s">
        <v>162</v>
      </c>
      <c r="B11" s="30">
        <f t="shared" si="1"/>
        <v>12</v>
      </c>
      <c r="C11" t="str">
        <f>IFERROR(__xludf.DUMMYFUNCTION("IF(B11&gt;0,JOIN("", "",TRANSPOSE(INDIRECT(ADDRESS(MATCH(A11,H:H,0),7)&amp;"":""&amp;ADDRESS(MATCH(A11,H:H,0)+B11-1,7)))),"""")"),"Casey Kelly, Alexis Díaz, Brandon Leibrandt, Brent Suter, Yosver Zulueta, Hunter Greene, Casey Legumina, Lyon Richardson, Tejay Antone, Justin Wilson, Brandon Williamson, Julian Aguiar")</f>
        <v>Casey Kelly, Alexis Díaz, Brandon Leibrandt, Brent Suter, Yosver Zulueta, Hunter Greene, Casey Legumina, Lyon Richardson, Tejay Antone, Justin Wilson, Brandon Williamson, Julian Aguiar</v>
      </c>
      <c r="D11" s="30">
        <f t="shared" si="2"/>
        <v>0</v>
      </c>
      <c r="E11" t="str">
        <f>IFERROR(__xludf.DUMMYFUNCTION("IF(D11&gt;0,JOIN("", "",TRANSPOSE(INDIRECT(ADDRESS(MATCH(A11,M:M,0),12)&amp;"":""&amp;ADDRESS(MATCH(A11,M:M,0)+D11-1,12)))),"""")"),"")</f>
        <v/>
      </c>
      <c r="G11" s="13" t="s">
        <v>4708</v>
      </c>
      <c r="H11" s="11" t="s">
        <v>4685</v>
      </c>
      <c r="I11" s="13">
        <v>16990.0</v>
      </c>
      <c r="J11" t="str">
        <f t="array" ref="J11">INDEX('TJ List'!B:B,MATCH(I11,'TJ List'!N:N,0),0)</f>
        <v>#N/A</v>
      </c>
      <c r="K11" s="6"/>
      <c r="L11" s="13" t="s">
        <v>420</v>
      </c>
      <c r="M11" s="11" t="s">
        <v>143</v>
      </c>
      <c r="N11" s="86" t="s">
        <v>4707</v>
      </c>
      <c r="O11" s="86">
        <v>19205.0</v>
      </c>
      <c r="P11" s="10">
        <f t="array" ref="P11">INDEX('TJ List'!B:B,MATCH(O11,'TJ List'!N:N,0),0)</f>
        <v>45352</v>
      </c>
      <c r="Q11">
        <f t="array" ref="Q11">IFERROR(INDEX(I:I,MATCH(O11,I:I,0),0),0)
</f>
        <v>0</v>
      </c>
      <c r="S11" s="13" t="s">
        <v>4709</v>
      </c>
      <c r="T11" s="11" t="s">
        <v>235</v>
      </c>
      <c r="U11" s="13">
        <v>20352.0</v>
      </c>
      <c r="W11" s="13" t="s">
        <v>2323</v>
      </c>
      <c r="X11" s="13" t="s">
        <v>4685</v>
      </c>
      <c r="Y11" s="13">
        <v>15507.0</v>
      </c>
      <c r="Z11" s="87">
        <v>42577.0</v>
      </c>
    </row>
    <row r="12">
      <c r="A12" s="11" t="s">
        <v>346</v>
      </c>
      <c r="B12" s="30">
        <f t="shared" si="1"/>
        <v>12</v>
      </c>
      <c r="C12" t="str">
        <f>IFERROR(__xludf.DUMMYFUNCTION("IF(B12&gt;0,JOIN("", "",TRANSPOSE(INDIRECT(ADDRESS(MATCH(A12,H:H,0),7)&amp;"":""&amp;ADDRESS(MATCH(A12,H:H,0)+B12-1,7)))),"""")"),"Hunter Strickland, Matt Moore, José Cisnero, Ryan Miller, Zach Plesac, Johnny Cueto, Davis Daniel, Aaron Hicks, Ben Joyce, José Soriano, José Quijada, Zac Kristofak")</f>
        <v>Hunter Strickland, Matt Moore, José Cisnero, Ryan Miller, Zach Plesac, Johnny Cueto, Davis Daniel, Aaron Hicks, Ben Joyce, José Soriano, José Quijada, Zac Kristofak</v>
      </c>
      <c r="D12" s="30">
        <f t="shared" si="2"/>
        <v>1</v>
      </c>
      <c r="E12" t="str">
        <f>IFERROR(__xludf.DUMMYFUNCTION("IF(D12&gt;0,JOIN("", "",TRANSPOSE(INDIRECT(ADDRESS(MATCH(A12,M:M,0),12)&amp;"":""&amp;ADDRESS(MATCH(A12,M:M,0)+D12-1,12)))),"""")"),"Robert Stephenson")</f>
        <v>Robert Stephenson</v>
      </c>
      <c r="G12" s="13" t="s">
        <v>4710</v>
      </c>
      <c r="H12" s="11" t="s">
        <v>4685</v>
      </c>
      <c r="I12" s="13">
        <v>19479.0</v>
      </c>
      <c r="J12" t="str">
        <f t="array" ref="J12">INDEX('TJ List'!B:B,MATCH(I12,'TJ List'!N:N,0),0)</f>
        <v>#N/A</v>
      </c>
      <c r="K12" s="6"/>
      <c r="L12" s="13" t="s">
        <v>4711</v>
      </c>
      <c r="M12" s="11" t="s">
        <v>162</v>
      </c>
      <c r="N12" s="86" t="s">
        <v>4712</v>
      </c>
      <c r="O12" s="13" t="s">
        <v>4713</v>
      </c>
      <c r="P12" s="88" t="str">
        <f t="array" ref="P12">INDEX('TJ List'!B:B,MATCH(O12,'TJ List'!N:N,0),0)</f>
        <v>#N/A</v>
      </c>
      <c r="Q12">
        <f t="array" ref="Q12">IFERROR(INDEX(I:I,MATCH(O12,I:I,0),0),0)
</f>
        <v>0</v>
      </c>
      <c r="S12" s="13" t="s">
        <v>4714</v>
      </c>
      <c r="T12" s="11" t="s">
        <v>83</v>
      </c>
      <c r="U12" s="13">
        <v>5343.0</v>
      </c>
      <c r="W12" s="13" t="s">
        <v>4715</v>
      </c>
      <c r="X12" s="13" t="s">
        <v>4685</v>
      </c>
      <c r="Y12" s="13">
        <v>12095.0</v>
      </c>
      <c r="Z12" s="87">
        <v>42668.0</v>
      </c>
    </row>
    <row r="13">
      <c r="A13" s="11" t="s">
        <v>37</v>
      </c>
      <c r="B13" s="30">
        <f t="shared" si="1"/>
        <v>13</v>
      </c>
      <c r="C13" t="str">
        <f>IFERROR(__xludf.DUMMYFUNCTION("IF(B13&gt;0,JOIN("", "",TRANSPOSE(INDIRECT(ADDRESS(MATCH(A13,H:H,0),7)&amp;"":""&amp;ADDRESS(MATCH(A13,H:H,0)+B13-1,7)))),"""")"),"JT Chargois, Burch Smith, Bryan Hoeing, Kent Emanuel, Jesús Luzardo, Braxton Garrett, A.J. Puk, Yonny Chirinos, Lake Bachar, Vladimir Gutierrez, Max Meyer, Anthony Bender, Calvin Faucher")</f>
        <v>JT Chargois, Burch Smith, Bryan Hoeing, Kent Emanuel, Jesús Luzardo, Braxton Garrett, A.J. Puk, Yonny Chirinos, Lake Bachar, Vladimir Gutierrez, Max Meyer, Anthony Bender, Calvin Faucher</v>
      </c>
      <c r="D13" s="30">
        <f t="shared" si="2"/>
        <v>2</v>
      </c>
      <c r="E13" t="str">
        <f>IFERROR(__xludf.DUMMYFUNCTION("IF(D13&gt;0,JOIN("", "",TRANSPOSE(INDIRECT(ADDRESS(MATCH(A13,M:M,0),12)&amp;"":""&amp;ADDRESS(MATCH(A13,M:M,0)+D13-1,12)))),"""")"),"Sandy Alcantara, Eury Pérez")</f>
        <v>Sandy Alcantara, Eury Pérez</v>
      </c>
      <c r="G13" s="13" t="s">
        <v>4716</v>
      </c>
      <c r="H13" s="11" t="s">
        <v>4685</v>
      </c>
      <c r="I13" s="13">
        <v>22286.0</v>
      </c>
      <c r="J13" t="str">
        <f t="array" ref="J13">INDEX('TJ List'!B:B,MATCH(I13,'TJ List'!N:N,0),0)</f>
        <v>#N/A</v>
      </c>
      <c r="K13" s="6"/>
      <c r="L13" s="13" t="s">
        <v>398</v>
      </c>
      <c r="M13" s="11" t="s">
        <v>44</v>
      </c>
      <c r="N13" s="86" t="s">
        <v>4717</v>
      </c>
      <c r="O13" s="86">
        <v>19932.0</v>
      </c>
      <c r="P13" s="10">
        <f t="array" ref="P13">INDEX('TJ List'!B:B,MATCH(O13,'TJ List'!N:N,0),0)</f>
        <v>45378</v>
      </c>
      <c r="Q13">
        <f t="array" ref="Q13">IFERROR(INDEX(I:I,MATCH(O13,I:I,0),0),0)
</f>
        <v>0</v>
      </c>
      <c r="S13" s="13" t="s">
        <v>4718</v>
      </c>
      <c r="T13" s="11" t="s">
        <v>103</v>
      </c>
      <c r="U13" s="13">
        <v>14813.0</v>
      </c>
      <c r="W13" s="13" t="s">
        <v>2223</v>
      </c>
      <c r="X13" s="13" t="s">
        <v>4685</v>
      </c>
      <c r="Y13" s="13">
        <v>26226.0</v>
      </c>
      <c r="Z13" s="89">
        <v>42736.0</v>
      </c>
    </row>
    <row r="14">
      <c r="A14" s="11" t="s">
        <v>49</v>
      </c>
      <c r="B14" s="30">
        <f t="shared" si="1"/>
        <v>15</v>
      </c>
      <c r="C14" t="str">
        <f>IFERROR(__xludf.DUMMYFUNCTION("IF(B14&gt;0,JOIN("", "",TRANSPOSE(INDIRECT(ADDRESS(MATCH(A14,H:H,0),7)&amp;"":""&amp;ADDRESS(MATCH(A14,H:H,0)+B14-1,7)))),"""")"),"Cole Sulser, Adam Ottavino, Adrian Houser, Luis Severino, Matt Festa, Dedniel Núñez, Ty Adcock, Joey Lucchesi, Sean Reid-Foley, Brooks Raley, Drew Smith, Christian Scott, Sean Manaea, David Peterson, Tylor Megill")</f>
        <v>Cole Sulser, Adam Ottavino, Adrian Houser, Luis Severino, Matt Festa, Dedniel Núñez, Ty Adcock, Joey Lucchesi, Sean Reid-Foley, Brooks Raley, Drew Smith, Christian Scott, Sean Manaea, David Peterson, Tylor Megill</v>
      </c>
      <c r="D14" s="30">
        <f t="shared" si="2"/>
        <v>0</v>
      </c>
      <c r="E14" t="str">
        <f>IFERROR(__xludf.DUMMYFUNCTION("IF(D14&gt;0,JOIN("", "",TRANSPOSE(INDIRECT(ADDRESS(MATCH(A14,M:M,0),12)&amp;"":""&amp;ADDRESS(MATCH(A14,M:M,0)+D14-1,12)))),"""")"),"")</f>
        <v/>
      </c>
      <c r="G14" s="13" t="s">
        <v>4719</v>
      </c>
      <c r="H14" s="11" t="s">
        <v>4685</v>
      </c>
      <c r="I14" s="13">
        <v>13619.0</v>
      </c>
      <c r="J14" t="str">
        <f t="array" ref="J14">INDEX('TJ List'!B:B,MATCH(I14,'TJ List'!N:N,0),0)</f>
        <v>#N/A</v>
      </c>
      <c r="K14" s="6"/>
      <c r="L14" s="13" t="s">
        <v>4720</v>
      </c>
      <c r="M14" s="11" t="s">
        <v>44</v>
      </c>
      <c r="N14" s="86" t="s">
        <v>4717</v>
      </c>
      <c r="O14" s="86">
        <v>20151.0</v>
      </c>
      <c r="P14" s="88" t="str">
        <f t="array" ref="P14">INDEX('TJ List'!B:B,MATCH(O14,'TJ List'!N:N,0),0)</f>
        <v>#N/A</v>
      </c>
      <c r="Q14">
        <f t="array" ref="Q14">IFERROR(INDEX(I:I,MATCH(O14,I:I,0),0),0)
</f>
        <v>0</v>
      </c>
      <c r="S14" s="13" t="s">
        <v>4721</v>
      </c>
      <c r="T14" s="11" t="s">
        <v>4722</v>
      </c>
      <c r="U14" s="13">
        <v>26208.0</v>
      </c>
      <c r="W14" s="13" t="s">
        <v>1911</v>
      </c>
      <c r="X14" s="13" t="s">
        <v>4685</v>
      </c>
      <c r="Y14" s="13">
        <v>16466.0</v>
      </c>
      <c r="Z14" s="87">
        <v>43158.0</v>
      </c>
    </row>
    <row r="15">
      <c r="A15" s="11" t="s">
        <v>138</v>
      </c>
      <c r="B15" s="30">
        <f t="shared" si="1"/>
        <v>12</v>
      </c>
      <c r="C15" t="str">
        <f>IFERROR(__xludf.DUMMYFUNCTION("IF(B15&gt;0,JOIN("", "",TRANSPOSE(INDIRECT(ADDRESS(MATCH(A15,H:H,0),7)&amp;"":""&amp;ADDRESS(MATCH(A15,H:H,0)+B15-1,7)))),"""")"),"Albert Suárez, Danny Coulombe, Cole Irvin, Matt Krook, Jacob Webb, Burch Smith, Tyler Wells, Seranthony Domínguez, Matt Bowman, John Means, Kyle Bradish, Corbin Burnes")</f>
        <v>Albert Suárez, Danny Coulombe, Cole Irvin, Matt Krook, Jacob Webb, Burch Smith, Tyler Wells, Seranthony Domínguez, Matt Bowman, John Means, Kyle Bradish, Corbin Burnes</v>
      </c>
      <c r="D15" s="30">
        <f t="shared" si="2"/>
        <v>1</v>
      </c>
      <c r="E15" t="str">
        <f>IFERROR(__xludf.DUMMYFUNCTION("IF(D15&gt;0,JOIN("", "",TRANSPOSE(INDIRECT(ADDRESS(MATCH(A15,M:M,0),12)&amp;"":""&amp;ADDRESS(MATCH(A15,M:M,0)+D15-1,12)))),"""")"),"Félix Bautista")</f>
        <v>Félix Bautista</v>
      </c>
      <c r="G15" s="13" t="s">
        <v>4723</v>
      </c>
      <c r="H15" s="11" t="s">
        <v>4685</v>
      </c>
      <c r="I15" s="13">
        <v>25376.0</v>
      </c>
      <c r="J15" t="str">
        <f t="array" ref="J15">INDEX('TJ List'!B:B,MATCH(I15,'TJ List'!N:N,0),0)</f>
        <v>#N/A</v>
      </c>
      <c r="K15" s="6"/>
      <c r="L15" s="13" t="s">
        <v>4724</v>
      </c>
      <c r="M15" s="11" t="s">
        <v>192</v>
      </c>
      <c r="N15" s="86" t="s">
        <v>652</v>
      </c>
      <c r="O15" s="86">
        <v>7115.0</v>
      </c>
      <c r="P15" s="88" t="str">
        <f t="array" ref="P15">INDEX('TJ List'!B:B,MATCH(O15,'TJ List'!N:N,0),0)</f>
        <v>#N/A</v>
      </c>
      <c r="Q15">
        <f t="array" ref="Q15">IFERROR(INDEX(I:I,MATCH(O15,I:I,0),0),0)
</f>
        <v>0</v>
      </c>
      <c r="S15" s="13" t="s">
        <v>4725</v>
      </c>
      <c r="T15" s="11" t="s">
        <v>4685</v>
      </c>
      <c r="U15" s="13">
        <v>16451.0</v>
      </c>
      <c r="W15" s="13" t="s">
        <v>1866</v>
      </c>
      <c r="X15" s="13" t="s">
        <v>4685</v>
      </c>
      <c r="Y15" s="13">
        <v>19343.0</v>
      </c>
      <c r="Z15" s="87">
        <v>43200.0</v>
      </c>
    </row>
    <row r="16">
      <c r="A16" s="11" t="s">
        <v>167</v>
      </c>
      <c r="B16" s="30">
        <f t="shared" si="1"/>
        <v>12</v>
      </c>
      <c r="C16" t="str">
        <f>IFERROR(__xludf.DUMMYFUNCTION("IF(B16&gt;0,JOIN("", "",TRANSPOSE(INDIRECT(ADDRESS(MATCH(A16,H:H,0),7)&amp;"":""&amp;ADDRESS(MATCH(A16,H:H,0)+B16-1,7)))),"""")"),"Keegan Thompson, Drew Smyly, Justin Steele, Julian Merryweather, Mark Leiter Jr., Ben Brown, Jameson Taillon, Trey Wingenter, Richard Lovelady, Ethan Roberts, Adbert Alzolay, Shota Imanaga")</f>
        <v>Keegan Thompson, Drew Smyly, Justin Steele, Julian Merryweather, Mark Leiter Jr., Ben Brown, Jameson Taillon, Trey Wingenter, Richard Lovelady, Ethan Roberts, Adbert Alzolay, Shota Imanaga</v>
      </c>
      <c r="D16" s="30">
        <f t="shared" si="2"/>
        <v>0</v>
      </c>
      <c r="E16" t="str">
        <f>IFERROR(__xludf.DUMMYFUNCTION("IF(D16&gt;0,JOIN("", "",TRANSPOSE(INDIRECT(ADDRESS(MATCH(A16,M:M,0),12)&amp;"":""&amp;ADDRESS(MATCH(A16,M:M,0)+D16-1,12)))),"""")"),"")</f>
        <v/>
      </c>
      <c r="G16" s="13" t="s">
        <v>4596</v>
      </c>
      <c r="H16" s="11" t="s">
        <v>4685</v>
      </c>
      <c r="I16" s="13">
        <v>14843.0</v>
      </c>
      <c r="J16" t="str">
        <f t="array" ref="J16">INDEX('TJ List'!B:B,MATCH(I16,'TJ List'!N:N,0),0)</f>
        <v>#N/A</v>
      </c>
      <c r="K16" s="6"/>
      <c r="L16" s="13" t="s">
        <v>369</v>
      </c>
      <c r="M16" s="11" t="s">
        <v>111</v>
      </c>
      <c r="N16" s="86" t="s">
        <v>4726</v>
      </c>
      <c r="O16" s="86">
        <v>26048.0</v>
      </c>
      <c r="P16" s="10">
        <f t="array" ref="P16">INDEX('TJ List'!B:B,MATCH(O16,'TJ List'!N:N,0),0)</f>
        <v>45404</v>
      </c>
      <c r="Q16">
        <f t="array" ref="Q16">IFERROR(INDEX(I:I,MATCH(O16,I:I,0),0),0)
</f>
        <v>0</v>
      </c>
      <c r="S16" s="13" t="s">
        <v>4727</v>
      </c>
      <c r="T16" s="11" t="s">
        <v>4728</v>
      </c>
      <c r="U16" s="13">
        <v>19262.0</v>
      </c>
      <c r="W16" s="13" t="s">
        <v>1738</v>
      </c>
      <c r="X16" s="13" t="s">
        <v>4685</v>
      </c>
      <c r="Y16" s="13">
        <v>17282.0</v>
      </c>
      <c r="Z16" s="87">
        <v>43361.0</v>
      </c>
    </row>
    <row r="17">
      <c r="A17" s="11" t="s">
        <v>44</v>
      </c>
      <c r="B17" s="30">
        <f t="shared" si="1"/>
        <v>12</v>
      </c>
      <c r="C17" t="str">
        <f>IFERROR(__xludf.DUMMYFUNCTION("IF(B17&gt;0,JOIN("", "",TRANSPOSE(INDIRECT(ADDRESS(MATCH(A17,H:H,0),7)&amp;"":""&amp;ADDRESS(MATCH(A17,H:H,0)+B17-1,7)))),"""")"),"Carlos Carrasco, Scott Barlow, Alex Cobb, Peter Strzelecki, Sam Hentges, Pedro Avila, Tyler Beede, Erik Sabrowski, Anthony Gose, Matthew Boyd, Shane Bieber, Tanner Bibee")</f>
        <v>Carlos Carrasco, Scott Barlow, Alex Cobb, Peter Strzelecki, Sam Hentges, Pedro Avila, Tyler Beede, Erik Sabrowski, Anthony Gose, Matthew Boyd, Shane Bieber, Tanner Bibee</v>
      </c>
      <c r="D17" s="30">
        <f t="shared" si="2"/>
        <v>1</v>
      </c>
      <c r="E17" t="str">
        <f>IFERROR(__xludf.DUMMYFUNCTION("IF(D17&gt;0,JOIN("", "",TRANSPOSE(INDIRECT(ADDRESS(MATCH(A17,M:M,0),12)&amp;"":""&amp;ADDRESS(MATCH(A17,M:M,0)+D17-1,12)))),"""")"),"Trevor Stephan")</f>
        <v>Trevor Stephan</v>
      </c>
      <c r="G17" s="13" t="s">
        <v>4729</v>
      </c>
      <c r="H17" s="11" t="s">
        <v>4685</v>
      </c>
      <c r="I17" s="13">
        <v>16300.0</v>
      </c>
      <c r="J17" t="str">
        <f t="array" ref="J17">INDEX('TJ List'!B:B,MATCH(I17,'TJ List'!N:N,0),0)</f>
        <v>#N/A</v>
      </c>
      <c r="K17" s="6"/>
      <c r="L17" s="13" t="s">
        <v>4730</v>
      </c>
      <c r="M17" s="11" t="s">
        <v>111</v>
      </c>
      <c r="N17" s="86" t="s">
        <v>4726</v>
      </c>
      <c r="O17" s="86">
        <v>26024.0</v>
      </c>
      <c r="P17" s="88" t="str">
        <f t="array" ref="P17">INDEX('TJ List'!B:B,MATCH(O17,'TJ List'!N:N,0),0)</f>
        <v>#N/A</v>
      </c>
      <c r="Q17">
        <f t="array" ref="Q17">IFERROR(INDEX(I:I,MATCH(O17,I:I,0),0),0)
</f>
        <v>0</v>
      </c>
      <c r="S17" s="13" t="s">
        <v>4731</v>
      </c>
      <c r="T17" s="11" t="s">
        <v>44</v>
      </c>
      <c r="U17" s="13">
        <v>12976.0</v>
      </c>
      <c r="W17" s="13" t="s">
        <v>1646</v>
      </c>
      <c r="X17" s="13" t="s">
        <v>4685</v>
      </c>
      <c r="Y17" s="13">
        <v>15551.0</v>
      </c>
      <c r="Z17" s="87">
        <v>43536.0</v>
      </c>
    </row>
    <row r="18">
      <c r="A18" s="11" t="s">
        <v>150</v>
      </c>
      <c r="B18" s="30">
        <f t="shared" si="1"/>
        <v>11</v>
      </c>
      <c r="C18" t="str">
        <f>IFERROR(__xludf.DUMMYFUNCTION("IF(B18&gt;0,JOIN("", "",TRANSPOSE(INDIRECT(ADDRESS(MATCH(A18,H:H,0),7)&amp;"":""&amp;ADDRESS(MATCH(A18,H:H,0)+B18-1,7)))),"""")"),"Matt Strahm, Jeff Hoffman, Zack Wheeler, Taijuan Walker, Michael Mercado, Seranthony Domínguez, Max Lazar, Spencer Turnbull, Tyler Phillips, Seth Johnson, Luis F. Ortiz")</f>
        <v>Matt Strahm, Jeff Hoffman, Zack Wheeler, Taijuan Walker, Michael Mercado, Seranthony Domínguez, Max Lazar, Spencer Turnbull, Tyler Phillips, Seth Johnson, Luis F. Ortiz</v>
      </c>
      <c r="D18" s="30">
        <f t="shared" si="2"/>
        <v>0</v>
      </c>
      <c r="E18" t="str">
        <f>IFERROR(__xludf.DUMMYFUNCTION("IF(D18&gt;0,JOIN("", "",TRANSPOSE(INDIRECT(ADDRESS(MATCH(A18,M:M,0),12)&amp;"":""&amp;ADDRESS(MATCH(A18,M:M,0)+D18-1,12)))),"""")"),"")</f>
        <v/>
      </c>
      <c r="G18" s="13" t="s">
        <v>4732</v>
      </c>
      <c r="H18" s="11" t="s">
        <v>4685</v>
      </c>
      <c r="I18" s="13">
        <v>12857.0</v>
      </c>
      <c r="J18" t="str">
        <f t="array" ref="J18">INDEX('TJ List'!B:B,MATCH(I18,'TJ List'!N:N,0),0)</f>
        <v>#N/A</v>
      </c>
      <c r="K18" s="6"/>
      <c r="L18" s="13" t="s">
        <v>1764</v>
      </c>
      <c r="M18" s="11" t="s">
        <v>52</v>
      </c>
      <c r="N18" s="86" t="s">
        <v>1746</v>
      </c>
      <c r="O18" s="86">
        <v>15514.0</v>
      </c>
      <c r="P18" s="10">
        <f t="array" ref="P18">INDEX('TJ List'!B:B,MATCH(O18,'TJ List'!N:N,0),0)</f>
        <v>43311</v>
      </c>
      <c r="Q18">
        <f t="array" ref="Q18">IFERROR(INDEX(I:I,MATCH(O18,I:I,0),0),0)
</f>
        <v>0</v>
      </c>
      <c r="S18" s="13" t="s">
        <v>4733</v>
      </c>
      <c r="T18" s="11" t="s">
        <v>235</v>
      </c>
      <c r="U18" s="13">
        <v>13897.0</v>
      </c>
      <c r="W18" s="13" t="s">
        <v>1518</v>
      </c>
      <c r="X18" s="13" t="s">
        <v>4685</v>
      </c>
      <c r="Y18" s="13">
        <v>24737.0</v>
      </c>
      <c r="Z18" s="87">
        <v>43678.0</v>
      </c>
    </row>
    <row r="19">
      <c r="A19" s="11" t="s">
        <v>4734</v>
      </c>
      <c r="B19" s="30">
        <f t="shared" si="1"/>
        <v>11</v>
      </c>
      <c r="C19" t="str">
        <f>IFERROR(__xludf.DUMMYFUNCTION("IF(B19&gt;0,JOIN("", "",TRANSPOSE(INDIRECT(ADDRESS(MATCH(A19,H:H,0),7)&amp;"":""&amp;ADDRESS(MATCH(A19,H:H,0)+B19-1,7)))),"""")"),"Martín Pérez, Dylan Cease, Yu Darvish, Bryan Hoeing, Jhony Brito, Robert Suarez, Jeremiah Estrada, Tom Cosgrove, Pedro Avila, Adrian Morejon, Joe Musgrove")</f>
        <v>Martín Pérez, Dylan Cease, Yu Darvish, Bryan Hoeing, Jhony Brito, Robert Suarez, Jeremiah Estrada, Tom Cosgrove, Pedro Avila, Adrian Morejon, Joe Musgrove</v>
      </c>
      <c r="D19" s="30">
        <f t="shared" si="2"/>
        <v>1</v>
      </c>
      <c r="E19" t="str">
        <f>IFERROR(__xludf.DUMMYFUNCTION("IF(D19&gt;0,JOIN("", "",TRANSPOSE(INDIRECT(ADDRESS(MATCH(A19,M:M,0),12)&amp;"":""&amp;ADDRESS(MATCH(A19,M:M,0)+D19-1,12)))),"""")"),"Luis Patiño")</f>
        <v>Luis Patiño</v>
      </c>
      <c r="G19" s="13" t="s">
        <v>4735</v>
      </c>
      <c r="H19" s="11" t="s">
        <v>4685</v>
      </c>
      <c r="I19" s="13">
        <v>6107.0</v>
      </c>
      <c r="J19" t="str">
        <f t="array" ref="J19">INDEX('TJ List'!B:B,MATCH(I19,'TJ List'!N:N,0),0)</f>
        <v>#N/A</v>
      </c>
      <c r="K19" s="6"/>
      <c r="L19" s="13" t="s">
        <v>1726</v>
      </c>
      <c r="M19" s="11" t="s">
        <v>52</v>
      </c>
      <c r="N19" s="86" t="s">
        <v>1746</v>
      </c>
      <c r="O19" s="90">
        <v>14120.0</v>
      </c>
      <c r="P19" s="10">
        <f t="array" ref="P19">INDEX('TJ List'!B:B,MATCH(O19,'TJ List'!N:N,0),0)</f>
        <v>43410</v>
      </c>
      <c r="Q19">
        <f t="array" ref="Q19">IFERROR(INDEX(I:I,MATCH(O19,I:I,0),0),0)
</f>
        <v>0</v>
      </c>
      <c r="S19" s="13" t="s">
        <v>4736</v>
      </c>
      <c r="T19" s="11" t="s">
        <v>37</v>
      </c>
      <c r="U19" s="13">
        <v>25111.0</v>
      </c>
      <c r="W19" s="13" t="s">
        <v>1507</v>
      </c>
      <c r="X19" s="13" t="s">
        <v>4685</v>
      </c>
      <c r="Y19" s="13">
        <v>18864.0</v>
      </c>
      <c r="Z19" s="87">
        <v>43709.0</v>
      </c>
    </row>
    <row r="20">
      <c r="A20" s="11" t="s">
        <v>235</v>
      </c>
      <c r="B20" s="30">
        <f t="shared" si="1"/>
        <v>11</v>
      </c>
      <c r="C20" t="str">
        <f>IFERROR(__xludf.DUMMYFUNCTION("IF(B20&gt;0,JOIN("", "",TRANSPOSE(INDIRECT(ADDRESS(MATCH(A20,H:H,0),7)&amp;"":""&amp;ADDRESS(MATCH(A20,H:H,0)+B20-1,7)))),"""")"),"Tommy Nance, Mitch White, Jordan Romano, Chris Bassitt, Yimi García, Nick Robertson, Zach Pop, Ryan Burr, Tim Mayza, Chad Green, Alek Manoah")</f>
        <v>Tommy Nance, Mitch White, Jordan Romano, Chris Bassitt, Yimi García, Nick Robertson, Zach Pop, Ryan Burr, Tim Mayza, Chad Green, Alek Manoah</v>
      </c>
      <c r="D20" s="30">
        <f t="shared" si="2"/>
        <v>0</v>
      </c>
      <c r="E20" t="str">
        <f>IFERROR(__xludf.DUMMYFUNCTION("IF(D20&gt;0,JOIN("", "",TRANSPOSE(INDIRECT(ADDRESS(MATCH(A20,M:M,0),12)&amp;"":""&amp;ADDRESS(MATCH(A20,M:M,0)+D20-1,12)))),"""")"),"")</f>
        <v/>
      </c>
      <c r="G20" s="13" t="s">
        <v>4737</v>
      </c>
      <c r="H20" s="11" t="s">
        <v>4685</v>
      </c>
      <c r="I20" s="13">
        <v>10315.0</v>
      </c>
      <c r="J20" t="str">
        <f t="array" ref="J20">INDEX('TJ List'!B:B,MATCH(I20,'TJ List'!N:N,0),0)</f>
        <v>#N/A</v>
      </c>
      <c r="K20" s="6"/>
      <c r="L20" s="13" t="s">
        <v>51</v>
      </c>
      <c r="M20" s="11" t="s">
        <v>52</v>
      </c>
      <c r="N20" s="86" t="s">
        <v>1746</v>
      </c>
      <c r="O20" s="86">
        <v>23735.0</v>
      </c>
      <c r="P20" s="10">
        <f t="array" ref="P20">INDEX('TJ List'!B:B,MATCH(O20,'TJ List'!N:N,0),0)</f>
        <v>45931</v>
      </c>
      <c r="Q20">
        <f t="array" ref="Q20">IFERROR(INDEX(I:I,MATCH(O20,I:I,0),0),0)
</f>
        <v>0</v>
      </c>
      <c r="S20" s="13" t="s">
        <v>4738</v>
      </c>
      <c r="T20" s="11" t="s">
        <v>126</v>
      </c>
      <c r="U20" s="13">
        <v>10472.0</v>
      </c>
      <c r="W20" s="13" t="s">
        <v>1498</v>
      </c>
      <c r="X20" s="13" t="s">
        <v>4685</v>
      </c>
      <c r="Y20" s="13">
        <v>15042.0</v>
      </c>
      <c r="Z20" s="87">
        <v>43726.0</v>
      </c>
    </row>
    <row r="21">
      <c r="A21" s="11" t="s">
        <v>52</v>
      </c>
      <c r="B21" s="30">
        <f t="shared" si="1"/>
        <v>11</v>
      </c>
      <c r="C21" t="str">
        <f>IFERROR(__xludf.DUMMYFUNCTION("IF(B21&gt;0,JOIN("", "",TRANSPOSE(INDIRECT(ADDRESS(MATCH(A21,H:H,0),7)&amp;"":""&amp;ADDRESS(MATCH(A21,H:H,0)+B21-1,7)))),"""")"),"J.P. France, Nick Hernandez, Rafael Montero, Alex Speas, Caleb Ferguson, Justin Verlander, Blair Henley, Forrest Whitley, Bryan King, Cristian Javier, Framber Valdez")</f>
        <v>J.P. France, Nick Hernandez, Rafael Montero, Alex Speas, Caleb Ferguson, Justin Verlander, Blair Henley, Forrest Whitley, Bryan King, Cristian Javier, Framber Valdez</v>
      </c>
      <c r="D21" s="30">
        <f t="shared" si="2"/>
        <v>5</v>
      </c>
      <c r="E21" t="str">
        <f>IFERROR(__xludf.DUMMYFUNCTION("IF(D21&gt;0,JOIN("", "",TRANSPOSE(INDIRECT(ADDRESS(MATCH(A21,M:M,0),12)&amp;"":""&amp;ADDRESS(MATCH(A21,M:M,0)+D21-1,12)))),"""")"),"Kendall Graveman, Lance McCullers Jr., Luis Garcia, Penn Murfee, José Urquidy")</f>
        <v>Kendall Graveman, Lance McCullers Jr., Luis Garcia, Penn Murfee, José Urquidy</v>
      </c>
      <c r="G21" s="13" t="s">
        <v>4739</v>
      </c>
      <c r="H21" s="11" t="s">
        <v>4685</v>
      </c>
      <c r="I21" s="13">
        <v>13394.0</v>
      </c>
      <c r="J21" t="str">
        <f t="array" ref="J21">INDEX('TJ List'!B:B,MATCH(I21,'TJ List'!N:N,0),0)</f>
        <v>#N/A</v>
      </c>
      <c r="K21" s="6"/>
      <c r="L21" s="13" t="s">
        <v>562</v>
      </c>
      <c r="M21" s="11" t="s">
        <v>52</v>
      </c>
      <c r="N21" s="86" t="s">
        <v>1746</v>
      </c>
      <c r="O21" s="90">
        <v>25174.0</v>
      </c>
      <c r="P21" s="10">
        <f t="array" ref="P21">INDEX('TJ List'!B:B,MATCH(O21,'TJ List'!N:N,0),0)</f>
        <v>45108</v>
      </c>
      <c r="Q21">
        <f t="array" ref="Q21">IFERROR(INDEX(I:I,MATCH(O21,I:I,0),0),0)
</f>
        <v>0</v>
      </c>
      <c r="S21" s="13" t="s">
        <v>1484</v>
      </c>
      <c r="T21" s="11" t="s">
        <v>346</v>
      </c>
      <c r="U21" s="13">
        <v>5297.0</v>
      </c>
      <c r="W21" s="13" t="s">
        <v>1423</v>
      </c>
      <c r="X21" s="13" t="s">
        <v>4685</v>
      </c>
      <c r="Y21" s="13">
        <v>19330.0</v>
      </c>
      <c r="Z21" s="87">
        <v>43895.0</v>
      </c>
    </row>
    <row r="22">
      <c r="A22" s="11" t="s">
        <v>101</v>
      </c>
      <c r="B22" s="30">
        <f t="shared" si="1"/>
        <v>11</v>
      </c>
      <c r="C22" t="str">
        <f>IFERROR(__xludf.DUMMYFUNCTION("IF(B22&gt;0,JOIN("", "",TRANSPOSE(INDIRECT(ADDRESS(MATCH(A22,H:H,0),7)&amp;"":""&amp;ADDRESS(MATCH(A22,H:H,0)+B22-1,7)))),"""")"),"Scott McGough, Ryan Thompson, Joe Mantiply, A.J. Puk, Jordan Montgomery, Matt Bowman, Andrew Saalfrank, Justin Martinez, Humberto Castellanos, Brandon Pfaadt, Zac Gallen")</f>
        <v>Scott McGough, Ryan Thompson, Joe Mantiply, A.J. Puk, Jordan Montgomery, Matt Bowman, Andrew Saalfrank, Justin Martinez, Humberto Castellanos, Brandon Pfaadt, Zac Gallen</v>
      </c>
      <c r="D22" s="30">
        <f t="shared" si="2"/>
        <v>1</v>
      </c>
      <c r="E22" t="str">
        <f>IFERROR(__xludf.DUMMYFUNCTION("IF(D22&gt;0,JOIN("", "",TRANSPOSE(INDIRECT(ADDRESS(MATCH(A22,M:M,0),12)&amp;"":""&amp;ADDRESS(MATCH(A22,M:M,0)+D22-1,12)))),"""")"),"Drey Jameson")</f>
        <v>Drey Jameson</v>
      </c>
      <c r="G22" s="13" t="s">
        <v>4740</v>
      </c>
      <c r="H22" s="11" t="s">
        <v>4685</v>
      </c>
      <c r="I22" s="13">
        <v>19976.0</v>
      </c>
      <c r="J22" t="str">
        <f t="array" ref="J22">INDEX('TJ List'!B:B,MATCH(I22,'TJ List'!N:N,0),0)</f>
        <v>#N/A</v>
      </c>
      <c r="K22" s="6"/>
      <c r="L22" s="13" t="s">
        <v>4741</v>
      </c>
      <c r="M22" s="11" t="s">
        <v>52</v>
      </c>
      <c r="N22" s="86" t="s">
        <v>1746</v>
      </c>
      <c r="O22" s="86">
        <v>18413.0</v>
      </c>
      <c r="P22" s="10">
        <f t="array" ref="P22">INDEX('TJ List'!B:B,MATCH(O22,'TJ List'!N:N,0),0)</f>
        <v>45448</v>
      </c>
      <c r="Q22">
        <f t="array" ref="Q22">IFERROR(INDEX(I:I,MATCH(O22,I:I,0),0),0)
</f>
        <v>0</v>
      </c>
      <c r="S22" s="13" t="s">
        <v>4742</v>
      </c>
      <c r="T22" s="11" t="s">
        <v>52</v>
      </c>
      <c r="U22" s="13">
        <v>25813.0</v>
      </c>
      <c r="W22" s="13" t="s">
        <v>1417</v>
      </c>
      <c r="X22" s="13" t="s">
        <v>4685</v>
      </c>
      <c r="Y22" s="13">
        <v>19962.0</v>
      </c>
      <c r="Z22" s="87">
        <v>43907.0</v>
      </c>
    </row>
    <row r="23">
      <c r="A23" s="11" t="s">
        <v>72</v>
      </c>
      <c r="B23" s="30">
        <f t="shared" si="1"/>
        <v>10</v>
      </c>
      <c r="C23" t="str">
        <f>IFERROR(__xludf.DUMMYFUNCTION("IF(B23&gt;0,JOIN("", "",TRANSPOSE(INDIRECT(ADDRESS(MATCH(A23,H:H,0),7)&amp;"":""&amp;ADDRESS(MATCH(A23,H:H,0)+B23-1,7)))),"""")"),"Cam Booser, Rich Hill, Bailey Horn, Zach Penrod, Garrett Whitlock, Kutter Crawford, Zack Kelly, Trey Wingenter, James Paxton, Tanner Houck")</f>
        <v>Cam Booser, Rich Hill, Bailey Horn, Zach Penrod, Garrett Whitlock, Kutter Crawford, Zack Kelly, Trey Wingenter, James Paxton, Tanner Houck</v>
      </c>
      <c r="D23" s="30">
        <f t="shared" si="2"/>
        <v>4</v>
      </c>
      <c r="E23" t="str">
        <f>IFERROR(__xludf.DUMMYFUNCTION("IF(D23&gt;0,JOIN("", "",TRANSPOSE(INDIRECT(ADDRESS(MATCH(A23,M:M,0),12)&amp;"":""&amp;ADDRESS(MATCH(A23,M:M,0)+D23-1,12)))),"""")"),"Lucas Giolito, Bryan Mata, Liam Hendriks, Chris Murphy")</f>
        <v>Lucas Giolito, Bryan Mata, Liam Hendriks, Chris Murphy</v>
      </c>
      <c r="G23" s="13" t="s">
        <v>4743</v>
      </c>
      <c r="H23" s="11" t="s">
        <v>4685</v>
      </c>
      <c r="I23" s="13">
        <v>16814.0</v>
      </c>
      <c r="J23" t="str">
        <f t="array" ref="J23">INDEX('TJ List'!B:B,MATCH(I23,'TJ List'!N:N,0),0)</f>
        <v>#N/A</v>
      </c>
      <c r="K23" s="6"/>
      <c r="L23" s="13" t="s">
        <v>4744</v>
      </c>
      <c r="M23" s="11" t="s">
        <v>52</v>
      </c>
      <c r="N23" s="86" t="s">
        <v>1746</v>
      </c>
      <c r="O23" s="86">
        <v>21345.0</v>
      </c>
      <c r="P23" s="88" t="str">
        <f t="array" ref="P23">INDEX('TJ List'!B:B,MATCH(O23,'TJ List'!N:N,0),0)</f>
        <v>#N/A</v>
      </c>
      <c r="Q23">
        <f t="array" ref="Q23">IFERROR(INDEX(I:I,MATCH(O23,I:I,0),0),0)
</f>
        <v>0</v>
      </c>
      <c r="S23" s="13" t="s">
        <v>4745</v>
      </c>
      <c r="T23" s="11" t="s">
        <v>235</v>
      </c>
      <c r="U23" s="13">
        <v>16512.0</v>
      </c>
      <c r="W23" s="13" t="s">
        <v>1401</v>
      </c>
      <c r="X23" s="13" t="s">
        <v>4685</v>
      </c>
      <c r="Y23" s="13">
        <v>12777.0</v>
      </c>
      <c r="Z23" s="87">
        <v>43990.0</v>
      </c>
    </row>
    <row r="24">
      <c r="A24" s="11" t="s">
        <v>55</v>
      </c>
      <c r="B24" s="30">
        <f t="shared" si="1"/>
        <v>9</v>
      </c>
      <c r="C24" t="str">
        <f>IFERROR(__xludf.DUMMYFUNCTION("IF(B24&gt;0,JOIN("", "",TRANSPOSE(INDIRECT(ADDRESS(MATCH(A24,H:H,0),7)&amp;"":""&amp;ADDRESS(MATCH(A24,H:H,0)+B24-1,7)))),"""")"),"Trevor Megill, Mitch White, Colin Rea, Devin Williams, Kevin Herget, Bradley Blalock, Joe Ross, Wade Miley, Robert Gasser")</f>
        <v>Trevor Megill, Mitch White, Colin Rea, Devin Williams, Kevin Herget, Bradley Blalock, Joe Ross, Wade Miley, Robert Gasser</v>
      </c>
      <c r="D24" s="30">
        <f t="shared" si="2"/>
        <v>0</v>
      </c>
      <c r="E24" t="str">
        <f>IFERROR(__xludf.DUMMYFUNCTION("IF(D24&gt;0,JOIN("", "",TRANSPOSE(INDIRECT(ADDRESS(MATCH(A24,M:M,0),12)&amp;"":""&amp;ADDRESS(MATCH(A24,M:M,0)+D24-1,12)))),"""")"),"")</f>
        <v/>
      </c>
      <c r="G24" s="13" t="s">
        <v>4746</v>
      </c>
      <c r="H24" s="11" t="s">
        <v>4685</v>
      </c>
      <c r="I24" s="13">
        <v>19677.0</v>
      </c>
      <c r="J24" t="str">
        <f t="array" ref="J24">INDEX('TJ List'!B:B,MATCH(I24,'TJ List'!N:N,0),0)</f>
        <v>#N/A</v>
      </c>
      <c r="K24" s="6"/>
      <c r="L24" s="13" t="s">
        <v>4747</v>
      </c>
      <c r="M24" s="11" t="s">
        <v>52</v>
      </c>
      <c r="N24" s="86" t="s">
        <v>1746</v>
      </c>
      <c r="O24" s="86">
        <v>21025.0</v>
      </c>
      <c r="P24" s="88" t="str">
        <f t="array" ref="P24">INDEX('TJ List'!B:B,MATCH(O24,'TJ List'!N:N,0),0)</f>
        <v>#N/A</v>
      </c>
      <c r="Q24">
        <f t="array" ref="Q24">IFERROR(INDEX(I:I,MATCH(O24,I:I,0),0),0)
</f>
        <v>0</v>
      </c>
      <c r="S24" s="13" t="s">
        <v>4748</v>
      </c>
      <c r="T24" s="11" t="s">
        <v>186</v>
      </c>
      <c r="U24" s="13">
        <v>19514.0</v>
      </c>
      <c r="W24" s="13" t="s">
        <v>1391</v>
      </c>
      <c r="X24" s="13" t="s">
        <v>4685</v>
      </c>
      <c r="Y24" s="13">
        <v>17793.0</v>
      </c>
      <c r="Z24" s="87">
        <v>44029.0</v>
      </c>
    </row>
    <row r="25">
      <c r="A25" s="11" t="s">
        <v>4722</v>
      </c>
      <c r="B25" s="30">
        <f t="shared" si="1"/>
        <v>10</v>
      </c>
      <c r="C25" t="str">
        <f>IFERROR(__xludf.DUMMYFUNCTION("IF(B25&gt;0,JOIN("", "",TRANSPOSE(INDIRECT(ADDRESS(MATCH(A25,H:H,0),7)&amp;"":""&amp;ADDRESS(MATCH(A25,H:H,0)+B25-1,7)))),"""")"),"Mitch White, Logan Webb, Raymond Burgos, Jordan Hicks, Keaton Winn, Luke Jackson, Daulton Jefferies, Robbie Ray, Austin Warren, Blake Snell")</f>
        <v>Mitch White, Logan Webb, Raymond Burgos, Jordan Hicks, Keaton Winn, Luke Jackson, Daulton Jefferies, Robbie Ray, Austin Warren, Blake Snell</v>
      </c>
      <c r="D25" s="30">
        <f t="shared" si="2"/>
        <v>0</v>
      </c>
      <c r="E25" t="str">
        <f>IFERROR(__xludf.DUMMYFUNCTION("IF(D25&gt;0,JOIN("", "",TRANSPOSE(INDIRECT(ADDRESS(MATCH(A25,M:M,0),12)&amp;"":""&amp;ADDRESS(MATCH(A25,M:M,0)+D25-1,12)))),"""")"),"")</f>
        <v/>
      </c>
      <c r="G25" s="13" t="s">
        <v>4749</v>
      </c>
      <c r="H25" s="11" t="s">
        <v>4685</v>
      </c>
      <c r="I25" s="13">
        <v>14739.0</v>
      </c>
      <c r="J25" t="str">
        <f t="array" ref="J25">INDEX('TJ List'!B:B,MATCH(I25,'TJ List'!N:N,0),0)</f>
        <v>#N/A</v>
      </c>
      <c r="K25" s="6"/>
      <c r="L25" s="13" t="s">
        <v>4750</v>
      </c>
      <c r="M25" s="11" t="s">
        <v>4728</v>
      </c>
      <c r="N25" s="86" t="s">
        <v>4751</v>
      </c>
      <c r="O25" s="86">
        <v>17359.0</v>
      </c>
      <c r="P25" s="88" t="str">
        <f t="array" ref="P25">INDEX('TJ List'!B:B,MATCH(O25,'TJ List'!N:N,0),0)</f>
        <v>#N/A</v>
      </c>
      <c r="Q25">
        <f t="array" ref="Q25">IFERROR(INDEX(I:I,MATCH(O25,I:I,0),0),0)
</f>
        <v>0</v>
      </c>
      <c r="S25" s="13" t="s">
        <v>4752</v>
      </c>
      <c r="T25" s="11" t="s">
        <v>4728</v>
      </c>
      <c r="U25" s="13">
        <v>27630.0</v>
      </c>
      <c r="W25" s="13" t="s">
        <v>4753</v>
      </c>
      <c r="X25" s="13" t="s">
        <v>4685</v>
      </c>
      <c r="Y25" s="13">
        <v>19249.0</v>
      </c>
      <c r="Z25" s="87">
        <v>44042.0</v>
      </c>
    </row>
    <row r="26">
      <c r="A26" s="11" t="s">
        <v>83</v>
      </c>
      <c r="B26" s="30">
        <f t="shared" si="1"/>
        <v>9</v>
      </c>
      <c r="C26" t="str">
        <f>IFERROR(__xludf.DUMMYFUNCTION("IF(B26&gt;0,JOIN("", "",TRANSPOSE(INDIRECT(ADDRESS(MATCH(A26,H:H,0),7)&amp;"":""&amp;ADDRESS(MATCH(A26,H:H,0)+B26-1,7)))),"""")"),"Steven Matz, Giovanny Gallegos, Kyle Gibson, Erick Fedde, Lance Lynn, John King, Nick Robertson, JoJo Romero, Andrew Kittredge")</f>
        <v>Steven Matz, Giovanny Gallegos, Kyle Gibson, Erick Fedde, Lance Lynn, John King, Nick Robertson, JoJo Romero, Andrew Kittredge</v>
      </c>
      <c r="D26" s="30">
        <f t="shared" si="2"/>
        <v>1</v>
      </c>
      <c r="E26" t="str">
        <f>IFERROR(__xludf.DUMMYFUNCTION("IF(D26&gt;0,JOIN("", "",TRANSPOSE(INDIRECT(ADDRESS(MATCH(A26,M:M,0),12)&amp;"":""&amp;ADDRESS(MATCH(A26,M:M,0)+D26-1,12)))),"""")"),"Keynan Middleton")</f>
        <v>Keynan Middleton</v>
      </c>
      <c r="G26" s="13" t="s">
        <v>4754</v>
      </c>
      <c r="H26" s="11" t="s">
        <v>4685</v>
      </c>
      <c r="I26" s="13">
        <v>17968.0</v>
      </c>
      <c r="J26" t="str">
        <f t="array" ref="J26">INDEX('TJ List'!B:B,MATCH(I26,'TJ List'!N:N,0),0)</f>
        <v>#N/A</v>
      </c>
      <c r="K26" s="6"/>
      <c r="L26" s="13" t="s">
        <v>4755</v>
      </c>
      <c r="M26" s="11" t="s">
        <v>4728</v>
      </c>
      <c r="N26" s="86" t="s">
        <v>4751</v>
      </c>
      <c r="O26" s="86">
        <v>19665.0</v>
      </c>
      <c r="P26" s="88" t="str">
        <f t="array" ref="P26">INDEX('TJ List'!B:B,MATCH(O26,'TJ List'!N:N,0),0)</f>
        <v>#N/A</v>
      </c>
      <c r="Q26">
        <f t="array" ref="Q26">IFERROR(INDEX(I:I,MATCH(O26,I:I,0),0),0)
</f>
        <v>0</v>
      </c>
      <c r="S26" s="13" t="s">
        <v>4756</v>
      </c>
      <c r="T26" s="11" t="s">
        <v>162</v>
      </c>
      <c r="U26" s="13">
        <v>13355.0</v>
      </c>
      <c r="W26" s="13" t="s">
        <v>1355</v>
      </c>
      <c r="X26" s="13" t="s">
        <v>4685</v>
      </c>
      <c r="Y26" s="13">
        <v>13528.0</v>
      </c>
      <c r="Z26" s="87">
        <v>44075.0</v>
      </c>
    </row>
    <row r="27">
      <c r="A27" s="11" t="s">
        <v>4757</v>
      </c>
      <c r="B27" s="30">
        <f t="shared" si="1"/>
        <v>9</v>
      </c>
      <c r="C27" t="str">
        <f>IFERROR(__xludf.DUMMYFUNCTION("IF(B27&gt;0,JOIN("", "",TRANSPOSE(INDIRECT(ADDRESS(MATCH(A27,H:H,0),7)&amp;"":""&amp;ADDRESS(MATCH(A27,H:H,0)+B27-1,7)))),"""")"),"Cole Sulser, Pete Fairbanks, Drew Rasmussen, Colin Poche, Jacob Lopez, Chris Devenski, Richard Lovelady, Shane Baz, Jeffrey Springs")</f>
        <v>Cole Sulser, Pete Fairbanks, Drew Rasmussen, Colin Poche, Jacob Lopez, Chris Devenski, Richard Lovelady, Shane Baz, Jeffrey Springs</v>
      </c>
      <c r="D27" s="30">
        <f t="shared" si="2"/>
        <v>1</v>
      </c>
      <c r="E27" t="str">
        <f>IFERROR(__xludf.DUMMYFUNCTION("IF(D27&gt;0,JOIN("", "",TRANSPOSE(INDIRECT(ADDRESS(MATCH(A27,M:M,0),12)&amp;"":""&amp;ADDRESS(MATCH(A27,M:M,0)+D27-1,12)))),"""")"),"Shane McClanahan")</f>
        <v>Shane McClanahan</v>
      </c>
      <c r="G27" s="13" t="s">
        <v>4758</v>
      </c>
      <c r="H27" s="11" t="s">
        <v>4685</v>
      </c>
      <c r="I27" s="13">
        <v>6984.0</v>
      </c>
      <c r="J27" t="str">
        <f t="array" ref="J27">INDEX('TJ List'!B:B,MATCH(I27,'TJ List'!N:N,0),0)</f>
        <v>#N/A</v>
      </c>
      <c r="K27" s="6"/>
      <c r="L27" s="13" t="s">
        <v>365</v>
      </c>
      <c r="M27" s="11" t="s">
        <v>346</v>
      </c>
      <c r="N27" s="86" t="s">
        <v>4759</v>
      </c>
      <c r="O27" s="90">
        <v>13594.0</v>
      </c>
      <c r="P27" s="10">
        <f t="array" ref="P27">INDEX('TJ List'!B:B,MATCH(O27,'TJ List'!N:N,0),0)</f>
        <v>45412</v>
      </c>
      <c r="Q27">
        <f t="array" ref="Q27">IFERROR(INDEX(I:I,MATCH(O27,I:I,0),0),0)
</f>
        <v>0</v>
      </c>
      <c r="S27" s="13" t="s">
        <v>4760</v>
      </c>
      <c r="T27" s="11" t="s">
        <v>138</v>
      </c>
      <c r="U27" s="13">
        <v>12859.0</v>
      </c>
      <c r="W27" s="13" t="s">
        <v>1354</v>
      </c>
      <c r="X27" s="13" t="s">
        <v>4685</v>
      </c>
      <c r="Y27" s="13">
        <v>17192.0</v>
      </c>
      <c r="Z27" s="87">
        <v>44076.0</v>
      </c>
    </row>
    <row r="28">
      <c r="A28" s="11" t="s">
        <v>103</v>
      </c>
      <c r="B28" s="30">
        <f t="shared" si="1"/>
        <v>10</v>
      </c>
      <c r="C28" t="str">
        <f>IFERROR(__xludf.DUMMYFUNCTION("IF(B28&gt;0,JOIN("", "",TRANSPOSE(INDIRECT(ADDRESS(MATCH(A28,H:H,0),7)&amp;"":""&amp;ADDRESS(MATCH(A28,H:H,0)+B28-1,7)))),"""")"),"Pablo López, Cole Irvin, Bailey Ober, Justin Topa, Matt Bowman, Brock Stewart, Chris Paddack, Daniel Duarte, Joe Ryan, Griffin Jax")</f>
        <v>Pablo López, Cole Irvin, Bailey Ober, Justin Topa, Matt Bowman, Brock Stewart, Chris Paddack, Daniel Duarte, Joe Ryan, Griffin Jax</v>
      </c>
      <c r="D28" s="30">
        <f t="shared" si="2"/>
        <v>0</v>
      </c>
      <c r="E28" t="str">
        <f>IFERROR(__xludf.DUMMYFUNCTION("IF(D28&gt;0,JOIN("", "",TRANSPOSE(INDIRECT(ADDRESS(MATCH(A28,M:M,0),12)&amp;"":""&amp;ADDRESS(MATCH(A28,M:M,0)+D28-1,12)))),"""")"),"")</f>
        <v/>
      </c>
      <c r="G28" s="13" t="s">
        <v>4761</v>
      </c>
      <c r="H28" s="11" t="s">
        <v>4685</v>
      </c>
      <c r="I28" s="13">
        <v>26259.0</v>
      </c>
      <c r="J28" t="str">
        <f t="array" ref="J28">INDEX('TJ List'!B:B,MATCH(I28,'TJ List'!N:N,0),0)</f>
        <v>#N/A</v>
      </c>
      <c r="K28" s="6"/>
      <c r="L28" s="13" t="s">
        <v>4762</v>
      </c>
      <c r="M28" s="11" t="s">
        <v>346</v>
      </c>
      <c r="N28" s="86" t="s">
        <v>4759</v>
      </c>
      <c r="O28" s="90">
        <v>24681.0</v>
      </c>
      <c r="P28" s="88" t="str">
        <f t="array" ref="P28">INDEX('TJ List'!B:B,MATCH(O28,'TJ List'!N:N,0),0)</f>
        <v>#N/A</v>
      </c>
      <c r="Q28">
        <f t="array" ref="Q28">IFERROR(INDEX(I:I,MATCH(O28,I:I,0),0),0)
</f>
        <v>0</v>
      </c>
      <c r="S28" s="13" t="s">
        <v>4763</v>
      </c>
      <c r="T28" s="11" t="s">
        <v>111</v>
      </c>
      <c r="U28" s="13">
        <v>19392.0</v>
      </c>
      <c r="W28" s="13" t="s">
        <v>1351</v>
      </c>
      <c r="X28" s="13" t="s">
        <v>4685</v>
      </c>
      <c r="Y28" s="13">
        <v>23391.0</v>
      </c>
      <c r="Z28" s="87">
        <v>44095.0</v>
      </c>
    </row>
    <row r="29">
      <c r="A29" s="11" t="s">
        <v>4728</v>
      </c>
      <c r="B29" s="30">
        <f t="shared" si="1"/>
        <v>7</v>
      </c>
      <c r="C29" t="str">
        <f>IFERROR(__xludf.DUMMYFUNCTION("IF(B29&gt;0,JOIN("", "",TRANSPOSE(INDIRECT(ADDRESS(MATCH(A29,H:H,0),7)&amp;"":""&amp;ADDRESS(MATCH(A29,H:H,0)+B29-1,7)))),"""")"),"Hunter Harvey, Will Smith, Matt Sauer, Cole Ragans, Jonathan Bowlan, Dan Altavilla, Kris Bubic")</f>
        <v>Hunter Harvey, Will Smith, Matt Sauer, Cole Ragans, Jonathan Bowlan, Dan Altavilla, Kris Bubic</v>
      </c>
      <c r="D29" s="30">
        <f t="shared" si="2"/>
        <v>0</v>
      </c>
      <c r="E29" t="str">
        <f>IFERROR(__xludf.DUMMYFUNCTION("IF(D29&gt;0,JOIN("", "",TRANSPOSE(INDIRECT(ADDRESS(MATCH(A29,M:M,0),12)&amp;"":""&amp;ADDRESS(MATCH(A29,M:M,0)+D29-1,12)))),"""")"),"")</f>
        <v/>
      </c>
      <c r="G29" s="13" t="s">
        <v>4764</v>
      </c>
      <c r="H29" s="11" t="s">
        <v>4685</v>
      </c>
      <c r="I29" s="13">
        <v>20447.0</v>
      </c>
      <c r="J29" t="str">
        <f t="array" ref="J29">INDEX('TJ List'!B:B,MATCH(I29,'TJ List'!N:N,0),0)</f>
        <v>#N/A</v>
      </c>
      <c r="K29" s="6"/>
      <c r="L29" s="13" t="s">
        <v>552</v>
      </c>
      <c r="M29" s="11" t="s">
        <v>126</v>
      </c>
      <c r="N29" s="86" t="s">
        <v>4759</v>
      </c>
      <c r="O29" s="86">
        <v>19716.0</v>
      </c>
      <c r="P29" s="10">
        <f t="array" ref="P29">INDEX('TJ List'!B:B,MATCH(O29,'TJ List'!N:N,0),0)</f>
        <v>45125</v>
      </c>
      <c r="Q29">
        <f t="array" ref="Q29">IFERROR(INDEX(I:I,MATCH(O29,I:I,0),0),0)
</f>
        <v>0</v>
      </c>
      <c r="S29" s="13" t="s">
        <v>4765</v>
      </c>
      <c r="T29" s="11" t="s">
        <v>143</v>
      </c>
      <c r="U29" s="13">
        <v>18889.0</v>
      </c>
      <c r="W29" s="13" t="s">
        <v>1350</v>
      </c>
      <c r="X29" s="13" t="s">
        <v>4685</v>
      </c>
      <c r="Y29" s="13">
        <v>19349.0</v>
      </c>
      <c r="Z29" s="87">
        <v>44096.0</v>
      </c>
    </row>
    <row r="30">
      <c r="A30" s="11" t="s">
        <v>274</v>
      </c>
      <c r="B30" s="30">
        <f t="shared" si="1"/>
        <v>7</v>
      </c>
      <c r="C30" t="str">
        <f>IFERROR(__xludf.DUMMYFUNCTION("IF(B30&gt;0,JOIN("", "",TRANSPOSE(INDIRECT(ADDRESS(MATCH(A30,H:H,0),7)&amp;"":""&amp;ADDRESS(MATCH(A30,H:H,0)+B30-1,7)))),"""")"),"Alex Wood, Ross Stripling, Hogan Harris, J.T. Ginn, Gerardo Reyes, Brady Basso, Luis Medina")</f>
        <v>Alex Wood, Ross Stripling, Hogan Harris, J.T. Ginn, Gerardo Reyes, Brady Basso, Luis Medina</v>
      </c>
      <c r="D30" s="30">
        <f t="shared" si="2"/>
        <v>2</v>
      </c>
      <c r="E30" t="str">
        <f>IFERROR(__xludf.DUMMYFUNCTION("IF(D30&gt;0,JOIN("", "",TRANSPOSE(INDIRECT(ADDRESS(MATCH(A30,M:M,0),12)&amp;"":""&amp;ADDRESS(MATCH(A30,M:M,0)+D30-1,12)))),"""")"),"Trevor Gott, Ken Waldichuk")</f>
        <v>Trevor Gott, Ken Waldichuk</v>
      </c>
      <c r="G30" s="13" t="s">
        <v>4766</v>
      </c>
      <c r="H30" s="11" t="s">
        <v>4685</v>
      </c>
      <c r="I30" s="13">
        <v>17796.0</v>
      </c>
      <c r="J30" t="str">
        <f t="array" ref="J30">INDEX('TJ List'!B:B,MATCH(I30,'TJ List'!N:N,0),0)</f>
        <v>#N/A</v>
      </c>
      <c r="K30" s="6"/>
      <c r="L30" s="13" t="s">
        <v>510</v>
      </c>
      <c r="M30" s="11" t="s">
        <v>126</v>
      </c>
      <c r="N30" s="86" t="s">
        <v>4759</v>
      </c>
      <c r="O30" s="86">
        <v>19388.0</v>
      </c>
      <c r="P30" s="10">
        <f t="array" ref="P30">INDEX('TJ List'!B:B,MATCH(O30,'TJ List'!N:N,0),0)</f>
        <v>45170</v>
      </c>
      <c r="Q30">
        <f t="array" ref="Q30">IFERROR(INDEX(I:I,MATCH(O30,I:I,0),0),0)
</f>
        <v>0</v>
      </c>
      <c r="S30" s="13" t="s">
        <v>4767</v>
      </c>
      <c r="T30" s="11" t="s">
        <v>167</v>
      </c>
      <c r="U30" s="13">
        <v>27845.0</v>
      </c>
      <c r="W30" s="13" t="s">
        <v>4768</v>
      </c>
      <c r="X30" s="13" t="s">
        <v>4685</v>
      </c>
      <c r="Y30" s="13">
        <v>17464.0</v>
      </c>
      <c r="Z30" s="87">
        <v>44298.0</v>
      </c>
    </row>
    <row r="31">
      <c r="A31" s="11" t="s">
        <v>4769</v>
      </c>
      <c r="B31" s="30">
        <f t="shared" si="1"/>
        <v>8</v>
      </c>
      <c r="C31" t="str">
        <f>IFERROR(__xludf.DUMMYFUNCTION("IF(B31&gt;0,JOIN("", "",TRANSPOSE(INDIRECT(ADDRESS(MATCH(A31,H:H,0),7)&amp;"":""&amp;ADDRESS(MATCH(A31,H:H,0)+B31-1,7)))),"""")"),"Patrick Corbin, Derek Law, Hunter Harvey, Jake Irvin, Tanner Rainey, Zach Brzykcy, Josiah Gray, MacKenzie Gore")</f>
        <v>Patrick Corbin, Derek Law, Hunter Harvey, Jake Irvin, Tanner Rainey, Zach Brzykcy, Josiah Gray, MacKenzie Gore</v>
      </c>
      <c r="D31" s="30">
        <f t="shared" si="2"/>
        <v>2</v>
      </c>
      <c r="E31" t="str">
        <f>IFERROR(__xludf.DUMMYFUNCTION("IF(D31&gt;0,JOIN("", "",TRANSPOSE(INDIRECT(ADDRESS(MATCH(A31,M:M,0),12)&amp;"":""&amp;ADDRESS(MATCH(A31,M:M,0)+D31-1,12)))),"""")"),"Cade Cavalli, Mason Thompson")</f>
        <v>Cade Cavalli, Mason Thompson</v>
      </c>
      <c r="G31" s="13" t="s">
        <v>4770</v>
      </c>
      <c r="H31" s="11" t="s">
        <v>4685</v>
      </c>
      <c r="I31" s="13">
        <v>14527.0</v>
      </c>
      <c r="J31" t="str">
        <f t="array" ref="J31">INDEX('TJ List'!B:B,MATCH(I31,'TJ List'!N:N,0),0)</f>
        <v>#N/A</v>
      </c>
      <c r="K31" s="6"/>
      <c r="L31" s="13" t="s">
        <v>348</v>
      </c>
      <c r="M31" s="11" t="s">
        <v>126</v>
      </c>
      <c r="N31" s="86" t="s">
        <v>4759</v>
      </c>
      <c r="O31" s="86">
        <v>29839.0</v>
      </c>
      <c r="P31" s="10">
        <f t="array" ref="P31">INDEX('TJ List'!B:B,MATCH(O31,'TJ List'!N:N,0),0)</f>
        <v>45427</v>
      </c>
      <c r="Q31">
        <f t="array" ref="Q31">IFERROR(INDEX(I:I,MATCH(O31,I:I,0),0),0)
</f>
        <v>0</v>
      </c>
      <c r="S31" s="13" t="s">
        <v>4771</v>
      </c>
      <c r="T31" s="11" t="s">
        <v>55</v>
      </c>
      <c r="U31" s="13">
        <v>24655.0</v>
      </c>
      <c r="W31" s="13" t="s">
        <v>1170</v>
      </c>
      <c r="X31" s="13" t="s">
        <v>4685</v>
      </c>
      <c r="Y31" s="13">
        <v>11828.0</v>
      </c>
      <c r="Z31" s="87">
        <v>44300.0</v>
      </c>
    </row>
    <row r="32">
      <c r="A32" s="11" t="s">
        <v>230</v>
      </c>
      <c r="B32" s="30">
        <f t="shared" si="1"/>
        <v>6</v>
      </c>
      <c r="C32" t="str">
        <f>IFERROR(__xludf.DUMMYFUNCTION("IF(B32&gt;0,JOIN("", "",TRANSPOSE(INDIRECT(ADDRESS(MATCH(A32,H:H,0),7)&amp;"":""&amp;ADDRESS(MATCH(A32,H:H,0)+B32-1,7)))),"""")"),"Gabe Speier, JT Chargois, Yimi García, Andrés Muñoz, Matt Bowman, Jonathan Hernández")</f>
        <v>Gabe Speier, JT Chargois, Yimi García, Andrés Muñoz, Matt Bowman, Jonathan Hernández</v>
      </c>
      <c r="D32" s="30">
        <f t="shared" si="2"/>
        <v>2</v>
      </c>
      <c r="E32" t="str">
        <f>IFERROR(__xludf.DUMMYFUNCTION("IF(D32&gt;0,JOIN("", "",TRANSPOSE(INDIRECT(ADDRESS(MATCH(A32,M:M,0),12)&amp;"":""&amp;ADDRESS(MATCH(A32,M:M,0)+D32-1,12)))),"""")"),"Jackson Kowar, Matt Brash")</f>
        <v>Jackson Kowar, Matt Brash</v>
      </c>
      <c r="G32" s="13" t="s">
        <v>4772</v>
      </c>
      <c r="H32" s="11" t="s">
        <v>4685</v>
      </c>
      <c r="I32" s="13">
        <v>23135.0</v>
      </c>
      <c r="J32" t="str">
        <f t="array" ref="J32">INDEX('TJ List'!B:B,MATCH(I32,'TJ List'!N:N,0),0)</f>
        <v>#N/A</v>
      </c>
      <c r="K32" s="6"/>
      <c r="L32" s="13" t="s">
        <v>497</v>
      </c>
      <c r="M32" s="11" t="s">
        <v>37</v>
      </c>
      <c r="N32" s="86" t="s">
        <v>512</v>
      </c>
      <c r="O32" s="86">
        <v>18684.0</v>
      </c>
      <c r="P32" s="10">
        <f t="array" ref="P32">INDEX('TJ List'!B:B,MATCH(O32,'TJ List'!N:N,0),0)</f>
        <v>45205</v>
      </c>
      <c r="Q32">
        <f t="array" ref="Q32">IFERROR(INDEX(I:I,MATCH(O32,I:I,0),0),0)
</f>
        <v>0</v>
      </c>
      <c r="S32" s="13" t="s">
        <v>4773</v>
      </c>
      <c r="T32" s="11" t="s">
        <v>37</v>
      </c>
      <c r="U32" s="13">
        <v>19802.0</v>
      </c>
      <c r="W32" s="13" t="s">
        <v>1017</v>
      </c>
      <c r="X32" s="13" t="s">
        <v>4685</v>
      </c>
      <c r="Y32" s="13">
        <v>19337.0</v>
      </c>
      <c r="Z32" s="87">
        <v>44468.0</v>
      </c>
    </row>
    <row r="33">
      <c r="A33" s="85" t="s">
        <v>4774</v>
      </c>
      <c r="B33" s="91">
        <f>SUM(B3:B32)-COUNTIFS(Y:Y,"&gt;0")</f>
        <v>317</v>
      </c>
      <c r="C33" s="92"/>
      <c r="D33" s="91">
        <f>SUM(D3:D32)</f>
        <v>37</v>
      </c>
      <c r="E33" s="92"/>
      <c r="G33" s="13" t="s">
        <v>4775</v>
      </c>
      <c r="H33" s="11" t="s">
        <v>4685</v>
      </c>
      <c r="I33" s="13">
        <v>27453.0</v>
      </c>
      <c r="J33" t="str">
        <f t="array" ref="J33">INDEX('TJ List'!B:B,MATCH(I33,'TJ List'!N:N,0),0)</f>
        <v>#N/A</v>
      </c>
      <c r="K33" s="6"/>
      <c r="L33" s="13" t="s">
        <v>4776</v>
      </c>
      <c r="M33" s="11" t="s">
        <v>37</v>
      </c>
      <c r="N33" s="86" t="s">
        <v>512</v>
      </c>
      <c r="O33" s="86">
        <v>27768.0</v>
      </c>
      <c r="P33" s="10">
        <f t="array" ref="P33">INDEX('TJ List'!B:B,MATCH(O33,'TJ List'!N:N,0),0)</f>
        <v>45390</v>
      </c>
      <c r="Q33">
        <f t="array" ref="Q33">IFERROR(INDEX(I:I,MATCH(O33,I:I,0),0),0)
</f>
        <v>0</v>
      </c>
      <c r="S33" s="13" t="s">
        <v>4777</v>
      </c>
      <c r="T33" s="11" t="s">
        <v>4728</v>
      </c>
      <c r="U33" s="13">
        <v>22117.0</v>
      </c>
      <c r="W33" s="13" t="s">
        <v>889</v>
      </c>
      <c r="X33" s="13" t="s">
        <v>4685</v>
      </c>
      <c r="Y33" s="13">
        <v>26419.0</v>
      </c>
      <c r="Z33" s="87">
        <v>44621.0</v>
      </c>
    </row>
    <row r="34">
      <c r="A34" s="85" t="s">
        <v>4778</v>
      </c>
      <c r="B34" s="93">
        <f>(COUNTIFS(J:J,"&gt;0")-COUNTIFS(Y:Y,"&gt;0"))/((COUNTIFS(I:I,"&gt;0")-COUNTIFS(U:U,"&gt;0")-COUNTIFS(Y:Y,"&gt;0")))</f>
        <v>0.3982521848</v>
      </c>
      <c r="C34" s="92"/>
      <c r="D34" s="93">
        <f>D33/COUNTIFS(O:O,"&lt;&gt;0",Q:Q,0)</f>
        <v>0.7551020408</v>
      </c>
      <c r="E34" s="92"/>
      <c r="G34" s="13" t="s">
        <v>4779</v>
      </c>
      <c r="H34" s="11" t="s">
        <v>4685</v>
      </c>
      <c r="I34" s="13">
        <v>25977.0</v>
      </c>
      <c r="J34" t="str">
        <f t="array" ref="J34">INDEX('TJ List'!B:B,MATCH(I34,'TJ List'!N:N,0),0)</f>
        <v>#N/A</v>
      </c>
      <c r="K34" s="6"/>
      <c r="L34" s="24" t="s">
        <v>4780</v>
      </c>
      <c r="M34" s="21" t="s">
        <v>55</v>
      </c>
      <c r="N34" s="94" t="s">
        <v>4781</v>
      </c>
      <c r="O34" s="94">
        <v>16162.0</v>
      </c>
      <c r="P34" s="28" t="str">
        <f t="array" ref="P34">INDEX('TJ List'!B:B,MATCH(O34,'TJ List'!N:N,0),0)</f>
        <v>#N/A</v>
      </c>
      <c r="Q34" s="33">
        <f t="array" ref="Q34">IFERROR(INDEX(I:I,MATCH(O34,I:I,0),0),0)
</f>
        <v>0</v>
      </c>
      <c r="S34" s="13" t="s">
        <v>4782</v>
      </c>
      <c r="T34" s="11" t="s">
        <v>72</v>
      </c>
      <c r="U34" s="13">
        <v>16357.0</v>
      </c>
      <c r="W34" s="13" t="s">
        <v>853</v>
      </c>
      <c r="X34" s="13" t="s">
        <v>4685</v>
      </c>
      <c r="Y34" s="13">
        <v>11752.0</v>
      </c>
      <c r="Z34" s="87">
        <v>44664.0</v>
      </c>
    </row>
    <row r="35">
      <c r="A35" s="85" t="s">
        <v>4783</v>
      </c>
      <c r="B35" s="95">
        <v>45565.0</v>
      </c>
      <c r="C35" s="92"/>
      <c r="D35" s="95">
        <v>45565.0</v>
      </c>
      <c r="E35" s="92"/>
      <c r="G35" s="13" t="s">
        <v>4784</v>
      </c>
      <c r="H35" s="11" t="s">
        <v>4685</v>
      </c>
      <c r="I35" s="13">
        <v>19444.0</v>
      </c>
      <c r="J35" t="str">
        <f t="array" ref="J35">INDEX('TJ List'!B:B,MATCH(I35,'TJ List'!N:N,0),0)</f>
        <v>#N/A</v>
      </c>
      <c r="K35" s="6"/>
      <c r="L35" s="13" t="s">
        <v>4785</v>
      </c>
      <c r="M35" s="11" t="s">
        <v>103</v>
      </c>
      <c r="N35" s="86" t="s">
        <v>258</v>
      </c>
      <c r="O35" s="86">
        <v>13050.0</v>
      </c>
      <c r="P35" s="88" t="str">
        <f t="array" ref="P35">INDEX('TJ List'!B:B,MATCH(O35,'TJ List'!N:N,0),0)</f>
        <v>#N/A</v>
      </c>
      <c r="Q35">
        <f t="array" ref="Q35">IFERROR(INDEX(I:I,MATCH(O35,I:I,0),0),0)
</f>
        <v>0</v>
      </c>
      <c r="S35" s="13" t="s">
        <v>4786</v>
      </c>
      <c r="T35" s="11" t="s">
        <v>230</v>
      </c>
      <c r="U35" s="13">
        <v>21009.0</v>
      </c>
      <c r="W35" s="13" t="s">
        <v>747</v>
      </c>
      <c r="X35" s="13" t="s">
        <v>4685</v>
      </c>
      <c r="Y35" s="13">
        <v>19345.0</v>
      </c>
      <c r="Z35" s="87">
        <v>44813.0</v>
      </c>
    </row>
    <row r="36">
      <c r="B36" s="30"/>
      <c r="D36" s="30"/>
      <c r="G36" s="13" t="s">
        <v>4787</v>
      </c>
      <c r="H36" s="11" t="s">
        <v>4685</v>
      </c>
      <c r="I36" s="13">
        <v>18064.0</v>
      </c>
      <c r="J36" t="str">
        <f t="array" ref="J36">INDEX('TJ List'!B:B,MATCH(I36,'TJ List'!N:N,0),0)</f>
        <v>#N/A</v>
      </c>
      <c r="K36" s="6"/>
      <c r="L36" s="13" t="s">
        <v>624</v>
      </c>
      <c r="M36" s="11" t="s">
        <v>108</v>
      </c>
      <c r="N36" s="86" t="s">
        <v>59</v>
      </c>
      <c r="O36" s="86">
        <v>17578.0</v>
      </c>
      <c r="P36" s="10">
        <f t="array" ref="P36">INDEX('TJ List'!B:B,MATCH(O36,'TJ List'!N:N,0),0)</f>
        <v>45028</v>
      </c>
      <c r="Q36">
        <f t="array" ref="Q36">IFERROR(INDEX(I:I,MATCH(O36,I:I,0),0),0)
</f>
        <v>0</v>
      </c>
      <c r="S36" s="13" t="s">
        <v>4788</v>
      </c>
      <c r="T36" s="11" t="s">
        <v>37</v>
      </c>
      <c r="U36" s="13">
        <v>19890.0</v>
      </c>
      <c r="W36" s="13" t="s">
        <v>3128</v>
      </c>
      <c r="X36" s="13" t="s">
        <v>4685</v>
      </c>
      <c r="Y36" s="13">
        <v>19225.0</v>
      </c>
      <c r="Z36" s="87">
        <v>41579.0</v>
      </c>
    </row>
    <row r="37">
      <c r="A37" s="85" t="s">
        <v>4789</v>
      </c>
      <c r="B37" s="93">
        <f>(B33+D33)/((COUNTIFS(I:I,"&gt;0")+COUNTIFS(O:O,"&lt;&gt;0",Q:Q,0)-COUNTIFS(U:U,"&gt;0")-COUNTIFS(Y:Y,"&gt;0")))</f>
        <v>0.4164705882</v>
      </c>
      <c r="D37" s="30"/>
      <c r="G37" s="13" t="s">
        <v>4790</v>
      </c>
      <c r="H37" s="11" t="s">
        <v>4685</v>
      </c>
      <c r="I37" s="13">
        <v>20160.0</v>
      </c>
      <c r="J37" t="str">
        <f t="array" ref="J37">INDEX('TJ List'!B:B,MATCH(I37,'TJ List'!N:N,0),0)</f>
        <v>#N/A</v>
      </c>
      <c r="K37" s="6"/>
      <c r="L37" s="13" t="s">
        <v>604</v>
      </c>
      <c r="M37" s="11" t="s">
        <v>108</v>
      </c>
      <c r="N37" s="86" t="s">
        <v>59</v>
      </c>
      <c r="O37" s="86">
        <v>15043.0</v>
      </c>
      <c r="P37" s="10">
        <f t="array" ref="P37">INDEX('TJ List'!B:B,MATCH(O37,'TJ List'!N:N,0),0)</f>
        <v>45049</v>
      </c>
      <c r="Q37">
        <f t="array" ref="Q37">IFERROR(INDEX(I:I,MATCH(O37,I:I,0),0),0)
</f>
        <v>0</v>
      </c>
      <c r="S37" s="13" t="s">
        <v>4791</v>
      </c>
      <c r="T37" s="11" t="s">
        <v>230</v>
      </c>
      <c r="U37" s="13">
        <v>19734.0</v>
      </c>
      <c r="W37" s="13" t="s">
        <v>1355</v>
      </c>
      <c r="X37" s="13" t="s">
        <v>4685</v>
      </c>
      <c r="Y37" s="13">
        <v>13528.0</v>
      </c>
      <c r="Z37" s="87">
        <v>44075.0</v>
      </c>
    </row>
    <row r="38">
      <c r="A38" s="85" t="s">
        <v>4783</v>
      </c>
      <c r="B38" s="95">
        <v>45565.0</v>
      </c>
      <c r="D38" s="30"/>
      <c r="G38" s="13" t="s">
        <v>4792</v>
      </c>
      <c r="H38" s="11" t="s">
        <v>4685</v>
      </c>
      <c r="I38" s="13">
        <v>19995.0</v>
      </c>
      <c r="J38" t="str">
        <f t="array" ref="J38">INDEX('TJ List'!B:B,MATCH(I38,'TJ List'!N:N,0),0)</f>
        <v>#N/A</v>
      </c>
      <c r="K38" s="6"/>
      <c r="L38" s="13" t="s">
        <v>377</v>
      </c>
      <c r="M38" s="11" t="s">
        <v>274</v>
      </c>
      <c r="N38" s="86" t="s">
        <v>4793</v>
      </c>
      <c r="O38" s="90">
        <v>15046.0</v>
      </c>
      <c r="P38" s="10">
        <f t="array" ref="P38">INDEX('TJ List'!B:B,MATCH(O38,'TJ List'!N:N,0),0)</f>
        <v>45385</v>
      </c>
      <c r="Q38">
        <f t="array" ref="Q38">IFERROR(INDEX(I:I,MATCH(O38,I:I,0),0),0)
</f>
        <v>0</v>
      </c>
      <c r="S38" s="13" t="s">
        <v>4794</v>
      </c>
      <c r="T38" s="11" t="s">
        <v>126</v>
      </c>
      <c r="U38" s="13">
        <v>7802.0</v>
      </c>
      <c r="W38" s="13" t="s">
        <v>1355</v>
      </c>
      <c r="X38" s="13" t="s">
        <v>4685</v>
      </c>
      <c r="Y38" s="13">
        <v>13528.0</v>
      </c>
      <c r="Z38" s="87">
        <v>44075.0</v>
      </c>
    </row>
    <row r="39">
      <c r="D39" s="30"/>
      <c r="G39" s="13" t="s">
        <v>4536</v>
      </c>
      <c r="H39" s="11" t="s">
        <v>4685</v>
      </c>
      <c r="I39" s="13">
        <v>16754.0</v>
      </c>
      <c r="J39" t="str">
        <f t="array" ref="J39">INDEX('TJ List'!B:B,MATCH(I39,'TJ List'!N:N,0),0)</f>
        <v>#N/A</v>
      </c>
      <c r="K39" s="6"/>
      <c r="L39" s="13" t="s">
        <v>350</v>
      </c>
      <c r="M39" s="11" t="s">
        <v>274</v>
      </c>
      <c r="N39" s="86" t="s">
        <v>4793</v>
      </c>
      <c r="O39" s="86">
        <v>27681.0</v>
      </c>
      <c r="P39" s="10">
        <f t="array" ref="P39">INDEX('TJ List'!B:B,MATCH(O39,'TJ List'!N:N,0),0)</f>
        <v>45424</v>
      </c>
      <c r="Q39">
        <f t="array" ref="Q39">IFERROR(INDEX(I:I,MATCH(O39,I:I,0),0),0)
</f>
        <v>0</v>
      </c>
      <c r="S39" s="13" t="s">
        <v>4795</v>
      </c>
      <c r="T39" s="11" t="s">
        <v>4757</v>
      </c>
      <c r="U39" s="13">
        <v>20287.0</v>
      </c>
      <c r="Z39" s="96"/>
    </row>
    <row r="40">
      <c r="B40" s="97"/>
      <c r="D40" s="30"/>
      <c r="G40" s="13" t="s">
        <v>4796</v>
      </c>
      <c r="H40" s="11" t="s">
        <v>4685</v>
      </c>
      <c r="I40" s="13">
        <v>19309.0</v>
      </c>
      <c r="J40" t="str">
        <f t="array" ref="J40">INDEX('TJ List'!B:B,MATCH(I40,'TJ List'!N:N,0),0)</f>
        <v>#N/A</v>
      </c>
      <c r="K40" s="6"/>
      <c r="L40" s="13" t="s">
        <v>482</v>
      </c>
      <c r="M40" s="11" t="s">
        <v>362</v>
      </c>
      <c r="N40" s="86" t="s">
        <v>2467</v>
      </c>
      <c r="O40" s="86">
        <v>22487.0</v>
      </c>
      <c r="P40" s="10">
        <f t="array" ref="P40">INDEX('TJ List'!B:B,MATCH(O40,'TJ List'!N:N,0),0)</f>
        <v>45261</v>
      </c>
      <c r="Q40">
        <f t="array" ref="Q40">IFERROR(INDEX(I:I,MATCH(O40,I:I,0),0),0)
</f>
        <v>0</v>
      </c>
      <c r="S40" s="13" t="s">
        <v>4797</v>
      </c>
      <c r="T40" s="11" t="s">
        <v>346</v>
      </c>
      <c r="U40" s="13">
        <v>12164.0</v>
      </c>
      <c r="Z40" s="96"/>
    </row>
    <row r="41">
      <c r="B41" s="97"/>
      <c r="D41" s="30"/>
      <c r="G41" s="13" t="s">
        <v>4798</v>
      </c>
      <c r="H41" s="11" t="s">
        <v>4685</v>
      </c>
      <c r="I41" s="13">
        <v>18674.0</v>
      </c>
      <c r="J41" t="str">
        <f t="array" ref="J41">INDEX('TJ List'!B:B,MATCH(I41,'TJ List'!N:N,0),0)</f>
        <v>#N/A</v>
      </c>
      <c r="K41" s="6"/>
      <c r="L41" s="13" t="s">
        <v>424</v>
      </c>
      <c r="M41" s="11" t="s">
        <v>362</v>
      </c>
      <c r="N41" s="86" t="s">
        <v>2467</v>
      </c>
      <c r="O41" s="86">
        <v>21101.0</v>
      </c>
      <c r="P41" s="10">
        <f t="array" ref="P41">INDEX('TJ List'!B:B,MATCH(O41,'TJ List'!N:N,0),0)</f>
        <v>45352</v>
      </c>
      <c r="Q41">
        <f t="array" ref="Q41">IFERROR(INDEX(I:I,MATCH(O41,I:I,0),0),0)
</f>
        <v>0</v>
      </c>
      <c r="S41" s="13" t="s">
        <v>4799</v>
      </c>
      <c r="T41" s="11" t="s">
        <v>72</v>
      </c>
      <c r="U41" s="13">
        <v>15653.0</v>
      </c>
      <c r="Z41" s="96"/>
    </row>
    <row r="42">
      <c r="B42" s="97"/>
      <c r="D42" s="30"/>
      <c r="G42" s="13" t="s">
        <v>4800</v>
      </c>
      <c r="H42" s="11" t="s">
        <v>4685</v>
      </c>
      <c r="I42" s="13">
        <v>23592.0</v>
      </c>
      <c r="J42" t="str">
        <f t="array" ref="J42">INDEX('TJ List'!B:B,MATCH(I42,'TJ List'!N:N,0),0)</f>
        <v>#N/A</v>
      </c>
      <c r="K42" s="6"/>
      <c r="L42" s="13" t="s">
        <v>4801</v>
      </c>
      <c r="M42" s="11" t="s">
        <v>4734</v>
      </c>
      <c r="N42" s="86" t="s">
        <v>375</v>
      </c>
      <c r="O42" s="86">
        <v>22815.0</v>
      </c>
      <c r="P42" s="10">
        <f t="array" ref="P42">INDEX('TJ List'!B:B,MATCH(O42,'TJ List'!N:N,0),0)</f>
        <v>45412</v>
      </c>
      <c r="Q42">
        <f t="array" ref="Q42">IFERROR(INDEX(I:I,MATCH(O42,I:I,0),0),0)
</f>
        <v>0</v>
      </c>
      <c r="S42" s="13" t="s">
        <v>2645</v>
      </c>
      <c r="T42" s="11" t="s">
        <v>101</v>
      </c>
      <c r="U42" s="13">
        <v>19892.0</v>
      </c>
      <c r="Z42" s="96"/>
    </row>
    <row r="43">
      <c r="B43" s="97"/>
      <c r="D43" s="30"/>
      <c r="G43" s="13" t="s">
        <v>4802</v>
      </c>
      <c r="H43" s="11" t="s">
        <v>4685</v>
      </c>
      <c r="I43" s="13">
        <v>19453.0</v>
      </c>
      <c r="J43" t="str">
        <f t="array" ref="J43">INDEX('TJ List'!B:B,MATCH(I43,'TJ List'!N:N,0),0)</f>
        <v>#N/A</v>
      </c>
      <c r="K43" s="6"/>
      <c r="L43" s="13" t="s">
        <v>428</v>
      </c>
      <c r="M43" s="11" t="s">
        <v>230</v>
      </c>
      <c r="N43" s="86" t="s">
        <v>2191</v>
      </c>
      <c r="O43" s="90">
        <v>21549.0</v>
      </c>
      <c r="P43" s="10">
        <f t="array" ref="P43">INDEX('TJ List'!B:B,MATCH(O43,'TJ List'!N:N,0),0)</f>
        <v>45352</v>
      </c>
      <c r="Q43">
        <f t="array" ref="Q43">IFERROR(INDEX(I:I,MATCH(O43,I:I,0),0),0)
</f>
        <v>0</v>
      </c>
      <c r="S43" s="13" t="s">
        <v>4803</v>
      </c>
      <c r="T43" s="11" t="s">
        <v>346</v>
      </c>
      <c r="U43" s="13">
        <v>25353.0</v>
      </c>
      <c r="Z43" s="96"/>
    </row>
    <row r="44">
      <c r="B44" s="97"/>
      <c r="D44" s="30"/>
      <c r="G44" s="13" t="s">
        <v>4804</v>
      </c>
      <c r="H44" s="11" t="s">
        <v>4685</v>
      </c>
      <c r="I44" s="13">
        <v>25595.0</v>
      </c>
      <c r="J44" t="str">
        <f t="array" ref="J44">INDEX('TJ List'!B:B,MATCH(I44,'TJ List'!N:N,0),0)</f>
        <v>#N/A</v>
      </c>
      <c r="K44" s="6"/>
      <c r="L44" s="13" t="s">
        <v>352</v>
      </c>
      <c r="M44" s="11" t="s">
        <v>230</v>
      </c>
      <c r="N44" s="86" t="s">
        <v>2191</v>
      </c>
      <c r="O44" s="86">
        <v>25756.0</v>
      </c>
      <c r="P44" s="10">
        <f t="array" ref="P44">INDEX('TJ List'!B:B,MATCH(O44,'TJ List'!N:N,0),0)</f>
        <v>45420</v>
      </c>
      <c r="Q44">
        <f t="array" ref="Q44">IFERROR(INDEX(I:I,MATCH(O44,I:I,0),0),0)
</f>
        <v>0</v>
      </c>
      <c r="S44" s="13" t="s">
        <v>4805</v>
      </c>
      <c r="T44" s="11" t="s">
        <v>150</v>
      </c>
      <c r="U44" s="13">
        <v>18067.0</v>
      </c>
      <c r="Z44" s="96"/>
    </row>
    <row r="45">
      <c r="B45" s="30"/>
      <c r="D45" s="30"/>
      <c r="G45" s="13" t="s">
        <v>4806</v>
      </c>
      <c r="H45" s="11" t="s">
        <v>4685</v>
      </c>
      <c r="I45" s="13">
        <v>24986.0</v>
      </c>
      <c r="J45" t="str">
        <f t="array" ref="J45">INDEX('TJ List'!B:B,MATCH(I45,'TJ List'!N:N,0),0)</f>
        <v>#N/A</v>
      </c>
      <c r="K45" s="6"/>
      <c r="L45" s="13" t="s">
        <v>1824</v>
      </c>
      <c r="M45" s="11" t="s">
        <v>83</v>
      </c>
      <c r="N45" s="86" t="s">
        <v>4807</v>
      </c>
      <c r="O45" s="86">
        <v>15264.0</v>
      </c>
      <c r="P45" s="10">
        <f t="array" ref="P45">INDEX('TJ List'!B:B,MATCH(O45,'TJ List'!N:N,0),0)</f>
        <v>43242</v>
      </c>
      <c r="Q45">
        <f t="array" ref="Q45">IFERROR(INDEX(I:I,MATCH(O45,I:I,0),0),0)
</f>
        <v>0</v>
      </c>
      <c r="S45" s="13" t="s">
        <v>4808</v>
      </c>
      <c r="T45" s="11" t="s">
        <v>362</v>
      </c>
      <c r="U45" s="13">
        <v>15679.0</v>
      </c>
      <c r="Z45" s="96"/>
    </row>
    <row r="46">
      <c r="B46" s="30"/>
      <c r="D46" s="30"/>
      <c r="G46" s="13" t="s">
        <v>4809</v>
      </c>
      <c r="H46" s="11" t="s">
        <v>4685</v>
      </c>
      <c r="I46" s="13">
        <v>27787.0</v>
      </c>
      <c r="J46" t="str">
        <f t="array" ref="J46">INDEX('TJ List'!B:B,MATCH(I46,'TJ List'!N:N,0),0)</f>
        <v>#N/A</v>
      </c>
      <c r="K46" s="6"/>
      <c r="L46" s="13" t="s">
        <v>4810</v>
      </c>
      <c r="M46" s="11" t="s">
        <v>83</v>
      </c>
      <c r="N46" s="86" t="s">
        <v>4807</v>
      </c>
      <c r="O46" s="86">
        <v>24602.0</v>
      </c>
      <c r="P46" s="88" t="str">
        <f t="array" ref="P46">INDEX('TJ List'!B:B,MATCH(O46,'TJ List'!N:N,0),0)</f>
        <v>#N/A</v>
      </c>
      <c r="Q46">
        <f t="array" ref="Q46">IFERROR(INDEX(I:I,MATCH(O46,I:I,0),0),0)
</f>
        <v>0</v>
      </c>
      <c r="S46" s="13" t="s">
        <v>4811</v>
      </c>
      <c r="T46" s="11" t="s">
        <v>49</v>
      </c>
      <c r="U46" s="13">
        <v>15905.0</v>
      </c>
      <c r="Z46" s="96"/>
    </row>
    <row r="47">
      <c r="B47" s="30"/>
      <c r="D47" s="30"/>
      <c r="G47" s="13" t="s">
        <v>4812</v>
      </c>
      <c r="H47" s="11" t="s">
        <v>4685</v>
      </c>
      <c r="I47" s="13">
        <v>11804.0</v>
      </c>
      <c r="J47" t="str">
        <f t="array" ref="J47">INDEX('TJ List'!B:B,MATCH(I47,'TJ List'!N:N,0),0)</f>
        <v>#N/A</v>
      </c>
      <c r="K47" s="6"/>
      <c r="L47" s="13" t="s">
        <v>516</v>
      </c>
      <c r="M47" s="11" t="s">
        <v>4757</v>
      </c>
      <c r="N47" s="86" t="s">
        <v>4813</v>
      </c>
      <c r="O47" s="86">
        <v>21483.0</v>
      </c>
      <c r="P47" s="10">
        <f t="array" ref="P47">INDEX('TJ List'!B:B,MATCH(O47,'TJ List'!N:N,0),0)</f>
        <v>45159</v>
      </c>
      <c r="Q47">
        <f t="array" ref="Q47">IFERROR(INDEX(I:I,MATCH(O47,I:I,0),0),0)
</f>
        <v>0</v>
      </c>
      <c r="S47" s="13" t="s">
        <v>4814</v>
      </c>
      <c r="T47" s="11" t="s">
        <v>108</v>
      </c>
      <c r="U47" s="13">
        <v>16725.0</v>
      </c>
      <c r="Z47" s="96"/>
    </row>
    <row r="48">
      <c r="B48" s="30"/>
      <c r="D48" s="30"/>
      <c r="G48" s="13" t="s">
        <v>4815</v>
      </c>
      <c r="H48" s="11" t="s">
        <v>4685</v>
      </c>
      <c r="I48" s="13">
        <v>27624.0</v>
      </c>
      <c r="J48" t="str">
        <f t="array" ref="J48">INDEX('TJ List'!B:B,MATCH(I48,'TJ List'!N:N,0),0)</f>
        <v>#N/A</v>
      </c>
      <c r="K48" s="6"/>
      <c r="L48" s="13" t="s">
        <v>647</v>
      </c>
      <c r="M48" s="11" t="s">
        <v>186</v>
      </c>
      <c r="N48" s="86" t="s">
        <v>56</v>
      </c>
      <c r="O48" s="13" t="s">
        <v>648</v>
      </c>
      <c r="P48" s="10">
        <f t="array" ref="P48">INDEX('TJ List'!B:B,MATCH(O48,'TJ List'!N:N,0),0)</f>
        <v>45017</v>
      </c>
      <c r="Q48">
        <f t="array" ref="Q48">IFERROR(INDEX(I:I,MATCH(O48,I:I,0),0),0)
</f>
        <v>0</v>
      </c>
      <c r="S48" s="13" t="s">
        <v>4816</v>
      </c>
      <c r="T48" s="11" t="s">
        <v>346</v>
      </c>
      <c r="U48" s="13">
        <v>17326.0</v>
      </c>
      <c r="Z48" s="96"/>
    </row>
    <row r="49">
      <c r="B49" s="30"/>
      <c r="D49" s="30"/>
      <c r="G49" s="13" t="s">
        <v>4817</v>
      </c>
      <c r="H49" s="11" t="s">
        <v>4685</v>
      </c>
      <c r="I49" s="13">
        <v>17952.0</v>
      </c>
      <c r="J49" t="str">
        <f t="array" ref="J49">INDEX('TJ List'!B:B,MATCH(I49,'TJ List'!N:N,0),0)</f>
        <v>#N/A</v>
      </c>
      <c r="K49" s="6"/>
      <c r="L49" s="13" t="s">
        <v>650</v>
      </c>
      <c r="M49" s="11" t="s">
        <v>4769</v>
      </c>
      <c r="N49" s="86" t="s">
        <v>182</v>
      </c>
      <c r="O49" s="13">
        <v>27473.0</v>
      </c>
      <c r="P49" s="10">
        <f t="array" ref="P49">INDEX('TJ List'!B:B,MATCH(O49,'TJ List'!N:N,0),0)</f>
        <v>45007</v>
      </c>
      <c r="Q49">
        <f t="array" ref="Q49">IFERROR(INDEX(I:I,MATCH(O49,I:I,0),0),0)
</f>
        <v>0</v>
      </c>
      <c r="S49" s="13" t="s">
        <v>4818</v>
      </c>
      <c r="T49" s="11" t="s">
        <v>4769</v>
      </c>
      <c r="U49" s="13">
        <v>13324.0</v>
      </c>
      <c r="Z49" s="96"/>
    </row>
    <row r="50">
      <c r="B50" s="30"/>
      <c r="D50" s="30"/>
      <c r="G50" s="13" t="s">
        <v>4558</v>
      </c>
      <c r="H50" s="11" t="s">
        <v>4685</v>
      </c>
      <c r="I50" s="13">
        <v>18333.0</v>
      </c>
      <c r="J50" t="str">
        <f t="array" ref="J50">INDEX('TJ List'!B:B,MATCH(I50,'TJ List'!N:N,0),0)</f>
        <v>#N/A</v>
      </c>
      <c r="K50" s="6"/>
      <c r="L50" s="13" t="s">
        <v>431</v>
      </c>
      <c r="M50" s="11" t="s">
        <v>4769</v>
      </c>
      <c r="N50" s="86" t="s">
        <v>182</v>
      </c>
      <c r="O50" s="86">
        <v>21850.0</v>
      </c>
      <c r="P50" s="10">
        <f t="array" ref="P50">INDEX('TJ List'!B:B,MATCH(O50,'TJ List'!N:N,0),0)</f>
        <v>45352</v>
      </c>
      <c r="Q50">
        <f t="array" ref="Q50">IFERROR(INDEX(I:I,MATCH(O50,I:I,0),0),0)
</f>
        <v>0</v>
      </c>
      <c r="S50" s="13" t="s">
        <v>4819</v>
      </c>
      <c r="T50" s="11" t="s">
        <v>103</v>
      </c>
      <c r="U50" s="13">
        <v>26466.0</v>
      </c>
      <c r="Z50" s="96"/>
    </row>
    <row r="51">
      <c r="B51" s="30"/>
      <c r="D51" s="30"/>
      <c r="G51" s="13" t="s">
        <v>4820</v>
      </c>
      <c r="H51" s="11" t="s">
        <v>4685</v>
      </c>
      <c r="I51" s="13">
        <v>15947.0</v>
      </c>
      <c r="J51" t="str">
        <f t="array" ref="J51">INDEX('TJ List'!B:B,MATCH(I51,'TJ List'!N:N,0),0)</f>
        <v>#N/A</v>
      </c>
      <c r="K51" s="6"/>
      <c r="M51" s="30"/>
      <c r="N51" s="86"/>
      <c r="O51" s="86"/>
      <c r="S51" s="13" t="s">
        <v>4821</v>
      </c>
      <c r="T51" s="11" t="s">
        <v>4722</v>
      </c>
      <c r="U51" s="13">
        <v>19314.0</v>
      </c>
      <c r="Z51" s="96"/>
    </row>
    <row r="52">
      <c r="B52" s="30"/>
      <c r="D52" s="30"/>
      <c r="G52" s="13" t="s">
        <v>4822</v>
      </c>
      <c r="H52" s="11" t="s">
        <v>4685</v>
      </c>
      <c r="I52" s="13">
        <v>14764.0</v>
      </c>
      <c r="J52" t="str">
        <f t="array" ref="J52">INDEX('TJ List'!B:B,MATCH(I52,'TJ List'!N:N,0),0)</f>
        <v>#N/A</v>
      </c>
      <c r="K52" s="6"/>
      <c r="M52" s="30"/>
      <c r="N52" s="86"/>
      <c r="O52" s="86"/>
      <c r="S52" s="13" t="s">
        <v>4823</v>
      </c>
      <c r="T52" s="11" t="s">
        <v>116</v>
      </c>
      <c r="U52" s="13">
        <v>19931.0</v>
      </c>
      <c r="Z52" s="96"/>
    </row>
    <row r="53">
      <c r="B53" s="30"/>
      <c r="D53" s="30"/>
      <c r="G53" s="13" t="s">
        <v>4824</v>
      </c>
      <c r="H53" s="11" t="s">
        <v>4685</v>
      </c>
      <c r="I53" s="13">
        <v>23301.0</v>
      </c>
      <c r="J53" t="str">
        <f t="array" ref="J53">INDEX('TJ List'!B:B,MATCH(I53,'TJ List'!N:N,0),0)</f>
        <v>#N/A</v>
      </c>
      <c r="K53" s="6"/>
      <c r="M53" s="30"/>
      <c r="N53" s="86"/>
      <c r="O53" s="86"/>
      <c r="S53" s="13" t="s">
        <v>4825</v>
      </c>
      <c r="T53" s="11" t="s">
        <v>150</v>
      </c>
      <c r="U53" s="13">
        <v>19358.0</v>
      </c>
      <c r="Z53" s="96"/>
    </row>
    <row r="54">
      <c r="B54" s="30"/>
      <c r="D54" s="30"/>
      <c r="G54" s="13" t="s">
        <v>4826</v>
      </c>
      <c r="H54" s="11" t="s">
        <v>4685</v>
      </c>
      <c r="I54" s="13">
        <v>16502.0</v>
      </c>
      <c r="J54" t="str">
        <f t="array" ref="J54">INDEX('TJ List'!B:B,MATCH(I54,'TJ List'!N:N,0),0)</f>
        <v>#N/A</v>
      </c>
      <c r="K54" s="6"/>
      <c r="M54" s="30"/>
      <c r="N54" s="86"/>
      <c r="O54" s="86"/>
      <c r="S54" s="13" t="s">
        <v>4827</v>
      </c>
      <c r="T54" s="11" t="s">
        <v>167</v>
      </c>
      <c r="U54" s="13">
        <v>13602.0</v>
      </c>
      <c r="Z54" s="96"/>
    </row>
    <row r="55">
      <c r="B55" s="30"/>
      <c r="D55" s="30"/>
      <c r="G55" s="13" t="s">
        <v>4828</v>
      </c>
      <c r="H55" s="11" t="s">
        <v>4685</v>
      </c>
      <c r="I55" s="13">
        <v>25178.0</v>
      </c>
      <c r="J55" t="str">
        <f t="array" ref="J55">INDEX('TJ List'!B:B,MATCH(I55,'TJ List'!N:N,0),0)</f>
        <v>#N/A</v>
      </c>
      <c r="K55" s="6"/>
      <c r="M55" s="30"/>
      <c r="N55" s="86"/>
      <c r="O55" s="86"/>
      <c r="S55" s="13" t="s">
        <v>4829</v>
      </c>
      <c r="T55" s="11" t="s">
        <v>4722</v>
      </c>
      <c r="U55" s="13">
        <v>14854.0</v>
      </c>
      <c r="Z55" s="96"/>
    </row>
    <row r="56">
      <c r="B56" s="30"/>
      <c r="D56" s="30"/>
      <c r="G56" s="13" t="s">
        <v>4830</v>
      </c>
      <c r="H56" s="11" t="s">
        <v>4685</v>
      </c>
      <c r="I56" s="13">
        <v>23252.0</v>
      </c>
      <c r="J56" t="str">
        <f t="array" ref="J56">INDEX('TJ List'!B:B,MATCH(I56,'TJ List'!N:N,0),0)</f>
        <v>#N/A</v>
      </c>
      <c r="K56" s="6"/>
      <c r="M56" s="30"/>
      <c r="N56" s="86"/>
      <c r="O56" s="86"/>
      <c r="T56" s="11"/>
      <c r="Z56" s="96"/>
    </row>
    <row r="57">
      <c r="B57" s="30"/>
      <c r="D57" s="30"/>
      <c r="G57" s="13" t="s">
        <v>4725</v>
      </c>
      <c r="H57" s="11" t="s">
        <v>4685</v>
      </c>
      <c r="I57" s="13">
        <v>16451.0</v>
      </c>
      <c r="J57" t="str">
        <f t="array" ref="J57">INDEX('TJ List'!B:B,MATCH(I57,'TJ List'!N:N,0),0)</f>
        <v>#N/A</v>
      </c>
      <c r="K57" s="6"/>
      <c r="M57" s="30"/>
      <c r="N57" s="86"/>
      <c r="O57" s="86"/>
      <c r="T57" s="11"/>
      <c r="Z57" s="96"/>
    </row>
    <row r="58">
      <c r="B58" s="30"/>
      <c r="D58" s="30"/>
      <c r="G58" s="13" t="s">
        <v>4831</v>
      </c>
      <c r="H58" s="11" t="s">
        <v>4685</v>
      </c>
      <c r="I58" s="13">
        <v>26058.0</v>
      </c>
      <c r="J58" t="str">
        <f t="array" ref="J58">INDEX('TJ List'!B:B,MATCH(I58,'TJ List'!N:N,0),0)</f>
        <v>#N/A</v>
      </c>
      <c r="K58" s="6"/>
      <c r="M58" s="30"/>
      <c r="N58" s="86"/>
      <c r="O58" s="86"/>
      <c r="T58" s="11"/>
      <c r="Z58" s="96"/>
    </row>
    <row r="59">
      <c r="B59" s="30"/>
      <c r="D59" s="30"/>
      <c r="G59" s="13" t="s">
        <v>4832</v>
      </c>
      <c r="H59" s="11" t="s">
        <v>4685</v>
      </c>
      <c r="I59" s="13">
        <v>21997.0</v>
      </c>
      <c r="J59" t="str">
        <f t="array" ref="J59">INDEX('TJ List'!B:B,MATCH(I59,'TJ List'!N:N,0),0)</f>
        <v>#N/A</v>
      </c>
      <c r="K59" s="6"/>
      <c r="M59" s="30"/>
      <c r="N59" s="86"/>
      <c r="O59" s="86"/>
      <c r="T59" s="11"/>
      <c r="Z59" s="96"/>
    </row>
    <row r="60">
      <c r="B60" s="30"/>
      <c r="D60" s="30"/>
      <c r="G60" s="13" t="s">
        <v>4833</v>
      </c>
      <c r="H60" s="11" t="s">
        <v>4685</v>
      </c>
      <c r="I60" s="13">
        <v>20827.0</v>
      </c>
      <c r="J60" t="str">
        <f t="array" ref="J60">INDEX('TJ List'!B:B,MATCH(I60,'TJ List'!N:N,0),0)</f>
        <v>#N/A</v>
      </c>
      <c r="K60" s="6"/>
      <c r="M60" s="30"/>
      <c r="N60" s="86"/>
      <c r="O60" s="86"/>
      <c r="T60" s="11"/>
      <c r="Z60" s="96"/>
    </row>
    <row r="61">
      <c r="B61" s="30"/>
      <c r="D61" s="30"/>
      <c r="G61" s="13" t="s">
        <v>4834</v>
      </c>
      <c r="H61" s="11" t="s">
        <v>4685</v>
      </c>
      <c r="I61" s="13">
        <v>16933.0</v>
      </c>
      <c r="J61" t="str">
        <f t="array" ref="J61">INDEX('TJ List'!B:B,MATCH(I61,'TJ List'!N:N,0),0)</f>
        <v>#N/A</v>
      </c>
      <c r="K61" s="6"/>
      <c r="M61" s="30"/>
      <c r="N61" s="86"/>
      <c r="O61" s="86"/>
      <c r="T61" s="11"/>
      <c r="Z61" s="96"/>
    </row>
    <row r="62">
      <c r="B62" s="30"/>
      <c r="D62" s="30"/>
      <c r="G62" s="13" t="s">
        <v>4835</v>
      </c>
      <c r="H62" s="11" t="s">
        <v>4685</v>
      </c>
      <c r="I62" s="13">
        <v>13470.0</v>
      </c>
      <c r="J62" t="str">
        <f t="array" ref="J62">INDEX('TJ List'!B:B,MATCH(I62,'TJ List'!N:N,0),0)</f>
        <v>#N/A</v>
      </c>
      <c r="K62" s="6"/>
      <c r="M62" s="30"/>
      <c r="N62" s="86"/>
      <c r="O62" s="86"/>
      <c r="T62" s="11"/>
      <c r="Z62" s="96"/>
    </row>
    <row r="63">
      <c r="B63" s="30"/>
      <c r="D63" s="30"/>
      <c r="G63" s="13" t="s">
        <v>4836</v>
      </c>
      <c r="H63" s="11" t="s">
        <v>4685</v>
      </c>
      <c r="I63" s="13">
        <v>19866.0</v>
      </c>
      <c r="J63" t="str">
        <f t="array" ref="J63">INDEX('TJ List'!B:B,MATCH(I63,'TJ List'!N:N,0),0)</f>
        <v>#N/A</v>
      </c>
      <c r="K63" s="6"/>
      <c r="M63" s="30"/>
      <c r="N63" s="86"/>
      <c r="O63" s="86"/>
      <c r="T63" s="11"/>
      <c r="Z63" s="96"/>
    </row>
    <row r="64">
      <c r="B64" s="30"/>
      <c r="D64" s="30"/>
      <c r="G64" s="13" t="s">
        <v>4837</v>
      </c>
      <c r="H64" s="11" t="s">
        <v>4685</v>
      </c>
      <c r="I64" s="13">
        <v>15734.0</v>
      </c>
      <c r="J64" t="str">
        <f t="array" ref="J64">INDEX('TJ List'!B:B,MATCH(I64,'TJ List'!N:N,0),0)</f>
        <v>#N/A</v>
      </c>
      <c r="K64" s="6"/>
      <c r="M64" s="30"/>
      <c r="N64" s="86"/>
      <c r="O64" s="86"/>
      <c r="T64" s="11"/>
      <c r="Z64" s="96"/>
    </row>
    <row r="65">
      <c r="B65" s="30"/>
      <c r="D65" s="30"/>
      <c r="G65" s="13" t="s">
        <v>4838</v>
      </c>
      <c r="H65" s="11" t="s">
        <v>4685</v>
      </c>
      <c r="I65" s="13">
        <v>17701.0</v>
      </c>
      <c r="J65" t="str">
        <f t="array" ref="J65">INDEX('TJ List'!B:B,MATCH(I65,'TJ List'!N:N,0),0)</f>
        <v>#N/A</v>
      </c>
      <c r="K65" s="6"/>
      <c r="M65" s="30"/>
      <c r="N65" s="86"/>
      <c r="O65" s="86"/>
      <c r="T65" s="11"/>
      <c r="Z65" s="96"/>
    </row>
    <row r="66">
      <c r="B66" s="30"/>
      <c r="D66" s="30"/>
      <c r="G66" s="13" t="s">
        <v>198</v>
      </c>
      <c r="H66" s="11" t="s">
        <v>4685</v>
      </c>
      <c r="I66" s="13">
        <v>14510.0</v>
      </c>
      <c r="J66" s="87">
        <f t="array" ref="J66">INDEX('TJ List'!B:B,MATCH(I66,'TJ List'!N:N,0),0)</f>
        <v>45717</v>
      </c>
      <c r="K66" s="6"/>
      <c r="M66" s="30"/>
      <c r="N66" s="86"/>
      <c r="O66" s="86"/>
      <c r="T66" s="11"/>
      <c r="Z66" s="96"/>
    </row>
    <row r="67">
      <c r="B67" s="30"/>
      <c r="D67" s="30"/>
      <c r="G67" s="13" t="s">
        <v>4839</v>
      </c>
      <c r="H67" s="11" t="s">
        <v>4685</v>
      </c>
      <c r="I67" s="13">
        <v>20206.0</v>
      </c>
      <c r="J67" t="str">
        <f t="array" ref="J67">INDEX('TJ List'!B:B,MATCH(I67,'TJ List'!N:N,0),0)</f>
        <v>#N/A</v>
      </c>
      <c r="K67" s="6"/>
      <c r="M67" s="30"/>
      <c r="N67" s="86"/>
      <c r="O67" s="86"/>
      <c r="T67" s="11"/>
      <c r="Z67" s="96"/>
    </row>
    <row r="68">
      <c r="B68" s="30"/>
      <c r="D68" s="30"/>
      <c r="G68" s="13" t="s">
        <v>4840</v>
      </c>
      <c r="H68" s="11" t="s">
        <v>4685</v>
      </c>
      <c r="I68" s="13">
        <v>22810.0</v>
      </c>
      <c r="J68" t="str">
        <f t="array" ref="J68">INDEX('TJ List'!B:B,MATCH(I68,'TJ List'!N:N,0),0)</f>
        <v>#N/A</v>
      </c>
      <c r="K68" s="6"/>
      <c r="M68" s="30"/>
      <c r="N68" s="86"/>
      <c r="T68" s="30"/>
      <c r="Z68" s="96"/>
    </row>
    <row r="69">
      <c r="B69" s="30"/>
      <c r="D69" s="30"/>
      <c r="G69" s="13" t="s">
        <v>4841</v>
      </c>
      <c r="H69" s="11" t="s">
        <v>4685</v>
      </c>
      <c r="I69" s="13">
        <v>20038.0</v>
      </c>
      <c r="J69" t="str">
        <f t="array" ref="J69">INDEX('TJ List'!B:B,MATCH(I69,'TJ List'!N:N,0),0)</f>
        <v>#N/A</v>
      </c>
      <c r="K69" s="6"/>
      <c r="M69" s="30"/>
      <c r="N69" s="86"/>
      <c r="O69" s="86"/>
      <c r="T69" s="30"/>
      <c r="Z69" s="96"/>
    </row>
    <row r="70">
      <c r="B70" s="30"/>
      <c r="D70" s="30"/>
      <c r="G70" s="13" t="s">
        <v>4842</v>
      </c>
      <c r="H70" s="11" t="s">
        <v>4685</v>
      </c>
      <c r="I70" s="13">
        <v>6895.0</v>
      </c>
      <c r="J70" t="str">
        <f t="array" ref="J70">INDEX('TJ List'!B:B,MATCH(I70,'TJ List'!N:N,0),0)</f>
        <v>#N/A</v>
      </c>
      <c r="K70" s="6"/>
      <c r="M70" s="30"/>
      <c r="N70" s="86"/>
      <c r="O70" s="86"/>
      <c r="T70" s="30"/>
      <c r="Z70" s="96"/>
    </row>
    <row r="71">
      <c r="B71" s="30"/>
      <c r="D71" s="30"/>
      <c r="G71" s="13" t="s">
        <v>4843</v>
      </c>
      <c r="H71" s="11" t="s">
        <v>4685</v>
      </c>
      <c r="I71" s="13">
        <v>21205.0</v>
      </c>
      <c r="J71" t="str">
        <f t="array" ref="J71">INDEX('TJ List'!B:B,MATCH(I71,'TJ List'!N:N,0),0)</f>
        <v>#N/A</v>
      </c>
      <c r="K71" s="6"/>
      <c r="M71" s="30"/>
      <c r="N71" s="86"/>
      <c r="O71" s="86"/>
      <c r="T71" s="30"/>
      <c r="Z71" s="96"/>
    </row>
    <row r="72">
      <c r="B72" s="30"/>
      <c r="D72" s="30"/>
      <c r="G72" s="13" t="s">
        <v>4844</v>
      </c>
      <c r="H72" s="11" t="s">
        <v>4685</v>
      </c>
      <c r="I72" s="13">
        <v>21955.0</v>
      </c>
      <c r="J72" t="str">
        <f t="array" ref="J72">INDEX('TJ List'!B:B,MATCH(I72,'TJ List'!N:N,0),0)</f>
        <v>#N/A</v>
      </c>
      <c r="K72" s="6"/>
      <c r="M72" s="30"/>
      <c r="N72" s="86"/>
      <c r="O72" s="86"/>
      <c r="T72" s="30"/>
      <c r="Z72" s="96"/>
    </row>
    <row r="73">
      <c r="B73" s="30"/>
      <c r="D73" s="30"/>
      <c r="G73" s="13" t="s">
        <v>4845</v>
      </c>
      <c r="H73" s="11" t="s">
        <v>4685</v>
      </c>
      <c r="I73" s="13">
        <v>18403.0</v>
      </c>
      <c r="J73" t="str">
        <f t="array" ref="J73">INDEX('TJ List'!B:B,MATCH(I73,'TJ List'!N:N,0),0)</f>
        <v>#N/A</v>
      </c>
      <c r="K73" s="6"/>
      <c r="M73" s="30"/>
      <c r="N73" s="86"/>
      <c r="O73" s="86"/>
      <c r="T73" s="30"/>
      <c r="Z73" s="96"/>
    </row>
    <row r="74">
      <c r="B74" s="30"/>
      <c r="D74" s="30"/>
      <c r="G74" s="13" t="s">
        <v>2977</v>
      </c>
      <c r="H74" s="11" t="s">
        <v>101</v>
      </c>
      <c r="I74" s="13">
        <v>12056.0</v>
      </c>
      <c r="J74" s="87">
        <f t="array" ref="J74">INDEX('TJ List'!B:B,MATCH(I74,'TJ List'!N:N,0),0)</f>
        <v>41786</v>
      </c>
      <c r="K74" s="6"/>
      <c r="M74" s="30"/>
      <c r="N74" s="86"/>
      <c r="O74" s="86"/>
      <c r="T74" s="30"/>
      <c r="Z74" s="96"/>
    </row>
    <row r="75">
      <c r="B75" s="30"/>
      <c r="D75" s="30"/>
      <c r="G75" s="13" t="s">
        <v>1933</v>
      </c>
      <c r="H75" s="11" t="s">
        <v>101</v>
      </c>
      <c r="I75" s="13">
        <v>16647.0</v>
      </c>
      <c r="J75" s="89">
        <f t="array" ref="J75">INDEX('TJ List'!B:B,MATCH(I75,'TJ List'!N:N,0),0)</f>
        <v>43101</v>
      </c>
      <c r="K75" s="6"/>
      <c r="M75" s="30"/>
      <c r="N75" s="86"/>
      <c r="O75" s="86"/>
      <c r="T75" s="30"/>
      <c r="Z75" s="96"/>
    </row>
    <row r="76">
      <c r="B76" s="30"/>
      <c r="D76" s="30"/>
      <c r="G76" s="13" t="s">
        <v>1896</v>
      </c>
      <c r="H76" s="11" t="s">
        <v>101</v>
      </c>
      <c r="I76" s="13">
        <v>14857.0</v>
      </c>
      <c r="J76" s="87">
        <f t="array" ref="J76">INDEX('TJ List'!B:B,MATCH(I76,'TJ List'!N:N,0),0)</f>
        <v>43168</v>
      </c>
      <c r="K76" s="6"/>
      <c r="M76" s="30"/>
      <c r="N76" s="86"/>
      <c r="O76" s="86"/>
      <c r="T76" s="30"/>
      <c r="Z76" s="96"/>
    </row>
    <row r="77">
      <c r="B77" s="30"/>
      <c r="D77" s="30"/>
      <c r="G77" s="13" t="s">
        <v>1866</v>
      </c>
      <c r="H77" s="11" t="s">
        <v>101</v>
      </c>
      <c r="I77" s="13">
        <v>19343.0</v>
      </c>
      <c r="J77" s="87">
        <f t="array" ref="J77">INDEX('TJ List'!B:B,MATCH(I77,'TJ List'!N:N,0),0)</f>
        <v>43200</v>
      </c>
      <c r="K77" s="6"/>
      <c r="M77" s="30"/>
      <c r="N77" s="86"/>
      <c r="O77" s="86"/>
      <c r="T77" s="30"/>
      <c r="Z77" s="96"/>
    </row>
    <row r="78">
      <c r="B78" s="30"/>
      <c r="D78" s="30"/>
      <c r="G78" s="13" t="s">
        <v>172</v>
      </c>
      <c r="H78" s="11" t="s">
        <v>101</v>
      </c>
      <c r="I78" s="13">
        <v>16511.0</v>
      </c>
      <c r="J78" s="87">
        <f t="array" ref="J78">INDEX('TJ List'!B:B,MATCH(I78,'TJ List'!N:N,0),0)</f>
        <v>45748</v>
      </c>
      <c r="K78" s="6"/>
      <c r="M78" s="30"/>
      <c r="N78" s="86"/>
      <c r="O78" s="86"/>
      <c r="T78" s="30"/>
      <c r="Z78" s="96"/>
    </row>
    <row r="79">
      <c r="B79" s="30"/>
      <c r="D79" s="30"/>
      <c r="G79" s="13" t="s">
        <v>1355</v>
      </c>
      <c r="H79" s="11" t="s">
        <v>101</v>
      </c>
      <c r="I79" s="13">
        <v>13528.0</v>
      </c>
      <c r="J79" s="87">
        <f t="array" ref="J79">INDEX('TJ List'!B:B,MATCH(I79,'TJ List'!N:N,0),0)</f>
        <v>44075</v>
      </c>
      <c r="K79" s="6"/>
      <c r="M79" s="30"/>
      <c r="N79" s="86"/>
      <c r="O79" s="86"/>
      <c r="T79" s="30"/>
      <c r="Z79" s="96"/>
    </row>
    <row r="80">
      <c r="B80" s="30"/>
      <c r="D80" s="30"/>
      <c r="G80" s="13" t="s">
        <v>1230</v>
      </c>
      <c r="H80" s="11" t="s">
        <v>101</v>
      </c>
      <c r="I80" s="13">
        <v>26203.0</v>
      </c>
      <c r="J80" s="87">
        <f t="array" ref="J80">INDEX('TJ List'!B:B,MATCH(I80,'TJ List'!N:N,0),0)</f>
        <v>44197</v>
      </c>
      <c r="K80" s="6"/>
      <c r="M80" s="30"/>
      <c r="N80" s="86"/>
      <c r="O80" s="86"/>
      <c r="T80" s="30"/>
      <c r="Z80" s="96"/>
    </row>
    <row r="81">
      <c r="B81" s="30"/>
      <c r="D81" s="30"/>
      <c r="G81" s="13" t="s">
        <v>100</v>
      </c>
      <c r="H81" s="11" t="s">
        <v>101</v>
      </c>
      <c r="I81" s="13">
        <v>24453.0</v>
      </c>
      <c r="J81" s="87">
        <f t="array" ref="J81">INDEX('TJ List'!B:B,MATCH(I81,'TJ List'!N:N,0),0)</f>
        <v>45833</v>
      </c>
      <c r="K81" s="6"/>
      <c r="M81" s="30"/>
      <c r="N81" s="86"/>
      <c r="O81" s="86"/>
      <c r="T81" s="30"/>
      <c r="Z81" s="96"/>
    </row>
    <row r="82">
      <c r="B82" s="30"/>
      <c r="D82" s="30"/>
      <c r="G82" s="13" t="s">
        <v>758</v>
      </c>
      <c r="H82" s="11" t="s">
        <v>101</v>
      </c>
      <c r="I82" s="13">
        <v>21183.0</v>
      </c>
      <c r="J82" s="87">
        <f t="array" ref="J82">INDEX('TJ List'!B:B,MATCH(I82,'TJ List'!N:N,0),0)</f>
        <v>44781</v>
      </c>
      <c r="K82" s="6"/>
      <c r="M82" s="30"/>
      <c r="N82" s="86"/>
      <c r="O82" s="86"/>
      <c r="T82" s="30"/>
      <c r="Z82" s="96"/>
    </row>
    <row r="83">
      <c r="B83" s="30"/>
      <c r="D83" s="30"/>
      <c r="G83" s="13" t="s">
        <v>4846</v>
      </c>
      <c r="H83" s="11" t="s">
        <v>101</v>
      </c>
      <c r="I83" s="13">
        <v>27782.0</v>
      </c>
      <c r="J83" t="str">
        <f t="array" ref="J83">INDEX('TJ List'!B:B,MATCH(I83,'TJ List'!N:N,0),0)</f>
        <v>#N/A</v>
      </c>
      <c r="K83" s="6"/>
      <c r="M83" s="30"/>
      <c r="N83" s="86"/>
      <c r="O83" s="86"/>
      <c r="T83" s="30"/>
      <c r="Z83" s="96"/>
    </row>
    <row r="84">
      <c r="B84" s="30"/>
      <c r="D84" s="30"/>
      <c r="G84" s="13" t="s">
        <v>4847</v>
      </c>
      <c r="H84" s="11" t="s">
        <v>101</v>
      </c>
      <c r="I84" s="13">
        <v>19291.0</v>
      </c>
      <c r="J84" t="str">
        <f t="array" ref="J84">INDEX('TJ List'!B:B,MATCH(I84,'TJ List'!N:N,0),0)</f>
        <v>#N/A</v>
      </c>
      <c r="K84" s="6"/>
      <c r="M84" s="30"/>
      <c r="N84" s="86"/>
      <c r="O84" s="86"/>
      <c r="T84" s="30"/>
      <c r="Z84" s="96"/>
    </row>
    <row r="85">
      <c r="B85" s="30"/>
      <c r="D85" s="30"/>
      <c r="G85" s="13" t="s">
        <v>4848</v>
      </c>
      <c r="H85" s="11" t="s">
        <v>101</v>
      </c>
      <c r="I85" s="13">
        <v>26253.0</v>
      </c>
      <c r="J85" t="str">
        <f t="array" ref="J85">INDEX('TJ List'!B:B,MATCH(I85,'TJ List'!N:N,0),0)</f>
        <v>#N/A</v>
      </c>
      <c r="K85" s="6"/>
      <c r="M85" s="30"/>
      <c r="N85" s="86"/>
      <c r="O85" s="86"/>
      <c r="T85" s="30"/>
      <c r="Z85" s="96"/>
    </row>
    <row r="86">
      <c r="B86" s="30"/>
      <c r="D86" s="30"/>
      <c r="G86" s="13" t="s">
        <v>4849</v>
      </c>
      <c r="H86" s="11" t="s">
        <v>101</v>
      </c>
      <c r="I86" s="13">
        <v>19876.0</v>
      </c>
      <c r="J86" t="str">
        <f t="array" ref="J86">INDEX('TJ List'!B:B,MATCH(I86,'TJ List'!N:N,0),0)</f>
        <v>#N/A</v>
      </c>
      <c r="K86" s="6"/>
      <c r="M86" s="30"/>
      <c r="N86" s="86"/>
      <c r="O86" s="86"/>
      <c r="T86" s="30"/>
      <c r="Z86" s="96"/>
    </row>
    <row r="87">
      <c r="B87" s="30"/>
      <c r="D87" s="30"/>
      <c r="G87" s="13" t="s">
        <v>4850</v>
      </c>
      <c r="H87" s="11" t="s">
        <v>101</v>
      </c>
      <c r="I87" s="13">
        <v>11156.0</v>
      </c>
      <c r="J87" t="str">
        <f t="array" ref="J87">INDEX('TJ List'!B:B,MATCH(I87,'TJ List'!N:N,0),0)</f>
        <v>#N/A</v>
      </c>
      <c r="K87" s="6"/>
      <c r="M87" s="30"/>
      <c r="N87" s="86"/>
      <c r="O87" s="86"/>
      <c r="T87" s="30"/>
      <c r="Z87" s="96"/>
    </row>
    <row r="88">
      <c r="B88" s="30"/>
      <c r="D88" s="30"/>
      <c r="G88" s="13" t="s">
        <v>4851</v>
      </c>
      <c r="H88" s="11" t="s">
        <v>101</v>
      </c>
      <c r="I88" s="13">
        <v>13892.0</v>
      </c>
      <c r="J88" t="str">
        <f t="array" ref="J88">INDEX('TJ List'!B:B,MATCH(I88,'TJ List'!N:N,0),0)</f>
        <v>#N/A</v>
      </c>
      <c r="K88" s="6"/>
      <c r="M88" s="30"/>
      <c r="N88" s="86"/>
      <c r="O88" s="86"/>
      <c r="T88" s="30"/>
      <c r="Z88" s="96"/>
    </row>
    <row r="89">
      <c r="B89" s="30"/>
      <c r="D89" s="30"/>
      <c r="G89" s="13" t="s">
        <v>4852</v>
      </c>
      <c r="H89" s="11" t="s">
        <v>101</v>
      </c>
      <c r="I89" s="13">
        <v>13164.0</v>
      </c>
      <c r="J89" t="str">
        <f t="array" ref="J89">INDEX('TJ List'!B:B,MATCH(I89,'TJ List'!N:N,0),0)</f>
        <v>#N/A</v>
      </c>
      <c r="K89" s="6"/>
      <c r="M89" s="30"/>
      <c r="N89" s="86"/>
      <c r="O89" s="86"/>
      <c r="T89" s="30"/>
      <c r="Z89" s="96"/>
    </row>
    <row r="90">
      <c r="B90" s="30"/>
      <c r="D90" s="30"/>
      <c r="G90" s="13" t="s">
        <v>4853</v>
      </c>
      <c r="H90" s="11" t="s">
        <v>101</v>
      </c>
      <c r="I90" s="13">
        <v>27500.0</v>
      </c>
      <c r="J90" t="str">
        <f t="array" ref="J90">INDEX('TJ List'!B:B,MATCH(I90,'TJ List'!N:N,0),0)</f>
        <v>#N/A</v>
      </c>
      <c r="K90" s="6"/>
      <c r="M90" s="30"/>
      <c r="N90" s="86"/>
      <c r="O90" s="86"/>
      <c r="T90" s="30"/>
      <c r="Z90" s="96"/>
    </row>
    <row r="91">
      <c r="B91" s="30"/>
      <c r="D91" s="30"/>
      <c r="G91" s="13" t="s">
        <v>4854</v>
      </c>
      <c r="H91" s="11" t="s">
        <v>101</v>
      </c>
      <c r="I91" s="13">
        <v>29271.0</v>
      </c>
      <c r="J91" t="str">
        <f t="array" ref="J91">INDEX('TJ List'!B:B,MATCH(I91,'TJ List'!N:N,0),0)</f>
        <v>#N/A</v>
      </c>
      <c r="K91" s="6"/>
      <c r="M91" s="30"/>
      <c r="N91" s="86"/>
      <c r="O91" s="86"/>
      <c r="T91" s="30"/>
      <c r="Z91" s="96"/>
    </row>
    <row r="92">
      <c r="B92" s="30"/>
      <c r="D92" s="30"/>
      <c r="G92" s="13" t="s">
        <v>4855</v>
      </c>
      <c r="H92" s="11" t="s">
        <v>101</v>
      </c>
      <c r="I92" s="13">
        <v>18555.0</v>
      </c>
      <c r="J92" t="str">
        <f t="array" ref="J92">INDEX('TJ List'!B:B,MATCH(I92,'TJ List'!N:N,0),0)</f>
        <v>#N/A</v>
      </c>
      <c r="K92" s="6"/>
      <c r="M92" s="30"/>
      <c r="N92" s="86"/>
      <c r="O92" s="86"/>
      <c r="T92" s="30"/>
      <c r="Z92" s="96"/>
    </row>
    <row r="93">
      <c r="B93" s="30"/>
      <c r="D93" s="30"/>
      <c r="G93" s="13" t="s">
        <v>4689</v>
      </c>
      <c r="H93" s="11" t="s">
        <v>101</v>
      </c>
      <c r="I93" s="13">
        <v>10200.0</v>
      </c>
      <c r="J93" t="str">
        <f t="array" ref="J93">INDEX('TJ List'!B:B,MATCH(I93,'TJ List'!N:N,0),0)</f>
        <v>#N/A</v>
      </c>
      <c r="K93" s="6"/>
      <c r="M93" s="30"/>
      <c r="N93" s="86"/>
      <c r="O93" s="86"/>
      <c r="T93" s="30"/>
      <c r="Z93" s="96"/>
    </row>
    <row r="94">
      <c r="B94" s="30"/>
      <c r="D94" s="30"/>
      <c r="G94" s="13" t="s">
        <v>4856</v>
      </c>
      <c r="H94" s="11" t="s">
        <v>101</v>
      </c>
      <c r="I94" s="13">
        <v>20515.0</v>
      </c>
      <c r="J94" t="str">
        <f t="array" ref="J94">INDEX('TJ List'!B:B,MATCH(I94,'TJ List'!N:N,0),0)</f>
        <v>#N/A</v>
      </c>
      <c r="K94" s="6"/>
      <c r="M94" s="30"/>
      <c r="N94" s="86"/>
      <c r="O94" s="86"/>
      <c r="T94" s="30"/>
      <c r="Z94" s="96"/>
    </row>
    <row r="95">
      <c r="B95" s="30"/>
      <c r="D95" s="30"/>
      <c r="G95" s="13" t="s">
        <v>4857</v>
      </c>
      <c r="H95" s="11" t="s">
        <v>101</v>
      </c>
      <c r="I95" s="13">
        <v>15684.0</v>
      </c>
      <c r="J95" t="str">
        <f t="array" ref="J95">INDEX('TJ List'!B:B,MATCH(I95,'TJ List'!N:N,0),0)</f>
        <v>#N/A</v>
      </c>
      <c r="K95" s="6"/>
      <c r="M95" s="30"/>
      <c r="N95" s="86"/>
      <c r="O95" s="86"/>
      <c r="T95" s="30"/>
      <c r="Z95" s="96"/>
    </row>
    <row r="96">
      <c r="B96" s="30"/>
      <c r="D96" s="30"/>
      <c r="G96" s="13" t="s">
        <v>188</v>
      </c>
      <c r="H96" s="11" t="s">
        <v>101</v>
      </c>
      <c r="I96" s="13">
        <v>26270.0</v>
      </c>
      <c r="J96" s="87">
        <f t="array" ref="J96">INDEX('TJ List'!B:B,MATCH(I96,'TJ List'!N:N,0),0)</f>
        <v>45742</v>
      </c>
      <c r="K96" s="6"/>
      <c r="M96" s="30"/>
      <c r="N96" s="86"/>
      <c r="O96" s="86"/>
      <c r="T96" s="30"/>
      <c r="Z96" s="96"/>
    </row>
    <row r="97">
      <c r="B97" s="30"/>
      <c r="D97" s="30"/>
      <c r="G97" s="13" t="s">
        <v>4858</v>
      </c>
      <c r="H97" s="11" t="s">
        <v>101</v>
      </c>
      <c r="I97" s="13">
        <v>27974.0</v>
      </c>
      <c r="J97" t="str">
        <f t="array" ref="J97">INDEX('TJ List'!B:B,MATCH(I97,'TJ List'!N:N,0),0)</f>
        <v>#N/A</v>
      </c>
      <c r="K97" s="6"/>
      <c r="M97" s="30"/>
      <c r="N97" s="86"/>
      <c r="O97" s="86"/>
      <c r="T97" s="30"/>
      <c r="Z97" s="96"/>
    </row>
    <row r="98">
      <c r="B98" s="30"/>
      <c r="D98" s="30"/>
      <c r="G98" s="13" t="s">
        <v>128</v>
      </c>
      <c r="H98" s="11" t="s">
        <v>101</v>
      </c>
      <c r="I98" s="13">
        <v>26285.0</v>
      </c>
      <c r="J98" s="87">
        <f t="array" ref="J98">INDEX('TJ List'!B:B,MATCH(I98,'TJ List'!N:N,0),0)</f>
        <v>45809</v>
      </c>
      <c r="K98" s="6"/>
      <c r="M98" s="30"/>
      <c r="N98" s="86"/>
      <c r="O98" s="86"/>
      <c r="T98" s="30"/>
      <c r="Z98" s="96"/>
    </row>
    <row r="99">
      <c r="B99" s="30"/>
      <c r="D99" s="30"/>
      <c r="G99" s="13" t="s">
        <v>4859</v>
      </c>
      <c r="H99" s="11" t="s">
        <v>101</v>
      </c>
      <c r="I99" s="13">
        <v>23460.0</v>
      </c>
      <c r="J99" t="str">
        <f t="array" ref="J99">INDEX('TJ List'!B:B,MATCH(I99,'TJ List'!N:N,0),0)</f>
        <v>#N/A</v>
      </c>
      <c r="K99" s="6"/>
      <c r="M99" s="30"/>
      <c r="N99" s="86"/>
      <c r="O99" s="86"/>
      <c r="T99" s="30"/>
      <c r="Z99" s="96"/>
    </row>
    <row r="100">
      <c r="B100" s="30"/>
      <c r="D100" s="30"/>
      <c r="G100" s="13" t="s">
        <v>4860</v>
      </c>
      <c r="H100" s="11" t="s">
        <v>101</v>
      </c>
      <c r="I100" s="13">
        <v>27477.0</v>
      </c>
      <c r="J100" t="str">
        <f t="array" ref="J100">INDEX('TJ List'!B:B,MATCH(I100,'TJ List'!N:N,0),0)</f>
        <v>#N/A</v>
      </c>
      <c r="K100" s="6"/>
      <c r="M100" s="30"/>
      <c r="N100" s="86"/>
      <c r="O100" s="86"/>
      <c r="T100" s="30"/>
      <c r="Z100" s="96"/>
    </row>
    <row r="101">
      <c r="B101" s="30"/>
      <c r="D101" s="30"/>
      <c r="G101" s="13" t="s">
        <v>2645</v>
      </c>
      <c r="H101" s="11" t="s">
        <v>101</v>
      </c>
      <c r="I101" s="13">
        <v>19892.0</v>
      </c>
      <c r="K101" s="6"/>
      <c r="M101" s="30"/>
      <c r="N101" s="86"/>
      <c r="O101" s="86"/>
      <c r="T101" s="30"/>
      <c r="Z101" s="96"/>
    </row>
    <row r="102">
      <c r="B102" s="30"/>
      <c r="D102" s="30"/>
      <c r="G102" s="13" t="s">
        <v>3362</v>
      </c>
      <c r="H102" s="11" t="s">
        <v>116</v>
      </c>
      <c r="I102" s="13">
        <v>4676.0</v>
      </c>
      <c r="J102" s="87">
        <f t="array" ref="J102">INDEX('TJ List'!B:B,MATCH(I102,'TJ List'!N:N,0),0)</f>
        <v>41074</v>
      </c>
      <c r="K102" s="6"/>
      <c r="M102" s="30"/>
      <c r="N102" s="86"/>
      <c r="T102" s="30"/>
      <c r="Z102" s="96"/>
    </row>
    <row r="103">
      <c r="B103" s="30"/>
      <c r="D103" s="30"/>
      <c r="G103" s="13" t="s">
        <v>2901</v>
      </c>
      <c r="H103" s="11" t="s">
        <v>116</v>
      </c>
      <c r="I103" s="13">
        <v>13743.0</v>
      </c>
      <c r="J103" s="87">
        <f t="array" ref="J103">INDEX('TJ List'!B:B,MATCH(I103,'TJ List'!N:N,0),0)</f>
        <v>41871</v>
      </c>
      <c r="K103" s="6"/>
      <c r="M103" s="30"/>
      <c r="N103" s="86"/>
      <c r="T103" s="30"/>
      <c r="Z103" s="96"/>
    </row>
    <row r="104">
      <c r="B104" s="30"/>
      <c r="D104" s="30"/>
      <c r="G104" s="13" t="s">
        <v>2776</v>
      </c>
      <c r="H104" s="11" t="s">
        <v>116</v>
      </c>
      <c r="I104" s="13">
        <v>18655.0</v>
      </c>
      <c r="J104" s="87">
        <f t="array" ref="J104">INDEX('TJ List'!B:B,MATCH(I104,'TJ List'!N:N,0),0)</f>
        <v>42083</v>
      </c>
      <c r="K104" s="6"/>
      <c r="M104" s="30"/>
      <c r="N104" s="86"/>
      <c r="O104" s="86"/>
      <c r="T104" s="30"/>
      <c r="Z104" s="96"/>
    </row>
    <row r="105">
      <c r="B105" s="30"/>
      <c r="D105" s="30"/>
      <c r="G105" s="13" t="s">
        <v>2602</v>
      </c>
      <c r="H105" s="11" t="s">
        <v>116</v>
      </c>
      <c r="I105" s="13">
        <v>16258.0</v>
      </c>
      <c r="J105" s="87">
        <f t="array" ref="J105">INDEX('TJ List'!B:B,MATCH(I105,'TJ List'!N:N,0),0)</f>
        <v>42227</v>
      </c>
      <c r="K105" s="6"/>
      <c r="M105" s="30"/>
      <c r="N105" s="86"/>
      <c r="O105" s="86"/>
      <c r="T105" s="30"/>
      <c r="Z105" s="96"/>
    </row>
    <row r="106">
      <c r="B106" s="30"/>
      <c r="D106" s="30"/>
      <c r="G106" s="13" t="s">
        <v>1655</v>
      </c>
      <c r="H106" s="11" t="s">
        <v>116</v>
      </c>
      <c r="I106" s="13">
        <v>27498.0</v>
      </c>
      <c r="J106" s="89">
        <f t="array" ref="J106">INDEX('TJ List'!B:B,MATCH(I106,'TJ List'!N:N,0),0)</f>
        <v>43497</v>
      </c>
      <c r="K106" s="6"/>
      <c r="M106" s="30"/>
      <c r="N106" s="86"/>
      <c r="O106" s="86"/>
      <c r="T106" s="30"/>
      <c r="Z106" s="96"/>
    </row>
    <row r="107">
      <c r="B107" s="30"/>
      <c r="D107" s="30"/>
      <c r="G107" s="13" t="s">
        <v>1405</v>
      </c>
      <c r="H107" s="11" t="s">
        <v>116</v>
      </c>
      <c r="I107" s="13">
        <v>10603.0</v>
      </c>
      <c r="J107" s="87">
        <f t="array" ref="J107">INDEX('TJ List'!B:B,MATCH(I107,'TJ List'!N:N,0),0)</f>
        <v>43920</v>
      </c>
      <c r="K107" s="6"/>
      <c r="M107" s="30"/>
      <c r="N107" s="86"/>
      <c r="O107" s="86"/>
      <c r="T107" s="30"/>
      <c r="Z107" s="96"/>
    </row>
    <row r="108">
      <c r="B108" s="30"/>
      <c r="D108" s="30"/>
      <c r="G108" s="13" t="s">
        <v>1401</v>
      </c>
      <c r="H108" s="11" t="s">
        <v>116</v>
      </c>
      <c r="I108" s="13">
        <v>12777.0</v>
      </c>
      <c r="J108" s="87">
        <f t="array" ref="J108">INDEX('TJ List'!B:B,MATCH(I108,'TJ List'!N:N,0),0)</f>
        <v>43990</v>
      </c>
      <c r="K108" s="6"/>
      <c r="M108" s="30"/>
      <c r="N108" s="86"/>
      <c r="O108" s="86"/>
      <c r="T108" s="30"/>
      <c r="Z108" s="96"/>
    </row>
    <row r="109">
      <c r="B109" s="30"/>
      <c r="D109" s="30"/>
      <c r="G109" s="13" t="s">
        <v>1049</v>
      </c>
      <c r="H109" s="11" t="s">
        <v>116</v>
      </c>
      <c r="I109" s="13">
        <v>31846.0</v>
      </c>
      <c r="J109" s="89">
        <f t="array" ref="J109">INDEX('TJ List'!B:B,MATCH(I109,'TJ List'!N:N,0),0)</f>
        <v>44409</v>
      </c>
      <c r="K109" s="6"/>
      <c r="M109" s="30"/>
      <c r="N109" s="86"/>
      <c r="O109" s="86"/>
      <c r="T109" s="30"/>
      <c r="Z109" s="96"/>
    </row>
    <row r="110">
      <c r="B110" s="30"/>
      <c r="D110" s="30"/>
      <c r="G110" s="13" t="s">
        <v>4861</v>
      </c>
      <c r="H110" s="11" t="s">
        <v>116</v>
      </c>
      <c r="I110" s="13">
        <v>20271.0</v>
      </c>
      <c r="J110" s="87">
        <f t="array" ref="J110">INDEX('TJ List'!B:B,MATCH(I110,'TJ List'!N:N,0),0)</f>
        <v>44600</v>
      </c>
      <c r="K110" s="6"/>
      <c r="M110" s="30"/>
      <c r="N110" s="86"/>
      <c r="O110" s="86"/>
      <c r="T110" s="30"/>
      <c r="Z110" s="96"/>
    </row>
    <row r="111">
      <c r="B111" s="30"/>
      <c r="D111" s="30"/>
      <c r="G111" s="13" t="s">
        <v>853</v>
      </c>
      <c r="H111" s="11" t="s">
        <v>116</v>
      </c>
      <c r="I111" s="13">
        <v>11752.0</v>
      </c>
      <c r="J111" s="87">
        <f t="array" ref="J111">INDEX('TJ List'!B:B,MATCH(I111,'TJ List'!N:N,0),0)</f>
        <v>44664</v>
      </c>
      <c r="K111" s="6"/>
      <c r="M111" s="30"/>
      <c r="N111" s="86"/>
      <c r="O111" s="86"/>
      <c r="T111" s="30"/>
      <c r="Z111" s="96"/>
    </row>
    <row r="112">
      <c r="B112" s="30"/>
      <c r="D112" s="30"/>
      <c r="G112" s="13" t="s">
        <v>742</v>
      </c>
      <c r="H112" s="11" t="s">
        <v>116</v>
      </c>
      <c r="I112" s="13">
        <v>10058.0</v>
      </c>
      <c r="J112" s="87">
        <f t="array" ref="J112">INDEX('TJ List'!B:B,MATCH(I112,'TJ List'!N:N,0),0)</f>
        <v>44846</v>
      </c>
      <c r="K112" s="6"/>
      <c r="M112" s="30"/>
      <c r="N112" s="86"/>
      <c r="O112" s="86"/>
      <c r="T112" s="30"/>
      <c r="Z112" s="96"/>
    </row>
    <row r="113">
      <c r="B113" s="30"/>
      <c r="D113" s="30"/>
      <c r="G113" s="13" t="s">
        <v>300</v>
      </c>
      <c r="H113" s="11" t="s">
        <v>116</v>
      </c>
      <c r="I113" s="13">
        <v>23809.0</v>
      </c>
      <c r="J113" s="87">
        <f t="array" ref="J113">INDEX('TJ List'!B:B,MATCH(I113,'TJ List'!N:N,0),0)</f>
        <v>45474</v>
      </c>
      <c r="K113" s="6"/>
      <c r="M113" s="30"/>
      <c r="N113" s="86"/>
      <c r="O113" s="86"/>
      <c r="T113" s="30"/>
      <c r="Z113" s="96"/>
    </row>
    <row r="114">
      <c r="B114" s="30"/>
      <c r="D114" s="30"/>
      <c r="G114" s="13" t="s">
        <v>4862</v>
      </c>
      <c r="H114" s="11" t="s">
        <v>116</v>
      </c>
      <c r="I114" s="13">
        <v>16400.0</v>
      </c>
      <c r="J114" t="str">
        <f t="array" ref="J114">INDEX('TJ List'!B:B,MATCH(I114,'TJ List'!N:N,0),0)</f>
        <v>#N/A</v>
      </c>
      <c r="K114" s="6"/>
      <c r="M114" s="30"/>
      <c r="N114" s="86"/>
      <c r="O114" s="86"/>
      <c r="T114" s="30"/>
      <c r="Z114" s="96"/>
    </row>
    <row r="115">
      <c r="B115" s="30"/>
      <c r="D115" s="30"/>
      <c r="G115" s="13" t="s">
        <v>4863</v>
      </c>
      <c r="H115" s="11" t="s">
        <v>116</v>
      </c>
      <c r="I115" s="13">
        <v>15761.0</v>
      </c>
      <c r="J115" t="str">
        <f t="array" ref="J115">INDEX('TJ List'!B:B,MATCH(I115,'TJ List'!N:N,0),0)</f>
        <v>#N/A</v>
      </c>
      <c r="K115" s="6"/>
      <c r="M115" s="30"/>
      <c r="N115" s="86"/>
      <c r="O115" s="86"/>
      <c r="T115" s="30"/>
      <c r="Z115" s="96"/>
    </row>
    <row r="116">
      <c r="B116" s="30"/>
      <c r="D116" s="30"/>
      <c r="G116" s="13" t="s">
        <v>4864</v>
      </c>
      <c r="H116" s="11" t="s">
        <v>116</v>
      </c>
      <c r="I116" s="13">
        <v>17130.0</v>
      </c>
      <c r="J116" t="str">
        <f t="array" ref="J116">INDEX('TJ List'!B:B,MATCH(I116,'TJ List'!N:N,0),0)</f>
        <v>#N/A</v>
      </c>
      <c r="K116" s="6"/>
      <c r="M116" s="30"/>
      <c r="N116" s="86"/>
      <c r="O116" s="86"/>
      <c r="T116" s="30"/>
      <c r="Z116" s="96"/>
    </row>
    <row r="117">
      <c r="B117" s="30"/>
      <c r="D117" s="30"/>
      <c r="G117" s="13" t="s">
        <v>4865</v>
      </c>
      <c r="H117" s="11" t="s">
        <v>116</v>
      </c>
      <c r="I117" s="13">
        <v>16944.0</v>
      </c>
      <c r="J117" t="str">
        <f t="array" ref="J117">INDEX('TJ List'!B:B,MATCH(I117,'TJ List'!N:N,0),0)</f>
        <v>#N/A</v>
      </c>
      <c r="K117" s="6"/>
      <c r="M117" s="30"/>
      <c r="N117" s="86"/>
      <c r="O117" s="86"/>
      <c r="T117" s="30"/>
      <c r="Z117" s="96"/>
    </row>
    <row r="118">
      <c r="B118" s="30"/>
      <c r="D118" s="30"/>
      <c r="G118" s="13" t="s">
        <v>4866</v>
      </c>
      <c r="H118" s="11" t="s">
        <v>116</v>
      </c>
      <c r="I118" s="13">
        <v>19996.0</v>
      </c>
      <c r="J118" t="str">
        <f t="array" ref="J118">INDEX('TJ List'!B:B,MATCH(I118,'TJ List'!N:N,0),0)</f>
        <v>#N/A</v>
      </c>
      <c r="K118" s="6"/>
      <c r="M118" s="30"/>
      <c r="N118" s="86"/>
      <c r="O118" s="86"/>
      <c r="T118" s="30"/>
      <c r="Z118" s="96"/>
    </row>
    <row r="119">
      <c r="B119" s="30"/>
      <c r="D119" s="30"/>
      <c r="G119" s="13" t="s">
        <v>4867</v>
      </c>
      <c r="H119" s="11" t="s">
        <v>116</v>
      </c>
      <c r="I119" s="13">
        <v>13435.0</v>
      </c>
      <c r="J119" t="str">
        <f t="array" ref="J119">INDEX('TJ List'!B:B,MATCH(I119,'TJ List'!N:N,0),0)</f>
        <v>#N/A</v>
      </c>
      <c r="K119" s="6"/>
      <c r="M119" s="30"/>
      <c r="N119" s="86"/>
      <c r="O119" s="86"/>
      <c r="T119" s="30"/>
      <c r="Z119" s="96"/>
    </row>
    <row r="120">
      <c r="B120" s="30"/>
      <c r="D120" s="30"/>
      <c r="G120" s="13" t="s">
        <v>4868</v>
      </c>
      <c r="H120" s="11" t="s">
        <v>116</v>
      </c>
      <c r="I120" s="13">
        <v>27779.0</v>
      </c>
      <c r="J120" t="str">
        <f t="array" ref="J120">INDEX('TJ List'!B:B,MATCH(I120,'TJ List'!N:N,0),0)</f>
        <v>#N/A</v>
      </c>
      <c r="K120" s="6"/>
      <c r="M120" s="30"/>
      <c r="N120" s="86"/>
      <c r="O120" s="86"/>
      <c r="T120" s="30"/>
      <c r="Z120" s="96"/>
    </row>
    <row r="121">
      <c r="B121" s="30"/>
      <c r="D121" s="30"/>
      <c r="G121" s="13" t="s">
        <v>115</v>
      </c>
      <c r="H121" s="11" t="s">
        <v>116</v>
      </c>
      <c r="I121" s="13">
        <v>29960.0</v>
      </c>
      <c r="J121" s="87">
        <f t="array" ref="J121">INDEX('TJ List'!B:B,MATCH(I121,'TJ List'!N:N,0),0)</f>
        <v>45817</v>
      </c>
      <c r="K121" s="6"/>
      <c r="M121" s="30"/>
      <c r="N121" s="86"/>
      <c r="T121" s="30"/>
      <c r="Z121" s="96"/>
    </row>
    <row r="122">
      <c r="B122" s="30"/>
      <c r="D122" s="30"/>
      <c r="G122" s="13" t="s">
        <v>4869</v>
      </c>
      <c r="H122" s="11" t="s">
        <v>116</v>
      </c>
      <c r="I122" s="13">
        <v>17556.0</v>
      </c>
      <c r="J122" t="str">
        <f t="array" ref="J122">INDEX('TJ List'!B:B,MATCH(I122,'TJ List'!N:N,0),0)</f>
        <v>#N/A</v>
      </c>
      <c r="K122" s="6"/>
      <c r="M122" s="30"/>
      <c r="N122" s="86"/>
      <c r="T122" s="30"/>
      <c r="Z122" s="96"/>
    </row>
    <row r="123">
      <c r="B123" s="30"/>
      <c r="D123" s="30"/>
      <c r="G123" s="13" t="s">
        <v>4870</v>
      </c>
      <c r="H123" s="11" t="s">
        <v>116</v>
      </c>
      <c r="I123" s="13">
        <v>29928.0</v>
      </c>
      <c r="J123" t="str">
        <f t="array" ref="J123">INDEX('TJ List'!B:B,MATCH(I123,'TJ List'!N:N,0),0)</f>
        <v>#N/A</v>
      </c>
      <c r="K123" s="6"/>
      <c r="M123" s="30"/>
      <c r="N123" s="86"/>
      <c r="O123" s="86"/>
      <c r="T123" s="30"/>
      <c r="Z123" s="96"/>
    </row>
    <row r="124">
      <c r="B124" s="30"/>
      <c r="D124" s="30"/>
      <c r="G124" s="13" t="s">
        <v>4823</v>
      </c>
      <c r="H124" s="11" t="s">
        <v>116</v>
      </c>
      <c r="I124" s="13">
        <v>19931.0</v>
      </c>
      <c r="J124" t="str">
        <f t="array" ref="J124">INDEX('TJ List'!B:B,MATCH(I124,'TJ List'!N:N,0),0)</f>
        <v>#N/A</v>
      </c>
      <c r="K124" s="6"/>
      <c r="M124" s="30"/>
      <c r="N124" s="86"/>
      <c r="O124" s="86"/>
      <c r="T124" s="30"/>
      <c r="Z124" s="96"/>
    </row>
    <row r="125">
      <c r="B125" s="30"/>
      <c r="D125" s="30"/>
      <c r="G125" s="13" t="s">
        <v>4871</v>
      </c>
      <c r="H125" s="11" t="s">
        <v>116</v>
      </c>
      <c r="I125" s="13">
        <v>14420.0</v>
      </c>
      <c r="J125" t="str">
        <f t="array" ref="J125">INDEX('TJ List'!B:B,MATCH(I125,'TJ List'!N:N,0),0)</f>
        <v>#N/A</v>
      </c>
      <c r="K125" s="6"/>
      <c r="M125" s="30"/>
      <c r="N125" s="86"/>
      <c r="O125" s="86"/>
      <c r="T125" s="30"/>
      <c r="Z125" s="96"/>
    </row>
    <row r="126">
      <c r="B126" s="30"/>
      <c r="D126" s="30"/>
      <c r="G126" s="13" t="s">
        <v>4872</v>
      </c>
      <c r="H126" s="11" t="s">
        <v>116</v>
      </c>
      <c r="I126" s="13">
        <v>20018.0</v>
      </c>
      <c r="J126" t="str">
        <f t="array" ref="J126">INDEX('TJ List'!B:B,MATCH(I126,'TJ List'!N:N,0),0)</f>
        <v>#N/A</v>
      </c>
      <c r="K126" s="6"/>
      <c r="M126" s="30"/>
      <c r="N126" s="86"/>
      <c r="O126" s="86"/>
      <c r="T126" s="30"/>
      <c r="Z126" s="96"/>
    </row>
    <row r="127">
      <c r="B127" s="30"/>
      <c r="D127" s="30"/>
      <c r="G127" s="13" t="s">
        <v>4873</v>
      </c>
      <c r="H127" s="11" t="s">
        <v>116</v>
      </c>
      <c r="I127" s="13">
        <v>25928.0</v>
      </c>
      <c r="J127" t="str">
        <f t="array" ref="J127">INDEX('TJ List'!B:B,MATCH(I127,'TJ List'!N:N,0),0)</f>
        <v>#N/A</v>
      </c>
      <c r="K127" s="6"/>
      <c r="M127" s="30"/>
      <c r="N127" s="86"/>
      <c r="O127" s="86"/>
      <c r="T127" s="30"/>
      <c r="Z127" s="96"/>
    </row>
    <row r="128">
      <c r="B128" s="30"/>
      <c r="D128" s="30"/>
      <c r="G128" s="13" t="s">
        <v>4874</v>
      </c>
      <c r="H128" s="11" t="s">
        <v>116</v>
      </c>
      <c r="I128" s="13">
        <v>5448.0</v>
      </c>
      <c r="J128" t="str">
        <f t="array" ref="J128">INDEX('TJ List'!B:B,MATCH(I128,'TJ List'!N:N,0),0)</f>
        <v>#N/A</v>
      </c>
      <c r="K128" s="6"/>
      <c r="M128" s="30"/>
      <c r="N128" s="86"/>
      <c r="O128" s="86"/>
      <c r="T128" s="30"/>
      <c r="Z128" s="96"/>
    </row>
    <row r="129">
      <c r="B129" s="30"/>
      <c r="D129" s="30"/>
      <c r="G129" s="13" t="s">
        <v>4875</v>
      </c>
      <c r="H129" s="11" t="s">
        <v>116</v>
      </c>
      <c r="I129" s="13">
        <v>21238.0</v>
      </c>
      <c r="J129" t="str">
        <f t="array" ref="J129">INDEX('TJ List'!B:B,MATCH(I129,'TJ List'!N:N,0),0)</f>
        <v>#N/A</v>
      </c>
      <c r="K129" s="6"/>
      <c r="M129" s="30"/>
      <c r="N129" s="86"/>
      <c r="O129" s="86"/>
      <c r="T129" s="30"/>
      <c r="Z129" s="96"/>
    </row>
    <row r="130">
      <c r="B130" s="30"/>
      <c r="D130" s="30"/>
      <c r="G130" s="13" t="s">
        <v>4876</v>
      </c>
      <c r="H130" s="11" t="s">
        <v>116</v>
      </c>
      <c r="I130" s="13">
        <v>33527.0</v>
      </c>
      <c r="J130" t="str">
        <f t="array" ref="J130">INDEX('TJ List'!B:B,MATCH(I130,'TJ List'!N:N,0),0)</f>
        <v>#N/A</v>
      </c>
      <c r="K130" s="6"/>
      <c r="M130" s="30"/>
      <c r="N130" s="86"/>
      <c r="O130" s="86"/>
      <c r="T130" s="30"/>
      <c r="Z130" s="96"/>
    </row>
    <row r="131">
      <c r="B131" s="30"/>
      <c r="D131" s="30"/>
      <c r="G131" s="13" t="s">
        <v>4877</v>
      </c>
      <c r="H131" s="11" t="s">
        <v>138</v>
      </c>
      <c r="I131" s="13">
        <v>6175.0</v>
      </c>
      <c r="J131" s="87">
        <f t="array" ref="J131">INDEX('TJ List'!B:B,MATCH(I131,'TJ List'!N:N,0),0)</f>
        <v>39814</v>
      </c>
      <c r="K131" s="6"/>
      <c r="M131" s="30"/>
      <c r="N131" s="86"/>
      <c r="O131" s="86"/>
      <c r="T131" s="30"/>
      <c r="Z131" s="96"/>
    </row>
    <row r="132">
      <c r="B132" s="30"/>
      <c r="D132" s="30"/>
      <c r="G132" s="13" t="s">
        <v>4878</v>
      </c>
      <c r="H132" s="11" t="s">
        <v>138</v>
      </c>
      <c r="I132" s="13">
        <v>13293.0</v>
      </c>
      <c r="J132" s="87">
        <f t="array" ref="J132">INDEX('TJ List'!B:B,MATCH(I132,'TJ List'!N:N,0),0)</f>
        <v>40603</v>
      </c>
      <c r="K132" s="6"/>
      <c r="M132" s="30"/>
      <c r="N132" s="86"/>
      <c r="O132" s="86"/>
      <c r="T132" s="30"/>
      <c r="Z132" s="96"/>
    </row>
    <row r="133">
      <c r="B133" s="30"/>
      <c r="D133" s="30"/>
      <c r="G133" s="13" t="s">
        <v>3062</v>
      </c>
      <c r="H133" s="11" t="s">
        <v>138</v>
      </c>
      <c r="I133" s="13">
        <v>19244.0</v>
      </c>
      <c r="J133" s="87">
        <f t="array" ref="J133">INDEX('TJ List'!B:B,MATCH(I133,'TJ List'!N:N,0),0)</f>
        <v>41673</v>
      </c>
      <c r="K133" s="6"/>
      <c r="M133" s="30"/>
      <c r="N133" s="86"/>
      <c r="O133" s="86"/>
      <c r="T133" s="30"/>
      <c r="Z133" s="96"/>
    </row>
    <row r="134">
      <c r="B134" s="30"/>
      <c r="D134" s="30"/>
      <c r="G134" s="13" t="s">
        <v>3011</v>
      </c>
      <c r="H134" s="11" t="s">
        <v>138</v>
      </c>
      <c r="I134" s="13">
        <v>19315.0</v>
      </c>
      <c r="J134" s="87">
        <f t="array" ref="J134">INDEX('TJ List'!B:B,MATCH(I134,'TJ List'!N:N,0),0)</f>
        <v>41751</v>
      </c>
      <c r="K134" s="6"/>
      <c r="M134" s="30"/>
      <c r="N134" s="86"/>
      <c r="O134" s="86"/>
      <c r="T134" s="30"/>
      <c r="Z134" s="96"/>
    </row>
    <row r="135">
      <c r="B135" s="30"/>
      <c r="D135" s="30"/>
      <c r="G135" s="13" t="s">
        <v>2755</v>
      </c>
      <c r="H135" s="11" t="s">
        <v>138</v>
      </c>
      <c r="I135" s="13">
        <v>19274.0</v>
      </c>
      <c r="J135" s="87">
        <f t="array" ref="J135">INDEX('TJ List'!B:B,MATCH(I135,'TJ List'!N:N,0),0)</f>
        <v>42096</v>
      </c>
      <c r="K135" s="6"/>
      <c r="M135" s="30"/>
      <c r="N135" s="86"/>
      <c r="O135" s="86"/>
      <c r="T135" s="30"/>
      <c r="Z135" s="96"/>
    </row>
    <row r="136">
      <c r="B136" s="30"/>
      <c r="D136" s="30"/>
      <c r="G136" s="13" t="s">
        <v>2749</v>
      </c>
      <c r="H136" s="11" t="s">
        <v>138</v>
      </c>
      <c r="I136" s="13">
        <v>12784.0</v>
      </c>
      <c r="J136" s="87">
        <f t="array" ref="J136">INDEX('TJ List'!B:B,MATCH(I136,'TJ List'!N:N,0),0)</f>
        <v>42101</v>
      </c>
      <c r="K136" s="6"/>
      <c r="M136" s="30"/>
      <c r="N136" s="86"/>
      <c r="O136" s="90"/>
      <c r="P136" s="28"/>
      <c r="Q136" s="33"/>
      <c r="T136" s="30"/>
      <c r="Z136" s="96"/>
    </row>
    <row r="137">
      <c r="B137" s="30"/>
      <c r="D137" s="30"/>
      <c r="G137" s="13" t="s">
        <v>1575</v>
      </c>
      <c r="H137" s="11" t="s">
        <v>138</v>
      </c>
      <c r="I137" s="13">
        <v>20000.0</v>
      </c>
      <c r="J137" s="87">
        <f t="array" ref="J137">INDEX('TJ List'!B:B,MATCH(I137,'TJ List'!N:N,0),0)</f>
        <v>43614</v>
      </c>
      <c r="K137" s="6"/>
      <c r="M137" s="30"/>
      <c r="N137" s="86"/>
      <c r="O137" s="86"/>
      <c r="T137" s="30"/>
      <c r="Z137" s="96"/>
    </row>
    <row r="138">
      <c r="B138" s="30"/>
      <c r="D138" s="30"/>
      <c r="G138" s="13" t="s">
        <v>4753</v>
      </c>
      <c r="H138" s="11" t="s">
        <v>138</v>
      </c>
      <c r="I138" s="13">
        <v>19249.0</v>
      </c>
      <c r="J138" s="87">
        <f t="array" ref="J138">INDEX('TJ List'!B:B,MATCH(I138,'TJ List'!N:N,0),0)</f>
        <v>44042</v>
      </c>
      <c r="K138" s="6"/>
      <c r="M138" s="30"/>
      <c r="N138" s="86"/>
      <c r="O138" s="86"/>
      <c r="T138" s="30"/>
      <c r="Z138" s="96"/>
    </row>
    <row r="139">
      <c r="B139" s="30"/>
      <c r="D139" s="30"/>
      <c r="G139" s="13" t="s">
        <v>1355</v>
      </c>
      <c r="H139" s="11" t="s">
        <v>138</v>
      </c>
      <c r="I139" s="13">
        <v>13528.0</v>
      </c>
      <c r="J139" s="87">
        <f t="array" ref="J139">INDEX('TJ List'!B:B,MATCH(I139,'TJ List'!N:N,0),0)</f>
        <v>44075</v>
      </c>
      <c r="K139" s="6"/>
      <c r="M139" s="30"/>
      <c r="N139" s="86"/>
      <c r="T139" s="30"/>
      <c r="Z139" s="96"/>
    </row>
    <row r="140">
      <c r="B140" s="30"/>
      <c r="D140" s="30"/>
      <c r="G140" s="13" t="s">
        <v>327</v>
      </c>
      <c r="H140" s="11" t="s">
        <v>138</v>
      </c>
      <c r="I140" s="13">
        <v>16269.0</v>
      </c>
      <c r="J140" s="87">
        <f t="array" ref="J140">INDEX('TJ List'!B:B,MATCH(I140,'TJ List'!N:N,0),0)</f>
        <v>45446</v>
      </c>
      <c r="K140" s="6"/>
      <c r="M140" s="30"/>
      <c r="N140" s="86"/>
      <c r="T140" s="30"/>
      <c r="Z140" s="96"/>
    </row>
    <row r="141">
      <c r="B141" s="30"/>
      <c r="D141" s="30"/>
      <c r="G141" s="13" t="s">
        <v>316</v>
      </c>
      <c r="H141" s="11" t="s">
        <v>138</v>
      </c>
      <c r="I141" s="13">
        <v>24586.0</v>
      </c>
      <c r="J141" s="87">
        <f t="array" ref="J141">INDEX('TJ List'!B:B,MATCH(I141,'TJ List'!N:N,0),0)</f>
        <v>45462</v>
      </c>
      <c r="K141" s="6"/>
      <c r="M141" s="30"/>
      <c r="N141" s="86"/>
      <c r="T141" s="30"/>
      <c r="Z141" s="96"/>
    </row>
    <row r="142">
      <c r="B142" s="30"/>
      <c r="D142" s="30"/>
      <c r="G142" s="13" t="s">
        <v>113</v>
      </c>
      <c r="H142" s="11" t="s">
        <v>138</v>
      </c>
      <c r="I142" s="13">
        <v>19361.0</v>
      </c>
      <c r="J142" s="87">
        <f t="array" ref="J142">INDEX('TJ List'!B:B,MATCH(I142,'TJ List'!N:N,0),0)</f>
        <v>45819</v>
      </c>
      <c r="K142" s="6"/>
      <c r="L142" s="38"/>
      <c r="M142" s="30"/>
      <c r="N142" s="86"/>
      <c r="O142" s="90"/>
      <c r="P142" s="28"/>
      <c r="Q142" s="33"/>
      <c r="T142" s="30"/>
      <c r="Z142" s="96"/>
    </row>
    <row r="143">
      <c r="B143" s="30"/>
      <c r="D143" s="30"/>
      <c r="G143" s="13" t="s">
        <v>4879</v>
      </c>
      <c r="H143" s="11" t="s">
        <v>138</v>
      </c>
      <c r="I143" s="13">
        <v>24492.0</v>
      </c>
      <c r="J143" t="str">
        <f t="array" ref="J143">INDEX('TJ List'!B:B,MATCH(I143,'TJ List'!N:N,0),0)</f>
        <v>#N/A</v>
      </c>
      <c r="K143" s="6"/>
      <c r="M143" s="30"/>
      <c r="N143" s="86"/>
      <c r="O143" s="86"/>
      <c r="T143" s="30"/>
      <c r="Z143" s="96"/>
    </row>
    <row r="144">
      <c r="B144" s="30"/>
      <c r="D144" s="30"/>
      <c r="G144" s="13" t="s">
        <v>4880</v>
      </c>
      <c r="H144" s="11" t="s">
        <v>138</v>
      </c>
      <c r="I144" s="13">
        <v>19362.0</v>
      </c>
      <c r="J144" t="str">
        <f t="array" ref="J144">INDEX('TJ List'!B:B,MATCH(I144,'TJ List'!N:N,0),0)</f>
        <v>#N/A</v>
      </c>
      <c r="K144" s="6"/>
      <c r="M144" s="30"/>
      <c r="N144" s="86"/>
      <c r="O144" s="86"/>
      <c r="T144" s="30"/>
      <c r="Z144" s="96"/>
    </row>
    <row r="145">
      <c r="B145" s="30"/>
      <c r="D145" s="30"/>
      <c r="G145" s="13" t="s">
        <v>4881</v>
      </c>
      <c r="H145" s="11" t="s">
        <v>138</v>
      </c>
      <c r="I145" s="13">
        <v>19350.0</v>
      </c>
      <c r="J145" t="str">
        <f t="array" ref="J145">INDEX('TJ List'!B:B,MATCH(I145,'TJ List'!N:N,0),0)</f>
        <v>#N/A</v>
      </c>
      <c r="K145" s="6"/>
      <c r="M145" s="30"/>
      <c r="N145" s="86"/>
      <c r="O145" s="86"/>
      <c r="T145" s="30"/>
      <c r="Z145" s="96"/>
    </row>
    <row r="146">
      <c r="B146" s="30"/>
      <c r="D146" s="30"/>
      <c r="G146" s="13" t="s">
        <v>4882</v>
      </c>
      <c r="H146" s="11" t="s">
        <v>138</v>
      </c>
      <c r="I146" s="13">
        <v>19614.0</v>
      </c>
      <c r="J146" t="str">
        <f t="array" ref="J146">INDEX('TJ List'!B:B,MATCH(I146,'TJ List'!N:N,0),0)</f>
        <v>#N/A</v>
      </c>
      <c r="K146" s="6"/>
      <c r="M146" s="30"/>
      <c r="N146" s="86"/>
      <c r="O146" s="86"/>
      <c r="T146" s="30"/>
      <c r="Z146" s="96"/>
    </row>
    <row r="147">
      <c r="B147" s="30"/>
      <c r="D147" s="30"/>
      <c r="G147" s="13" t="s">
        <v>4883</v>
      </c>
      <c r="H147" s="11" t="s">
        <v>138</v>
      </c>
      <c r="I147" s="13">
        <v>25911.0</v>
      </c>
      <c r="J147" t="str">
        <f t="array" ref="J147">INDEX('TJ List'!B:B,MATCH(I147,'TJ List'!N:N,0),0)</f>
        <v>#N/A</v>
      </c>
      <c r="K147" s="6"/>
      <c r="M147" s="30"/>
      <c r="N147" s="86"/>
      <c r="O147" s="86"/>
      <c r="T147" s="30"/>
      <c r="Z147" s="96"/>
    </row>
    <row r="148">
      <c r="B148" s="30"/>
      <c r="D148" s="30"/>
      <c r="G148" s="13" t="s">
        <v>4884</v>
      </c>
      <c r="H148" s="11" t="s">
        <v>138</v>
      </c>
      <c r="I148" s="13">
        <v>30055.0</v>
      </c>
      <c r="J148" t="str">
        <f t="array" ref="J148">INDEX('TJ List'!B:B,MATCH(I148,'TJ List'!N:N,0),0)</f>
        <v>#N/A</v>
      </c>
      <c r="K148" s="6"/>
      <c r="M148" s="30"/>
      <c r="N148" s="86"/>
      <c r="O148" s="86"/>
      <c r="T148" s="30"/>
      <c r="Z148" s="96"/>
    </row>
    <row r="149">
      <c r="B149" s="30"/>
      <c r="D149" s="30"/>
      <c r="G149" s="13" t="s">
        <v>4885</v>
      </c>
      <c r="H149" s="11" t="s">
        <v>138</v>
      </c>
      <c r="I149" s="13">
        <v>19804.0</v>
      </c>
      <c r="J149" t="str">
        <f t="array" ref="J149">INDEX('TJ List'!B:B,MATCH(I149,'TJ List'!N:N,0),0)</f>
        <v>#N/A</v>
      </c>
      <c r="K149" s="6"/>
      <c r="M149" s="30"/>
      <c r="N149" s="86"/>
      <c r="O149" s="86"/>
      <c r="T149" s="30"/>
      <c r="Z149" s="96"/>
    </row>
    <row r="150">
      <c r="B150" s="30"/>
      <c r="D150" s="30"/>
      <c r="G150" s="13" t="s">
        <v>4886</v>
      </c>
      <c r="H150" s="11" t="s">
        <v>138</v>
      </c>
      <c r="I150" s="13">
        <v>6655.0</v>
      </c>
      <c r="J150" t="str">
        <f t="array" ref="J150">INDEX('TJ List'!B:B,MATCH(I150,'TJ List'!N:N,0),0)</f>
        <v>#N/A</v>
      </c>
      <c r="K150" s="6"/>
      <c r="M150" s="30"/>
      <c r="N150" s="86"/>
      <c r="O150" s="86"/>
      <c r="T150" s="30"/>
      <c r="Z150" s="96"/>
    </row>
    <row r="151">
      <c r="B151" s="30"/>
      <c r="D151" s="30"/>
      <c r="G151" s="13" t="s">
        <v>4887</v>
      </c>
      <c r="H151" s="11" t="s">
        <v>138</v>
      </c>
      <c r="I151" s="13">
        <v>21093.0</v>
      </c>
      <c r="J151" t="str">
        <f t="array" ref="J151">INDEX('TJ List'!B:B,MATCH(I151,'TJ List'!N:N,0),0)</f>
        <v>#N/A</v>
      </c>
      <c r="K151" s="6"/>
      <c r="M151" s="30"/>
      <c r="N151" s="86"/>
      <c r="O151" s="86"/>
      <c r="T151" s="30"/>
      <c r="Z151" s="96"/>
    </row>
    <row r="152">
      <c r="B152" s="30"/>
      <c r="D152" s="30"/>
      <c r="G152" s="13" t="s">
        <v>4888</v>
      </c>
      <c r="H152" s="11" t="s">
        <v>138</v>
      </c>
      <c r="I152" s="13">
        <v>19871.0</v>
      </c>
      <c r="J152" t="str">
        <f t="array" ref="J152">INDEX('TJ List'!B:B,MATCH(I152,'TJ List'!N:N,0),0)</f>
        <v>#N/A</v>
      </c>
      <c r="K152" s="6"/>
      <c r="M152" s="30"/>
      <c r="N152" s="86"/>
      <c r="O152" s="86"/>
      <c r="T152" s="30"/>
      <c r="Z152" s="96"/>
    </row>
    <row r="153">
      <c r="B153" s="30"/>
      <c r="D153" s="30"/>
      <c r="G153" s="13" t="s">
        <v>4889</v>
      </c>
      <c r="H153" s="11" t="s">
        <v>138</v>
      </c>
      <c r="I153" s="13">
        <v>29866.0</v>
      </c>
      <c r="J153" t="str">
        <f t="array" ref="J153">INDEX('TJ List'!B:B,MATCH(I153,'TJ List'!N:N,0),0)</f>
        <v>#N/A</v>
      </c>
      <c r="K153" s="6"/>
      <c r="M153" s="30"/>
      <c r="N153" s="86"/>
      <c r="O153" s="86"/>
      <c r="T153" s="30"/>
      <c r="Z153" s="96"/>
    </row>
    <row r="154">
      <c r="B154" s="30"/>
      <c r="D154" s="30"/>
      <c r="G154" s="13" t="s">
        <v>4760</v>
      </c>
      <c r="H154" s="11" t="s">
        <v>138</v>
      </c>
      <c r="I154" s="13">
        <v>12859.0</v>
      </c>
      <c r="J154" t="str">
        <f t="array" ref="J154">INDEX('TJ List'!B:B,MATCH(I154,'TJ List'!N:N,0),0)</f>
        <v>#N/A</v>
      </c>
      <c r="K154" s="6"/>
      <c r="M154" s="30"/>
      <c r="N154" s="86"/>
      <c r="O154" s="86"/>
      <c r="T154" s="30"/>
      <c r="Z154" s="96"/>
    </row>
    <row r="155">
      <c r="B155" s="30"/>
      <c r="D155" s="30"/>
      <c r="G155" s="13" t="s">
        <v>4890</v>
      </c>
      <c r="H155" s="11" t="s">
        <v>138</v>
      </c>
      <c r="I155" s="13">
        <v>22224.0</v>
      </c>
      <c r="J155" t="str">
        <f t="array" ref="J155">INDEX('TJ List'!B:B,MATCH(I155,'TJ List'!N:N,0),0)</f>
        <v>#N/A</v>
      </c>
      <c r="K155" s="6"/>
      <c r="M155" s="30"/>
      <c r="N155" s="86"/>
      <c r="O155" s="86"/>
      <c r="T155" s="30"/>
      <c r="Z155" s="96"/>
    </row>
    <row r="156">
      <c r="B156" s="30"/>
      <c r="D156" s="30"/>
      <c r="G156" s="13" t="s">
        <v>4891</v>
      </c>
      <c r="H156" s="11" t="s">
        <v>72</v>
      </c>
      <c r="I156" s="13">
        <v>16061.0</v>
      </c>
      <c r="J156" s="87">
        <f t="array" ref="J156">INDEX('TJ List'!B:B,MATCH(I156,'TJ List'!N:N,0),0)</f>
        <v>40544</v>
      </c>
      <c r="K156" s="6"/>
      <c r="M156" s="30"/>
      <c r="N156" s="86"/>
      <c r="O156" s="86"/>
      <c r="T156" s="30"/>
      <c r="Z156" s="96"/>
    </row>
    <row r="157">
      <c r="B157" s="30"/>
      <c r="D157" s="30"/>
      <c r="G157" s="13" t="s">
        <v>3504</v>
      </c>
      <c r="H157" s="11" t="s">
        <v>72</v>
      </c>
      <c r="I157" s="13">
        <v>4806.0</v>
      </c>
      <c r="J157" s="87">
        <f t="array" ref="J157">INDEX('TJ List'!B:B,MATCH(I157,'TJ List'!N:N,0),0)</f>
        <v>40703</v>
      </c>
      <c r="K157" s="6"/>
      <c r="M157" s="30"/>
      <c r="N157" s="86"/>
      <c r="O157" s="86"/>
      <c r="T157" s="30"/>
      <c r="Z157" s="96"/>
    </row>
    <row r="158">
      <c r="B158" s="30"/>
      <c r="D158" s="30"/>
      <c r="G158" s="13" t="s">
        <v>1928</v>
      </c>
      <c r="H158" s="11" t="s">
        <v>72</v>
      </c>
      <c r="I158" s="13">
        <v>27753.0</v>
      </c>
      <c r="J158" s="89">
        <f t="array" ref="J158">INDEX('TJ List'!B:B,MATCH(I158,'TJ List'!N:N,0),0)</f>
        <v>43101</v>
      </c>
      <c r="K158" s="6"/>
      <c r="M158" s="30"/>
      <c r="N158" s="86"/>
      <c r="O158" s="86"/>
      <c r="T158" s="30"/>
      <c r="Z158" s="96"/>
    </row>
    <row r="159">
      <c r="B159" s="30"/>
      <c r="D159" s="30"/>
      <c r="G159" s="13" t="s">
        <v>1627</v>
      </c>
      <c r="H159" s="11" t="s">
        <v>72</v>
      </c>
      <c r="I159" s="13">
        <v>25368.0</v>
      </c>
      <c r="J159" s="89">
        <f t="array" ref="J159">INDEX('TJ List'!B:B,MATCH(I159,'TJ List'!N:N,0),0)</f>
        <v>43556</v>
      </c>
      <c r="K159" s="6"/>
      <c r="M159" s="30"/>
      <c r="N159" s="86"/>
      <c r="O159" s="86"/>
      <c r="T159" s="30"/>
      <c r="Z159" s="96"/>
    </row>
    <row r="160">
      <c r="B160" s="30"/>
      <c r="D160" s="30"/>
      <c r="G160" s="13" t="s">
        <v>1537</v>
      </c>
      <c r="H160" s="11" t="s">
        <v>72</v>
      </c>
      <c r="I160" s="13">
        <v>20191.0</v>
      </c>
      <c r="J160" s="87">
        <f t="array" ref="J160">INDEX('TJ List'!B:B,MATCH(I160,'TJ List'!N:N,0),0)</f>
        <v>43647</v>
      </c>
      <c r="K160" s="6"/>
      <c r="M160" s="30"/>
      <c r="N160" s="86"/>
      <c r="O160" s="86"/>
      <c r="T160" s="30"/>
      <c r="Z160" s="96"/>
    </row>
    <row r="161">
      <c r="B161" s="30"/>
      <c r="D161" s="30"/>
      <c r="G161" s="13" t="s">
        <v>1485</v>
      </c>
      <c r="H161" s="11" t="s">
        <v>72</v>
      </c>
      <c r="I161" s="13">
        <v>20531.0</v>
      </c>
      <c r="J161" s="87">
        <f t="array" ref="J161">INDEX('TJ List'!B:B,MATCH(I161,'TJ List'!N:N,0),0)</f>
        <v>43767</v>
      </c>
      <c r="K161" s="6"/>
      <c r="M161" s="30"/>
      <c r="N161" s="86"/>
      <c r="O161" s="86"/>
      <c r="T161" s="30"/>
      <c r="Z161" s="96"/>
    </row>
    <row r="162">
      <c r="B162" s="30"/>
      <c r="D162" s="30"/>
      <c r="G162" s="13" t="s">
        <v>1458</v>
      </c>
      <c r="H162" s="11" t="s">
        <v>72</v>
      </c>
      <c r="I162" s="13">
        <v>20349.0</v>
      </c>
      <c r="J162" s="89">
        <f t="array" ref="J162">INDEX('TJ List'!B:B,MATCH(I162,'TJ List'!N:N,0),0)</f>
        <v>43831</v>
      </c>
      <c r="K162" s="6"/>
      <c r="M162" s="30"/>
      <c r="N162" s="86"/>
      <c r="O162" s="86"/>
      <c r="T162" s="30"/>
      <c r="Z162" s="96"/>
    </row>
    <row r="163">
      <c r="B163" s="30"/>
      <c r="D163" s="30"/>
      <c r="G163" s="13" t="s">
        <v>1391</v>
      </c>
      <c r="H163" s="11" t="s">
        <v>72</v>
      </c>
      <c r="I163" s="13">
        <v>17793.0</v>
      </c>
      <c r="J163" s="87">
        <f t="array" ref="J163">INDEX('TJ List'!B:B,MATCH(I163,'TJ List'!N:N,0),0)</f>
        <v>44029</v>
      </c>
      <c r="K163" s="6"/>
      <c r="M163" s="30"/>
      <c r="N163" s="86"/>
      <c r="O163" s="86"/>
      <c r="T163" s="30"/>
      <c r="Z163" s="96"/>
    </row>
    <row r="164">
      <c r="B164" s="30"/>
      <c r="D164" s="30"/>
      <c r="G164" s="13" t="s">
        <v>1170</v>
      </c>
      <c r="H164" s="11" t="s">
        <v>72</v>
      </c>
      <c r="I164" s="13">
        <v>11828.0</v>
      </c>
      <c r="J164" s="87">
        <f t="array" ref="J164">INDEX('TJ List'!B:B,MATCH(I164,'TJ List'!N:N,0),0)</f>
        <v>44300</v>
      </c>
      <c r="K164" s="6"/>
      <c r="M164" s="30"/>
      <c r="N164" s="86"/>
      <c r="O164" s="86"/>
      <c r="T164" s="30"/>
      <c r="Z164" s="96"/>
    </row>
    <row r="165">
      <c r="B165" s="30"/>
      <c r="D165" s="30"/>
      <c r="G165" s="13" t="s">
        <v>71</v>
      </c>
      <c r="H165" s="11" t="s">
        <v>72</v>
      </c>
      <c r="I165" s="13">
        <v>19879.0</v>
      </c>
      <c r="J165" s="87">
        <f t="array" ref="J165">INDEX('TJ List'!B:B,MATCH(I165,'TJ List'!N:N,0),0)</f>
        <v>45875</v>
      </c>
      <c r="K165" s="6"/>
      <c r="M165" s="30"/>
      <c r="N165" s="86"/>
      <c r="O165" s="86"/>
      <c r="T165" s="30"/>
      <c r="Z165" s="96"/>
    </row>
    <row r="166">
      <c r="B166" s="30"/>
      <c r="D166" s="30"/>
      <c r="G166" s="13" t="s">
        <v>4892</v>
      </c>
      <c r="H166" s="11" t="s">
        <v>72</v>
      </c>
      <c r="I166" s="13">
        <v>15454.0</v>
      </c>
      <c r="J166" t="str">
        <f t="array" ref="J166">INDEX('TJ List'!B:B,MATCH(I166,'TJ List'!N:N,0),0)</f>
        <v>#N/A</v>
      </c>
      <c r="K166" s="6"/>
      <c r="M166" s="30"/>
      <c r="N166" s="86"/>
      <c r="O166" s="86"/>
      <c r="T166" s="30"/>
      <c r="Z166" s="96"/>
    </row>
    <row r="167">
      <c r="B167" s="30"/>
      <c r="D167" s="30"/>
      <c r="G167" s="13" t="s">
        <v>4893</v>
      </c>
      <c r="H167" s="11" t="s">
        <v>72</v>
      </c>
      <c r="I167" s="13">
        <v>23920.0</v>
      </c>
      <c r="J167" t="str">
        <f t="array" ref="J167">INDEX('TJ List'!B:B,MATCH(I167,'TJ List'!N:N,0),0)</f>
        <v>#N/A</v>
      </c>
      <c r="K167" s="6"/>
      <c r="M167" s="30"/>
      <c r="N167" s="86"/>
      <c r="O167" s="86"/>
      <c r="T167" s="30"/>
      <c r="Z167" s="96"/>
    </row>
    <row r="168">
      <c r="B168" s="30"/>
      <c r="D168" s="30"/>
      <c r="G168" s="13" t="s">
        <v>4894</v>
      </c>
      <c r="H168" s="11" t="s">
        <v>72</v>
      </c>
      <c r="I168" s="13">
        <v>25648.0</v>
      </c>
      <c r="J168" t="str">
        <f t="array" ref="J168">INDEX('TJ List'!B:B,MATCH(I168,'TJ List'!N:N,0),0)</f>
        <v>#N/A</v>
      </c>
      <c r="K168" s="6"/>
      <c r="M168" s="30"/>
      <c r="N168" s="86"/>
      <c r="O168" s="86"/>
      <c r="T168" s="30"/>
      <c r="Z168" s="96"/>
    </row>
    <row r="169">
      <c r="B169" s="30"/>
      <c r="D169" s="30"/>
      <c r="G169" s="13" t="s">
        <v>4895</v>
      </c>
      <c r="H169" s="11" t="s">
        <v>72</v>
      </c>
      <c r="I169" s="13">
        <v>3096.0</v>
      </c>
      <c r="J169" t="str">
        <f t="array" ref="J169">INDEX('TJ List'!B:B,MATCH(I169,'TJ List'!N:N,0),0)</f>
        <v>#N/A</v>
      </c>
      <c r="K169" s="6"/>
      <c r="M169" s="30"/>
      <c r="N169" s="86"/>
      <c r="O169" s="86"/>
      <c r="T169" s="30"/>
      <c r="Z169" s="96"/>
    </row>
    <row r="170">
      <c r="B170" s="30"/>
      <c r="D170" s="30"/>
      <c r="G170" s="13" t="s">
        <v>4896</v>
      </c>
      <c r="H170" s="11" t="s">
        <v>72</v>
      </c>
      <c r="I170" s="13">
        <v>24975.0</v>
      </c>
      <c r="J170" t="str">
        <f t="array" ref="J170">INDEX('TJ List'!B:B,MATCH(I170,'TJ List'!N:N,0),0)</f>
        <v>#N/A</v>
      </c>
      <c r="K170" s="6"/>
      <c r="M170" s="30"/>
      <c r="N170" s="86"/>
      <c r="T170" s="30"/>
      <c r="Z170" s="96"/>
    </row>
    <row r="171">
      <c r="B171" s="30"/>
      <c r="D171" s="30"/>
      <c r="G171" s="13" t="s">
        <v>4897</v>
      </c>
      <c r="H171" s="11" t="s">
        <v>72</v>
      </c>
      <c r="I171" s="13">
        <v>11847.0</v>
      </c>
      <c r="J171" t="str">
        <f t="array" ref="J171">INDEX('TJ List'!B:B,MATCH(I171,'TJ List'!N:N,0),0)</f>
        <v>#N/A</v>
      </c>
      <c r="K171" s="6"/>
      <c r="M171" s="30"/>
      <c r="N171" s="86"/>
      <c r="O171" s="86"/>
      <c r="T171" s="30"/>
      <c r="Z171" s="96"/>
    </row>
    <row r="172">
      <c r="B172" s="30"/>
      <c r="D172" s="30"/>
      <c r="G172" s="13" t="s">
        <v>4898</v>
      </c>
      <c r="H172" s="11" t="s">
        <v>72</v>
      </c>
      <c r="I172" s="13">
        <v>20375.0</v>
      </c>
      <c r="J172" t="str">
        <f t="array" ref="J172">INDEX('TJ List'!B:B,MATCH(I172,'TJ List'!N:N,0),0)</f>
        <v>#N/A</v>
      </c>
      <c r="K172" s="6"/>
      <c r="M172" s="30"/>
      <c r="N172" s="86"/>
      <c r="O172" s="86"/>
      <c r="T172" s="30"/>
      <c r="Z172" s="96"/>
    </row>
    <row r="173">
      <c r="B173" s="30"/>
      <c r="D173" s="30"/>
      <c r="G173" s="13" t="s">
        <v>4899</v>
      </c>
      <c r="H173" s="11" t="s">
        <v>72</v>
      </c>
      <c r="I173" s="13">
        <v>30160.0</v>
      </c>
      <c r="J173" t="str">
        <f t="array" ref="J173">INDEX('TJ List'!B:B,MATCH(I173,'TJ List'!N:N,0),0)</f>
        <v>#N/A</v>
      </c>
      <c r="K173" s="6"/>
      <c r="M173" s="30"/>
      <c r="N173" s="86"/>
      <c r="O173" s="86"/>
      <c r="T173" s="30"/>
      <c r="Z173" s="96"/>
    </row>
    <row r="174">
      <c r="B174" s="30"/>
      <c r="D174" s="30"/>
      <c r="G174" s="13" t="s">
        <v>4900</v>
      </c>
      <c r="H174" s="11" t="s">
        <v>72</v>
      </c>
      <c r="I174" s="13">
        <v>31184.0</v>
      </c>
      <c r="J174" t="str">
        <f t="array" ref="J174">INDEX('TJ List'!B:B,MATCH(I174,'TJ List'!N:N,0),0)</f>
        <v>#N/A</v>
      </c>
      <c r="K174" s="6"/>
      <c r="M174" s="30"/>
      <c r="N174" s="86"/>
      <c r="O174" s="86"/>
      <c r="T174" s="30"/>
      <c r="Z174" s="96"/>
    </row>
    <row r="175">
      <c r="B175" s="30"/>
      <c r="D175" s="30"/>
      <c r="G175" s="13" t="s">
        <v>4901</v>
      </c>
      <c r="H175" s="11" t="s">
        <v>72</v>
      </c>
      <c r="I175" s="13">
        <v>22387.0</v>
      </c>
      <c r="J175" t="str">
        <f t="array" ref="J175">INDEX('TJ List'!B:B,MATCH(I175,'TJ List'!N:N,0),0)</f>
        <v>#N/A</v>
      </c>
      <c r="K175" s="6"/>
      <c r="M175" s="30"/>
      <c r="N175" s="86"/>
      <c r="O175" s="86"/>
      <c r="T175" s="30"/>
      <c r="Z175" s="96"/>
    </row>
    <row r="176">
      <c r="B176" s="30"/>
      <c r="D176" s="30"/>
      <c r="G176" s="13" t="s">
        <v>4902</v>
      </c>
      <c r="H176" s="11" t="s">
        <v>72</v>
      </c>
      <c r="I176" s="13">
        <v>16835.0</v>
      </c>
      <c r="J176" t="str">
        <f t="array" ref="J176">INDEX('TJ List'!B:B,MATCH(I176,'TJ List'!N:N,0),0)</f>
        <v>#N/A</v>
      </c>
      <c r="K176" s="6"/>
      <c r="M176" s="30"/>
      <c r="N176" s="86"/>
      <c r="O176" s="86"/>
      <c r="T176" s="30"/>
      <c r="Z176" s="96"/>
    </row>
    <row r="177">
      <c r="B177" s="30"/>
      <c r="D177" s="30"/>
      <c r="G177" s="13" t="s">
        <v>4903</v>
      </c>
      <c r="H177" s="11" t="s">
        <v>72</v>
      </c>
      <c r="I177" s="13">
        <v>33828.0</v>
      </c>
      <c r="J177" t="str">
        <f t="array" ref="J177">INDEX('TJ List'!B:B,MATCH(I177,'TJ List'!N:N,0),0)</f>
        <v>#N/A</v>
      </c>
      <c r="K177" s="6"/>
      <c r="M177" s="30"/>
      <c r="N177" s="86"/>
      <c r="O177" s="86"/>
      <c r="T177" s="30"/>
      <c r="Z177" s="96"/>
    </row>
    <row r="178">
      <c r="B178" s="30"/>
      <c r="D178" s="30"/>
      <c r="G178" s="13" t="s">
        <v>4904</v>
      </c>
      <c r="H178" s="11" t="s">
        <v>72</v>
      </c>
      <c r="I178" s="13">
        <v>21544.0</v>
      </c>
      <c r="J178" t="str">
        <f t="array" ref="J178">INDEX('TJ List'!B:B,MATCH(I178,'TJ List'!N:N,0),0)</f>
        <v>#N/A</v>
      </c>
      <c r="K178" s="6"/>
      <c r="M178" s="30"/>
      <c r="N178" s="86"/>
      <c r="O178" s="86"/>
      <c r="T178" s="30"/>
      <c r="Z178" s="96"/>
    </row>
    <row r="179">
      <c r="B179" s="30"/>
      <c r="D179" s="30"/>
      <c r="G179" s="13" t="s">
        <v>4799</v>
      </c>
      <c r="H179" s="11" t="s">
        <v>72</v>
      </c>
      <c r="I179" s="13">
        <v>15653.0</v>
      </c>
      <c r="J179" t="str">
        <f t="array" ref="J179">INDEX('TJ List'!B:B,MATCH(I179,'TJ List'!N:N,0),0)</f>
        <v>#N/A</v>
      </c>
      <c r="K179" s="6"/>
      <c r="M179" s="30"/>
      <c r="N179" s="86"/>
      <c r="O179" s="86"/>
      <c r="T179" s="30"/>
      <c r="Z179" s="96"/>
    </row>
    <row r="180">
      <c r="B180" s="30"/>
      <c r="D180" s="30"/>
      <c r="G180" s="13" t="s">
        <v>4782</v>
      </c>
      <c r="H180" s="11" t="s">
        <v>72</v>
      </c>
      <c r="I180" s="13">
        <v>16357.0</v>
      </c>
      <c r="J180" t="str">
        <f t="array" ref="J180">INDEX('TJ List'!B:B,MATCH(I180,'TJ List'!N:N,0),0)</f>
        <v>#N/A</v>
      </c>
      <c r="K180" s="6"/>
      <c r="M180" s="30"/>
      <c r="N180" s="86"/>
      <c r="O180" s="86"/>
      <c r="T180" s="30"/>
      <c r="Z180" s="96"/>
    </row>
    <row r="181">
      <c r="B181" s="30"/>
      <c r="D181" s="30"/>
      <c r="G181" s="13" t="s">
        <v>4905</v>
      </c>
      <c r="H181" s="11" t="s">
        <v>72</v>
      </c>
      <c r="I181" s="13">
        <v>11487.0</v>
      </c>
      <c r="J181" t="str">
        <f t="array" ref="J181">INDEX('TJ List'!B:B,MATCH(I181,'TJ List'!N:N,0),0)</f>
        <v>#N/A</v>
      </c>
      <c r="K181" s="6"/>
      <c r="M181" s="30"/>
      <c r="N181" s="86"/>
      <c r="T181" s="30"/>
      <c r="Z181" s="96"/>
    </row>
    <row r="182">
      <c r="B182" s="30"/>
      <c r="D182" s="30"/>
      <c r="G182" s="13" t="s">
        <v>4906</v>
      </c>
      <c r="H182" s="11" t="s">
        <v>72</v>
      </c>
      <c r="I182" s="13">
        <v>25551.0</v>
      </c>
      <c r="J182" t="str">
        <f t="array" ref="J182">INDEX('TJ List'!B:B,MATCH(I182,'TJ List'!N:N,0),0)</f>
        <v>#N/A</v>
      </c>
      <c r="K182" s="6"/>
      <c r="M182" s="30"/>
      <c r="N182" s="86"/>
      <c r="O182" s="86"/>
      <c r="T182" s="30"/>
      <c r="Z182" s="96"/>
    </row>
    <row r="183">
      <c r="B183" s="30"/>
      <c r="D183" s="30"/>
      <c r="G183" s="13" t="s">
        <v>2659</v>
      </c>
      <c r="H183" s="11" t="s">
        <v>167</v>
      </c>
      <c r="I183" s="13">
        <v>19795.0</v>
      </c>
      <c r="J183" s="87">
        <f t="array" ref="J183">INDEX('TJ List'!B:B,MATCH(I183,'TJ List'!N:N,0),0)</f>
        <v>42178</v>
      </c>
      <c r="K183" s="6"/>
      <c r="M183" s="30"/>
      <c r="N183" s="86"/>
      <c r="O183" s="86"/>
      <c r="T183" s="30"/>
      <c r="Z183" s="96"/>
    </row>
    <row r="184">
      <c r="B184" s="30"/>
      <c r="D184" s="30"/>
      <c r="G184" s="13" t="s">
        <v>2038</v>
      </c>
      <c r="H184" s="11" t="s">
        <v>167</v>
      </c>
      <c r="I184" s="13">
        <v>11760.0</v>
      </c>
      <c r="J184" s="87">
        <f t="array" ref="J184">INDEX('TJ List'!B:B,MATCH(I184,'TJ List'!N:N,0),0)</f>
        <v>42922</v>
      </c>
      <c r="K184" s="6"/>
      <c r="M184" s="30"/>
      <c r="N184" s="86"/>
      <c r="O184" s="86"/>
      <c r="T184" s="30"/>
      <c r="Z184" s="96"/>
    </row>
    <row r="185">
      <c r="B185" s="30"/>
      <c r="D185" s="30"/>
      <c r="G185" s="13" t="s">
        <v>166</v>
      </c>
      <c r="H185" s="11" t="s">
        <v>167</v>
      </c>
      <c r="I185" s="13">
        <v>17312.0</v>
      </c>
      <c r="J185" s="87">
        <f t="array" ref="J185">INDEX('TJ List'!B:B,MATCH(I185,'TJ List'!N:N,0),0)</f>
        <v>45765</v>
      </c>
      <c r="K185" s="6"/>
      <c r="M185" s="30"/>
      <c r="N185" s="86"/>
      <c r="O185" s="86"/>
      <c r="T185" s="30"/>
      <c r="Z185" s="96"/>
    </row>
    <row r="186">
      <c r="B186" s="30"/>
      <c r="D186" s="30"/>
      <c r="G186" s="13" t="s">
        <v>1897</v>
      </c>
      <c r="H186" s="11" t="s">
        <v>167</v>
      </c>
      <c r="I186" s="13">
        <v>16703.0</v>
      </c>
      <c r="J186" s="87">
        <f t="array" ref="J186">INDEX('TJ List'!B:B,MATCH(I186,'TJ List'!N:N,0),0)</f>
        <v>43168</v>
      </c>
      <c r="K186" s="6"/>
      <c r="M186" s="30"/>
      <c r="N186" s="86"/>
      <c r="O186" s="86"/>
      <c r="T186" s="30"/>
      <c r="Z186" s="96"/>
    </row>
    <row r="187">
      <c r="B187" s="30"/>
      <c r="D187" s="30"/>
      <c r="G187" s="13" t="s">
        <v>1646</v>
      </c>
      <c r="H187" s="11" t="s">
        <v>167</v>
      </c>
      <c r="I187" s="13">
        <v>15551.0</v>
      </c>
      <c r="J187" s="87">
        <f t="array" ref="J187">INDEX('TJ List'!B:B,MATCH(I187,'TJ List'!N:N,0),0)</f>
        <v>43536</v>
      </c>
      <c r="K187" s="6"/>
      <c r="M187" s="30"/>
      <c r="N187" s="86"/>
      <c r="T187" s="30"/>
      <c r="Z187" s="96"/>
    </row>
    <row r="188">
      <c r="B188" s="30"/>
      <c r="D188" s="30"/>
      <c r="G188" s="13" t="s">
        <v>1602</v>
      </c>
      <c r="H188" s="11" t="s">
        <v>167</v>
      </c>
      <c r="I188" s="13">
        <v>23590.0</v>
      </c>
      <c r="J188" s="87">
        <f t="array" ref="J188">INDEX('TJ List'!B:B,MATCH(I188,'TJ List'!N:N,0),0)</f>
        <v>43586</v>
      </c>
      <c r="K188" s="6"/>
      <c r="M188" s="30"/>
      <c r="N188" s="86"/>
      <c r="O188" s="86"/>
      <c r="T188" s="30"/>
      <c r="Z188" s="96"/>
    </row>
    <row r="189">
      <c r="B189" s="30"/>
      <c r="D189" s="30"/>
      <c r="G189" s="13" t="s">
        <v>1516</v>
      </c>
      <c r="H189" s="11" t="s">
        <v>167</v>
      </c>
      <c r="I189" s="13">
        <v>11674.0</v>
      </c>
      <c r="J189" s="87">
        <f t="array" ref="J189">INDEX('TJ List'!B:B,MATCH(I189,'TJ List'!N:N,0),0)</f>
        <v>43690</v>
      </c>
      <c r="K189" s="6"/>
      <c r="M189" s="30"/>
      <c r="N189" s="86"/>
      <c r="O189" s="86"/>
      <c r="T189" s="30"/>
      <c r="Z189" s="96"/>
    </row>
    <row r="190">
      <c r="B190" s="30"/>
      <c r="D190" s="30"/>
      <c r="G190" s="13" t="s">
        <v>1391</v>
      </c>
      <c r="H190" s="11" t="s">
        <v>167</v>
      </c>
      <c r="I190" s="13">
        <v>17793.0</v>
      </c>
      <c r="J190" s="87">
        <f t="array" ref="J190">INDEX('TJ List'!B:B,MATCH(I190,'TJ List'!N:N,0),0)</f>
        <v>44029</v>
      </c>
      <c r="K190" s="6"/>
      <c r="M190" s="30"/>
      <c r="N190" s="86"/>
      <c r="O190" s="86"/>
      <c r="T190" s="30"/>
      <c r="Z190" s="96"/>
    </row>
    <row r="191">
      <c r="B191" s="30"/>
      <c r="D191" s="30"/>
      <c r="G191" s="13" t="s">
        <v>1017</v>
      </c>
      <c r="H191" s="11" t="s">
        <v>167</v>
      </c>
      <c r="I191" s="13">
        <v>19337.0</v>
      </c>
      <c r="J191" s="87">
        <f t="array" ref="J191">INDEX('TJ List'!B:B,MATCH(I191,'TJ List'!N:N,0),0)</f>
        <v>44468</v>
      </c>
      <c r="K191" s="6"/>
      <c r="M191" s="30"/>
      <c r="N191" s="86"/>
      <c r="O191" s="86"/>
      <c r="T191" s="30"/>
      <c r="Z191" s="96"/>
    </row>
    <row r="192">
      <c r="B192" s="30"/>
      <c r="D192" s="30"/>
      <c r="G192" s="13" t="s">
        <v>788</v>
      </c>
      <c r="H192" s="11" t="s">
        <v>167</v>
      </c>
      <c r="I192" s="13">
        <v>24930.0</v>
      </c>
      <c r="J192" s="87">
        <f t="array" ref="J192">INDEX('TJ List'!B:B,MATCH(I192,'TJ List'!N:N,0),0)</f>
        <v>44755</v>
      </c>
      <c r="K192" s="6"/>
      <c r="M192" s="21"/>
      <c r="N192" s="94"/>
      <c r="O192" s="90"/>
      <c r="P192" s="28"/>
      <c r="Q192" s="33"/>
      <c r="T192" s="30"/>
      <c r="Z192" s="96"/>
    </row>
    <row r="193">
      <c r="B193" s="30"/>
      <c r="D193" s="30"/>
      <c r="G193" s="13" t="s">
        <v>272</v>
      </c>
      <c r="H193" s="11" t="s">
        <v>167</v>
      </c>
      <c r="I193" s="13">
        <v>17859.0</v>
      </c>
      <c r="J193" s="87">
        <f t="array" ref="J193">INDEX('TJ List'!B:B,MATCH(I193,'TJ List'!N:N,0),0)</f>
        <v>45511</v>
      </c>
      <c r="K193" s="6"/>
      <c r="M193" s="30"/>
      <c r="N193" s="86"/>
      <c r="O193" s="86"/>
      <c r="T193" s="30"/>
      <c r="Z193" s="96"/>
    </row>
    <row r="194">
      <c r="B194" s="30"/>
      <c r="D194" s="30"/>
      <c r="G194" s="13" t="s">
        <v>4907</v>
      </c>
      <c r="H194" s="11" t="s">
        <v>167</v>
      </c>
      <c r="I194" s="13">
        <v>33829.0</v>
      </c>
      <c r="J194" t="str">
        <f t="array" ref="J194">INDEX('TJ List'!B:B,MATCH(I194,'TJ List'!N:N,0),0)</f>
        <v>#N/A</v>
      </c>
      <c r="K194" s="6"/>
      <c r="M194" s="30"/>
      <c r="N194" s="86"/>
      <c r="O194" s="86"/>
      <c r="T194" s="30"/>
      <c r="Z194" s="96"/>
    </row>
    <row r="195">
      <c r="B195" s="30"/>
      <c r="D195" s="30"/>
      <c r="G195" s="13" t="s">
        <v>4908</v>
      </c>
      <c r="H195" s="11" t="s">
        <v>167</v>
      </c>
      <c r="I195" s="13">
        <v>21741.0</v>
      </c>
      <c r="J195" t="str">
        <f t="array" ref="J195">INDEX('TJ List'!B:B,MATCH(I195,'TJ List'!N:N,0),0)</f>
        <v>#N/A</v>
      </c>
      <c r="K195" s="6"/>
      <c r="M195" s="30"/>
      <c r="N195" s="86"/>
      <c r="O195" s="86"/>
      <c r="T195" s="30"/>
      <c r="Z195" s="96"/>
    </row>
    <row r="196">
      <c r="B196" s="30"/>
      <c r="D196" s="30"/>
      <c r="G196" s="13" t="s">
        <v>4909</v>
      </c>
      <c r="H196" s="11" t="s">
        <v>167</v>
      </c>
      <c r="I196" s="13">
        <v>26413.0</v>
      </c>
      <c r="J196" t="str">
        <f t="array" ref="J196">INDEX('TJ List'!B:B,MATCH(I196,'TJ List'!N:N,0),0)</f>
        <v>#N/A</v>
      </c>
      <c r="K196" s="6"/>
      <c r="M196" s="30"/>
      <c r="N196" s="86"/>
      <c r="O196" s="86"/>
      <c r="T196" s="30"/>
      <c r="Z196" s="96"/>
    </row>
    <row r="197">
      <c r="B197" s="30"/>
      <c r="D197" s="30"/>
      <c r="G197" s="13" t="s">
        <v>4910</v>
      </c>
      <c r="H197" s="11" t="s">
        <v>167</v>
      </c>
      <c r="I197" s="13">
        <v>12049.0</v>
      </c>
      <c r="J197" t="str">
        <f t="array" ref="J197">INDEX('TJ List'!B:B,MATCH(I197,'TJ List'!N:N,0),0)</f>
        <v>#N/A</v>
      </c>
      <c r="K197" s="6"/>
      <c r="M197" s="30"/>
      <c r="N197" s="86"/>
      <c r="O197" s="86"/>
      <c r="T197" s="30"/>
      <c r="Z197" s="96"/>
    </row>
    <row r="198">
      <c r="B198" s="30"/>
      <c r="D198" s="30"/>
      <c r="G198" s="13" t="s">
        <v>4911</v>
      </c>
      <c r="H198" s="11" t="s">
        <v>167</v>
      </c>
      <c r="I198" s="13">
        <v>12997.0</v>
      </c>
      <c r="J198" t="str">
        <f t="array" ref="J198">INDEX('TJ List'!B:B,MATCH(I198,'TJ List'!N:N,0),0)</f>
        <v>#N/A</v>
      </c>
      <c r="K198" s="6"/>
      <c r="M198" s="30"/>
      <c r="N198" s="86"/>
      <c r="O198" s="86"/>
      <c r="T198" s="30"/>
      <c r="Z198" s="96"/>
    </row>
    <row r="199">
      <c r="B199" s="30"/>
      <c r="D199" s="30"/>
      <c r="G199" s="13" t="s">
        <v>4912</v>
      </c>
      <c r="H199" s="11" t="s">
        <v>167</v>
      </c>
      <c r="I199" s="13">
        <v>15068.0</v>
      </c>
      <c r="J199" t="str">
        <f t="array" ref="J199">INDEX('TJ List'!B:B,MATCH(I199,'TJ List'!N:N,0),0)</f>
        <v>#N/A</v>
      </c>
      <c r="K199" s="6"/>
      <c r="M199" s="30"/>
      <c r="N199" s="86"/>
      <c r="O199" s="86"/>
      <c r="T199" s="30"/>
      <c r="Z199" s="96"/>
    </row>
    <row r="200">
      <c r="B200" s="30"/>
      <c r="D200" s="30"/>
      <c r="G200" s="13" t="s">
        <v>135</v>
      </c>
      <c r="H200" s="11" t="s">
        <v>167</v>
      </c>
      <c r="I200" s="13">
        <v>27581.0</v>
      </c>
      <c r="J200" s="87">
        <f t="array" ref="J200">INDEX('TJ List'!B:B,MATCH(I200,'TJ List'!N:N,0),0)</f>
        <v>45800</v>
      </c>
      <c r="K200" s="6"/>
      <c r="M200" s="30"/>
      <c r="N200" s="86"/>
      <c r="O200" s="86"/>
      <c r="T200" s="30"/>
      <c r="Z200" s="96"/>
    </row>
    <row r="201">
      <c r="B201" s="30"/>
      <c r="D201" s="30"/>
      <c r="G201" s="13" t="s">
        <v>4913</v>
      </c>
      <c r="H201" s="11" t="s">
        <v>167</v>
      </c>
      <c r="I201" s="13">
        <v>27914.0</v>
      </c>
      <c r="J201" t="str">
        <f t="array" ref="J201">INDEX('TJ List'!B:B,MATCH(I201,'TJ List'!N:N,0),0)</f>
        <v>#N/A</v>
      </c>
      <c r="K201" s="6"/>
      <c r="M201" s="30"/>
      <c r="N201" s="86"/>
      <c r="O201" s="86"/>
      <c r="T201" s="30"/>
      <c r="Z201" s="96"/>
    </row>
    <row r="202">
      <c r="B202" s="30"/>
      <c r="D202" s="30"/>
      <c r="G202" s="13" t="s">
        <v>4914</v>
      </c>
      <c r="H202" s="11" t="s">
        <v>167</v>
      </c>
      <c r="I202" s="13">
        <v>28036.0</v>
      </c>
      <c r="J202" t="str">
        <f t="array" ref="J202">INDEX('TJ List'!B:B,MATCH(I202,'TJ List'!N:N,0),0)</f>
        <v>#N/A</v>
      </c>
      <c r="K202" s="6"/>
      <c r="M202" s="30"/>
      <c r="N202" s="86"/>
      <c r="O202" s="86"/>
      <c r="T202" s="30"/>
      <c r="Z202" s="96"/>
    </row>
    <row r="203">
      <c r="B203" s="30"/>
      <c r="D203" s="30"/>
      <c r="G203" s="13" t="s">
        <v>4915</v>
      </c>
      <c r="H203" s="11" t="s">
        <v>167</v>
      </c>
      <c r="I203" s="13">
        <v>25427.0</v>
      </c>
      <c r="J203" t="str">
        <f t="array" ref="J203">INDEX('TJ List'!B:B,MATCH(I203,'TJ List'!N:N,0),0)</f>
        <v>#N/A</v>
      </c>
      <c r="K203" s="6"/>
      <c r="M203" s="30"/>
      <c r="N203" s="86"/>
      <c r="T203" s="30"/>
      <c r="Z203" s="96"/>
    </row>
    <row r="204">
      <c r="B204" s="30"/>
      <c r="D204" s="30"/>
      <c r="G204" s="13" t="s">
        <v>4767</v>
      </c>
      <c r="H204" s="11" t="s">
        <v>167</v>
      </c>
      <c r="I204" s="13">
        <v>27845.0</v>
      </c>
      <c r="J204" t="str">
        <f t="array" ref="J204">INDEX('TJ List'!B:B,MATCH(I204,'TJ List'!N:N,0),0)</f>
        <v>#N/A</v>
      </c>
      <c r="K204" s="6"/>
      <c r="M204" s="30"/>
      <c r="N204" s="86"/>
      <c r="O204" s="86"/>
      <c r="T204" s="30"/>
      <c r="Z204" s="96"/>
    </row>
    <row r="205">
      <c r="B205" s="30"/>
      <c r="D205" s="30"/>
      <c r="G205" s="13" t="s">
        <v>4696</v>
      </c>
      <c r="H205" s="11" t="s">
        <v>167</v>
      </c>
      <c r="I205" s="13">
        <v>14593.0</v>
      </c>
      <c r="J205" t="str">
        <f t="array" ref="J205">INDEX('TJ List'!B:B,MATCH(I205,'TJ List'!N:N,0),0)</f>
        <v>#N/A</v>
      </c>
      <c r="K205" s="6"/>
      <c r="M205" s="30"/>
      <c r="N205" s="86"/>
      <c r="O205" s="86"/>
      <c r="T205" s="30"/>
      <c r="Z205" s="96"/>
    </row>
    <row r="206">
      <c r="B206" s="30"/>
      <c r="D206" s="30"/>
      <c r="G206" s="13" t="s">
        <v>4827</v>
      </c>
      <c r="H206" s="11" t="s">
        <v>167</v>
      </c>
      <c r="I206" s="13">
        <v>13602.0</v>
      </c>
      <c r="J206" t="str">
        <f t="array" ref="J206">INDEX('TJ List'!B:B,MATCH(I206,'TJ List'!N:N,0),0)</f>
        <v>#N/A</v>
      </c>
      <c r="K206" s="6"/>
      <c r="M206" s="30"/>
      <c r="N206" s="86"/>
      <c r="O206" s="86"/>
      <c r="T206" s="30"/>
      <c r="Z206" s="96"/>
    </row>
    <row r="207">
      <c r="B207" s="30"/>
      <c r="D207" s="30"/>
      <c r="G207" s="13" t="s">
        <v>4916</v>
      </c>
      <c r="H207" s="11" t="s">
        <v>167</v>
      </c>
      <c r="I207" s="13">
        <v>26213.0</v>
      </c>
      <c r="J207" t="str">
        <f t="array" ref="J207">INDEX('TJ List'!B:B,MATCH(I207,'TJ List'!N:N,0),0)</f>
        <v>#N/A</v>
      </c>
      <c r="K207" s="6"/>
      <c r="M207" s="30"/>
      <c r="N207" s="86"/>
      <c r="O207" s="86"/>
      <c r="T207" s="30"/>
      <c r="Z207" s="96"/>
    </row>
    <row r="208">
      <c r="B208" s="30"/>
      <c r="D208" s="30"/>
      <c r="G208" s="13" t="s">
        <v>4917</v>
      </c>
      <c r="H208" s="11" t="s">
        <v>167</v>
      </c>
      <c r="I208" s="13">
        <v>30106.0</v>
      </c>
      <c r="J208" t="str">
        <f t="array" ref="J208">INDEX('TJ List'!B:B,MATCH(I208,'TJ List'!N:N,0),0)</f>
        <v>#N/A</v>
      </c>
      <c r="K208" s="6"/>
      <c r="M208" s="30"/>
      <c r="N208" s="86"/>
      <c r="O208" s="86"/>
      <c r="T208" s="30"/>
      <c r="Z208" s="96"/>
    </row>
    <row r="209">
      <c r="B209" s="30"/>
      <c r="D209" s="30"/>
      <c r="G209" s="13" t="s">
        <v>4918</v>
      </c>
      <c r="H209" s="11" t="s">
        <v>167</v>
      </c>
      <c r="I209" s="13">
        <v>30094.0</v>
      </c>
      <c r="J209" t="str">
        <f t="array" ref="J209">INDEX('TJ List'!B:B,MATCH(I209,'TJ List'!N:N,0),0)</f>
        <v>#N/A</v>
      </c>
      <c r="K209" s="6"/>
      <c r="M209" s="30"/>
      <c r="N209" s="86"/>
      <c r="O209" s="86"/>
      <c r="T209" s="30"/>
      <c r="Z209" s="96"/>
    </row>
    <row r="210">
      <c r="B210" s="30"/>
      <c r="D210" s="30"/>
      <c r="G210" s="13" t="s">
        <v>2964</v>
      </c>
      <c r="H210" s="11" t="s">
        <v>143</v>
      </c>
      <c r="I210" s="13">
        <v>17425.0</v>
      </c>
      <c r="J210" s="87">
        <f t="array" ref="J210">INDEX('TJ List'!B:B,MATCH(I210,'TJ List'!N:N,0),0)</f>
        <v>41793</v>
      </c>
      <c r="K210" s="6"/>
      <c r="M210" s="30"/>
      <c r="N210" s="86"/>
      <c r="O210" s="86"/>
      <c r="T210" s="30"/>
      <c r="Z210" s="96"/>
    </row>
    <row r="211">
      <c r="B211" s="30"/>
      <c r="D211" s="30"/>
      <c r="G211" s="13" t="s">
        <v>2944</v>
      </c>
      <c r="H211" s="11" t="s">
        <v>143</v>
      </c>
      <c r="I211" s="13">
        <v>13896.0</v>
      </c>
      <c r="J211" s="87">
        <f t="array" ref="J211">INDEX('TJ List'!B:B,MATCH(I211,'TJ List'!N:N,0),0)</f>
        <v>41821</v>
      </c>
      <c r="K211" s="6"/>
      <c r="M211" s="30"/>
      <c r="N211" s="86"/>
      <c r="O211" s="86"/>
      <c r="T211" s="30"/>
      <c r="Z211" s="96"/>
    </row>
    <row r="212">
      <c r="B212" s="30"/>
      <c r="D212" s="30"/>
      <c r="G212" s="13" t="s">
        <v>2246</v>
      </c>
      <c r="H212" s="11" t="s">
        <v>143</v>
      </c>
      <c r="I212" s="13">
        <v>20353.0</v>
      </c>
      <c r="J212" s="89">
        <f t="array" ref="J212">INDEX('TJ List'!B:B,MATCH(I212,'TJ List'!N:N,0),0)</f>
        <v>42736</v>
      </c>
      <c r="K212" s="6"/>
      <c r="M212" s="30"/>
      <c r="N212" s="86"/>
      <c r="O212" s="86"/>
      <c r="T212" s="30"/>
      <c r="Z212" s="96"/>
    </row>
    <row r="213">
      <c r="B213" s="30"/>
      <c r="D213" s="30"/>
      <c r="G213" s="13" t="s">
        <v>1814</v>
      </c>
      <c r="H213" s="11" t="s">
        <v>143</v>
      </c>
      <c r="I213" s="13">
        <v>29878.0</v>
      </c>
      <c r="J213" s="89">
        <f t="array" ref="J213">INDEX('TJ List'!B:B,MATCH(I213,'TJ List'!N:N,0),0)</f>
        <v>43252</v>
      </c>
      <c r="K213" s="6"/>
      <c r="M213" s="30"/>
      <c r="N213" s="86"/>
      <c r="O213" s="86"/>
      <c r="T213" s="30"/>
      <c r="Z213" s="96"/>
    </row>
    <row r="214">
      <c r="B214" s="30"/>
      <c r="D214" s="30"/>
      <c r="G214" s="13" t="s">
        <v>1738</v>
      </c>
      <c r="H214" s="11" t="s">
        <v>143</v>
      </c>
      <c r="I214" s="13">
        <v>17282.0</v>
      </c>
      <c r="J214" s="87">
        <f t="array" ref="J214">INDEX('TJ List'!B:B,MATCH(I214,'TJ List'!N:N,0),0)</f>
        <v>43361</v>
      </c>
      <c r="K214" s="6"/>
      <c r="M214" s="30"/>
      <c r="N214" s="86"/>
      <c r="O214" s="86"/>
      <c r="T214" s="30"/>
      <c r="Z214" s="96"/>
    </row>
    <row r="215">
      <c r="B215" s="30"/>
      <c r="D215" s="30"/>
      <c r="G215" s="13" t="s">
        <v>1737</v>
      </c>
      <c r="H215" s="11" t="s">
        <v>143</v>
      </c>
      <c r="I215" s="13">
        <v>14975.0</v>
      </c>
      <c r="J215" s="87">
        <f t="array" ref="J215">INDEX('TJ List'!B:B,MATCH(I215,'TJ List'!N:N,0),0)</f>
        <v>43362</v>
      </c>
      <c r="K215" s="6"/>
      <c r="L215" s="38"/>
      <c r="M215" s="21"/>
      <c r="N215" s="94"/>
      <c r="O215" s="90"/>
      <c r="P215" s="28"/>
      <c r="Q215" s="33"/>
      <c r="T215" s="30"/>
      <c r="Z215" s="96"/>
    </row>
    <row r="216">
      <c r="B216" s="30"/>
      <c r="D216" s="30"/>
      <c r="G216" s="13" t="s">
        <v>1518</v>
      </c>
      <c r="H216" s="11" t="s">
        <v>143</v>
      </c>
      <c r="I216" s="13">
        <v>24737.0</v>
      </c>
      <c r="J216" s="87">
        <f t="array" ref="J216">INDEX('TJ List'!B:B,MATCH(I216,'TJ List'!N:N,0),0)</f>
        <v>43678</v>
      </c>
      <c r="K216" s="6"/>
      <c r="M216" s="30"/>
      <c r="N216" s="86"/>
      <c r="O216" s="86"/>
      <c r="T216" s="30"/>
      <c r="Z216" s="96"/>
    </row>
    <row r="217">
      <c r="B217" s="30"/>
      <c r="D217" s="30"/>
      <c r="G217" s="13" t="s">
        <v>1401</v>
      </c>
      <c r="H217" s="11" t="s">
        <v>143</v>
      </c>
      <c r="I217" s="13">
        <v>12777.0</v>
      </c>
      <c r="J217" s="87">
        <f t="array" ref="J217">INDEX('TJ List'!B:B,MATCH(I217,'TJ List'!N:N,0),0)</f>
        <v>43990</v>
      </c>
      <c r="K217" s="6"/>
      <c r="M217" s="30"/>
      <c r="N217" s="86"/>
      <c r="O217" s="86"/>
      <c r="T217" s="30"/>
      <c r="Z217" s="96"/>
    </row>
    <row r="218">
      <c r="B218" s="30"/>
      <c r="D218" s="30"/>
      <c r="G218" s="13" t="s">
        <v>1388</v>
      </c>
      <c r="H218" s="11" t="s">
        <v>143</v>
      </c>
      <c r="I218" s="13">
        <v>16201.0</v>
      </c>
      <c r="J218" s="87">
        <f t="array" ref="J218">INDEX('TJ List'!B:B,MATCH(I218,'TJ List'!N:N,0),0)</f>
        <v>44034</v>
      </c>
      <c r="K218" s="6"/>
      <c r="M218" s="30"/>
      <c r="N218" s="86"/>
      <c r="O218" s="86"/>
      <c r="T218" s="30"/>
      <c r="Z218" s="96"/>
    </row>
    <row r="219">
      <c r="B219" s="30"/>
      <c r="D219" s="30"/>
      <c r="G219" s="13" t="s">
        <v>1325</v>
      </c>
      <c r="H219" s="11" t="s">
        <v>143</v>
      </c>
      <c r="I219" s="13">
        <v>12808.0</v>
      </c>
      <c r="J219" s="87">
        <f t="array" ref="J219">INDEX('TJ List'!B:B,MATCH(I219,'TJ List'!N:N,0),0)</f>
        <v>44152</v>
      </c>
      <c r="K219" s="6"/>
      <c r="M219" s="30"/>
      <c r="N219" s="86"/>
      <c r="O219" s="86"/>
      <c r="T219" s="30"/>
      <c r="Z219" s="96"/>
    </row>
    <row r="220">
      <c r="B220" s="30"/>
      <c r="D220" s="30"/>
      <c r="G220" s="13" t="s">
        <v>1028</v>
      </c>
      <c r="H220" s="11" t="s">
        <v>143</v>
      </c>
      <c r="I220" s="13">
        <v>27590.0</v>
      </c>
      <c r="J220" s="87">
        <f t="array" ref="J220">INDEX('TJ List'!B:B,MATCH(I220,'TJ List'!N:N,0),0)</f>
        <v>44440</v>
      </c>
      <c r="K220" s="6"/>
      <c r="M220" s="30"/>
      <c r="N220" s="86"/>
      <c r="O220" s="86"/>
      <c r="T220" s="30"/>
      <c r="Z220" s="96"/>
    </row>
    <row r="221">
      <c r="B221" s="30"/>
      <c r="D221" s="30"/>
      <c r="G221" s="13" t="s">
        <v>858</v>
      </c>
      <c r="H221" s="11" t="s">
        <v>143</v>
      </c>
      <c r="I221" s="13">
        <v>27463.0</v>
      </c>
      <c r="J221" s="87">
        <f t="array" ref="J221">INDEX('TJ List'!B:B,MATCH(I221,'TJ List'!N:N,0),0)</f>
        <v>44656</v>
      </c>
      <c r="K221" s="6"/>
      <c r="M221" s="30"/>
      <c r="N221" s="86"/>
      <c r="O221" s="86"/>
      <c r="T221" s="30"/>
      <c r="Z221" s="96"/>
    </row>
    <row r="222">
      <c r="B222" s="30"/>
      <c r="D222" s="30"/>
      <c r="G222" s="13" t="s">
        <v>630</v>
      </c>
      <c r="H222" s="11" t="s">
        <v>143</v>
      </c>
      <c r="I222" s="13">
        <v>19647.0</v>
      </c>
      <c r="J222" s="87">
        <f t="array" ref="J222">INDEX('TJ List'!B:B,MATCH(I222,'TJ List'!N:N,0),0)</f>
        <v>45017</v>
      </c>
      <c r="K222" s="6"/>
      <c r="M222" s="30"/>
      <c r="N222" s="86"/>
      <c r="O222" s="86"/>
      <c r="T222" s="30"/>
      <c r="Z222" s="96"/>
    </row>
    <row r="223">
      <c r="B223" s="30"/>
      <c r="D223" s="30"/>
      <c r="G223" s="13" t="s">
        <v>597</v>
      </c>
      <c r="H223" s="11" t="s">
        <v>143</v>
      </c>
      <c r="I223" s="13">
        <v>21448.0</v>
      </c>
      <c r="J223" s="87">
        <f t="array" ref="J223">INDEX('TJ List'!B:B,MATCH(I223,'TJ List'!N:N,0),0)</f>
        <v>45063</v>
      </c>
      <c r="K223" s="6"/>
      <c r="M223" s="30"/>
      <c r="N223" s="86"/>
      <c r="O223" s="86"/>
      <c r="T223" s="30"/>
      <c r="Z223" s="96"/>
    </row>
    <row r="224">
      <c r="B224" s="30"/>
      <c r="D224" s="30"/>
      <c r="G224" s="13" t="s">
        <v>4919</v>
      </c>
      <c r="H224" s="11" t="s">
        <v>143</v>
      </c>
      <c r="I224" s="13">
        <v>31730.0</v>
      </c>
      <c r="J224" t="str">
        <f t="array" ref="J224">INDEX('TJ List'!B:B,MATCH(I224,'TJ List'!N:N,0),0)</f>
        <v>#N/A</v>
      </c>
      <c r="K224" s="6"/>
      <c r="M224" s="30"/>
      <c r="N224" s="86"/>
      <c r="O224" s="86"/>
      <c r="T224" s="30"/>
      <c r="Z224" s="96"/>
    </row>
    <row r="225">
      <c r="B225" s="30"/>
      <c r="D225" s="30"/>
      <c r="G225" s="13" t="s">
        <v>4920</v>
      </c>
      <c r="H225" s="11" t="s">
        <v>143</v>
      </c>
      <c r="I225" s="13">
        <v>18383.0</v>
      </c>
      <c r="J225" t="str">
        <f t="array" ref="J225">INDEX('TJ List'!B:B,MATCH(I225,'TJ List'!N:N,0),0)</f>
        <v>#N/A</v>
      </c>
      <c r="K225" s="6"/>
      <c r="M225" s="30"/>
      <c r="N225" s="86"/>
      <c r="O225" s="86"/>
      <c r="T225" s="30"/>
      <c r="Z225" s="96"/>
    </row>
    <row r="226">
      <c r="B226" s="30"/>
      <c r="D226" s="30"/>
      <c r="G226" s="13" t="s">
        <v>4921</v>
      </c>
      <c r="H226" s="11" t="s">
        <v>143</v>
      </c>
      <c r="I226" s="13">
        <v>27472.0</v>
      </c>
      <c r="J226" t="str">
        <f t="array" ref="J226">INDEX('TJ List'!B:B,MATCH(I226,'TJ List'!N:N,0),0)</f>
        <v>#N/A</v>
      </c>
      <c r="K226" s="6"/>
      <c r="M226" s="30"/>
      <c r="N226" s="86"/>
      <c r="O226" s="86"/>
      <c r="T226" s="30"/>
      <c r="Z226" s="96"/>
    </row>
    <row r="227">
      <c r="B227" s="30"/>
      <c r="D227" s="30"/>
      <c r="G227" s="13" t="s">
        <v>4922</v>
      </c>
      <c r="H227" s="11" t="s">
        <v>143</v>
      </c>
      <c r="I227" s="13">
        <v>29530.0</v>
      </c>
      <c r="J227" t="str">
        <f t="array" ref="J227">INDEX('TJ List'!B:B,MATCH(I227,'TJ List'!N:N,0),0)</f>
        <v>#N/A</v>
      </c>
      <c r="K227" s="6"/>
      <c r="M227" s="30"/>
      <c r="N227" s="86"/>
      <c r="O227" s="86"/>
      <c r="T227" s="30"/>
      <c r="Z227" s="96"/>
    </row>
    <row r="228">
      <c r="B228" s="30"/>
      <c r="D228" s="30"/>
      <c r="G228" s="13" t="s">
        <v>201</v>
      </c>
      <c r="H228" s="11" t="s">
        <v>143</v>
      </c>
      <c r="I228" s="13">
        <v>22932.0</v>
      </c>
      <c r="J228" s="87">
        <f t="array" ref="J228">INDEX('TJ List'!B:B,MATCH(I228,'TJ List'!N:N,0),0)</f>
        <v>45717</v>
      </c>
      <c r="K228" s="6"/>
      <c r="M228" s="30"/>
      <c r="N228" s="86"/>
      <c r="O228" s="86"/>
      <c r="T228" s="30"/>
      <c r="Z228" s="96"/>
    </row>
    <row r="229">
      <c r="B229" s="30"/>
      <c r="D229" s="30"/>
      <c r="G229" s="13" t="s">
        <v>4765</v>
      </c>
      <c r="H229" s="11" t="s">
        <v>143</v>
      </c>
      <c r="I229" s="13">
        <v>18889.0</v>
      </c>
      <c r="J229" t="str">
        <f t="array" ref="J229">INDEX('TJ List'!B:B,MATCH(I229,'TJ List'!N:N,0),0)</f>
        <v>#N/A</v>
      </c>
      <c r="K229" s="6"/>
      <c r="M229" s="30"/>
      <c r="N229" s="86"/>
      <c r="O229" s="86"/>
      <c r="T229" s="30"/>
      <c r="Z229" s="96"/>
    </row>
    <row r="230">
      <c r="B230" s="30"/>
      <c r="D230" s="30"/>
      <c r="G230" s="13" t="s">
        <v>4923</v>
      </c>
      <c r="H230" s="11" t="s">
        <v>143</v>
      </c>
      <c r="I230" s="13">
        <v>26907.0</v>
      </c>
      <c r="J230" t="str">
        <f t="array" ref="J230">INDEX('TJ List'!B:B,MATCH(I230,'TJ List'!N:N,0),0)</f>
        <v>#N/A</v>
      </c>
      <c r="K230" s="6"/>
      <c r="M230" s="30"/>
      <c r="N230" s="86"/>
      <c r="T230" s="30"/>
      <c r="Z230" s="96"/>
    </row>
    <row r="231">
      <c r="B231" s="30"/>
      <c r="D231" s="30"/>
      <c r="G231" s="13" t="s">
        <v>4924</v>
      </c>
      <c r="H231" s="11" t="s">
        <v>143</v>
      </c>
      <c r="I231" s="13">
        <v>25589.0</v>
      </c>
      <c r="J231" t="str">
        <f t="array" ref="J231">INDEX('TJ List'!B:B,MATCH(I231,'TJ List'!N:N,0),0)</f>
        <v>#N/A</v>
      </c>
      <c r="K231" s="6"/>
      <c r="M231" s="30"/>
      <c r="N231" s="86"/>
      <c r="O231" s="86"/>
      <c r="T231" s="30"/>
      <c r="Z231" s="96"/>
    </row>
    <row r="232">
      <c r="B232" s="30"/>
      <c r="D232" s="30"/>
      <c r="G232" s="13" t="s">
        <v>204</v>
      </c>
      <c r="H232" s="11" t="s">
        <v>143</v>
      </c>
      <c r="I232" s="13">
        <v>31967.0</v>
      </c>
      <c r="J232" s="87">
        <f t="array" ref="J232">INDEX('TJ List'!B:B,MATCH(I232,'TJ List'!N:N,0),0)</f>
        <v>45717</v>
      </c>
      <c r="K232" s="6"/>
      <c r="M232" s="30"/>
      <c r="N232" s="86"/>
      <c r="O232" s="86"/>
      <c r="T232" s="30"/>
      <c r="Z232" s="96"/>
    </row>
    <row r="233">
      <c r="B233" s="30"/>
      <c r="D233" s="30"/>
      <c r="G233" s="13" t="s">
        <v>4925</v>
      </c>
      <c r="H233" s="11" t="s">
        <v>143</v>
      </c>
      <c r="I233" s="13">
        <v>20276.0</v>
      </c>
      <c r="J233" t="str">
        <f t="array" ref="J233">INDEX('TJ List'!B:B,MATCH(I233,'TJ List'!N:N,0),0)</f>
        <v>#N/A</v>
      </c>
      <c r="K233" s="6"/>
      <c r="M233" s="30"/>
      <c r="N233" s="86"/>
      <c r="O233" s="86"/>
      <c r="T233" s="30"/>
      <c r="Z233" s="96"/>
    </row>
    <row r="234">
      <c r="B234" s="30"/>
      <c r="D234" s="30"/>
      <c r="G234" s="13" t="s">
        <v>210</v>
      </c>
      <c r="H234" s="11" t="s">
        <v>143</v>
      </c>
      <c r="I234" s="13">
        <v>29823.0</v>
      </c>
      <c r="J234" s="87">
        <f t="array" ref="J234">INDEX('TJ List'!B:B,MATCH(I234,'TJ List'!N:N,0),0)</f>
        <v>45700</v>
      </c>
      <c r="K234" s="6"/>
      <c r="M234" s="30"/>
      <c r="N234" s="86"/>
      <c r="O234" s="86"/>
      <c r="T234" s="30"/>
      <c r="Z234" s="96"/>
    </row>
    <row r="235">
      <c r="B235" s="30"/>
      <c r="D235" s="30"/>
      <c r="G235" s="13" t="s">
        <v>4926</v>
      </c>
      <c r="H235" s="11" t="s">
        <v>143</v>
      </c>
      <c r="I235" s="13">
        <v>8110.0</v>
      </c>
      <c r="J235" t="str">
        <f t="array" ref="J235">INDEX('TJ List'!B:B,MATCH(I235,'TJ List'!N:N,0),0)</f>
        <v>#N/A</v>
      </c>
      <c r="K235" s="6"/>
      <c r="M235" s="30"/>
      <c r="N235" s="86"/>
      <c r="O235" s="86"/>
      <c r="T235" s="30"/>
      <c r="Z235" s="96"/>
    </row>
    <row r="236">
      <c r="B236" s="30"/>
      <c r="D236" s="30"/>
      <c r="G236" s="13" t="s">
        <v>4927</v>
      </c>
      <c r="H236" s="11" t="s">
        <v>143</v>
      </c>
      <c r="I236" s="13">
        <v>16929.0</v>
      </c>
      <c r="J236" t="str">
        <f t="array" ref="J236">INDEX('TJ List'!B:B,MATCH(I236,'TJ List'!N:N,0),0)</f>
        <v>#N/A</v>
      </c>
      <c r="K236" s="6"/>
      <c r="M236" s="30"/>
      <c r="N236" s="86"/>
      <c r="O236" s="86"/>
      <c r="T236" s="30"/>
      <c r="Z236" s="96"/>
    </row>
    <row r="237">
      <c r="B237" s="30"/>
      <c r="D237" s="30"/>
      <c r="G237" s="13" t="s">
        <v>4928</v>
      </c>
      <c r="H237" s="11" t="s">
        <v>143</v>
      </c>
      <c r="I237" s="13">
        <v>29950.0</v>
      </c>
      <c r="J237" t="str">
        <f t="array" ref="J237">INDEX('TJ List'!B:B,MATCH(I237,'TJ List'!N:N,0),0)</f>
        <v>#N/A</v>
      </c>
      <c r="K237" s="6"/>
      <c r="M237" s="30"/>
      <c r="N237" s="86"/>
      <c r="O237" s="86"/>
      <c r="T237" s="30"/>
      <c r="Z237" s="96"/>
    </row>
    <row r="238">
      <c r="B238" s="30"/>
      <c r="D238" s="30"/>
      <c r="G238" s="13" t="s">
        <v>4929</v>
      </c>
      <c r="H238" s="11" t="s">
        <v>143</v>
      </c>
      <c r="I238" s="13">
        <v>13763.0</v>
      </c>
      <c r="J238" t="str">
        <f t="array" ref="J238">INDEX('TJ List'!B:B,MATCH(I238,'TJ List'!N:N,0),0)</f>
        <v>#N/A</v>
      </c>
      <c r="K238" s="6"/>
      <c r="M238" s="30"/>
      <c r="N238" s="86"/>
      <c r="O238" s="86"/>
      <c r="T238" s="30"/>
      <c r="Z238" s="96"/>
    </row>
    <row r="239">
      <c r="B239" s="30"/>
      <c r="D239" s="30"/>
      <c r="G239" s="13" t="s">
        <v>4930</v>
      </c>
      <c r="H239" s="11" t="s">
        <v>143</v>
      </c>
      <c r="I239" s="13">
        <v>29833.0</v>
      </c>
      <c r="J239" t="str">
        <f t="array" ref="J239">INDEX('TJ List'!B:B,MATCH(I239,'TJ List'!N:N,0),0)</f>
        <v>#N/A</v>
      </c>
      <c r="K239" s="6"/>
      <c r="M239" s="30"/>
      <c r="N239" s="86"/>
      <c r="O239" s="86"/>
      <c r="T239" s="30"/>
      <c r="Z239" s="96"/>
    </row>
    <row r="240">
      <c r="B240" s="30"/>
      <c r="D240" s="30"/>
      <c r="G240" s="13" t="s">
        <v>3241</v>
      </c>
      <c r="H240" s="11" t="s">
        <v>162</v>
      </c>
      <c r="I240" s="13">
        <v>9174.0</v>
      </c>
      <c r="J240" s="87">
        <f t="array" ref="J240">INDEX('TJ List'!B:B,MATCH(I240,'TJ List'!N:N,0),0)</f>
        <v>41366</v>
      </c>
      <c r="K240" s="6"/>
      <c r="M240" s="30"/>
      <c r="N240" s="86"/>
      <c r="O240" s="86"/>
      <c r="T240" s="30"/>
      <c r="Z240" s="96"/>
    </row>
    <row r="241">
      <c r="B241" s="30"/>
      <c r="D241" s="30"/>
      <c r="G241" s="13" t="s">
        <v>4931</v>
      </c>
      <c r="H241" s="11" t="s">
        <v>162</v>
      </c>
      <c r="I241" s="13">
        <v>21132.0</v>
      </c>
      <c r="J241" s="87">
        <f t="array" ref="J241">INDEX('TJ List'!B:B,MATCH(I241,'TJ List'!N:N,0),0)</f>
        <v>42514</v>
      </c>
      <c r="K241" s="6"/>
      <c r="M241" s="30"/>
      <c r="N241" s="86"/>
      <c r="O241" s="86"/>
      <c r="T241" s="30"/>
      <c r="Z241" s="96"/>
    </row>
    <row r="242">
      <c r="B242" s="30"/>
      <c r="D242" s="30"/>
      <c r="G242" s="13" t="s">
        <v>1779</v>
      </c>
      <c r="H242" s="11" t="s">
        <v>162</v>
      </c>
      <c r="I242" s="13">
        <v>16135.0</v>
      </c>
      <c r="J242" s="87">
        <f t="array" ref="J242">INDEX('TJ List'!B:B,MATCH(I242,'TJ List'!N:N,0),0)</f>
        <v>43282</v>
      </c>
      <c r="K242" s="6"/>
      <c r="M242" s="30"/>
      <c r="N242" s="86"/>
      <c r="O242" s="86"/>
      <c r="T242" s="30"/>
      <c r="Z242" s="96"/>
    </row>
    <row r="243">
      <c r="B243" s="30"/>
      <c r="D243" s="30"/>
      <c r="G243" s="13" t="s">
        <v>1763</v>
      </c>
      <c r="H243" s="11" t="s">
        <v>162</v>
      </c>
      <c r="I243" s="13">
        <v>13942.0</v>
      </c>
      <c r="J243" s="87">
        <f t="array" ref="J243">INDEX('TJ List'!B:B,MATCH(I243,'TJ List'!N:N,0),0)</f>
        <v>43312</v>
      </c>
      <c r="K243" s="6"/>
      <c r="M243" s="30"/>
      <c r="N243" s="86"/>
      <c r="O243" s="86"/>
      <c r="T243" s="30"/>
      <c r="Z243" s="96"/>
    </row>
    <row r="244">
      <c r="B244" s="30"/>
      <c r="D244" s="30"/>
      <c r="G244" s="13" t="s">
        <v>1721</v>
      </c>
      <c r="H244" s="11" t="s">
        <v>162</v>
      </c>
      <c r="I244" s="13">
        <v>27765.0</v>
      </c>
      <c r="J244" s="87">
        <f t="array" ref="J244">INDEX('TJ List'!B:B,MATCH(I244,'TJ List'!N:N,0),0)</f>
        <v>43466</v>
      </c>
      <c r="K244" s="6"/>
      <c r="M244" s="30"/>
      <c r="N244" s="86"/>
      <c r="T244" s="30"/>
      <c r="Z244" s="96"/>
    </row>
    <row r="245">
      <c r="B245" s="30"/>
      <c r="D245" s="30"/>
      <c r="G245" s="13" t="s">
        <v>1615</v>
      </c>
      <c r="H245" s="11" t="s">
        <v>162</v>
      </c>
      <c r="I245" s="13">
        <v>22182.0</v>
      </c>
      <c r="J245" s="87">
        <f t="array" ref="J245">INDEX('TJ List'!B:B,MATCH(I245,'TJ List'!N:N,0),0)</f>
        <v>43564</v>
      </c>
      <c r="K245" s="6"/>
      <c r="M245" s="30"/>
      <c r="N245" s="86"/>
      <c r="O245" s="86"/>
      <c r="T245" s="30"/>
      <c r="Z245" s="96"/>
    </row>
    <row r="246">
      <c r="B246" s="30"/>
      <c r="D246" s="30"/>
      <c r="G246" s="13" t="s">
        <v>1517</v>
      </c>
      <c r="H246" s="11" t="s">
        <v>162</v>
      </c>
      <c r="I246" s="13">
        <v>25921.0</v>
      </c>
      <c r="J246" s="87">
        <f t="array" ref="J246">INDEX('TJ List'!B:B,MATCH(I246,'TJ List'!N:N,0),0)</f>
        <v>43678</v>
      </c>
      <c r="K246" s="6"/>
      <c r="M246" s="30"/>
      <c r="N246" s="86"/>
      <c r="O246" s="86"/>
      <c r="T246" s="30"/>
      <c r="Z246" s="96"/>
    </row>
    <row r="247">
      <c r="B247" s="30"/>
      <c r="D247" s="30"/>
      <c r="G247" s="13" t="s">
        <v>1235</v>
      </c>
      <c r="H247" s="11" t="s">
        <v>162</v>
      </c>
      <c r="I247" s="13">
        <v>24581.0</v>
      </c>
      <c r="J247" s="87">
        <f t="array" ref="J247">INDEX('TJ List'!B:B,MATCH(I247,'TJ List'!N:N,0),0)</f>
        <v>44197</v>
      </c>
      <c r="K247" s="6"/>
      <c r="M247" s="30"/>
      <c r="N247" s="86"/>
      <c r="O247" s="86"/>
      <c r="T247" s="30"/>
      <c r="Z247" s="96"/>
    </row>
    <row r="248">
      <c r="B248" s="30"/>
      <c r="D248" s="30"/>
      <c r="G248" s="13" t="s">
        <v>1035</v>
      </c>
      <c r="H248" s="11" t="s">
        <v>162</v>
      </c>
      <c r="I248" s="13">
        <v>16233.0</v>
      </c>
      <c r="J248" s="87">
        <f t="array" ref="J248">INDEX('TJ List'!B:B,MATCH(I248,'TJ List'!N:N,0),0)</f>
        <v>44435</v>
      </c>
      <c r="K248" s="6"/>
      <c r="M248" s="30"/>
      <c r="N248" s="86"/>
      <c r="O248" s="86"/>
      <c r="T248" s="30"/>
      <c r="Z248" s="96"/>
    </row>
    <row r="249">
      <c r="B249" s="30"/>
      <c r="D249" s="30"/>
      <c r="G249" s="13" t="s">
        <v>806</v>
      </c>
      <c r="H249" s="11" t="s">
        <v>162</v>
      </c>
      <c r="I249" s="13">
        <v>4301.0</v>
      </c>
      <c r="J249" s="87">
        <f t="array" ref="J249">INDEX('TJ List'!B:B,MATCH(I249,'TJ List'!N:N,0),0)</f>
        <v>44715</v>
      </c>
      <c r="K249" s="6"/>
      <c r="M249" s="30"/>
      <c r="N249" s="86"/>
      <c r="T249" s="30"/>
      <c r="Z249" s="96"/>
    </row>
    <row r="250">
      <c r="B250" s="30"/>
      <c r="D250" s="30"/>
      <c r="G250" s="13" t="s">
        <v>257</v>
      </c>
      <c r="H250" s="11" t="s">
        <v>162</v>
      </c>
      <c r="I250" s="13">
        <v>25463.0</v>
      </c>
      <c r="J250" s="87">
        <f t="array" ref="J250">INDEX('TJ List'!B:B,MATCH(I250,'TJ List'!N:N,0),0)</f>
        <v>45536</v>
      </c>
      <c r="K250" s="6"/>
      <c r="M250" s="30"/>
      <c r="N250" s="86"/>
      <c r="T250" s="30"/>
      <c r="Z250" s="96"/>
    </row>
    <row r="251">
      <c r="B251" s="30"/>
      <c r="D251" s="30"/>
      <c r="G251" s="13" t="s">
        <v>247</v>
      </c>
      <c r="H251" s="11" t="s">
        <v>162</v>
      </c>
      <c r="I251" s="13">
        <v>30031.0</v>
      </c>
      <c r="J251" s="87">
        <f t="array" ref="J251">INDEX('TJ List'!B:B,MATCH(I251,'TJ List'!N:N,0),0)</f>
        <v>45576</v>
      </c>
      <c r="K251" s="6"/>
      <c r="M251" s="30"/>
      <c r="N251" s="86"/>
      <c r="T251" s="30"/>
      <c r="Z251" s="96"/>
    </row>
    <row r="252">
      <c r="B252" s="30"/>
      <c r="D252" s="30"/>
      <c r="G252" s="13" t="s">
        <v>4932</v>
      </c>
      <c r="H252" s="11" t="s">
        <v>162</v>
      </c>
      <c r="I252" s="13">
        <v>12730.0</v>
      </c>
      <c r="J252" t="str">
        <f t="array" ref="J252">INDEX('TJ List'!B:B,MATCH(I252,'TJ List'!N:N,0),0)</f>
        <v>#N/A</v>
      </c>
      <c r="K252" s="6"/>
      <c r="M252" s="30"/>
      <c r="N252" s="86"/>
      <c r="O252" s="86"/>
      <c r="T252" s="30"/>
      <c r="Z252" s="96"/>
    </row>
    <row r="253">
      <c r="B253" s="30"/>
      <c r="D253" s="30"/>
      <c r="G253" s="13" t="s">
        <v>4933</v>
      </c>
      <c r="H253" s="11" t="s">
        <v>162</v>
      </c>
      <c r="I253" s="13">
        <v>26378.0</v>
      </c>
      <c r="J253" t="str">
        <f t="array" ref="J253">INDEX('TJ List'!B:B,MATCH(I253,'TJ List'!N:N,0),0)</f>
        <v>#N/A</v>
      </c>
      <c r="K253" s="6"/>
      <c r="M253" s="30"/>
      <c r="N253" s="86"/>
      <c r="O253" s="86"/>
      <c r="T253" s="30"/>
      <c r="Z253" s="96"/>
    </row>
    <row r="254">
      <c r="B254" s="30"/>
      <c r="D254" s="30"/>
      <c r="G254" s="13" t="s">
        <v>4934</v>
      </c>
      <c r="H254" s="11" t="s">
        <v>162</v>
      </c>
      <c r="I254" s="13">
        <v>7048.0</v>
      </c>
      <c r="J254" t="str">
        <f t="array" ref="J254">INDEX('TJ List'!B:B,MATCH(I254,'TJ List'!N:N,0),0)</f>
        <v>#N/A</v>
      </c>
      <c r="K254" s="6"/>
      <c r="M254" s="30"/>
      <c r="N254" s="86"/>
      <c r="O254" s="86"/>
      <c r="T254" s="30"/>
      <c r="Z254" s="96"/>
    </row>
    <row r="255">
      <c r="B255" s="30"/>
      <c r="D255" s="30"/>
      <c r="G255" s="13" t="s">
        <v>4935</v>
      </c>
      <c r="H255" s="11" t="s">
        <v>162</v>
      </c>
      <c r="I255" s="13">
        <v>29911.0</v>
      </c>
      <c r="J255" t="str">
        <f t="array" ref="J255">INDEX('TJ List'!B:B,MATCH(I255,'TJ List'!N:N,0),0)</f>
        <v>#N/A</v>
      </c>
      <c r="K255" s="6"/>
      <c r="M255" s="30"/>
      <c r="N255" s="86"/>
      <c r="O255" s="86"/>
      <c r="T255" s="30"/>
      <c r="Z255" s="96"/>
    </row>
    <row r="256">
      <c r="B256" s="30"/>
      <c r="D256" s="30"/>
      <c r="G256" s="13" t="s">
        <v>4936</v>
      </c>
      <c r="H256" s="11" t="s">
        <v>162</v>
      </c>
      <c r="I256" s="13">
        <v>33876.0</v>
      </c>
      <c r="J256" t="str">
        <f t="array" ref="J256">INDEX('TJ List'!B:B,MATCH(I256,'TJ List'!N:N,0),0)</f>
        <v>#N/A</v>
      </c>
      <c r="K256" s="6"/>
      <c r="M256" s="30"/>
      <c r="N256" s="86"/>
      <c r="O256" s="86"/>
      <c r="T256" s="30"/>
      <c r="Z256" s="96"/>
    </row>
    <row r="257">
      <c r="B257" s="30"/>
      <c r="D257" s="30"/>
      <c r="G257" s="13" t="s">
        <v>4937</v>
      </c>
      <c r="H257" s="11" t="s">
        <v>162</v>
      </c>
      <c r="I257" s="13">
        <v>19926.0</v>
      </c>
      <c r="J257" t="str">
        <f t="array" ref="J257">INDEX('TJ List'!B:B,MATCH(I257,'TJ List'!N:N,0),0)</f>
        <v>#N/A</v>
      </c>
      <c r="K257" s="6"/>
      <c r="M257" s="30"/>
      <c r="N257" s="86"/>
      <c r="O257" s="86"/>
      <c r="T257" s="30"/>
      <c r="Z257" s="96"/>
    </row>
    <row r="258">
      <c r="B258" s="30"/>
      <c r="D258" s="30"/>
      <c r="G258" s="13" t="s">
        <v>4573</v>
      </c>
      <c r="H258" s="11" t="s">
        <v>162</v>
      </c>
      <c r="I258" s="13">
        <v>27552.0</v>
      </c>
      <c r="J258" t="str">
        <f t="array" ref="J258">INDEX('TJ List'!B:B,MATCH(I258,'TJ List'!N:N,0),0)</f>
        <v>#N/A</v>
      </c>
      <c r="K258" s="6"/>
      <c r="M258" s="30"/>
      <c r="N258" s="86"/>
      <c r="O258" s="86"/>
      <c r="T258" s="30"/>
      <c r="Z258" s="96"/>
    </row>
    <row r="259">
      <c r="B259" s="30"/>
      <c r="D259" s="30"/>
      <c r="G259" s="13" t="s">
        <v>4938</v>
      </c>
      <c r="H259" s="11" t="s">
        <v>162</v>
      </c>
      <c r="I259" s="13">
        <v>14814.0</v>
      </c>
      <c r="J259" t="str">
        <f t="array" ref="J259">INDEX('TJ List'!B:B,MATCH(I259,'TJ List'!N:N,0),0)</f>
        <v>#N/A</v>
      </c>
      <c r="K259" s="6"/>
      <c r="M259" s="30"/>
      <c r="N259" s="86"/>
      <c r="T259" s="30"/>
      <c r="Z259" s="96"/>
    </row>
    <row r="260">
      <c r="B260" s="30"/>
      <c r="D260" s="30"/>
      <c r="G260" s="13" t="s">
        <v>4939</v>
      </c>
      <c r="H260" s="11" t="s">
        <v>162</v>
      </c>
      <c r="I260" s="13">
        <v>14771.0</v>
      </c>
      <c r="J260" t="str">
        <f t="array" ref="J260">INDEX('TJ List'!B:B,MATCH(I260,'TJ List'!N:N,0),0)</f>
        <v>#N/A</v>
      </c>
      <c r="K260" s="6"/>
      <c r="M260" s="30"/>
      <c r="N260" s="86"/>
      <c r="T260" s="30"/>
      <c r="Z260" s="96"/>
    </row>
    <row r="261">
      <c r="B261" s="30"/>
      <c r="D261" s="30"/>
      <c r="G261" s="13" t="s">
        <v>4940</v>
      </c>
      <c r="H261" s="11" t="s">
        <v>162</v>
      </c>
      <c r="I261" s="13">
        <v>14874.0</v>
      </c>
      <c r="J261" t="str">
        <f t="array" ref="J261">INDEX('TJ List'!B:B,MATCH(I261,'TJ List'!N:N,0),0)</f>
        <v>#N/A</v>
      </c>
      <c r="K261" s="6"/>
      <c r="M261" s="30"/>
      <c r="N261" s="86"/>
      <c r="O261" s="86"/>
      <c r="T261" s="30"/>
      <c r="Z261" s="96"/>
    </row>
    <row r="262">
      <c r="B262" s="30"/>
      <c r="D262" s="30"/>
      <c r="G262" s="13" t="s">
        <v>4565</v>
      </c>
      <c r="H262" s="11" t="s">
        <v>162</v>
      </c>
      <c r="I262" s="13">
        <v>27685.0</v>
      </c>
      <c r="J262" t="str">
        <f t="array" ref="J262">INDEX('TJ List'!B:B,MATCH(I262,'TJ List'!N:N,0),0)</f>
        <v>#N/A</v>
      </c>
      <c r="K262" s="6"/>
      <c r="M262" s="30"/>
      <c r="N262" s="86"/>
      <c r="O262" s="86"/>
      <c r="T262" s="30"/>
      <c r="Z262" s="96"/>
    </row>
    <row r="263">
      <c r="B263" s="30"/>
      <c r="D263" s="30"/>
      <c r="G263" s="13" t="s">
        <v>4941</v>
      </c>
      <c r="H263" s="11" t="s">
        <v>162</v>
      </c>
      <c r="I263" s="13">
        <v>11176.0</v>
      </c>
      <c r="J263" t="str">
        <f t="array" ref="J263">INDEX('TJ List'!B:B,MATCH(I263,'TJ List'!N:N,0),0)</f>
        <v>#N/A</v>
      </c>
      <c r="K263" s="6"/>
      <c r="M263" s="30"/>
      <c r="N263" s="86"/>
      <c r="O263" s="86"/>
      <c r="T263" s="30"/>
      <c r="Z263" s="96"/>
    </row>
    <row r="264">
      <c r="B264" s="30"/>
      <c r="D264" s="30"/>
      <c r="G264" s="13" t="s">
        <v>4942</v>
      </c>
      <c r="H264" s="11" t="s">
        <v>162</v>
      </c>
      <c r="I264" s="13">
        <v>17871.0</v>
      </c>
      <c r="J264" t="str">
        <f t="array" ref="J264">INDEX('TJ List'!B:B,MATCH(I264,'TJ List'!N:N,0),0)</f>
        <v>#N/A</v>
      </c>
      <c r="K264" s="6"/>
      <c r="M264" s="30"/>
      <c r="N264" s="86"/>
      <c r="O264" s="86"/>
      <c r="T264" s="30"/>
      <c r="Z264" s="96"/>
    </row>
    <row r="265">
      <c r="B265" s="30"/>
      <c r="D265" s="30"/>
      <c r="G265" s="13" t="s">
        <v>4943</v>
      </c>
      <c r="H265" s="11" t="s">
        <v>162</v>
      </c>
      <c r="I265" s="13">
        <v>27536.0</v>
      </c>
      <c r="J265" t="str">
        <f t="array" ref="J265">INDEX('TJ List'!B:B,MATCH(I265,'TJ List'!N:N,0),0)</f>
        <v>#N/A</v>
      </c>
      <c r="K265" s="6"/>
      <c r="M265" s="30"/>
      <c r="N265" s="86"/>
      <c r="O265" s="86"/>
      <c r="T265" s="30"/>
      <c r="Z265" s="96"/>
    </row>
    <row r="266">
      <c r="B266" s="30"/>
      <c r="D266" s="30"/>
      <c r="G266" s="13" t="s">
        <v>4944</v>
      </c>
      <c r="H266" s="11" t="s">
        <v>162</v>
      </c>
      <c r="I266" s="13">
        <v>15239.0</v>
      </c>
      <c r="J266" t="str">
        <f t="array" ref="J266">INDEX('TJ List'!B:B,MATCH(I266,'TJ List'!N:N,0),0)</f>
        <v>#N/A</v>
      </c>
      <c r="K266" s="6"/>
      <c r="M266" s="30"/>
      <c r="N266" s="86"/>
      <c r="O266" s="86"/>
      <c r="T266" s="30"/>
      <c r="Z266" s="96"/>
    </row>
    <row r="267">
      <c r="B267" s="30"/>
      <c r="D267" s="30"/>
      <c r="G267" s="13" t="s">
        <v>4756</v>
      </c>
      <c r="H267" s="11" t="s">
        <v>162</v>
      </c>
      <c r="I267" s="13">
        <v>13355.0</v>
      </c>
      <c r="J267" t="str">
        <f t="array" ref="J267">INDEX('TJ List'!B:B,MATCH(I267,'TJ List'!N:N,0),0)</f>
        <v>#N/A</v>
      </c>
      <c r="K267" s="6"/>
      <c r="M267" s="30"/>
      <c r="N267" s="86"/>
      <c r="O267" s="86"/>
      <c r="T267" s="30"/>
      <c r="Z267" s="96"/>
    </row>
    <row r="268">
      <c r="B268" s="30"/>
      <c r="D268" s="30"/>
      <c r="G268" s="13" t="s">
        <v>3472</v>
      </c>
      <c r="H268" s="11" t="s">
        <v>44</v>
      </c>
      <c r="I268" s="13">
        <v>6632.0</v>
      </c>
      <c r="J268" s="87">
        <f t="array" ref="J268">INDEX('TJ List'!B:B,MATCH(I268,'TJ List'!N:N,0),0)</f>
        <v>40800</v>
      </c>
      <c r="K268" s="6"/>
      <c r="M268" s="30"/>
      <c r="N268" s="86"/>
      <c r="O268" s="86"/>
      <c r="T268" s="30"/>
      <c r="Z268" s="96"/>
    </row>
    <row r="269">
      <c r="B269" s="30"/>
      <c r="D269" s="30"/>
      <c r="G269" s="13" t="s">
        <v>3372</v>
      </c>
      <c r="H269" s="11" t="s">
        <v>44</v>
      </c>
      <c r="I269" s="13">
        <v>14993.0</v>
      </c>
      <c r="J269" s="87">
        <f t="array" ref="J269">INDEX('TJ List'!B:B,MATCH(I269,'TJ List'!N:N,0),0)</f>
        <v>41061</v>
      </c>
      <c r="K269" s="6"/>
      <c r="M269" s="30"/>
      <c r="N269" s="86"/>
      <c r="O269" s="86"/>
      <c r="T269" s="30"/>
      <c r="Z269" s="96"/>
    </row>
    <row r="270">
      <c r="B270" s="30"/>
      <c r="D270" s="30"/>
      <c r="G270" s="13" t="s">
        <v>2703</v>
      </c>
      <c r="H270" s="11" t="s">
        <v>44</v>
      </c>
      <c r="I270" s="13">
        <v>6562.0</v>
      </c>
      <c r="J270" s="87">
        <f t="array" ref="J270">INDEX('TJ List'!B:B,MATCH(I270,'TJ List'!N:N,0),0)</f>
        <v>42138</v>
      </c>
      <c r="K270" s="6"/>
      <c r="M270" s="30"/>
      <c r="N270" s="86"/>
      <c r="O270" s="86"/>
      <c r="T270" s="30"/>
      <c r="Z270" s="96"/>
    </row>
    <row r="271">
      <c r="B271" s="30"/>
      <c r="D271" s="30"/>
      <c r="G271" s="13" t="s">
        <v>2576</v>
      </c>
      <c r="H271" s="11" t="s">
        <v>44</v>
      </c>
      <c r="I271" s="13">
        <v>21367.0</v>
      </c>
      <c r="J271" s="87">
        <f t="array" ref="J271">INDEX('TJ List'!B:B,MATCH(I271,'TJ List'!N:N,0),0)</f>
        <v>42250</v>
      </c>
      <c r="K271" s="6"/>
      <c r="M271" s="30"/>
      <c r="N271" s="86"/>
      <c r="O271" s="86"/>
      <c r="T271" s="30"/>
      <c r="Z271" s="96"/>
    </row>
    <row r="272">
      <c r="B272" s="30"/>
      <c r="D272" s="30"/>
      <c r="G272" s="13" t="s">
        <v>2337</v>
      </c>
      <c r="H272" s="11" t="s">
        <v>44</v>
      </c>
      <c r="I272" s="13">
        <v>18548.0</v>
      </c>
      <c r="J272" s="87">
        <f t="array" ref="J272">INDEX('TJ List'!B:B,MATCH(I272,'TJ List'!N:N,0),0)</f>
        <v>42552</v>
      </c>
      <c r="K272" s="6"/>
      <c r="M272" s="30"/>
      <c r="N272" s="86"/>
      <c r="O272" s="86"/>
      <c r="T272" s="30"/>
      <c r="Z272" s="96"/>
    </row>
    <row r="273">
      <c r="B273" s="30"/>
      <c r="D273" s="30"/>
      <c r="G273" s="13" t="s">
        <v>1507</v>
      </c>
      <c r="H273" s="11" t="s">
        <v>44</v>
      </c>
      <c r="I273" s="13">
        <v>18864.0</v>
      </c>
      <c r="J273" s="87">
        <f t="array" ref="J273">INDEX('TJ List'!B:B,MATCH(I273,'TJ List'!N:N,0),0)</f>
        <v>43709</v>
      </c>
      <c r="K273" s="6"/>
      <c r="M273" s="30"/>
      <c r="N273" s="86"/>
      <c r="O273" s="86"/>
      <c r="T273" s="30"/>
      <c r="Z273" s="96"/>
    </row>
    <row r="274">
      <c r="B274" s="30"/>
      <c r="D274" s="30"/>
      <c r="G274" s="13" t="s">
        <v>1416</v>
      </c>
      <c r="H274" s="11" t="s">
        <v>44</v>
      </c>
      <c r="I274" s="13">
        <v>16981.0</v>
      </c>
      <c r="J274" s="87">
        <f t="array" ref="J274">INDEX('TJ List'!B:B,MATCH(I274,'TJ List'!N:N,0),0)</f>
        <v>43910</v>
      </c>
      <c r="K274" s="6"/>
      <c r="M274" s="30"/>
      <c r="N274" s="86"/>
      <c r="O274" s="86"/>
      <c r="T274" s="30"/>
      <c r="Z274" s="96"/>
    </row>
    <row r="275">
      <c r="B275" s="30"/>
      <c r="D275" s="30"/>
      <c r="G275" s="13" t="s">
        <v>1010</v>
      </c>
      <c r="H275" s="11" t="s">
        <v>44</v>
      </c>
      <c r="I275" s="13">
        <v>24978.0</v>
      </c>
      <c r="J275" s="87">
        <f t="array" ref="J275">INDEX('TJ List'!B:B,MATCH(I275,'TJ List'!N:N,0),0)</f>
        <v>44485</v>
      </c>
      <c r="K275" s="6"/>
      <c r="M275" s="30"/>
      <c r="N275" s="86"/>
      <c r="O275" s="86"/>
      <c r="T275" s="30"/>
      <c r="Z275" s="96"/>
    </row>
    <row r="276">
      <c r="B276" s="30"/>
      <c r="D276" s="30"/>
      <c r="G276" s="13" t="s">
        <v>744</v>
      </c>
      <c r="H276" s="11" t="s">
        <v>44</v>
      </c>
      <c r="I276" s="13">
        <v>5097.0</v>
      </c>
      <c r="J276" s="87">
        <f t="array" ref="J276">INDEX('TJ List'!B:B,MATCH(I276,'TJ List'!N:N,0),0)</f>
        <v>44818</v>
      </c>
      <c r="K276" s="6"/>
      <c r="M276" s="30"/>
      <c r="N276" s="86"/>
      <c r="O276" s="86"/>
      <c r="T276" s="30"/>
      <c r="Z276" s="96"/>
    </row>
    <row r="277">
      <c r="B277" s="30"/>
      <c r="D277" s="30"/>
      <c r="G277" s="13" t="s">
        <v>564</v>
      </c>
      <c r="H277" s="11" t="s">
        <v>44</v>
      </c>
      <c r="I277" s="13">
        <v>15440.0</v>
      </c>
      <c r="J277" s="87">
        <f t="array" ref="J277">INDEX('TJ List'!B:B,MATCH(I277,'TJ List'!N:N,0),0)</f>
        <v>45105</v>
      </c>
      <c r="K277" s="6"/>
      <c r="M277" s="30"/>
      <c r="N277" s="86"/>
      <c r="O277" s="86"/>
      <c r="T277" s="30"/>
      <c r="Z277" s="96"/>
    </row>
    <row r="278">
      <c r="B278" s="30"/>
      <c r="D278" s="30"/>
      <c r="G278" s="13" t="s">
        <v>372</v>
      </c>
      <c r="H278" s="11" t="s">
        <v>44</v>
      </c>
      <c r="I278" s="13">
        <v>19427.0</v>
      </c>
      <c r="J278" s="87">
        <f t="array" ref="J278">INDEX('TJ List'!B:B,MATCH(I278,'TJ List'!N:N,0),0)</f>
        <v>45394</v>
      </c>
      <c r="K278" s="6"/>
      <c r="M278" s="30"/>
      <c r="N278" s="86"/>
      <c r="O278" s="86"/>
      <c r="T278" s="30"/>
      <c r="Z278" s="96"/>
    </row>
    <row r="279">
      <c r="B279" s="30"/>
      <c r="D279" s="30"/>
      <c r="G279" s="13" t="s">
        <v>4945</v>
      </c>
      <c r="H279" s="11" t="s">
        <v>44</v>
      </c>
      <c r="I279" s="13">
        <v>30134.0</v>
      </c>
      <c r="J279" t="str">
        <f t="array" ref="J279">INDEX('TJ List'!B:B,MATCH(I279,'TJ List'!N:N,0),0)</f>
        <v>#N/A</v>
      </c>
      <c r="K279" s="6"/>
      <c r="M279" s="30"/>
      <c r="N279" s="86"/>
      <c r="T279" s="30"/>
      <c r="Z279" s="96"/>
    </row>
    <row r="280">
      <c r="B280" s="30"/>
      <c r="D280" s="30"/>
      <c r="G280" s="13" t="s">
        <v>4946</v>
      </c>
      <c r="H280" s="11" t="s">
        <v>44</v>
      </c>
      <c r="I280" s="13">
        <v>27867.0</v>
      </c>
      <c r="J280" t="str">
        <f t="array" ref="J280">INDEX('TJ List'!B:B,MATCH(I280,'TJ List'!N:N,0),0)</f>
        <v>#N/A</v>
      </c>
      <c r="K280" s="6"/>
      <c r="M280" s="30"/>
      <c r="N280" s="86"/>
      <c r="O280" s="86"/>
      <c r="T280" s="30"/>
      <c r="Z280" s="96"/>
    </row>
    <row r="281">
      <c r="B281" s="30"/>
      <c r="D281" s="30"/>
      <c r="G281" s="13" t="s">
        <v>4947</v>
      </c>
      <c r="H281" s="11" t="s">
        <v>44</v>
      </c>
      <c r="I281" s="13">
        <v>21032.0</v>
      </c>
      <c r="J281" t="str">
        <f t="array" ref="J281">INDEX('TJ List'!B:B,MATCH(I281,'TJ List'!N:N,0),0)</f>
        <v>#N/A</v>
      </c>
      <c r="K281" s="6"/>
      <c r="M281" s="30"/>
      <c r="N281" s="86"/>
      <c r="O281" s="86"/>
      <c r="T281" s="30"/>
      <c r="Z281" s="96"/>
    </row>
    <row r="282">
      <c r="B282" s="30"/>
      <c r="D282" s="30"/>
      <c r="G282" s="13" t="s">
        <v>4948</v>
      </c>
      <c r="H282" s="11" t="s">
        <v>44</v>
      </c>
      <c r="I282" s="13">
        <v>25636.0</v>
      </c>
      <c r="J282" t="str">
        <f t="array" ref="J282">INDEX('TJ List'!B:B,MATCH(I282,'TJ List'!N:N,0),0)</f>
        <v>#N/A</v>
      </c>
      <c r="K282" s="6"/>
      <c r="M282" s="30"/>
      <c r="N282" s="86"/>
      <c r="T282" s="30"/>
      <c r="Z282" s="96"/>
    </row>
    <row r="283">
      <c r="B283" s="30"/>
      <c r="D283" s="30"/>
      <c r="G283" s="13" t="s">
        <v>4949</v>
      </c>
      <c r="H283" s="11" t="s">
        <v>44</v>
      </c>
      <c r="I283" s="13">
        <v>30122.0</v>
      </c>
      <c r="J283" t="str">
        <f t="array" ref="J283">INDEX('TJ List'!B:B,MATCH(I283,'TJ List'!N:N,0),0)</f>
        <v>#N/A</v>
      </c>
      <c r="K283" s="6"/>
      <c r="M283" s="30"/>
      <c r="N283" s="86"/>
      <c r="O283" s="86"/>
      <c r="T283" s="30"/>
      <c r="Z283" s="96"/>
    </row>
    <row r="284">
      <c r="B284" s="30"/>
      <c r="D284" s="30"/>
      <c r="G284" s="13" t="s">
        <v>4950</v>
      </c>
      <c r="H284" s="11" t="s">
        <v>44</v>
      </c>
      <c r="I284" s="13">
        <v>25139.0</v>
      </c>
      <c r="J284" t="str">
        <f t="array" ref="J284">INDEX('TJ List'!B:B,MATCH(I284,'TJ List'!N:N,0),0)</f>
        <v>#N/A</v>
      </c>
      <c r="K284" s="6"/>
      <c r="M284" s="30"/>
      <c r="N284" s="86"/>
      <c r="O284" s="86"/>
      <c r="T284" s="30"/>
      <c r="Z284" s="96"/>
    </row>
    <row r="285">
      <c r="B285" s="30"/>
      <c r="D285" s="30"/>
      <c r="G285" s="13" t="s">
        <v>123</v>
      </c>
      <c r="H285" s="11" t="s">
        <v>44</v>
      </c>
      <c r="I285" s="13">
        <v>14932.0</v>
      </c>
      <c r="J285" s="87">
        <f t="array" ref="J285">INDEX('TJ List'!B:B,MATCH(I285,'TJ List'!N:N,0),0)</f>
        <v>45812</v>
      </c>
      <c r="K285" s="6"/>
      <c r="M285" s="30"/>
      <c r="N285" s="86"/>
      <c r="O285" s="86"/>
      <c r="T285" s="30"/>
      <c r="Z285" s="96"/>
    </row>
    <row r="286">
      <c r="B286" s="30"/>
      <c r="D286" s="30"/>
      <c r="G286" s="13" t="s">
        <v>4951</v>
      </c>
      <c r="H286" s="11" t="s">
        <v>44</v>
      </c>
      <c r="I286" s="13">
        <v>23335.0</v>
      </c>
      <c r="J286" t="str">
        <f t="array" ref="J286">INDEX('TJ List'!B:B,MATCH(I286,'TJ List'!N:N,0),0)</f>
        <v>#N/A</v>
      </c>
      <c r="K286" s="6"/>
      <c r="M286" s="30"/>
      <c r="N286" s="86"/>
      <c r="O286" s="86"/>
      <c r="T286" s="30"/>
      <c r="Z286" s="96"/>
    </row>
    <row r="287">
      <c r="B287" s="30"/>
      <c r="D287" s="30"/>
      <c r="G287" s="13" t="s">
        <v>4952</v>
      </c>
      <c r="H287" s="11" t="s">
        <v>44</v>
      </c>
      <c r="I287" s="13">
        <v>20203.0</v>
      </c>
      <c r="J287" t="str">
        <f t="array" ref="J287">INDEX('TJ List'!B:B,MATCH(I287,'TJ List'!N:N,0),0)</f>
        <v>#N/A</v>
      </c>
      <c r="K287" s="6"/>
      <c r="M287" s="30"/>
      <c r="N287" s="86"/>
      <c r="O287" s="86"/>
      <c r="T287" s="30"/>
      <c r="Z287" s="96"/>
    </row>
    <row r="288">
      <c r="B288" s="30"/>
      <c r="D288" s="30"/>
      <c r="G288" s="13" t="s">
        <v>4953</v>
      </c>
      <c r="H288" s="11" t="s">
        <v>44</v>
      </c>
      <c r="I288" s="13">
        <v>26171.0</v>
      </c>
      <c r="J288" t="str">
        <f t="array" ref="J288">INDEX('TJ List'!B:B,MATCH(I288,'TJ List'!N:N,0),0)</f>
        <v>#N/A</v>
      </c>
      <c r="K288" s="6"/>
      <c r="M288" s="30"/>
      <c r="N288" s="86"/>
      <c r="O288" s="86"/>
      <c r="T288" s="30"/>
      <c r="Z288" s="96"/>
    </row>
    <row r="289">
      <c r="B289" s="30"/>
      <c r="D289" s="30"/>
      <c r="G289" s="13" t="s">
        <v>4954</v>
      </c>
      <c r="H289" s="11" t="s">
        <v>44</v>
      </c>
      <c r="I289" s="13">
        <v>33834.0</v>
      </c>
      <c r="J289" t="str">
        <f t="array" ref="J289">INDEX('TJ List'!B:B,MATCH(I289,'TJ List'!N:N,0),0)</f>
        <v>#N/A</v>
      </c>
      <c r="K289" s="6"/>
      <c r="M289" s="30"/>
      <c r="N289" s="86"/>
      <c r="O289" s="86"/>
      <c r="T289" s="30"/>
      <c r="Z289" s="96"/>
    </row>
    <row r="290">
      <c r="B290" s="30"/>
      <c r="D290" s="30"/>
      <c r="G290" s="13" t="s">
        <v>4731</v>
      </c>
      <c r="H290" s="11" t="s">
        <v>44</v>
      </c>
      <c r="I290" s="13">
        <v>12976.0</v>
      </c>
      <c r="J290" t="str">
        <f t="array" ref="J290">INDEX('TJ List'!B:B,MATCH(I290,'TJ List'!N:N,0),0)</f>
        <v>#N/A</v>
      </c>
      <c r="K290" s="6"/>
      <c r="M290" s="30"/>
      <c r="N290" s="86"/>
      <c r="O290" s="86"/>
      <c r="T290" s="30"/>
      <c r="Z290" s="96"/>
    </row>
    <row r="291">
      <c r="B291" s="30"/>
      <c r="D291" s="30"/>
      <c r="G291" s="13" t="s">
        <v>4955</v>
      </c>
      <c r="H291" s="11" t="s">
        <v>44</v>
      </c>
      <c r="I291" s="13">
        <v>20517.0</v>
      </c>
      <c r="J291" t="str">
        <f t="array" ref="J291">INDEX('TJ List'!B:B,MATCH(I291,'TJ List'!N:N,0),0)</f>
        <v>#N/A</v>
      </c>
      <c r="K291" s="6"/>
      <c r="M291" s="30"/>
      <c r="N291" s="86"/>
      <c r="O291" s="86"/>
      <c r="T291" s="30"/>
      <c r="Z291" s="96"/>
    </row>
    <row r="292">
      <c r="B292" s="30"/>
      <c r="D292" s="30"/>
      <c r="G292" s="13" t="s">
        <v>4855</v>
      </c>
      <c r="H292" s="11" t="s">
        <v>44</v>
      </c>
      <c r="I292" s="13">
        <v>27589.0</v>
      </c>
      <c r="J292" t="str">
        <f t="array" ref="J292">INDEX('TJ List'!B:B,MATCH(I292,'TJ List'!N:N,0),0)</f>
        <v>#N/A</v>
      </c>
      <c r="K292" s="6"/>
      <c r="M292" s="30"/>
      <c r="N292" s="86"/>
      <c r="O292" s="86"/>
      <c r="T292" s="30"/>
      <c r="Z292" s="96"/>
    </row>
    <row r="293">
      <c r="B293" s="30"/>
      <c r="D293" s="30"/>
      <c r="G293" s="13" t="s">
        <v>4956</v>
      </c>
      <c r="H293" s="11" t="s">
        <v>44</v>
      </c>
      <c r="I293" s="13">
        <v>18000.0</v>
      </c>
      <c r="J293" t="str">
        <f t="array" ref="J293">INDEX('TJ List'!B:B,MATCH(I293,'TJ List'!N:N,0),0)</f>
        <v>#N/A</v>
      </c>
      <c r="K293" s="6"/>
      <c r="M293" s="30"/>
      <c r="N293" s="86"/>
      <c r="T293" s="30"/>
      <c r="Z293" s="96"/>
    </row>
    <row r="294">
      <c r="B294" s="30"/>
      <c r="D294" s="30"/>
      <c r="G294" s="13" t="s">
        <v>2777</v>
      </c>
      <c r="H294" s="11" t="s">
        <v>192</v>
      </c>
      <c r="I294" s="13">
        <v>19312.0</v>
      </c>
      <c r="J294" s="87">
        <f t="array" ref="J294">INDEX('TJ List'!B:B,MATCH(I294,'TJ List'!N:N,0),0)</f>
        <v>42083</v>
      </c>
      <c r="K294" s="6"/>
      <c r="M294" s="30"/>
      <c r="N294" s="86"/>
      <c r="O294" s="86"/>
      <c r="T294" s="30"/>
      <c r="Z294" s="96"/>
    </row>
    <row r="295">
      <c r="B295" s="30"/>
      <c r="D295" s="30"/>
      <c r="G295" s="13" t="s">
        <v>1904</v>
      </c>
      <c r="H295" s="11" t="s">
        <v>192</v>
      </c>
      <c r="I295" s="13">
        <v>25862.0</v>
      </c>
      <c r="J295" s="87">
        <f t="array" ref="J295">INDEX('TJ List'!B:B,MATCH(I295,'TJ List'!N:N,0),0)</f>
        <v>43160</v>
      </c>
      <c r="K295" s="6"/>
      <c r="M295" s="30"/>
      <c r="N295" s="86"/>
      <c r="O295" s="86"/>
      <c r="T295" s="30"/>
      <c r="Z295" s="96"/>
    </row>
    <row r="296">
      <c r="B296" s="30"/>
      <c r="D296" s="30"/>
      <c r="G296" s="13" t="s">
        <v>1629</v>
      </c>
      <c r="H296" s="11" t="s">
        <v>192</v>
      </c>
      <c r="I296" s="13">
        <v>33294.0</v>
      </c>
      <c r="J296" s="89">
        <f t="array" ref="J296">INDEX('TJ List'!B:B,MATCH(I296,'TJ List'!N:N,0),0)</f>
        <v>43553</v>
      </c>
      <c r="K296" s="6"/>
      <c r="M296" s="30"/>
      <c r="N296" s="86"/>
      <c r="O296" s="86"/>
      <c r="T296" s="30"/>
      <c r="Z296" s="96"/>
    </row>
    <row r="297">
      <c r="B297" s="30"/>
      <c r="D297" s="30"/>
      <c r="G297" s="13" t="s">
        <v>1535</v>
      </c>
      <c r="H297" s="11" t="s">
        <v>192</v>
      </c>
      <c r="I297" s="13">
        <v>18510.0</v>
      </c>
      <c r="J297" s="87">
        <f t="array" ref="J297">INDEX('TJ List'!B:B,MATCH(I297,'TJ List'!N:N,0),0)</f>
        <v>43649</v>
      </c>
      <c r="K297" s="6"/>
      <c r="M297" s="30"/>
      <c r="N297" s="86"/>
      <c r="O297" s="86"/>
      <c r="T297" s="30"/>
      <c r="Z297" s="96"/>
    </row>
    <row r="298">
      <c r="B298" s="30"/>
      <c r="D298" s="30"/>
      <c r="G298" s="13" t="s">
        <v>1421</v>
      </c>
      <c r="H298" s="11" t="s">
        <v>192</v>
      </c>
      <c r="I298" s="13">
        <v>13276.0</v>
      </c>
      <c r="J298" s="87">
        <f t="array" ref="J298">INDEX('TJ List'!B:B,MATCH(I298,'TJ List'!N:N,0),0)</f>
        <v>43899</v>
      </c>
      <c r="K298" s="6"/>
      <c r="M298" s="30"/>
      <c r="N298" s="86"/>
      <c r="O298" s="86"/>
      <c r="T298" s="30"/>
      <c r="Z298" s="96"/>
    </row>
    <row r="299">
      <c r="B299" s="30"/>
      <c r="D299" s="30"/>
      <c r="G299" s="13" t="s">
        <v>1392</v>
      </c>
      <c r="H299" s="11" t="s">
        <v>192</v>
      </c>
      <c r="I299" s="13">
        <v>14361.0</v>
      </c>
      <c r="J299" s="87">
        <f t="array" ref="J299">INDEX('TJ List'!B:B,MATCH(I299,'TJ List'!N:N,0),0)</f>
        <v>44027</v>
      </c>
      <c r="K299" s="6"/>
      <c r="M299" s="30"/>
      <c r="N299" s="86"/>
      <c r="O299" s="86"/>
      <c r="T299" s="30"/>
      <c r="Z299" s="96"/>
    </row>
    <row r="300">
      <c r="B300" s="30"/>
      <c r="D300" s="30"/>
      <c r="G300" s="13" t="s">
        <v>1390</v>
      </c>
      <c r="H300" s="11" t="s">
        <v>192</v>
      </c>
      <c r="I300" s="13">
        <v>17969.0</v>
      </c>
      <c r="J300" s="87">
        <f t="array" ref="J300">INDEX('TJ List'!B:B,MATCH(I300,'TJ List'!N:N,0),0)</f>
        <v>44033</v>
      </c>
      <c r="K300" s="6"/>
      <c r="M300" s="30"/>
      <c r="N300" s="86"/>
      <c r="O300" s="86"/>
      <c r="T300" s="30"/>
      <c r="Z300" s="96"/>
    </row>
    <row r="301">
      <c r="B301" s="30"/>
      <c r="D301" s="30"/>
      <c r="G301" s="13" t="s">
        <v>1354</v>
      </c>
      <c r="H301" s="11" t="s">
        <v>192</v>
      </c>
      <c r="I301" s="13">
        <v>17192.0</v>
      </c>
      <c r="J301" s="87">
        <f t="array" ref="J301">INDEX('TJ List'!B:B,MATCH(I301,'TJ List'!N:N,0),0)</f>
        <v>44076</v>
      </c>
      <c r="K301" s="6"/>
      <c r="M301" s="30"/>
      <c r="N301" s="86"/>
      <c r="O301" s="86"/>
      <c r="T301" s="30"/>
      <c r="Z301" s="96"/>
    </row>
    <row r="302">
      <c r="B302" s="30"/>
      <c r="D302" s="30"/>
      <c r="G302" s="13" t="s">
        <v>1349</v>
      </c>
      <c r="H302" s="11" t="s">
        <v>192</v>
      </c>
      <c r="I302" s="13">
        <v>19206.0</v>
      </c>
      <c r="J302" s="87">
        <f t="array" ref="J302">INDEX('TJ List'!B:B,MATCH(I302,'TJ List'!N:N,0),0)</f>
        <v>44102</v>
      </c>
      <c r="K302" s="6"/>
      <c r="M302" s="30"/>
      <c r="N302" s="86"/>
      <c r="O302" s="86"/>
      <c r="T302" s="30"/>
      <c r="Z302" s="96"/>
    </row>
    <row r="303">
      <c r="B303" s="30"/>
      <c r="D303" s="30"/>
      <c r="G303" s="13" t="s">
        <v>1165</v>
      </c>
      <c r="H303" s="11" t="s">
        <v>192</v>
      </c>
      <c r="I303" s="13">
        <v>30250.0</v>
      </c>
      <c r="J303" s="89">
        <f t="array" ref="J303">INDEX('TJ List'!B:B,MATCH(I303,'TJ List'!N:N,0),0)</f>
        <v>44306</v>
      </c>
      <c r="K303" s="6"/>
      <c r="M303" s="30"/>
      <c r="N303" s="86"/>
      <c r="O303" s="86"/>
      <c r="T303" s="30"/>
      <c r="Z303" s="96"/>
    </row>
    <row r="304">
      <c r="B304" s="30"/>
      <c r="D304" s="30"/>
      <c r="G304" s="13" t="s">
        <v>1033</v>
      </c>
      <c r="H304" s="11" t="s">
        <v>192</v>
      </c>
      <c r="I304" s="13">
        <v>16128.0</v>
      </c>
      <c r="J304" s="87">
        <f t="array" ref="J304">INDEX('TJ List'!B:B,MATCH(I304,'TJ List'!N:N,0),0)</f>
        <v>44440</v>
      </c>
      <c r="K304" s="6"/>
      <c r="M304" s="30"/>
      <c r="N304" s="86"/>
      <c r="O304" s="86"/>
      <c r="T304" s="30"/>
      <c r="Z304" s="96"/>
    </row>
    <row r="305">
      <c r="B305" s="30"/>
      <c r="D305" s="30"/>
      <c r="G305" s="13" t="s">
        <v>889</v>
      </c>
      <c r="H305" s="11" t="s">
        <v>192</v>
      </c>
      <c r="I305" s="13">
        <v>26419.0</v>
      </c>
      <c r="J305" s="87">
        <f t="array" ref="J305">INDEX('TJ List'!B:B,MATCH(I305,'TJ List'!N:N,0),0)</f>
        <v>44621</v>
      </c>
      <c r="K305" s="6"/>
      <c r="M305" s="30"/>
      <c r="N305" s="86"/>
      <c r="O305" s="86"/>
      <c r="T305" s="30"/>
      <c r="Z305" s="96"/>
    </row>
    <row r="306">
      <c r="B306" s="30"/>
      <c r="D306" s="30"/>
      <c r="G306" s="13" t="s">
        <v>651</v>
      </c>
      <c r="H306" s="11" t="s">
        <v>192</v>
      </c>
      <c r="I306" s="13">
        <v>21290.0</v>
      </c>
      <c r="J306" s="87">
        <f t="array" ref="J306">INDEX('TJ List'!B:B,MATCH(I306,'TJ List'!N:N,0),0)</f>
        <v>44999</v>
      </c>
      <c r="K306" s="6"/>
      <c r="M306" s="30"/>
      <c r="N306" s="86"/>
      <c r="O306" s="86"/>
      <c r="T306" s="30"/>
      <c r="Z306" s="96"/>
    </row>
    <row r="307">
      <c r="B307" s="30"/>
      <c r="D307" s="30"/>
      <c r="G307" s="13" t="s">
        <v>4957</v>
      </c>
      <c r="H307" s="11" t="s">
        <v>192</v>
      </c>
      <c r="I307" s="13">
        <v>15038.0</v>
      </c>
      <c r="J307" s="87">
        <f t="array" ref="J307">INDEX('TJ List'!B:B,MATCH(I307,'TJ List'!N:N,0),0)</f>
        <v>45058</v>
      </c>
      <c r="K307" s="6"/>
      <c r="M307" s="30"/>
      <c r="N307" s="86"/>
      <c r="O307" s="86"/>
      <c r="T307" s="30"/>
      <c r="Z307" s="96"/>
    </row>
    <row r="308">
      <c r="B308" s="30"/>
      <c r="D308" s="30"/>
      <c r="G308" s="13" t="s">
        <v>548</v>
      </c>
      <c r="H308" s="11" t="s">
        <v>192</v>
      </c>
      <c r="I308" s="13">
        <v>15488.0</v>
      </c>
      <c r="J308" s="87">
        <f t="array" ref="J308">INDEX('TJ List'!B:B,MATCH(I308,'TJ List'!N:N,0),0)</f>
        <v>45133</v>
      </c>
      <c r="K308" s="6"/>
      <c r="M308" s="30"/>
      <c r="N308" s="86"/>
      <c r="O308" s="86"/>
      <c r="T308" s="30"/>
      <c r="Z308" s="96"/>
    </row>
    <row r="309">
      <c r="B309" s="30"/>
      <c r="D309" s="30"/>
      <c r="G309" s="13" t="s">
        <v>4958</v>
      </c>
      <c r="H309" s="11" t="s">
        <v>192</v>
      </c>
      <c r="I309" s="13">
        <v>21446.0</v>
      </c>
      <c r="J309" t="str">
        <f t="array" ref="J309">INDEX('TJ List'!B:B,MATCH(I309,'TJ List'!N:N,0),0)</f>
        <v>#N/A</v>
      </c>
      <c r="K309" s="6"/>
      <c r="M309" s="30"/>
      <c r="N309" s="86"/>
      <c r="O309" s="86"/>
      <c r="T309" s="30"/>
      <c r="Z309" s="96"/>
    </row>
    <row r="310">
      <c r="B310" s="30"/>
      <c r="D310" s="30"/>
      <c r="G310" s="13" t="s">
        <v>4959</v>
      </c>
      <c r="H310" s="11" t="s">
        <v>192</v>
      </c>
      <c r="I310" s="13">
        <v>16561.0</v>
      </c>
      <c r="J310" t="str">
        <f t="array" ref="J310">INDEX('TJ List'!B:B,MATCH(I310,'TJ List'!N:N,0),0)</f>
        <v>#N/A</v>
      </c>
      <c r="K310" s="6"/>
      <c r="M310" s="30"/>
      <c r="N310" s="86"/>
      <c r="O310" s="86"/>
      <c r="T310" s="30"/>
      <c r="Z310" s="96"/>
    </row>
    <row r="311">
      <c r="B311" s="30"/>
      <c r="D311" s="30"/>
      <c r="G311" s="13" t="s">
        <v>4960</v>
      </c>
      <c r="H311" s="11" t="s">
        <v>192</v>
      </c>
      <c r="I311" s="13">
        <v>16256.0</v>
      </c>
      <c r="J311" t="str">
        <f t="array" ref="J311">INDEX('TJ List'!B:B,MATCH(I311,'TJ List'!N:N,0),0)</f>
        <v>#N/A</v>
      </c>
      <c r="K311" s="6"/>
      <c r="M311" s="30"/>
      <c r="N311" s="86"/>
      <c r="O311" s="86"/>
      <c r="T311" s="30"/>
      <c r="Z311" s="96"/>
    </row>
    <row r="312">
      <c r="B312" s="30"/>
      <c r="D312" s="30"/>
      <c r="G312" s="13" t="s">
        <v>4961</v>
      </c>
      <c r="H312" s="11" t="s">
        <v>192</v>
      </c>
      <c r="I312" s="13">
        <v>24614.0</v>
      </c>
      <c r="J312" t="str">
        <f t="array" ref="J312">INDEX('TJ List'!B:B,MATCH(I312,'TJ List'!N:N,0),0)</f>
        <v>#N/A</v>
      </c>
      <c r="K312" s="6"/>
      <c r="M312" s="30"/>
      <c r="N312" s="86"/>
      <c r="O312" s="86"/>
      <c r="T312" s="30"/>
      <c r="Z312" s="96"/>
    </row>
    <row r="313">
      <c r="B313" s="30"/>
      <c r="D313" s="30"/>
      <c r="G313" s="13" t="s">
        <v>4962</v>
      </c>
      <c r="H313" s="11" t="s">
        <v>192</v>
      </c>
      <c r="I313" s="13">
        <v>24203.0</v>
      </c>
      <c r="J313" t="str">
        <f t="array" ref="J313">INDEX('TJ List'!B:B,MATCH(I313,'TJ List'!N:N,0),0)</f>
        <v>#N/A</v>
      </c>
      <c r="K313" s="6"/>
      <c r="M313" s="30"/>
      <c r="N313" s="86"/>
      <c r="O313" s="86"/>
      <c r="T313" s="30"/>
      <c r="Z313" s="96"/>
    </row>
    <row r="314">
      <c r="B314" s="30"/>
      <c r="D314" s="30"/>
      <c r="G314" s="13" t="s">
        <v>4963</v>
      </c>
      <c r="H314" s="11" t="s">
        <v>192</v>
      </c>
      <c r="I314" s="13">
        <v>26952.0</v>
      </c>
      <c r="J314" t="str">
        <f t="array" ref="J314">INDEX('TJ List'!B:B,MATCH(I314,'TJ List'!N:N,0),0)</f>
        <v>#N/A</v>
      </c>
      <c r="K314" s="6"/>
      <c r="M314" s="30"/>
      <c r="N314" s="86"/>
      <c r="O314" s="86"/>
      <c r="T314" s="30"/>
      <c r="Z314" s="96"/>
    </row>
    <row r="315">
      <c r="B315" s="30"/>
      <c r="D315" s="30"/>
      <c r="G315" s="13" t="s">
        <v>4964</v>
      </c>
      <c r="H315" s="11" t="s">
        <v>192</v>
      </c>
      <c r="I315" s="13">
        <v>10855.0</v>
      </c>
      <c r="J315" t="str">
        <f t="array" ref="J315">INDEX('TJ List'!B:B,MATCH(I315,'TJ List'!N:N,0),0)</f>
        <v>#N/A</v>
      </c>
      <c r="K315" s="6"/>
      <c r="M315" s="30"/>
      <c r="N315" s="86"/>
      <c r="O315" s="86"/>
      <c r="T315" s="30"/>
      <c r="Z315" s="96"/>
    </row>
    <row r="316">
      <c r="B316" s="30"/>
      <c r="D316" s="30"/>
      <c r="G316" s="13" t="s">
        <v>4965</v>
      </c>
      <c r="H316" s="11" t="s">
        <v>192</v>
      </c>
      <c r="I316" s="13">
        <v>19558.0</v>
      </c>
      <c r="J316" t="str">
        <f t="array" ref="J316">INDEX('TJ List'!B:B,MATCH(I316,'TJ List'!N:N,0),0)</f>
        <v>#N/A</v>
      </c>
      <c r="K316" s="6"/>
      <c r="M316" s="30"/>
      <c r="N316" s="86"/>
      <c r="O316" s="86"/>
      <c r="T316" s="30"/>
      <c r="Z316" s="96"/>
    </row>
    <row r="317">
      <c r="B317" s="30"/>
      <c r="D317" s="30"/>
      <c r="G317" s="13" t="s">
        <v>4966</v>
      </c>
      <c r="H317" s="11" t="s">
        <v>192</v>
      </c>
      <c r="I317" s="13">
        <v>30008.0</v>
      </c>
      <c r="J317" t="str">
        <f t="array" ref="J317">INDEX('TJ List'!B:B,MATCH(I317,'TJ List'!N:N,0),0)</f>
        <v>#N/A</v>
      </c>
      <c r="K317" s="6"/>
      <c r="M317" s="30"/>
      <c r="N317" s="86"/>
      <c r="O317" s="86"/>
      <c r="T317" s="30"/>
      <c r="Z317" s="96"/>
    </row>
    <row r="318">
      <c r="B318" s="30"/>
      <c r="D318" s="30"/>
      <c r="G318" s="13" t="s">
        <v>191</v>
      </c>
      <c r="H318" s="11" t="s">
        <v>192</v>
      </c>
      <c r="I318" s="13">
        <v>27608.0</v>
      </c>
      <c r="J318" s="87">
        <f t="array" ref="J318">INDEX('TJ List'!B:B,MATCH(I318,'TJ List'!N:N,0),0)</f>
        <v>45730</v>
      </c>
      <c r="K318" s="6"/>
      <c r="M318" s="30"/>
      <c r="N318" s="86"/>
      <c r="O318" s="86"/>
      <c r="T318" s="30"/>
      <c r="Z318" s="96"/>
    </row>
    <row r="319">
      <c r="B319" s="30"/>
      <c r="D319" s="30"/>
      <c r="G319" s="13" t="s">
        <v>4967</v>
      </c>
      <c r="H319" s="11" t="s">
        <v>192</v>
      </c>
      <c r="I319" s="13">
        <v>18297.0</v>
      </c>
      <c r="J319" t="str">
        <f t="array" ref="J319">INDEX('TJ List'!B:B,MATCH(I319,'TJ List'!N:N,0),0)</f>
        <v>#N/A</v>
      </c>
      <c r="K319" s="6"/>
      <c r="M319" s="30"/>
      <c r="N319" s="86"/>
      <c r="O319" s="86"/>
      <c r="T319" s="30"/>
      <c r="Z319" s="96"/>
    </row>
    <row r="320">
      <c r="B320" s="30"/>
      <c r="D320" s="30"/>
      <c r="G320" s="13" t="s">
        <v>4968</v>
      </c>
      <c r="H320" s="11" t="s">
        <v>192</v>
      </c>
      <c r="I320" s="13">
        <v>21858.0</v>
      </c>
      <c r="J320" t="str">
        <f t="array" ref="J320">INDEX('TJ List'!B:B,MATCH(I320,'TJ List'!N:N,0),0)</f>
        <v>#N/A</v>
      </c>
      <c r="K320" s="6"/>
      <c r="M320" s="30"/>
      <c r="N320" s="86"/>
      <c r="O320" s="86"/>
      <c r="T320" s="30"/>
      <c r="Z320" s="96"/>
    </row>
    <row r="321">
      <c r="B321" s="30"/>
      <c r="D321" s="30"/>
      <c r="G321" s="13" t="s">
        <v>4969</v>
      </c>
      <c r="H321" s="11" t="s">
        <v>192</v>
      </c>
      <c r="I321" s="13">
        <v>27669.0</v>
      </c>
      <c r="J321" t="str">
        <f t="array" ref="J321">INDEX('TJ List'!B:B,MATCH(I321,'TJ List'!N:N,0),0)</f>
        <v>#N/A</v>
      </c>
      <c r="K321" s="6"/>
      <c r="M321" s="30"/>
      <c r="N321" s="86"/>
      <c r="O321" s="86"/>
      <c r="T321" s="30"/>
      <c r="Z321" s="96"/>
    </row>
    <row r="322">
      <c r="B322" s="30"/>
      <c r="D322" s="30"/>
      <c r="G322" s="13" t="s">
        <v>4970</v>
      </c>
      <c r="H322" s="11" t="s">
        <v>192</v>
      </c>
      <c r="I322" s="13">
        <v>13420.0</v>
      </c>
      <c r="J322" t="str">
        <f t="array" ref="J322">INDEX('TJ List'!B:B,MATCH(I322,'TJ List'!N:N,0),0)</f>
        <v>#N/A</v>
      </c>
      <c r="K322" s="6"/>
      <c r="M322" s="30"/>
      <c r="N322" s="86"/>
      <c r="O322" s="86"/>
      <c r="T322" s="30"/>
      <c r="Z322" s="96"/>
    </row>
    <row r="323">
      <c r="B323" s="30"/>
      <c r="D323" s="30"/>
      <c r="G323" s="13" t="s">
        <v>4971</v>
      </c>
      <c r="H323" s="11" t="s">
        <v>192</v>
      </c>
      <c r="I323" s="13">
        <v>26790.0</v>
      </c>
      <c r="J323" t="str">
        <f t="array" ref="J323">INDEX('TJ List'!B:B,MATCH(I323,'TJ List'!N:N,0),0)</f>
        <v>#N/A</v>
      </c>
      <c r="K323" s="6"/>
      <c r="M323" s="30"/>
      <c r="N323" s="86"/>
      <c r="O323" s="86"/>
      <c r="T323" s="30"/>
      <c r="Z323" s="96"/>
    </row>
    <row r="324">
      <c r="B324" s="30"/>
      <c r="D324" s="30"/>
      <c r="G324" s="13" t="s">
        <v>4972</v>
      </c>
      <c r="H324" s="11" t="s">
        <v>192</v>
      </c>
      <c r="I324" s="13">
        <v>21267.0</v>
      </c>
      <c r="J324" t="str">
        <f t="array" ref="J324">INDEX('TJ List'!B:B,MATCH(I324,'TJ List'!N:N,0),0)</f>
        <v>#N/A</v>
      </c>
      <c r="K324" s="6"/>
      <c r="M324" s="30"/>
      <c r="N324" s="86"/>
      <c r="T324" s="30"/>
      <c r="Z324" s="96"/>
    </row>
    <row r="325">
      <c r="B325" s="30"/>
      <c r="D325" s="30"/>
      <c r="G325" s="13" t="s">
        <v>4973</v>
      </c>
      <c r="H325" s="11" t="s">
        <v>192</v>
      </c>
      <c r="I325" s="13">
        <v>17639.0</v>
      </c>
      <c r="J325" t="str">
        <f t="array" ref="J325">INDEX('TJ List'!B:B,MATCH(I325,'TJ List'!N:N,0),0)</f>
        <v>#N/A</v>
      </c>
      <c r="K325" s="6"/>
      <c r="M325" s="30"/>
      <c r="N325" s="86"/>
      <c r="O325" s="86"/>
      <c r="T325" s="30"/>
      <c r="Z325" s="96"/>
    </row>
    <row r="326">
      <c r="B326" s="30"/>
      <c r="D326" s="30"/>
      <c r="G326" s="13" t="s">
        <v>3734</v>
      </c>
      <c r="H326" s="11" t="s">
        <v>111</v>
      </c>
      <c r="I326" s="13">
        <v>12988.0</v>
      </c>
      <c r="J326" s="87">
        <f t="array" ref="J326">INDEX('TJ List'!B:B,MATCH(I326,'TJ List'!N:N,0),0)</f>
        <v>39973</v>
      </c>
      <c r="K326" s="6"/>
      <c r="M326" s="30"/>
      <c r="N326" s="86"/>
      <c r="O326" s="86"/>
      <c r="T326" s="30"/>
      <c r="Z326" s="96"/>
    </row>
    <row r="327">
      <c r="B327" s="30"/>
      <c r="D327" s="30"/>
      <c r="G327" s="13" t="s">
        <v>2503</v>
      </c>
      <c r="H327" s="11" t="s">
        <v>111</v>
      </c>
      <c r="I327" s="13">
        <v>19769.0</v>
      </c>
      <c r="J327" s="87">
        <f t="array" ref="J327">INDEX('TJ List'!B:B,MATCH(I327,'TJ List'!N:N,0),0)</f>
        <v>42370</v>
      </c>
      <c r="K327" s="6"/>
      <c r="M327" s="30"/>
      <c r="N327" s="86"/>
      <c r="T327" s="30"/>
      <c r="Z327" s="96"/>
    </row>
    <row r="328">
      <c r="B328" s="30"/>
      <c r="D328" s="30"/>
      <c r="G328" s="13" t="s">
        <v>2407</v>
      </c>
      <c r="H328" s="11" t="s">
        <v>111</v>
      </c>
      <c r="I328" s="13">
        <v>22267.0</v>
      </c>
      <c r="J328" s="87">
        <f t="array" ref="J328">INDEX('TJ List'!B:B,MATCH(I328,'TJ List'!N:N,0),0)</f>
        <v>42480</v>
      </c>
      <c r="K328" s="6"/>
      <c r="M328" s="30"/>
      <c r="N328" s="86"/>
      <c r="O328" s="86"/>
      <c r="T328" s="30"/>
      <c r="Z328" s="96"/>
    </row>
    <row r="329">
      <c r="B329" s="30"/>
      <c r="D329" s="30"/>
      <c r="G329" s="13" t="s">
        <v>54</v>
      </c>
      <c r="H329" s="11" t="s">
        <v>111</v>
      </c>
      <c r="I329" s="13">
        <v>10197.0</v>
      </c>
      <c r="J329" s="87">
        <f t="array" ref="J329">INDEX('TJ List'!B:B,MATCH(I329,'TJ List'!N:N,0),0)</f>
        <v>45931</v>
      </c>
      <c r="K329" s="6"/>
      <c r="M329" s="30"/>
      <c r="N329" s="86"/>
      <c r="O329" s="86"/>
      <c r="T329" s="30"/>
      <c r="Z329" s="96"/>
    </row>
    <row r="330">
      <c r="B330" s="30"/>
      <c r="D330" s="30"/>
      <c r="G330" s="13" t="s">
        <v>2039</v>
      </c>
      <c r="H330" s="11" t="s">
        <v>111</v>
      </c>
      <c r="I330" s="13">
        <v>19531.0</v>
      </c>
      <c r="J330" s="87">
        <f t="array" ref="J330">INDEX('TJ List'!B:B,MATCH(I330,'TJ List'!N:N,0),0)</f>
        <v>42917</v>
      </c>
      <c r="K330" s="6"/>
      <c r="M330" s="30"/>
      <c r="N330" s="86"/>
      <c r="O330" s="86"/>
      <c r="T330" s="30"/>
      <c r="Z330" s="96"/>
    </row>
    <row r="331">
      <c r="B331" s="30"/>
      <c r="D331" s="30"/>
      <c r="G331" s="13" t="s">
        <v>1915</v>
      </c>
      <c r="H331" s="11" t="s">
        <v>111</v>
      </c>
      <c r="I331" s="13">
        <v>26231.0</v>
      </c>
      <c r="J331" s="89">
        <f t="array" ref="J331">INDEX('TJ List'!B:B,MATCH(I331,'TJ List'!N:N,0),0)</f>
        <v>43153</v>
      </c>
      <c r="K331" s="6"/>
      <c r="M331" s="30"/>
      <c r="N331" s="86"/>
      <c r="O331" s="86"/>
      <c r="T331" s="30"/>
      <c r="Z331" s="96"/>
    </row>
    <row r="332">
      <c r="B332" s="30"/>
      <c r="D332" s="30"/>
      <c r="G332" s="13" t="s">
        <v>1611</v>
      </c>
      <c r="H332" s="11" t="s">
        <v>111</v>
      </c>
      <c r="I332" s="13">
        <v>22288.0</v>
      </c>
      <c r="J332" s="87">
        <f t="array" ref="J332">INDEX('TJ List'!B:B,MATCH(I332,'TJ List'!N:N,0),0)</f>
        <v>43567</v>
      </c>
      <c r="K332" s="6"/>
      <c r="M332" s="30"/>
      <c r="N332" s="86"/>
      <c r="O332" s="86"/>
      <c r="T332" s="30"/>
      <c r="Z332" s="96"/>
    </row>
    <row r="333">
      <c r="B333" s="30"/>
      <c r="D333" s="30"/>
      <c r="G333" s="13" t="s">
        <v>1598</v>
      </c>
      <c r="H333" s="11" t="s">
        <v>111</v>
      </c>
      <c r="I333" s="13">
        <v>30133.0</v>
      </c>
      <c r="J333" s="87">
        <f t="array" ref="J333">INDEX('TJ List'!B:B,MATCH(I333,'TJ List'!N:N,0),0)</f>
        <v>43586</v>
      </c>
      <c r="K333" s="6"/>
      <c r="M333" s="30"/>
      <c r="N333" s="86"/>
      <c r="O333" s="86"/>
      <c r="T333" s="30"/>
      <c r="Z333" s="96"/>
    </row>
    <row r="334">
      <c r="B334" s="30"/>
      <c r="D334" s="30"/>
      <c r="G334" s="13" t="s">
        <v>1417</v>
      </c>
      <c r="H334" s="11" t="s">
        <v>111</v>
      </c>
      <c r="I334" s="13">
        <v>19962.0</v>
      </c>
      <c r="J334" s="87">
        <f t="array" ref="J334">INDEX('TJ List'!B:B,MATCH(I334,'TJ List'!N:N,0),0)</f>
        <v>43907</v>
      </c>
      <c r="K334" s="6"/>
      <c r="M334" s="30"/>
      <c r="N334" s="86"/>
      <c r="O334" s="86"/>
      <c r="T334" s="30"/>
      <c r="Z334" s="96"/>
    </row>
    <row r="335">
      <c r="B335" s="30"/>
      <c r="D335" s="30"/>
      <c r="G335" s="13" t="s">
        <v>1351</v>
      </c>
      <c r="H335" s="11" t="s">
        <v>111</v>
      </c>
      <c r="I335" s="13">
        <v>23391.0</v>
      </c>
      <c r="J335" s="87">
        <f t="array" ref="J335">INDEX('TJ List'!B:B,MATCH(I335,'TJ List'!N:N,0),0)</f>
        <v>44095</v>
      </c>
      <c r="K335" s="6"/>
      <c r="M335" s="30"/>
      <c r="N335" s="86"/>
      <c r="O335" s="86"/>
      <c r="T335" s="30"/>
      <c r="Z335" s="96"/>
    </row>
    <row r="336">
      <c r="B336" s="30"/>
      <c r="D336" s="30"/>
      <c r="G336" s="13" t="s">
        <v>1324</v>
      </c>
      <c r="H336" s="11" t="s">
        <v>111</v>
      </c>
      <c r="I336" s="13">
        <v>19874.0</v>
      </c>
      <c r="J336" s="87">
        <f t="array" ref="J336">INDEX('TJ List'!B:B,MATCH(I336,'TJ List'!N:N,0),0)</f>
        <v>44166</v>
      </c>
      <c r="K336" s="6"/>
      <c r="M336" s="30"/>
      <c r="N336" s="86"/>
      <c r="O336" s="86"/>
      <c r="T336" s="30"/>
      <c r="Z336" s="96"/>
    </row>
    <row r="337">
      <c r="B337" s="30"/>
      <c r="D337" s="30"/>
      <c r="G337" s="13" t="s">
        <v>1120</v>
      </c>
      <c r="H337" s="11" t="s">
        <v>111</v>
      </c>
      <c r="I337" s="13">
        <v>22304.0</v>
      </c>
      <c r="J337" s="87">
        <f t="array" ref="J337">INDEX('TJ List'!B:B,MATCH(I337,'TJ List'!N:N,0),0)</f>
        <v>44342</v>
      </c>
      <c r="K337" s="6"/>
      <c r="M337" s="30"/>
      <c r="N337" s="86"/>
      <c r="T337" s="30"/>
      <c r="Z337" s="96"/>
    </row>
    <row r="338">
      <c r="B338" s="30"/>
      <c r="D338" s="30"/>
      <c r="G338" s="13" t="s">
        <v>1034</v>
      </c>
      <c r="H338" s="11" t="s">
        <v>111</v>
      </c>
      <c r="I338" s="13">
        <v>18498.0</v>
      </c>
      <c r="J338" s="87">
        <f t="array" ref="J338">INDEX('TJ List'!B:B,MATCH(I338,'TJ List'!N:N,0),0)</f>
        <v>44440</v>
      </c>
      <c r="K338" s="6"/>
      <c r="L338" s="13"/>
      <c r="M338" s="11"/>
      <c r="N338" s="86"/>
      <c r="O338" s="13"/>
      <c r="P338" s="88"/>
      <c r="T338" s="30"/>
      <c r="Z338" s="96"/>
    </row>
    <row r="339">
      <c r="B339" s="30"/>
      <c r="D339" s="30"/>
      <c r="G339" s="13" t="s">
        <v>857</v>
      </c>
      <c r="H339" s="11" t="s">
        <v>111</v>
      </c>
      <c r="I339" s="13">
        <v>20045.0</v>
      </c>
      <c r="J339" s="87">
        <f t="array" ref="J339">INDEX('TJ List'!B:B,MATCH(I339,'TJ List'!N:N,0),0)</f>
        <v>44658</v>
      </c>
      <c r="K339" s="6"/>
      <c r="L339" s="13"/>
      <c r="M339" s="11"/>
      <c r="N339" s="86"/>
      <c r="O339" s="86"/>
      <c r="P339" s="88"/>
      <c r="T339" s="30"/>
      <c r="Z339" s="96"/>
    </row>
    <row r="340">
      <c r="B340" s="30"/>
      <c r="D340" s="30"/>
      <c r="G340" s="13" t="s">
        <v>804</v>
      </c>
      <c r="H340" s="11" t="s">
        <v>111</v>
      </c>
      <c r="I340" s="13">
        <v>20492.0</v>
      </c>
      <c r="J340" s="87">
        <f t="array" ref="J340">INDEX('TJ List'!B:B,MATCH(I340,'TJ List'!N:N,0),0)</f>
        <v>44727</v>
      </c>
      <c r="K340" s="6"/>
      <c r="L340" s="13"/>
      <c r="M340" s="11"/>
      <c r="N340" s="86"/>
      <c r="O340" s="86"/>
      <c r="P340" s="88"/>
      <c r="T340" s="30"/>
      <c r="Z340" s="96"/>
    </row>
    <row r="341">
      <c r="B341" s="30"/>
      <c r="D341" s="30"/>
      <c r="G341" s="13" t="s">
        <v>4974</v>
      </c>
      <c r="H341" s="11" t="s">
        <v>111</v>
      </c>
      <c r="I341" s="13">
        <v>24968.0</v>
      </c>
      <c r="J341" t="str">
        <f t="array" ref="J341">INDEX('TJ List'!B:B,MATCH(I341,'TJ List'!N:N,0),0)</f>
        <v>#N/A</v>
      </c>
      <c r="K341" s="6"/>
      <c r="L341" s="13"/>
      <c r="M341" s="11"/>
      <c r="N341" s="86"/>
      <c r="O341" s="86"/>
      <c r="P341" s="88"/>
      <c r="T341" s="30"/>
      <c r="Z341" s="96"/>
    </row>
    <row r="342">
      <c r="B342" s="30"/>
      <c r="D342" s="30"/>
      <c r="G342" s="13" t="s">
        <v>4975</v>
      </c>
      <c r="H342" s="11" t="s">
        <v>111</v>
      </c>
      <c r="I342" s="13">
        <v>26079.0</v>
      </c>
      <c r="J342" t="str">
        <f t="array" ref="J342">INDEX('TJ List'!B:B,MATCH(I342,'TJ List'!N:N,0),0)</f>
        <v>#N/A</v>
      </c>
      <c r="K342" s="6"/>
      <c r="M342" s="30"/>
      <c r="T342" s="30"/>
      <c r="Z342" s="96"/>
    </row>
    <row r="343">
      <c r="B343" s="30"/>
      <c r="D343" s="30"/>
      <c r="G343" s="13" t="s">
        <v>4976</v>
      </c>
      <c r="H343" s="11" t="s">
        <v>111</v>
      </c>
      <c r="I343" s="13">
        <v>20369.0</v>
      </c>
      <c r="J343" t="str">
        <f t="array" ref="J343">INDEX('TJ List'!B:B,MATCH(I343,'TJ List'!N:N,0),0)</f>
        <v>#N/A</v>
      </c>
      <c r="K343" s="6"/>
      <c r="L343" s="13"/>
      <c r="M343" s="11"/>
      <c r="N343" s="86"/>
      <c r="O343" s="86"/>
      <c r="P343" s="88"/>
      <c r="T343" s="30"/>
      <c r="Z343" s="96"/>
    </row>
    <row r="344">
      <c r="B344" s="30"/>
      <c r="D344" s="30"/>
      <c r="G344" s="13" t="s">
        <v>4977</v>
      </c>
      <c r="H344" s="11" t="s">
        <v>111</v>
      </c>
      <c r="I344" s="13">
        <v>30140.0</v>
      </c>
      <c r="J344" t="str">
        <f t="array" ref="J344">INDEX('TJ List'!B:B,MATCH(I344,'TJ List'!N:N,0),0)</f>
        <v>#N/A</v>
      </c>
      <c r="K344" s="6"/>
      <c r="L344" s="13"/>
      <c r="M344" s="11"/>
      <c r="N344" s="86"/>
      <c r="O344" s="86"/>
      <c r="P344" s="88"/>
      <c r="T344" s="30"/>
      <c r="Z344" s="96"/>
    </row>
    <row r="345">
      <c r="B345" s="30"/>
      <c r="D345" s="30"/>
      <c r="G345" s="13" t="s">
        <v>4978</v>
      </c>
      <c r="H345" s="11" t="s">
        <v>111</v>
      </c>
      <c r="I345" s="13">
        <v>19883.0</v>
      </c>
      <c r="J345" t="str">
        <f t="array" ref="J345">INDEX('TJ List'!B:B,MATCH(I345,'TJ List'!N:N,0),0)</f>
        <v>#N/A</v>
      </c>
      <c r="K345" s="6"/>
      <c r="L345" s="13"/>
      <c r="M345" s="11"/>
      <c r="N345" s="86"/>
      <c r="O345" s="86"/>
      <c r="P345" s="88"/>
      <c r="T345" s="30"/>
      <c r="Z345" s="96"/>
    </row>
    <row r="346">
      <c r="B346" s="30"/>
      <c r="D346" s="30"/>
      <c r="G346" s="13" t="s">
        <v>110</v>
      </c>
      <c r="H346" s="11" t="s">
        <v>111</v>
      </c>
      <c r="I346" s="13">
        <v>30203.0</v>
      </c>
      <c r="J346" s="87">
        <f t="array" ref="J346">INDEX('TJ List'!B:B,MATCH(I346,'TJ List'!N:N,0),0)</f>
        <v>45824</v>
      </c>
      <c r="K346" s="6"/>
      <c r="L346" s="13"/>
      <c r="M346" s="11"/>
      <c r="N346" s="86"/>
      <c r="O346" s="86"/>
      <c r="P346" s="88"/>
      <c r="T346" s="30"/>
      <c r="Z346" s="96"/>
    </row>
    <row r="347">
      <c r="B347" s="30"/>
      <c r="D347" s="30"/>
      <c r="G347" s="13" t="s">
        <v>4979</v>
      </c>
      <c r="H347" s="11" t="s">
        <v>111</v>
      </c>
      <c r="I347" s="13">
        <v>22630.0</v>
      </c>
      <c r="J347" t="str">
        <f t="array" ref="J347">INDEX('TJ List'!B:B,MATCH(I347,'TJ List'!N:N,0),0)</f>
        <v>#N/A</v>
      </c>
      <c r="K347" s="6"/>
      <c r="L347" s="13"/>
      <c r="M347" s="11"/>
      <c r="N347" s="86"/>
      <c r="O347" s="86"/>
      <c r="P347" s="88"/>
      <c r="T347" s="30"/>
      <c r="Z347" s="96"/>
    </row>
    <row r="348">
      <c r="B348" s="30"/>
      <c r="D348" s="30"/>
      <c r="G348" s="13" t="s">
        <v>4763</v>
      </c>
      <c r="H348" s="11" t="s">
        <v>111</v>
      </c>
      <c r="I348" s="13">
        <v>19392.0</v>
      </c>
      <c r="J348" t="str">
        <f t="array" ref="J348">INDEX('TJ List'!B:B,MATCH(I348,'TJ List'!N:N,0),0)</f>
        <v>#N/A</v>
      </c>
      <c r="K348" s="6"/>
      <c r="L348" s="13"/>
      <c r="M348" s="11"/>
      <c r="N348" s="86"/>
      <c r="O348" s="86"/>
      <c r="P348" s="88"/>
      <c r="T348" s="30"/>
      <c r="Z348" s="96"/>
    </row>
    <row r="349">
      <c r="B349" s="30"/>
      <c r="D349" s="30"/>
      <c r="G349" s="13" t="s">
        <v>4980</v>
      </c>
      <c r="H349" s="11" t="s">
        <v>111</v>
      </c>
      <c r="I349" s="13">
        <v>20462.0</v>
      </c>
      <c r="J349" t="str">
        <f t="array" ref="J349">INDEX('TJ List'!B:B,MATCH(I349,'TJ List'!N:N,0),0)</f>
        <v>#N/A</v>
      </c>
      <c r="K349" s="6"/>
      <c r="L349" s="13"/>
      <c r="M349" s="11"/>
      <c r="N349" s="86"/>
      <c r="O349" s="86"/>
      <c r="P349" s="88"/>
      <c r="T349" s="30"/>
      <c r="Z349" s="96"/>
    </row>
    <row r="350">
      <c r="B350" s="30"/>
      <c r="D350" s="30"/>
      <c r="G350" s="13" t="s">
        <v>2831</v>
      </c>
      <c r="H350" s="11" t="s">
        <v>52</v>
      </c>
      <c r="I350" s="13">
        <v>21212.0</v>
      </c>
      <c r="J350" s="87">
        <f t="array" ref="J350">INDEX('TJ List'!B:B,MATCH(I350,'TJ List'!N:N,0),0)</f>
        <v>42005</v>
      </c>
      <c r="K350" s="6"/>
      <c r="L350" s="13"/>
      <c r="M350" s="11"/>
      <c r="N350" s="86"/>
      <c r="O350" s="86"/>
      <c r="P350" s="88"/>
      <c r="T350" s="30"/>
      <c r="Z350" s="96"/>
    </row>
    <row r="351">
      <c r="B351" s="30"/>
      <c r="D351" s="30"/>
      <c r="G351" s="13" t="s">
        <v>1932</v>
      </c>
      <c r="H351" s="11" t="s">
        <v>52</v>
      </c>
      <c r="I351" s="13">
        <v>19281.0</v>
      </c>
      <c r="J351" s="89">
        <f t="array" ref="J351">INDEX('TJ List'!B:B,MATCH(I351,'TJ List'!N:N,0),0)</f>
        <v>43101</v>
      </c>
      <c r="K351" s="6"/>
      <c r="L351" s="13"/>
      <c r="M351" s="11"/>
      <c r="N351" s="86"/>
      <c r="O351" s="86"/>
      <c r="P351" s="88"/>
      <c r="T351" s="30"/>
      <c r="Z351" s="96"/>
    </row>
    <row r="352">
      <c r="B352" s="30"/>
      <c r="D352" s="30"/>
      <c r="G352" s="13" t="s">
        <v>1888</v>
      </c>
      <c r="H352" s="11" t="s">
        <v>52</v>
      </c>
      <c r="I352" s="13">
        <v>12760.0</v>
      </c>
      <c r="J352" s="87">
        <f t="array" ref="J352">INDEX('TJ List'!B:B,MATCH(I352,'TJ List'!N:N,0),0)</f>
        <v>43186</v>
      </c>
      <c r="K352" s="6"/>
      <c r="L352" s="13"/>
      <c r="M352" s="11"/>
      <c r="N352" s="86"/>
      <c r="O352" s="86"/>
      <c r="P352" s="88"/>
      <c r="T352" s="30"/>
      <c r="Z352" s="96"/>
    </row>
    <row r="353">
      <c r="B353" s="30"/>
      <c r="D353" s="30"/>
      <c r="G353" s="13" t="s">
        <v>1787</v>
      </c>
      <c r="H353" s="11" t="s">
        <v>52</v>
      </c>
      <c r="I353" s="13">
        <v>21859.0</v>
      </c>
      <c r="J353" s="87">
        <f t="array" ref="J353">INDEX('TJ List'!B:B,MATCH(I353,'TJ List'!N:N,0),0)</f>
        <v>43276</v>
      </c>
      <c r="K353" s="6"/>
      <c r="L353" s="13"/>
      <c r="M353" s="11"/>
      <c r="N353" s="86"/>
      <c r="O353" s="86"/>
      <c r="P353" s="88"/>
      <c r="T353" s="30"/>
      <c r="Z353" s="96"/>
    </row>
    <row r="354">
      <c r="B354" s="30"/>
      <c r="D354" s="30"/>
      <c r="G354" s="13" t="s">
        <v>1350</v>
      </c>
      <c r="H354" s="11" t="s">
        <v>52</v>
      </c>
      <c r="I354" s="13">
        <v>19349.0</v>
      </c>
      <c r="J354" s="87">
        <f t="array" ref="J354">INDEX('TJ List'!B:B,MATCH(I354,'TJ List'!N:N,0),0)</f>
        <v>44096</v>
      </c>
      <c r="K354" s="6"/>
      <c r="L354" s="13"/>
      <c r="M354" s="11"/>
      <c r="N354" s="86"/>
      <c r="O354" s="86"/>
      <c r="P354" s="88"/>
      <c r="T354" s="30"/>
      <c r="Z354" s="96"/>
    </row>
    <row r="355">
      <c r="B355" s="30"/>
      <c r="D355" s="30"/>
      <c r="G355" s="13" t="s">
        <v>1347</v>
      </c>
      <c r="H355" s="11" t="s">
        <v>52</v>
      </c>
      <c r="I355" s="13">
        <v>8700.0</v>
      </c>
      <c r="J355" s="87">
        <f t="array" ref="J355">INDEX('TJ List'!B:B,MATCH(I355,'TJ List'!N:N,0),0)</f>
        <v>44104</v>
      </c>
      <c r="K355" s="6"/>
      <c r="L355" s="13"/>
      <c r="M355" s="11"/>
      <c r="N355" s="86"/>
      <c r="O355" s="86"/>
      <c r="P355" s="88"/>
      <c r="T355" s="30"/>
      <c r="Z355" s="96"/>
    </row>
    <row r="356">
      <c r="B356" s="30"/>
      <c r="D356" s="30"/>
      <c r="G356" s="13" t="s">
        <v>1247</v>
      </c>
      <c r="H356" s="11" t="s">
        <v>52</v>
      </c>
      <c r="I356" s="13">
        <v>26190.0</v>
      </c>
      <c r="J356" s="87">
        <f t="array" ref="J356">INDEX('TJ List'!B:B,MATCH(I356,'TJ List'!N:N,0),0)</f>
        <v>44197</v>
      </c>
      <c r="K356" s="6"/>
      <c r="L356" s="13"/>
      <c r="M356" s="11"/>
      <c r="N356" s="86"/>
      <c r="O356" s="86"/>
      <c r="P356" s="88"/>
      <c r="T356" s="30"/>
      <c r="Z356" s="96"/>
    </row>
    <row r="357">
      <c r="B357" s="30"/>
      <c r="D357" s="30"/>
      <c r="G357" s="13" t="s">
        <v>1200</v>
      </c>
      <c r="H357" s="11" t="s">
        <v>52</v>
      </c>
      <c r="I357" s="13">
        <v>19586.0</v>
      </c>
      <c r="J357" s="87">
        <f t="array" ref="J357">INDEX('TJ List'!B:B,MATCH(I357,'TJ List'!N:N,0),0)</f>
        <v>44272</v>
      </c>
      <c r="K357" s="6"/>
      <c r="L357" s="13"/>
      <c r="M357" s="11"/>
      <c r="N357" s="86"/>
      <c r="O357" s="86"/>
      <c r="P357" s="88"/>
      <c r="T357" s="30"/>
      <c r="Z357" s="96"/>
    </row>
    <row r="358">
      <c r="B358" s="30"/>
      <c r="D358" s="30"/>
      <c r="G358" s="13" t="s">
        <v>931</v>
      </c>
      <c r="H358" s="11" t="s">
        <v>52</v>
      </c>
      <c r="I358" s="13">
        <v>25890.0</v>
      </c>
      <c r="J358" s="87">
        <f t="array" ref="J358">INDEX('TJ List'!B:B,MATCH(I358,'TJ List'!N:N,0),0)</f>
        <v>44562</v>
      </c>
      <c r="K358" s="6"/>
      <c r="L358" s="13"/>
      <c r="M358" s="11"/>
      <c r="N358" s="86"/>
      <c r="O358" s="86"/>
      <c r="P358" s="88"/>
      <c r="T358" s="30"/>
      <c r="Z358" s="96"/>
    </row>
    <row r="359">
      <c r="B359" s="30"/>
      <c r="D359" s="30"/>
      <c r="G359" s="13" t="s">
        <v>323</v>
      </c>
      <c r="H359" s="11" t="s">
        <v>52</v>
      </c>
      <c r="I359" s="13">
        <v>17606.0</v>
      </c>
      <c r="J359" s="87">
        <f t="array" ref="J359">INDEX('TJ List'!B:B,MATCH(I359,'TJ List'!N:N,0),0)</f>
        <v>45449</v>
      </c>
      <c r="K359" s="6"/>
      <c r="L359" s="13"/>
      <c r="M359" s="11"/>
      <c r="N359" s="86"/>
      <c r="O359" s="86"/>
      <c r="P359" s="88"/>
      <c r="T359" s="30"/>
      <c r="Z359" s="96"/>
    </row>
    <row r="360">
      <c r="B360" s="30"/>
      <c r="D360" s="30"/>
      <c r="G360" s="13" t="s">
        <v>4981</v>
      </c>
      <c r="H360" s="11" t="s">
        <v>52</v>
      </c>
      <c r="I360" s="13">
        <v>17295.0</v>
      </c>
      <c r="J360" t="str">
        <f t="array" ref="J360">INDEX('TJ List'!B:B,MATCH(I360,'TJ List'!N:N,0),0)</f>
        <v>#N/A</v>
      </c>
      <c r="K360" s="6"/>
      <c r="L360" s="13"/>
      <c r="M360" s="11"/>
      <c r="N360" s="86"/>
      <c r="O360" s="86"/>
      <c r="P360" s="88"/>
      <c r="T360" s="30"/>
      <c r="Z360" s="96"/>
    </row>
    <row r="361">
      <c r="B361" s="30"/>
      <c r="D361" s="30"/>
      <c r="G361" s="13" t="s">
        <v>4982</v>
      </c>
      <c r="H361" s="11" t="s">
        <v>52</v>
      </c>
      <c r="I361" s="13">
        <v>25880.0</v>
      </c>
      <c r="J361" t="str">
        <f t="array" ref="J361">INDEX('TJ List'!B:B,MATCH(I361,'TJ List'!N:N,0),0)</f>
        <v>#N/A</v>
      </c>
      <c r="K361" s="6"/>
      <c r="L361" s="13"/>
      <c r="M361" s="11"/>
      <c r="N361" s="86"/>
      <c r="O361" s="86"/>
      <c r="P361" s="88"/>
      <c r="T361" s="30"/>
      <c r="Z361" s="96"/>
    </row>
    <row r="362">
      <c r="B362" s="30"/>
      <c r="D362" s="30"/>
      <c r="G362" s="13" t="s">
        <v>122</v>
      </c>
      <c r="H362" s="11" t="s">
        <v>52</v>
      </c>
      <c r="I362" s="13">
        <v>19407.0</v>
      </c>
      <c r="J362" s="87">
        <f t="array" ref="J362">INDEX('TJ List'!B:B,MATCH(I362,'TJ List'!N:N,0),0)</f>
        <v>45814</v>
      </c>
      <c r="K362" s="6"/>
      <c r="L362" s="13"/>
      <c r="M362" s="11"/>
      <c r="N362" s="86"/>
      <c r="O362" s="86"/>
      <c r="P362" s="88"/>
      <c r="T362" s="30"/>
      <c r="Z362" s="96"/>
    </row>
    <row r="363">
      <c r="B363" s="30"/>
      <c r="D363" s="30"/>
      <c r="G363" s="13" t="s">
        <v>4983</v>
      </c>
      <c r="H363" s="11" t="s">
        <v>52</v>
      </c>
      <c r="I363" s="13">
        <v>29921.0</v>
      </c>
      <c r="J363" t="str">
        <f t="array" ref="J363">INDEX('TJ List'!B:B,MATCH(I363,'TJ List'!N:N,0),0)</f>
        <v>#N/A</v>
      </c>
      <c r="K363" s="6"/>
      <c r="L363" s="13"/>
      <c r="M363" s="11"/>
      <c r="N363" s="86"/>
      <c r="O363" s="86"/>
      <c r="P363" s="88"/>
      <c r="T363" s="30"/>
      <c r="Z363" s="96"/>
    </row>
    <row r="364">
      <c r="B364" s="30"/>
      <c r="D364" s="30"/>
      <c r="G364" s="13" t="s">
        <v>4984</v>
      </c>
      <c r="H364" s="11" t="s">
        <v>52</v>
      </c>
      <c r="I364" s="13">
        <v>14212.0</v>
      </c>
      <c r="J364" t="str">
        <f t="array" ref="J364">INDEX('TJ List'!B:B,MATCH(I364,'TJ List'!N:N,0),0)</f>
        <v>#N/A</v>
      </c>
      <c r="K364" s="6"/>
      <c r="L364" s="13"/>
      <c r="M364" s="11"/>
      <c r="N364" s="86"/>
      <c r="O364" s="86"/>
      <c r="P364" s="88"/>
      <c r="T364" s="30"/>
      <c r="Z364" s="96"/>
    </row>
    <row r="365">
      <c r="B365" s="30"/>
      <c r="D365" s="30"/>
      <c r="G365" s="13" t="s">
        <v>4985</v>
      </c>
      <c r="H365" s="11" t="s">
        <v>52</v>
      </c>
      <c r="I365" s="13">
        <v>16609.0</v>
      </c>
      <c r="J365" t="str">
        <f t="array" ref="J365">INDEX('TJ List'!B:B,MATCH(I365,'TJ List'!N:N,0),0)</f>
        <v>#N/A</v>
      </c>
      <c r="K365" s="6"/>
      <c r="L365" s="13"/>
      <c r="M365" s="11"/>
      <c r="N365" s="86"/>
      <c r="O365" s="86"/>
      <c r="P365" s="88"/>
      <c r="T365" s="30"/>
      <c r="Z365" s="96"/>
    </row>
    <row r="366">
      <c r="B366" s="30"/>
      <c r="D366" s="30"/>
      <c r="G366" s="13" t="s">
        <v>4986</v>
      </c>
      <c r="H366" s="11" t="s">
        <v>52</v>
      </c>
      <c r="I366" s="13">
        <v>7005.0</v>
      </c>
      <c r="J366" t="str">
        <f t="array" ref="J366">INDEX('TJ List'!B:B,MATCH(I366,'TJ List'!N:N,0),0)</f>
        <v>#N/A</v>
      </c>
      <c r="K366" s="6"/>
      <c r="L366" s="13"/>
      <c r="M366" s="11"/>
      <c r="N366" s="86"/>
      <c r="O366" s="86"/>
      <c r="P366" s="88"/>
      <c r="T366" s="30"/>
      <c r="Z366" s="96"/>
    </row>
    <row r="367">
      <c r="B367" s="30"/>
      <c r="D367" s="30"/>
      <c r="G367" s="13" t="s">
        <v>4987</v>
      </c>
      <c r="H367" s="11" t="s">
        <v>52</v>
      </c>
      <c r="I367" s="13">
        <v>24977.0</v>
      </c>
      <c r="J367" t="str">
        <f t="array" ref="J367">INDEX('TJ List'!B:B,MATCH(I367,'TJ List'!N:N,0),0)</f>
        <v>#N/A</v>
      </c>
      <c r="K367" s="6"/>
      <c r="L367" s="13"/>
      <c r="M367" s="11"/>
      <c r="N367" s="86"/>
      <c r="O367" s="86"/>
      <c r="P367" s="88"/>
      <c r="T367" s="30"/>
      <c r="Z367" s="96"/>
    </row>
    <row r="368">
      <c r="B368" s="30"/>
      <c r="D368" s="30"/>
      <c r="G368" s="13" t="s">
        <v>4988</v>
      </c>
      <c r="H368" s="11" t="s">
        <v>52</v>
      </c>
      <c r="I368" s="13">
        <v>13652.0</v>
      </c>
      <c r="J368" t="str">
        <f t="array" ref="J368">INDEX('TJ List'!B:B,MATCH(I368,'TJ List'!N:N,0),0)</f>
        <v>#N/A</v>
      </c>
      <c r="K368" s="6"/>
      <c r="L368" s="13"/>
      <c r="M368" s="11"/>
      <c r="N368" s="86"/>
      <c r="O368" s="86"/>
      <c r="P368" s="88"/>
      <c r="T368" s="30"/>
      <c r="Z368" s="96"/>
    </row>
    <row r="369">
      <c r="B369" s="30"/>
      <c r="D369" s="30"/>
      <c r="G369" s="13" t="s">
        <v>4989</v>
      </c>
      <c r="H369" s="11" t="s">
        <v>52</v>
      </c>
      <c r="I369" s="13">
        <v>25839.0</v>
      </c>
      <c r="J369" t="str">
        <f t="array" ref="J369">INDEX('TJ List'!B:B,MATCH(I369,'TJ List'!N:N,0),0)</f>
        <v>#N/A</v>
      </c>
      <c r="K369" s="6"/>
      <c r="L369" s="13"/>
      <c r="M369" s="11"/>
      <c r="N369" s="86"/>
      <c r="O369" s="86"/>
      <c r="P369" s="88"/>
      <c r="T369" s="30"/>
      <c r="Z369" s="96"/>
    </row>
    <row r="370">
      <c r="B370" s="30"/>
      <c r="D370" s="30"/>
      <c r="G370" s="13" t="s">
        <v>4990</v>
      </c>
      <c r="H370" s="11" t="s">
        <v>52</v>
      </c>
      <c r="I370" s="13">
        <v>18815.0</v>
      </c>
      <c r="J370" t="str">
        <f t="array" ref="J370">INDEX('TJ List'!B:B,MATCH(I370,'TJ List'!N:N,0),0)</f>
        <v>#N/A</v>
      </c>
      <c r="K370" s="6"/>
      <c r="L370" s="13"/>
      <c r="M370" s="11"/>
      <c r="N370" s="86"/>
      <c r="O370" s="86"/>
      <c r="P370" s="88"/>
      <c r="T370" s="30"/>
      <c r="Z370" s="96"/>
    </row>
    <row r="371">
      <c r="B371" s="30"/>
      <c r="D371" s="30"/>
      <c r="G371" s="13" t="s">
        <v>4742</v>
      </c>
      <c r="H371" s="11" t="s">
        <v>52</v>
      </c>
      <c r="I371" s="13">
        <v>25813.0</v>
      </c>
      <c r="J371" t="str">
        <f t="array" ref="J371">INDEX('TJ List'!B:B,MATCH(I371,'TJ List'!N:N,0),0)</f>
        <v>#N/A</v>
      </c>
      <c r="K371" s="6"/>
      <c r="L371" s="13"/>
      <c r="M371" s="11"/>
      <c r="N371" s="86"/>
      <c r="O371" s="86"/>
      <c r="P371" s="88"/>
      <c r="T371" s="30"/>
      <c r="Z371" s="96"/>
    </row>
    <row r="372">
      <c r="B372" s="30"/>
      <c r="D372" s="30"/>
      <c r="G372" s="13" t="s">
        <v>4991</v>
      </c>
      <c r="H372" s="11" t="s">
        <v>52</v>
      </c>
      <c r="I372" s="13">
        <v>22276.0</v>
      </c>
      <c r="J372" t="str">
        <f t="array" ref="J372">INDEX('TJ List'!B:B,MATCH(I372,'TJ List'!N:N,0),0)</f>
        <v>#N/A</v>
      </c>
      <c r="K372" s="6"/>
      <c r="L372" s="13"/>
      <c r="M372" s="11"/>
      <c r="N372" s="86"/>
      <c r="O372" s="86"/>
      <c r="P372" s="88"/>
      <c r="T372" s="30"/>
      <c r="Z372" s="96"/>
    </row>
    <row r="373">
      <c r="B373" s="30"/>
      <c r="D373" s="30"/>
      <c r="G373" s="13" t="s">
        <v>4992</v>
      </c>
      <c r="H373" s="11" t="s">
        <v>52</v>
      </c>
      <c r="I373" s="13">
        <v>15855.0</v>
      </c>
      <c r="J373" t="str">
        <f t="array" ref="J373">INDEX('TJ List'!B:B,MATCH(I373,'TJ List'!N:N,0),0)</f>
        <v>#N/A</v>
      </c>
      <c r="K373" s="6"/>
      <c r="L373" s="13"/>
      <c r="M373" s="11"/>
      <c r="N373" s="86"/>
      <c r="O373" s="86"/>
      <c r="P373" s="88"/>
      <c r="T373" s="30"/>
      <c r="Z373" s="96"/>
    </row>
    <row r="374">
      <c r="B374" s="30"/>
      <c r="D374" s="30"/>
      <c r="G374" s="13" t="s">
        <v>4993</v>
      </c>
      <c r="H374" s="11" t="s">
        <v>52</v>
      </c>
      <c r="I374" s="13">
        <v>21324.0</v>
      </c>
      <c r="J374" t="str">
        <f t="array" ref="J374">INDEX('TJ List'!B:B,MATCH(I374,'TJ List'!N:N,0),0)</f>
        <v>#N/A</v>
      </c>
      <c r="K374" s="6"/>
      <c r="L374" s="13"/>
      <c r="M374" s="11"/>
      <c r="N374" s="86"/>
      <c r="O374" s="86"/>
      <c r="P374" s="88"/>
      <c r="T374" s="30"/>
      <c r="Z374" s="96"/>
    </row>
    <row r="375">
      <c r="B375" s="30"/>
      <c r="D375" s="30"/>
      <c r="G375" s="13" t="s">
        <v>4994</v>
      </c>
      <c r="H375" s="11" t="s">
        <v>52</v>
      </c>
      <c r="I375" s="13">
        <v>21045.0</v>
      </c>
      <c r="J375" t="str">
        <f t="array" ref="J375">INDEX('TJ List'!B:B,MATCH(I375,'TJ List'!N:N,0),0)</f>
        <v>#N/A</v>
      </c>
      <c r="K375" s="6"/>
      <c r="L375" s="13"/>
      <c r="M375" s="11"/>
      <c r="N375" s="86"/>
      <c r="O375" s="86"/>
      <c r="P375" s="88"/>
      <c r="T375" s="30"/>
      <c r="Z375" s="96"/>
    </row>
    <row r="376">
      <c r="B376" s="30"/>
      <c r="D376" s="30"/>
      <c r="G376" s="13" t="s">
        <v>4995</v>
      </c>
      <c r="H376" s="11" t="s">
        <v>52</v>
      </c>
      <c r="I376" s="13">
        <v>20061.0</v>
      </c>
      <c r="J376" t="str">
        <f t="array" ref="J376">INDEX('TJ List'!B:B,MATCH(I376,'TJ List'!N:N,0),0)</f>
        <v>#N/A</v>
      </c>
      <c r="K376" s="6"/>
      <c r="L376" s="13"/>
      <c r="M376" s="11"/>
      <c r="N376" s="86"/>
      <c r="O376" s="86"/>
      <c r="P376" s="88"/>
      <c r="T376" s="30"/>
      <c r="Z376" s="96"/>
    </row>
    <row r="377">
      <c r="B377" s="30"/>
      <c r="D377" s="30"/>
      <c r="G377" s="13" t="s">
        <v>4560</v>
      </c>
      <c r="H377" s="11" t="s">
        <v>52</v>
      </c>
      <c r="I377" s="13">
        <v>33168.0</v>
      </c>
      <c r="J377" t="str">
        <f t="array" ref="J377">INDEX('TJ List'!B:B,MATCH(I377,'TJ List'!N:N,0),0)</f>
        <v>#N/A</v>
      </c>
      <c r="K377" s="6"/>
      <c r="L377" s="13"/>
      <c r="M377" s="11"/>
      <c r="N377" s="86"/>
      <c r="O377" s="86"/>
      <c r="P377" s="88"/>
      <c r="T377" s="30"/>
      <c r="Z377" s="96"/>
    </row>
    <row r="378">
      <c r="B378" s="30"/>
      <c r="D378" s="30"/>
      <c r="G378" s="13" t="s">
        <v>2323</v>
      </c>
      <c r="H378" s="11" t="s">
        <v>4728</v>
      </c>
      <c r="I378" s="13">
        <v>15507.0</v>
      </c>
      <c r="J378" s="87">
        <f t="array" ref="J378">INDEX('TJ List'!B:B,MATCH(I378,'TJ List'!N:N,0),0)</f>
        <v>42577</v>
      </c>
      <c r="K378" s="6"/>
      <c r="L378" s="13"/>
      <c r="M378" s="11"/>
      <c r="N378" s="86"/>
      <c r="O378" s="86"/>
      <c r="P378" s="88"/>
      <c r="T378" s="30"/>
      <c r="Z378" s="96"/>
    </row>
    <row r="379">
      <c r="B379" s="30"/>
      <c r="D379" s="30"/>
      <c r="G379" s="13" t="s">
        <v>2153</v>
      </c>
      <c r="H379" s="11" t="s">
        <v>4728</v>
      </c>
      <c r="I379" s="13">
        <v>8048.0</v>
      </c>
      <c r="J379" s="87">
        <f t="array" ref="J379">INDEX('TJ List'!B:B,MATCH(I379,'TJ List'!N:N,0),0)</f>
        <v>42822</v>
      </c>
      <c r="K379" s="6"/>
      <c r="L379" s="13"/>
      <c r="M379" s="11"/>
      <c r="N379" s="86"/>
      <c r="O379" s="86"/>
      <c r="P379" s="88"/>
      <c r="T379" s="30"/>
      <c r="Z379" s="96"/>
    </row>
    <row r="380">
      <c r="B380" s="30"/>
      <c r="D380" s="30"/>
      <c r="G380" s="13" t="s">
        <v>1626</v>
      </c>
      <c r="H380" s="11" t="s">
        <v>4728</v>
      </c>
      <c r="I380" s="13">
        <v>22284.0</v>
      </c>
      <c r="J380" s="87">
        <f t="array" ref="J380">INDEX('TJ List'!B:B,MATCH(I380,'TJ List'!N:N,0),0)</f>
        <v>43556</v>
      </c>
      <c r="K380" s="6"/>
      <c r="L380" s="13"/>
      <c r="M380" s="11"/>
      <c r="N380" s="86"/>
      <c r="O380" s="86"/>
      <c r="P380" s="88"/>
      <c r="T380" s="30"/>
      <c r="Z380" s="96"/>
    </row>
    <row r="381">
      <c r="B381" s="30"/>
      <c r="D381" s="30"/>
      <c r="G381" s="13" t="s">
        <v>1587</v>
      </c>
      <c r="H381" s="11" t="s">
        <v>4728</v>
      </c>
      <c r="I381" s="13">
        <v>21846.0</v>
      </c>
      <c r="J381" s="87">
        <f t="array" ref="J381">INDEX('TJ List'!B:B,MATCH(I381,'TJ List'!N:N,0),0)</f>
        <v>43600</v>
      </c>
      <c r="K381" s="6"/>
      <c r="L381" s="13"/>
      <c r="M381" s="11"/>
      <c r="N381" s="86"/>
      <c r="O381" s="86"/>
      <c r="P381" s="88"/>
      <c r="T381" s="30"/>
      <c r="Z381" s="96"/>
    </row>
    <row r="382">
      <c r="B382" s="30"/>
      <c r="D382" s="30"/>
      <c r="G382" s="13" t="s">
        <v>1104</v>
      </c>
      <c r="H382" s="11" t="s">
        <v>4728</v>
      </c>
      <c r="I382" s="13">
        <v>24607.0</v>
      </c>
      <c r="J382" s="87">
        <f t="array" ref="J382">INDEX('TJ List'!B:B,MATCH(I382,'TJ List'!N:N,0),0)</f>
        <v>44348</v>
      </c>
      <c r="K382" s="6"/>
      <c r="L382" s="13"/>
      <c r="M382" s="11"/>
      <c r="N382" s="86"/>
      <c r="O382" s="86"/>
      <c r="P382" s="88"/>
      <c r="T382" s="30"/>
      <c r="Z382" s="96"/>
    </row>
    <row r="383">
      <c r="B383" s="30"/>
      <c r="D383" s="30"/>
      <c r="G383" s="13" t="s">
        <v>1086</v>
      </c>
      <c r="H383" s="11" t="s">
        <v>4728</v>
      </c>
      <c r="I383" s="13">
        <v>16507.0</v>
      </c>
      <c r="J383" s="87">
        <f t="array" ref="J383">INDEX('TJ List'!B:B,MATCH(I383,'TJ List'!N:N,0),0)</f>
        <v>44376</v>
      </c>
      <c r="K383" s="6"/>
      <c r="L383" s="13"/>
      <c r="M383" s="11"/>
      <c r="N383" s="86"/>
      <c r="O383" s="86"/>
      <c r="P383" s="88"/>
      <c r="T383" s="30"/>
      <c r="Z383" s="96"/>
    </row>
    <row r="384">
      <c r="B384" s="30"/>
      <c r="D384" s="30"/>
      <c r="G384" s="13" t="s">
        <v>615</v>
      </c>
      <c r="H384" s="11" t="s">
        <v>4728</v>
      </c>
      <c r="I384" s="13">
        <v>21455.0</v>
      </c>
      <c r="J384" s="87">
        <f t="array" ref="J384">INDEX('TJ List'!B:B,MATCH(I384,'TJ List'!N:N,0),0)</f>
        <v>45044</v>
      </c>
      <c r="K384" s="6"/>
      <c r="L384" s="13"/>
      <c r="M384" s="11"/>
      <c r="N384" s="86"/>
      <c r="O384" s="86"/>
      <c r="P384" s="88"/>
      <c r="T384" s="30"/>
      <c r="Z384" s="96"/>
    </row>
    <row r="385">
      <c r="B385" s="30"/>
      <c r="D385" s="30"/>
      <c r="G385" s="13" t="s">
        <v>4583</v>
      </c>
      <c r="H385" s="11" t="s">
        <v>4728</v>
      </c>
      <c r="I385" s="13">
        <v>12447.0</v>
      </c>
      <c r="J385" t="str">
        <f t="array" ref="J385">INDEX('TJ List'!B:B,MATCH(I385,'TJ List'!N:N,0),0)</f>
        <v>#N/A</v>
      </c>
      <c r="K385" s="6"/>
      <c r="L385" s="13"/>
      <c r="M385" s="11"/>
      <c r="N385" s="86"/>
      <c r="O385" s="86"/>
      <c r="P385" s="88"/>
      <c r="T385" s="30"/>
      <c r="Z385" s="96"/>
    </row>
    <row r="386">
      <c r="B386" s="30"/>
      <c r="D386" s="30"/>
      <c r="G386" s="13" t="s">
        <v>4996</v>
      </c>
      <c r="H386" s="11" t="s">
        <v>4728</v>
      </c>
      <c r="I386" s="13">
        <v>14078.0</v>
      </c>
      <c r="J386" t="str">
        <f t="array" ref="J386">INDEX('TJ List'!B:B,MATCH(I386,'TJ List'!N:N,0),0)</f>
        <v>#N/A</v>
      </c>
      <c r="K386" s="6"/>
      <c r="L386" s="13"/>
      <c r="M386" s="11"/>
      <c r="N386" s="86"/>
      <c r="O386" s="86"/>
      <c r="P386" s="88"/>
      <c r="T386" s="30"/>
      <c r="Z386" s="96"/>
    </row>
    <row r="387">
      <c r="B387" s="30"/>
      <c r="D387" s="30"/>
      <c r="G387" s="13" t="s">
        <v>4997</v>
      </c>
      <c r="H387" s="11" t="s">
        <v>4728</v>
      </c>
      <c r="I387" s="13">
        <v>25377.0</v>
      </c>
      <c r="J387" t="str">
        <f t="array" ref="J387">INDEX('TJ List'!B:B,MATCH(I387,'TJ List'!N:N,0),0)</f>
        <v>#N/A</v>
      </c>
      <c r="K387" s="6"/>
      <c r="L387" s="13"/>
      <c r="M387" s="11"/>
      <c r="N387" s="86"/>
      <c r="O387" s="86"/>
      <c r="P387" s="88"/>
      <c r="T387" s="30"/>
      <c r="Z387" s="96"/>
    </row>
    <row r="388">
      <c r="B388" s="30"/>
      <c r="D388" s="30"/>
      <c r="G388" s="13" t="s">
        <v>4998</v>
      </c>
      <c r="H388" s="11" t="s">
        <v>4728</v>
      </c>
      <c r="I388" s="13">
        <v>27451.0</v>
      </c>
      <c r="J388" t="str">
        <f t="array" ref="J388">INDEX('TJ List'!B:B,MATCH(I388,'TJ List'!N:N,0),0)</f>
        <v>#N/A</v>
      </c>
      <c r="K388" s="6"/>
      <c r="L388" s="13"/>
      <c r="M388" s="11"/>
      <c r="N388" s="86"/>
      <c r="O388" s="86"/>
      <c r="P388" s="88"/>
      <c r="T388" s="30"/>
      <c r="Z388" s="96"/>
    </row>
    <row r="389">
      <c r="B389" s="30"/>
      <c r="D389" s="30"/>
      <c r="G389" s="13" t="s">
        <v>4999</v>
      </c>
      <c r="H389" s="11" t="s">
        <v>4728</v>
      </c>
      <c r="I389" s="13">
        <v>20020.0</v>
      </c>
      <c r="J389" t="str">
        <f t="array" ref="J389">INDEX('TJ List'!B:B,MATCH(I389,'TJ List'!N:N,0),0)</f>
        <v>#N/A</v>
      </c>
      <c r="K389" s="6"/>
      <c r="L389" s="13"/>
      <c r="M389" s="11"/>
      <c r="N389" s="86"/>
      <c r="O389" s="86"/>
      <c r="P389" s="88"/>
      <c r="T389" s="30"/>
      <c r="Z389" s="96"/>
    </row>
    <row r="390">
      <c r="B390" s="30"/>
      <c r="D390" s="30"/>
      <c r="G390" s="13" t="s">
        <v>5000</v>
      </c>
      <c r="H390" s="11" t="s">
        <v>4728</v>
      </c>
      <c r="I390" s="13">
        <v>22713.0</v>
      </c>
      <c r="J390" t="str">
        <f t="array" ref="J390">INDEX('TJ List'!B:B,MATCH(I390,'TJ List'!N:N,0),0)</f>
        <v>#N/A</v>
      </c>
      <c r="K390" s="6"/>
      <c r="L390" s="13"/>
      <c r="M390" s="11"/>
      <c r="N390" s="86"/>
      <c r="O390" s="86"/>
      <c r="P390" s="88"/>
      <c r="T390" s="30"/>
      <c r="Z390" s="96"/>
    </row>
    <row r="391">
      <c r="B391" s="30"/>
      <c r="D391" s="30"/>
      <c r="G391" s="13" t="s">
        <v>5001</v>
      </c>
      <c r="H391" s="11" t="s">
        <v>4728</v>
      </c>
      <c r="I391" s="13">
        <v>22717.0</v>
      </c>
      <c r="J391" t="str">
        <f t="array" ref="J391">INDEX('TJ List'!B:B,MATCH(I391,'TJ List'!N:N,0),0)</f>
        <v>#N/A</v>
      </c>
      <c r="K391" s="6"/>
      <c r="L391" s="13"/>
      <c r="M391" s="11"/>
      <c r="N391" s="86"/>
      <c r="O391" s="86"/>
      <c r="P391" s="88"/>
      <c r="T391" s="30"/>
      <c r="Z391" s="96"/>
    </row>
    <row r="392">
      <c r="B392" s="30"/>
      <c r="D392" s="30"/>
      <c r="G392" s="13" t="s">
        <v>5002</v>
      </c>
      <c r="H392" s="11" t="s">
        <v>4728</v>
      </c>
      <c r="I392" s="13">
        <v>25379.0</v>
      </c>
      <c r="J392" t="str">
        <f t="array" ref="J392">INDEX('TJ List'!B:B,MATCH(I392,'TJ List'!N:N,0),0)</f>
        <v>#N/A</v>
      </c>
      <c r="K392" s="6"/>
      <c r="L392" s="13"/>
      <c r="M392" s="11"/>
      <c r="N392" s="86"/>
      <c r="O392" s="13"/>
      <c r="P392" s="88"/>
      <c r="T392" s="30"/>
      <c r="Z392" s="96"/>
    </row>
    <row r="393">
      <c r="B393" s="30"/>
      <c r="D393" s="30"/>
      <c r="G393" s="13" t="s">
        <v>5003</v>
      </c>
      <c r="H393" s="11" t="s">
        <v>4728</v>
      </c>
      <c r="I393" s="13">
        <v>21527.0</v>
      </c>
      <c r="J393" t="str">
        <f t="array" ref="J393">INDEX('TJ List'!B:B,MATCH(I393,'TJ List'!N:N,0),0)</f>
        <v>#N/A</v>
      </c>
      <c r="K393" s="6"/>
      <c r="L393" s="13"/>
      <c r="M393" s="11"/>
      <c r="N393" s="86"/>
      <c r="O393" s="86"/>
      <c r="P393" s="88"/>
      <c r="T393" s="30"/>
      <c r="Z393" s="96"/>
    </row>
    <row r="394">
      <c r="B394" s="30"/>
      <c r="D394" s="30"/>
      <c r="G394" s="13" t="s">
        <v>5004</v>
      </c>
      <c r="H394" s="11" t="s">
        <v>4728</v>
      </c>
      <c r="I394" s="13">
        <v>23165.0</v>
      </c>
      <c r="J394" t="str">
        <f t="array" ref="J394">INDEX('TJ List'!B:B,MATCH(I394,'TJ List'!N:N,0),0)</f>
        <v>#N/A</v>
      </c>
      <c r="K394" s="6"/>
      <c r="L394" s="13"/>
      <c r="M394" s="11"/>
      <c r="N394" s="86"/>
      <c r="O394" s="86"/>
      <c r="P394" s="88"/>
      <c r="T394" s="30"/>
      <c r="Z394" s="96"/>
    </row>
    <row r="395">
      <c r="B395" s="30"/>
      <c r="D395" s="30"/>
      <c r="G395" s="13" t="s">
        <v>5005</v>
      </c>
      <c r="H395" s="11" t="s">
        <v>4728</v>
      </c>
      <c r="I395" s="13">
        <v>7593.0</v>
      </c>
      <c r="J395" t="str">
        <f t="array" ref="J395">INDEX('TJ List'!B:B,MATCH(I395,'TJ List'!N:N,0),0)</f>
        <v>#N/A</v>
      </c>
      <c r="K395" s="6"/>
      <c r="L395" s="13"/>
      <c r="M395" s="11"/>
      <c r="N395" s="86"/>
      <c r="O395" s="86"/>
      <c r="P395" s="88"/>
      <c r="T395" s="30"/>
      <c r="Z395" s="96"/>
    </row>
    <row r="396">
      <c r="B396" s="30"/>
      <c r="D396" s="30"/>
      <c r="G396" s="13" t="s">
        <v>5006</v>
      </c>
      <c r="H396" s="11" t="s">
        <v>4728</v>
      </c>
      <c r="I396" s="13">
        <v>13758.0</v>
      </c>
      <c r="J396" t="str">
        <f t="array" ref="J396">INDEX('TJ List'!B:B,MATCH(I396,'TJ List'!N:N,0),0)</f>
        <v>#N/A</v>
      </c>
      <c r="K396" s="6"/>
      <c r="L396" s="13"/>
      <c r="M396" s="11"/>
      <c r="N396" s="86"/>
      <c r="O396" s="86"/>
      <c r="P396" s="88"/>
      <c r="T396" s="30"/>
      <c r="Z396" s="96"/>
    </row>
    <row r="397">
      <c r="B397" s="30"/>
      <c r="D397" s="30"/>
      <c r="G397" s="13" t="s">
        <v>5007</v>
      </c>
      <c r="H397" s="11" t="s">
        <v>4728</v>
      </c>
      <c r="I397" s="13">
        <v>21537.0</v>
      </c>
      <c r="J397" t="str">
        <f t="array" ref="J397">INDEX('TJ List'!B:B,MATCH(I397,'TJ List'!N:N,0),0)</f>
        <v>#N/A</v>
      </c>
      <c r="K397" s="6"/>
      <c r="L397" s="13"/>
      <c r="M397" s="11"/>
      <c r="N397" s="86"/>
      <c r="O397" s="86"/>
      <c r="P397" s="88"/>
      <c r="T397" s="30"/>
      <c r="Z397" s="96"/>
    </row>
    <row r="398">
      <c r="B398" s="30"/>
      <c r="D398" s="30"/>
      <c r="G398" s="13" t="s">
        <v>4777</v>
      </c>
      <c r="H398" s="11" t="s">
        <v>4728</v>
      </c>
      <c r="I398" s="13">
        <v>22117.0</v>
      </c>
      <c r="J398" t="str">
        <f t="array" ref="J398">INDEX('TJ List'!B:B,MATCH(I398,'TJ List'!N:N,0),0)</f>
        <v>#N/A</v>
      </c>
      <c r="K398" s="6"/>
      <c r="L398" s="13"/>
      <c r="M398" s="11"/>
      <c r="N398" s="86"/>
      <c r="O398" s="86"/>
      <c r="P398" s="88"/>
      <c r="T398" s="30"/>
      <c r="Z398" s="96"/>
    </row>
    <row r="399">
      <c r="B399" s="30"/>
      <c r="D399" s="30"/>
      <c r="G399" s="13" t="s">
        <v>4752</v>
      </c>
      <c r="H399" s="11" t="s">
        <v>4728</v>
      </c>
      <c r="I399" s="13">
        <v>27630.0</v>
      </c>
      <c r="J399" t="str">
        <f t="array" ref="J399">INDEX('TJ List'!B:B,MATCH(I399,'TJ List'!N:N,0),0)</f>
        <v>#N/A</v>
      </c>
      <c r="K399" s="6"/>
      <c r="L399" s="13"/>
      <c r="M399" s="11"/>
      <c r="N399" s="86"/>
      <c r="O399" s="86"/>
      <c r="P399" s="88"/>
      <c r="T399" s="30"/>
      <c r="Z399" s="96"/>
    </row>
    <row r="400">
      <c r="B400" s="30"/>
      <c r="D400" s="30"/>
      <c r="G400" s="13" t="s">
        <v>4727</v>
      </c>
      <c r="H400" s="11" t="s">
        <v>4728</v>
      </c>
      <c r="I400" s="13">
        <v>19262.0</v>
      </c>
      <c r="J400" t="str">
        <f t="array" ref="J400">INDEX('TJ List'!B:B,MATCH(I400,'TJ List'!N:N,0),0)</f>
        <v>#N/A</v>
      </c>
      <c r="K400" s="6"/>
      <c r="L400" s="13"/>
      <c r="M400" s="11"/>
      <c r="N400" s="86"/>
      <c r="O400" s="86"/>
      <c r="P400" s="88"/>
      <c r="T400" s="30"/>
      <c r="Z400" s="96"/>
    </row>
    <row r="401">
      <c r="B401" s="30"/>
      <c r="D401" s="30"/>
      <c r="G401" s="13" t="s">
        <v>5008</v>
      </c>
      <c r="H401" s="11" t="s">
        <v>4728</v>
      </c>
      <c r="I401" s="13">
        <v>13761.0</v>
      </c>
      <c r="J401" t="str">
        <f t="array" ref="J401">INDEX('TJ List'!B:B,MATCH(I401,'TJ List'!N:N,0),0)</f>
        <v>#N/A</v>
      </c>
      <c r="K401" s="6"/>
      <c r="L401" s="13"/>
      <c r="M401" s="11"/>
      <c r="N401" s="86"/>
      <c r="O401" s="86"/>
      <c r="P401" s="88"/>
      <c r="T401" s="30"/>
      <c r="Z401" s="96"/>
    </row>
    <row r="402">
      <c r="B402" s="30"/>
      <c r="D402" s="30"/>
      <c r="G402" s="13" t="s">
        <v>4628</v>
      </c>
      <c r="H402" s="11" t="s">
        <v>4728</v>
      </c>
      <c r="I402" s="13">
        <v>18337.0</v>
      </c>
      <c r="J402" t="str">
        <f t="array" ref="J402">INDEX('TJ List'!B:B,MATCH(I402,'TJ List'!N:N,0),0)</f>
        <v>#N/A</v>
      </c>
      <c r="K402" s="6"/>
      <c r="L402" s="13"/>
      <c r="M402" s="11"/>
      <c r="N402" s="86"/>
      <c r="O402" s="86"/>
      <c r="P402" s="88"/>
      <c r="T402" s="30"/>
      <c r="Z402" s="96"/>
    </row>
    <row r="403">
      <c r="B403" s="30"/>
      <c r="D403" s="30"/>
      <c r="G403" s="13" t="s">
        <v>3198</v>
      </c>
      <c r="H403" s="11" t="s">
        <v>346</v>
      </c>
      <c r="I403" s="13">
        <v>7836.0</v>
      </c>
      <c r="J403" s="87">
        <f t="array" ref="J403">INDEX('TJ List'!B:B,MATCH(I403,'TJ List'!N:N,0),0)</f>
        <v>41419</v>
      </c>
      <c r="K403" s="6"/>
      <c r="L403" s="13"/>
      <c r="M403" s="11"/>
      <c r="N403" s="86"/>
      <c r="O403" s="86"/>
      <c r="P403" s="88"/>
      <c r="T403" s="30"/>
      <c r="Z403" s="96"/>
    </row>
    <row r="404">
      <c r="B404" s="30"/>
      <c r="D404" s="30"/>
      <c r="G404" s="13" t="s">
        <v>3012</v>
      </c>
      <c r="H404" s="11" t="s">
        <v>346</v>
      </c>
      <c r="I404" s="13">
        <v>1890.0</v>
      </c>
      <c r="J404" s="87">
        <f t="array" ref="J404">INDEX('TJ List'!B:B,MATCH(I404,'TJ List'!N:N,0),0)</f>
        <v>41751</v>
      </c>
      <c r="K404" s="6"/>
      <c r="L404" s="13"/>
      <c r="M404" s="11"/>
      <c r="N404" s="86"/>
      <c r="O404" s="86"/>
      <c r="P404" s="88"/>
      <c r="T404" s="30"/>
      <c r="Z404" s="96"/>
    </row>
    <row r="405">
      <c r="B405" s="30"/>
      <c r="D405" s="30"/>
      <c r="G405" s="13" t="s">
        <v>5009</v>
      </c>
      <c r="H405" s="11" t="s">
        <v>346</v>
      </c>
      <c r="I405" s="13">
        <v>6399.0</v>
      </c>
      <c r="J405" s="87">
        <f t="array" ref="J405">INDEX('TJ List'!B:B,MATCH(I405,'TJ List'!N:N,0),0)</f>
        <v>41787</v>
      </c>
      <c r="K405" s="6"/>
      <c r="L405" s="13"/>
      <c r="M405" s="11"/>
      <c r="N405" s="86"/>
      <c r="O405" s="86"/>
      <c r="P405" s="88"/>
      <c r="T405" s="30"/>
      <c r="Z405" s="96"/>
    </row>
    <row r="406">
      <c r="B406" s="30"/>
      <c r="D406" s="30"/>
      <c r="G406" s="13" t="s">
        <v>2455</v>
      </c>
      <c r="H406" s="11" t="s">
        <v>346</v>
      </c>
      <c r="I406" s="13">
        <v>22187.0</v>
      </c>
      <c r="J406" s="87">
        <f t="array" ref="J406">INDEX('TJ List'!B:B,MATCH(I406,'TJ List'!N:N,0),0)</f>
        <v>42430</v>
      </c>
      <c r="K406" s="6"/>
      <c r="L406" s="13"/>
      <c r="M406" s="11"/>
      <c r="N406" s="86"/>
      <c r="O406" s="86"/>
      <c r="P406" s="88"/>
      <c r="T406" s="30"/>
      <c r="Z406" s="96"/>
    </row>
    <row r="407">
      <c r="B407" s="30"/>
      <c r="D407" s="30"/>
      <c r="G407" s="13" t="s">
        <v>2402</v>
      </c>
      <c r="H407" s="11" t="s">
        <v>346</v>
      </c>
      <c r="I407" s="13">
        <v>19979.0</v>
      </c>
      <c r="J407" s="87">
        <f t="array" ref="J407">INDEX('TJ List'!B:B,MATCH(I407,'TJ List'!N:N,0),0)</f>
        <v>42489</v>
      </c>
      <c r="K407" s="6"/>
      <c r="L407" s="13"/>
      <c r="M407" s="11"/>
      <c r="N407" s="86"/>
      <c r="O407" s="86"/>
      <c r="P407" s="88"/>
      <c r="T407" s="30"/>
      <c r="Z407" s="96"/>
    </row>
    <row r="408">
      <c r="B408" s="30"/>
      <c r="D408" s="30"/>
      <c r="G408" s="13" t="s">
        <v>1759</v>
      </c>
      <c r="H408" s="11" t="s">
        <v>346</v>
      </c>
      <c r="I408" s="13">
        <v>6893.0</v>
      </c>
      <c r="J408" s="87">
        <f t="array" ref="J408">INDEX('TJ List'!B:B,MATCH(I408,'TJ List'!N:N,0),0)</f>
        <v>43314</v>
      </c>
      <c r="K408" s="6"/>
      <c r="L408" s="13"/>
      <c r="M408" s="11"/>
      <c r="N408" s="86"/>
      <c r="O408" s="86"/>
      <c r="P408" s="88"/>
      <c r="T408" s="30"/>
      <c r="Z408" s="96"/>
    </row>
    <row r="409">
      <c r="B409" s="30"/>
      <c r="D409" s="30"/>
      <c r="G409" s="13" t="s">
        <v>1623</v>
      </c>
      <c r="H409" s="11" t="s">
        <v>346</v>
      </c>
      <c r="I409" s="13">
        <v>27582.0</v>
      </c>
      <c r="J409" s="87">
        <f t="array" ref="J409">INDEX('TJ List'!B:B,MATCH(I409,'TJ List'!N:N,0),0)</f>
        <v>43556</v>
      </c>
      <c r="K409" s="6"/>
      <c r="L409" s="13"/>
      <c r="M409" s="11"/>
      <c r="N409" s="86"/>
      <c r="O409" s="86"/>
      <c r="P409" s="88"/>
      <c r="T409" s="30"/>
      <c r="Z409" s="96"/>
    </row>
    <row r="410">
      <c r="B410" s="30"/>
      <c r="D410" s="30"/>
      <c r="G410" s="13" t="s">
        <v>1484</v>
      </c>
      <c r="H410" s="11" t="s">
        <v>346</v>
      </c>
      <c r="I410" s="13">
        <v>5297.0</v>
      </c>
      <c r="J410" s="87">
        <f t="array" ref="J410">INDEX('TJ List'!B:B,MATCH(I410,'TJ List'!N:N,0),0)</f>
        <v>43768</v>
      </c>
      <c r="K410" s="6"/>
      <c r="L410" s="13"/>
      <c r="M410" s="11"/>
      <c r="N410" s="86"/>
      <c r="O410" s="86"/>
      <c r="P410" s="88"/>
      <c r="T410" s="30"/>
      <c r="Z410" s="96"/>
    </row>
    <row r="411">
      <c r="B411" s="30"/>
      <c r="D411" s="30"/>
      <c r="G411" s="13" t="s">
        <v>1339</v>
      </c>
      <c r="H411" s="11" t="s">
        <v>346</v>
      </c>
      <c r="I411" s="13">
        <v>31461.0</v>
      </c>
      <c r="J411" s="87">
        <f t="array" ref="J411">INDEX('TJ List'!B:B,MATCH(I411,'TJ List'!N:N,0),0)</f>
        <v>44105</v>
      </c>
      <c r="K411" s="6"/>
      <c r="L411" s="13"/>
      <c r="M411" s="11"/>
      <c r="N411" s="86"/>
      <c r="O411" s="86"/>
      <c r="P411" s="88"/>
      <c r="T411" s="30"/>
      <c r="Z411" s="96"/>
    </row>
    <row r="412">
      <c r="B412" s="30"/>
      <c r="D412" s="30"/>
      <c r="G412" s="13" t="s">
        <v>5010</v>
      </c>
      <c r="H412" s="11" t="s">
        <v>346</v>
      </c>
      <c r="I412" s="13">
        <v>22100.0</v>
      </c>
      <c r="J412" s="87">
        <f t="array" ref="J412">INDEX('TJ List'!B:B,MATCH(I412,'TJ List'!N:N,0),0)</f>
        <v>44362</v>
      </c>
      <c r="K412" s="6"/>
      <c r="L412" s="13"/>
      <c r="M412" s="11"/>
      <c r="N412" s="86"/>
      <c r="O412" s="86"/>
      <c r="P412" s="88"/>
      <c r="T412" s="30"/>
      <c r="Z412" s="96"/>
    </row>
    <row r="413">
      <c r="B413" s="30"/>
      <c r="D413" s="30"/>
      <c r="G413" s="13" t="s">
        <v>5011</v>
      </c>
      <c r="H413" s="11" t="s">
        <v>346</v>
      </c>
      <c r="I413" s="13">
        <v>19200.0</v>
      </c>
      <c r="J413" s="87">
        <f t="array" ref="J413">INDEX('TJ List'!B:B,MATCH(I413,'TJ List'!N:N,0),0)</f>
        <v>45063</v>
      </c>
      <c r="K413" s="6"/>
      <c r="L413" s="13"/>
      <c r="M413" s="11"/>
      <c r="N413" s="86"/>
      <c r="O413" s="86"/>
      <c r="P413" s="88"/>
      <c r="T413" s="30"/>
      <c r="Z413" s="96"/>
    </row>
    <row r="414">
      <c r="B414" s="30"/>
      <c r="D414" s="30"/>
      <c r="G414" s="13" t="s">
        <v>345</v>
      </c>
      <c r="H414" s="11" t="s">
        <v>346</v>
      </c>
      <c r="I414" s="13">
        <v>27585.0</v>
      </c>
      <c r="J414" s="87">
        <f t="array" ref="J414">INDEX('TJ List'!B:B,MATCH(I414,'TJ List'!N:N,0),0)</f>
        <v>45429</v>
      </c>
      <c r="K414" s="6"/>
      <c r="L414" s="13"/>
      <c r="M414" s="11"/>
      <c r="N414" s="86"/>
      <c r="O414" s="86"/>
      <c r="P414" s="88"/>
      <c r="T414" s="30"/>
      <c r="Z414" s="96"/>
    </row>
    <row r="415">
      <c r="B415" s="30"/>
      <c r="D415" s="30"/>
      <c r="G415" s="13" t="s">
        <v>5012</v>
      </c>
      <c r="H415" s="11" t="s">
        <v>346</v>
      </c>
      <c r="I415" s="13">
        <v>12880.0</v>
      </c>
      <c r="J415" t="str">
        <f t="array" ref="J415">INDEX('TJ List'!B:B,MATCH(I415,'TJ List'!N:N,0),0)</f>
        <v>#N/A</v>
      </c>
      <c r="K415" s="6"/>
      <c r="L415" s="13"/>
      <c r="M415" s="11"/>
      <c r="N415" s="86"/>
      <c r="O415" s="86"/>
      <c r="P415" s="88"/>
      <c r="T415" s="30"/>
      <c r="Z415" s="96"/>
    </row>
    <row r="416">
      <c r="B416" s="30"/>
      <c r="D416" s="30"/>
      <c r="G416" s="13" t="s">
        <v>4615</v>
      </c>
      <c r="H416" s="11" t="s">
        <v>346</v>
      </c>
      <c r="I416" s="13">
        <v>19447.0</v>
      </c>
      <c r="J416" t="str">
        <f t="array" ref="J416">INDEX('TJ List'!B:B,MATCH(I416,'TJ List'!N:N,0),0)</f>
        <v>#N/A</v>
      </c>
      <c r="K416" s="6"/>
      <c r="L416" s="13"/>
      <c r="M416" s="11"/>
      <c r="N416" s="86"/>
      <c r="O416" s="86"/>
      <c r="P416" s="88"/>
      <c r="T416" s="30"/>
      <c r="Z416" s="96"/>
    </row>
    <row r="417">
      <c r="B417" s="30"/>
      <c r="D417" s="30"/>
      <c r="G417" s="13" t="s">
        <v>5013</v>
      </c>
      <c r="H417" s="11" t="s">
        <v>346</v>
      </c>
      <c r="I417" s="13">
        <v>27468.0</v>
      </c>
      <c r="J417" t="str">
        <f t="array" ref="J417">INDEX('TJ List'!B:B,MATCH(I417,'TJ List'!N:N,0),0)</f>
        <v>#N/A</v>
      </c>
      <c r="K417" s="6"/>
      <c r="L417" s="13"/>
      <c r="M417" s="11"/>
      <c r="N417" s="86"/>
      <c r="O417" s="86"/>
      <c r="P417" s="88"/>
      <c r="T417" s="30"/>
      <c r="Z417" s="96"/>
    </row>
    <row r="418">
      <c r="B418" s="30"/>
      <c r="D418" s="30"/>
      <c r="G418" s="13" t="s">
        <v>5014</v>
      </c>
      <c r="H418" s="11" t="s">
        <v>346</v>
      </c>
      <c r="I418" s="13">
        <v>27688.0</v>
      </c>
      <c r="J418" t="str">
        <f t="array" ref="J418">INDEX('TJ List'!B:B,MATCH(I418,'TJ List'!N:N,0),0)</f>
        <v>#N/A</v>
      </c>
      <c r="K418" s="6"/>
      <c r="L418" s="13"/>
      <c r="M418" s="11"/>
      <c r="N418" s="86"/>
      <c r="O418" s="86"/>
      <c r="P418" s="88"/>
      <c r="T418" s="30"/>
      <c r="Z418" s="96"/>
    </row>
    <row r="419">
      <c r="B419" s="30"/>
      <c r="D419" s="30"/>
      <c r="G419" s="13" t="s">
        <v>5015</v>
      </c>
      <c r="H419" s="11" t="s">
        <v>346</v>
      </c>
      <c r="I419" s="13">
        <v>25420.0</v>
      </c>
      <c r="J419" t="str">
        <f t="array" ref="J419">INDEX('TJ List'!B:B,MATCH(I419,'TJ List'!N:N,0),0)</f>
        <v>#N/A</v>
      </c>
      <c r="K419" s="6"/>
      <c r="L419" s="13"/>
      <c r="M419" s="11"/>
      <c r="N419" s="86"/>
      <c r="O419" s="86"/>
      <c r="P419" s="88"/>
      <c r="T419" s="30"/>
      <c r="Z419" s="96"/>
    </row>
    <row r="420">
      <c r="B420" s="30"/>
      <c r="D420" s="30"/>
      <c r="G420" s="13" t="s">
        <v>5016</v>
      </c>
      <c r="H420" s="11" t="s">
        <v>346</v>
      </c>
      <c r="I420" s="13">
        <v>18311.0</v>
      </c>
      <c r="J420" t="str">
        <f t="array" ref="J420">INDEX('TJ List'!B:B,MATCH(I420,'TJ List'!N:N,0),0)</f>
        <v>#N/A</v>
      </c>
      <c r="K420" s="6"/>
      <c r="L420" s="13"/>
      <c r="M420" s="11"/>
      <c r="N420" s="86"/>
      <c r="O420" s="86"/>
      <c r="P420" s="88"/>
      <c r="T420" s="30"/>
      <c r="Z420" s="96"/>
    </row>
    <row r="421">
      <c r="B421" s="30"/>
      <c r="D421" s="30"/>
      <c r="G421" s="13" t="s">
        <v>5017</v>
      </c>
      <c r="H421" s="11" t="s">
        <v>346</v>
      </c>
      <c r="I421" s="13">
        <v>22192.0</v>
      </c>
      <c r="J421" t="str">
        <f t="array" ref="J421">INDEX('TJ List'!B:B,MATCH(I421,'TJ List'!N:N,0),0)</f>
        <v>#N/A</v>
      </c>
      <c r="K421" s="6"/>
      <c r="L421" s="13"/>
      <c r="M421" s="11"/>
      <c r="N421" s="86"/>
      <c r="O421" s="86"/>
      <c r="P421" s="88"/>
      <c r="T421" s="30"/>
      <c r="Z421" s="96"/>
    </row>
    <row r="422">
      <c r="B422" s="30"/>
      <c r="D422" s="30"/>
      <c r="G422" s="13" t="s">
        <v>4576</v>
      </c>
      <c r="H422" s="11" t="s">
        <v>346</v>
      </c>
      <c r="I422" s="13">
        <v>19867.0</v>
      </c>
      <c r="J422" t="str">
        <f t="array" ref="J422">INDEX('TJ List'!B:B,MATCH(I422,'TJ List'!N:N,0),0)</f>
        <v>#N/A</v>
      </c>
      <c r="K422" s="6"/>
      <c r="L422" s="13"/>
      <c r="M422" s="11"/>
      <c r="N422" s="86"/>
      <c r="O422" s="86"/>
      <c r="P422" s="88"/>
      <c r="T422" s="30"/>
      <c r="Z422" s="96"/>
    </row>
    <row r="423">
      <c r="B423" s="30"/>
      <c r="D423" s="30"/>
      <c r="G423" s="13" t="s">
        <v>5018</v>
      </c>
      <c r="H423" s="11" t="s">
        <v>346</v>
      </c>
      <c r="I423" s="13">
        <v>19911.0</v>
      </c>
      <c r="J423" t="str">
        <f t="array" ref="J423">INDEX('TJ List'!B:B,MATCH(I423,'TJ List'!N:N,0),0)</f>
        <v>#N/A</v>
      </c>
      <c r="K423" s="6"/>
      <c r="L423" s="13"/>
      <c r="M423" s="11"/>
      <c r="N423" s="86"/>
      <c r="O423" s="86"/>
      <c r="P423" s="88"/>
      <c r="T423" s="30"/>
      <c r="Z423" s="96"/>
    </row>
    <row r="424">
      <c r="B424" s="30"/>
      <c r="D424" s="30"/>
      <c r="G424" s="13" t="s">
        <v>5019</v>
      </c>
      <c r="H424" s="11" t="s">
        <v>346</v>
      </c>
      <c r="I424" s="13">
        <v>21761.0</v>
      </c>
      <c r="J424" t="str">
        <f t="array" ref="J424">INDEX('TJ List'!B:B,MATCH(I424,'TJ List'!N:N,0),0)</f>
        <v>#N/A</v>
      </c>
      <c r="K424" s="6"/>
      <c r="L424" s="13"/>
      <c r="M424" s="11"/>
      <c r="N424" s="86"/>
      <c r="O424" s="86"/>
      <c r="P424" s="88"/>
      <c r="T424" s="30"/>
      <c r="Z424" s="96"/>
    </row>
    <row r="425">
      <c r="B425" s="30"/>
      <c r="D425" s="30"/>
      <c r="G425" s="13" t="s">
        <v>5020</v>
      </c>
      <c r="H425" s="11" t="s">
        <v>346</v>
      </c>
      <c r="I425" s="13">
        <v>14375.0</v>
      </c>
      <c r="J425" t="str">
        <f t="array" ref="J425">INDEX('TJ List'!B:B,MATCH(I425,'TJ List'!N:N,0),0)</f>
        <v>#N/A</v>
      </c>
      <c r="K425" s="6"/>
      <c r="L425" s="13"/>
      <c r="M425" s="11"/>
      <c r="N425" s="86"/>
      <c r="O425" s="86"/>
      <c r="P425" s="88"/>
      <c r="T425" s="30"/>
      <c r="Z425" s="96"/>
    </row>
    <row r="426">
      <c r="B426" s="30"/>
      <c r="D426" s="30"/>
      <c r="G426" s="13" t="s">
        <v>4803</v>
      </c>
      <c r="H426" s="11" t="s">
        <v>346</v>
      </c>
      <c r="I426" s="13">
        <v>25353.0</v>
      </c>
      <c r="J426" t="str">
        <f t="array" ref="J426">INDEX('TJ List'!B:B,MATCH(I426,'TJ List'!N:N,0),0)</f>
        <v>#N/A</v>
      </c>
      <c r="K426" s="6"/>
      <c r="L426" s="13"/>
      <c r="M426" s="11"/>
      <c r="N426" s="86"/>
      <c r="O426" s="86"/>
      <c r="P426" s="88"/>
      <c r="T426" s="30"/>
      <c r="Z426" s="96"/>
    </row>
    <row r="427">
      <c r="B427" s="30"/>
      <c r="D427" s="30"/>
      <c r="G427" s="13" t="s">
        <v>4816</v>
      </c>
      <c r="H427" s="11" t="s">
        <v>346</v>
      </c>
      <c r="I427" s="13">
        <v>17326.0</v>
      </c>
      <c r="J427" t="str">
        <f t="array" ref="J427">INDEX('TJ List'!B:B,MATCH(I427,'TJ List'!N:N,0),0)</f>
        <v>#N/A</v>
      </c>
      <c r="K427" s="6"/>
      <c r="L427" s="13"/>
      <c r="M427" s="11"/>
      <c r="N427" s="86"/>
      <c r="O427" s="86"/>
      <c r="P427" s="88"/>
      <c r="T427" s="30"/>
      <c r="Z427" s="96"/>
    </row>
    <row r="428">
      <c r="B428" s="30"/>
      <c r="D428" s="30"/>
      <c r="G428" s="13" t="s">
        <v>5021</v>
      </c>
      <c r="H428" s="11" t="s">
        <v>346</v>
      </c>
      <c r="I428" s="13">
        <v>15288.0</v>
      </c>
      <c r="J428" t="str">
        <f t="array" ref="J428">INDEX('TJ List'!B:B,MATCH(I428,'TJ List'!N:N,0),0)</f>
        <v>#N/A</v>
      </c>
      <c r="K428" s="6"/>
      <c r="L428" s="13"/>
      <c r="M428" s="11"/>
      <c r="N428" s="86"/>
      <c r="O428" s="86"/>
      <c r="P428" s="88"/>
      <c r="T428" s="30"/>
      <c r="Z428" s="96"/>
    </row>
    <row r="429">
      <c r="B429" s="30"/>
      <c r="D429" s="30"/>
      <c r="G429" s="13" t="s">
        <v>5022</v>
      </c>
      <c r="H429" s="11" t="s">
        <v>346</v>
      </c>
      <c r="I429" s="13">
        <v>24933.0</v>
      </c>
      <c r="J429" t="str">
        <f t="array" ref="J429">INDEX('TJ List'!B:B,MATCH(I429,'TJ List'!N:N,0),0)</f>
        <v>#N/A</v>
      </c>
      <c r="K429" s="6"/>
      <c r="L429" s="13"/>
      <c r="M429" s="11"/>
      <c r="N429" s="86"/>
      <c r="O429" s="86"/>
      <c r="P429" s="88"/>
      <c r="T429" s="30"/>
      <c r="Z429" s="96"/>
    </row>
    <row r="430">
      <c r="B430" s="30"/>
      <c r="D430" s="30"/>
      <c r="G430" s="13" t="s">
        <v>5023</v>
      </c>
      <c r="H430" s="11" t="s">
        <v>346</v>
      </c>
      <c r="I430" s="13">
        <v>26443.0</v>
      </c>
      <c r="J430" t="str">
        <f t="array" ref="J430">INDEX('TJ List'!B:B,MATCH(I430,'TJ List'!N:N,0),0)</f>
        <v>#N/A</v>
      </c>
      <c r="K430" s="6"/>
      <c r="L430" s="13"/>
      <c r="M430" s="11"/>
      <c r="N430" s="86"/>
      <c r="O430" s="86"/>
      <c r="P430" s="88"/>
      <c r="T430" s="30"/>
      <c r="Z430" s="96"/>
    </row>
    <row r="431">
      <c r="B431" s="30"/>
      <c r="D431" s="30"/>
      <c r="G431" s="13" t="s">
        <v>5024</v>
      </c>
      <c r="H431" s="11" t="s">
        <v>346</v>
      </c>
      <c r="I431" s="13">
        <v>30074.0</v>
      </c>
      <c r="J431" t="str">
        <f t="array" ref="J431">INDEX('TJ List'!B:B,MATCH(I431,'TJ List'!N:N,0),0)</f>
        <v>#N/A</v>
      </c>
      <c r="K431" s="6"/>
      <c r="L431" s="13"/>
      <c r="M431" s="11"/>
      <c r="N431" s="86"/>
      <c r="O431" s="86"/>
      <c r="P431" s="88"/>
      <c r="T431" s="30"/>
      <c r="Z431" s="96"/>
    </row>
    <row r="432">
      <c r="B432" s="30"/>
      <c r="D432" s="30"/>
      <c r="G432" s="13" t="s">
        <v>5025</v>
      </c>
      <c r="H432" s="11" t="s">
        <v>346</v>
      </c>
      <c r="I432" s="13">
        <v>31533.0</v>
      </c>
      <c r="J432" t="str">
        <f t="array" ref="J432">INDEX('TJ List'!B:B,MATCH(I432,'TJ List'!N:N,0),0)</f>
        <v>#N/A</v>
      </c>
      <c r="K432" s="6"/>
      <c r="L432" s="13"/>
      <c r="M432" s="11"/>
      <c r="N432" s="86"/>
      <c r="O432" s="86"/>
      <c r="P432" s="88"/>
      <c r="T432" s="30"/>
      <c r="Z432" s="96"/>
    </row>
    <row r="433">
      <c r="B433" s="30"/>
      <c r="D433" s="30"/>
      <c r="G433" s="13" t="s">
        <v>5026</v>
      </c>
      <c r="H433" s="11" t="s">
        <v>346</v>
      </c>
      <c r="I433" s="13">
        <v>20009.0</v>
      </c>
      <c r="J433" t="str">
        <f t="array" ref="J433">INDEX('TJ List'!B:B,MATCH(I433,'TJ List'!N:N,0),0)</f>
        <v>#N/A</v>
      </c>
      <c r="K433" s="6"/>
      <c r="L433" s="13"/>
      <c r="M433" s="11"/>
      <c r="N433" s="86"/>
      <c r="O433" s="86"/>
      <c r="P433" s="88"/>
      <c r="T433" s="30"/>
      <c r="Z433" s="96"/>
    </row>
    <row r="434">
      <c r="B434" s="30"/>
      <c r="D434" s="30"/>
      <c r="G434" s="13" t="s">
        <v>5027</v>
      </c>
      <c r="H434" s="11" t="s">
        <v>346</v>
      </c>
      <c r="I434" s="13">
        <v>31508.0</v>
      </c>
      <c r="J434" t="str">
        <f t="array" ref="J434">INDEX('TJ List'!B:B,MATCH(I434,'TJ List'!N:N,0),0)</f>
        <v>#N/A</v>
      </c>
      <c r="K434" s="6"/>
      <c r="L434" s="13"/>
      <c r="M434" s="11"/>
      <c r="N434" s="86"/>
      <c r="O434" s="86"/>
      <c r="P434" s="88"/>
      <c r="T434" s="30"/>
      <c r="Z434" s="96"/>
    </row>
    <row r="435">
      <c r="B435" s="30"/>
      <c r="D435" s="30"/>
      <c r="G435" s="13" t="s">
        <v>5028</v>
      </c>
      <c r="H435" s="11" t="s">
        <v>346</v>
      </c>
      <c r="I435" s="13">
        <v>19588.0</v>
      </c>
      <c r="J435" t="str">
        <f t="array" ref="J435">INDEX('TJ List'!B:B,MATCH(I435,'TJ List'!N:N,0),0)</f>
        <v>#N/A</v>
      </c>
      <c r="K435" s="6"/>
      <c r="L435" s="13"/>
      <c r="M435" s="11"/>
      <c r="N435" s="86"/>
      <c r="O435" s="86"/>
      <c r="P435" s="88"/>
      <c r="T435" s="30"/>
      <c r="Z435" s="96"/>
    </row>
    <row r="436">
      <c r="B436" s="30"/>
      <c r="D436" s="30"/>
      <c r="G436" s="13" t="s">
        <v>4797</v>
      </c>
      <c r="H436" s="11" t="s">
        <v>346</v>
      </c>
      <c r="I436" s="13">
        <v>12164.0</v>
      </c>
      <c r="K436" s="6"/>
      <c r="L436" s="13"/>
      <c r="M436" s="11"/>
      <c r="N436" s="86"/>
      <c r="O436" s="86"/>
      <c r="P436" s="88"/>
      <c r="T436" s="30"/>
      <c r="Z436" s="96"/>
    </row>
    <row r="437">
      <c r="B437" s="30"/>
      <c r="D437" s="30"/>
      <c r="G437" s="13" t="s">
        <v>3187</v>
      </c>
      <c r="H437" s="11" t="s">
        <v>126</v>
      </c>
      <c r="I437" s="13">
        <v>7146.0</v>
      </c>
      <c r="J437" s="87">
        <f t="array" ref="J437">INDEX('TJ List'!B:B,MATCH(I437,'TJ List'!N:N,0),0)</f>
        <v>41443</v>
      </c>
      <c r="K437" s="6"/>
      <c r="L437" s="13"/>
      <c r="M437" s="11"/>
      <c r="N437" s="86"/>
      <c r="O437" s="86"/>
      <c r="P437" s="88"/>
      <c r="T437" s="30"/>
      <c r="Z437" s="96"/>
    </row>
    <row r="438">
      <c r="B438" s="30"/>
      <c r="D438" s="30"/>
      <c r="G438" s="13" t="s">
        <v>2955</v>
      </c>
      <c r="H438" s="11" t="s">
        <v>126</v>
      </c>
      <c r="I438" s="13">
        <v>5615.0</v>
      </c>
      <c r="J438" s="87">
        <f t="array" ref="J438">INDEX('TJ List'!B:B,MATCH(I438,'TJ List'!N:N,0),0)</f>
        <v>41800</v>
      </c>
      <c r="K438" s="6"/>
      <c r="L438" s="13"/>
      <c r="M438" s="11"/>
      <c r="N438" s="86"/>
      <c r="O438" s="86"/>
      <c r="P438" s="88"/>
      <c r="T438" s="30"/>
      <c r="Z438" s="96"/>
    </row>
    <row r="439">
      <c r="B439" s="30"/>
      <c r="D439" s="30"/>
      <c r="G439" s="13" t="s">
        <v>2615</v>
      </c>
      <c r="H439" s="11" t="s">
        <v>126</v>
      </c>
      <c r="I439" s="13">
        <v>20367.0</v>
      </c>
      <c r="J439" s="87">
        <f t="array" ref="J439">INDEX('TJ List'!B:B,MATCH(I439,'TJ List'!N:N,0),0)</f>
        <v>42217</v>
      </c>
      <c r="K439" s="6"/>
      <c r="L439" s="13"/>
      <c r="M439" s="11"/>
      <c r="N439" s="86"/>
      <c r="O439" s="86"/>
      <c r="P439" s="88"/>
      <c r="T439" s="30"/>
      <c r="Z439" s="96"/>
    </row>
    <row r="440">
      <c r="B440" s="30"/>
      <c r="D440" s="30"/>
      <c r="G440" s="13" t="s">
        <v>2109</v>
      </c>
      <c r="H440" s="11" t="s">
        <v>126</v>
      </c>
      <c r="I440" s="13">
        <v>23221.0</v>
      </c>
      <c r="J440" s="89">
        <f t="array" ref="J440">INDEX('TJ List'!B:B,MATCH(I440,'TJ List'!N:N,0),0)</f>
        <v>42856</v>
      </c>
      <c r="K440" s="6"/>
      <c r="L440" s="13"/>
      <c r="M440" s="11"/>
      <c r="N440" s="86"/>
      <c r="O440" s="86"/>
      <c r="P440" s="88"/>
      <c r="T440" s="30"/>
      <c r="Z440" s="96"/>
    </row>
    <row r="441">
      <c r="B441" s="30"/>
      <c r="D441" s="30"/>
      <c r="G441" s="13" t="s">
        <v>1911</v>
      </c>
      <c r="H441" s="11" t="s">
        <v>126</v>
      </c>
      <c r="I441" s="13">
        <v>16466.0</v>
      </c>
      <c r="J441" s="87">
        <f t="array" ref="J441">INDEX('TJ List'!B:B,MATCH(I441,'TJ List'!N:N,0),0)</f>
        <v>43158</v>
      </c>
      <c r="K441" s="6"/>
      <c r="L441" s="13"/>
      <c r="M441" s="11"/>
      <c r="N441" s="86"/>
      <c r="O441" s="86"/>
      <c r="P441" s="88"/>
      <c r="T441" s="30"/>
      <c r="Z441" s="96"/>
    </row>
    <row r="442">
      <c r="B442" s="30"/>
      <c r="D442" s="30"/>
      <c r="G442" s="13" t="s">
        <v>1852</v>
      </c>
      <c r="H442" s="11" t="s">
        <v>126</v>
      </c>
      <c r="I442" s="13">
        <v>17186.0</v>
      </c>
      <c r="J442" s="87">
        <f t="array" ref="J442">INDEX('TJ List'!B:B,MATCH(I442,'TJ List'!N:N,0),0)</f>
        <v>43210</v>
      </c>
      <c r="K442" s="6"/>
      <c r="L442" s="13"/>
      <c r="M442" s="11"/>
      <c r="N442" s="86"/>
      <c r="O442" s="86"/>
      <c r="P442" s="88"/>
      <c r="T442" s="30"/>
      <c r="Z442" s="96"/>
    </row>
    <row r="443">
      <c r="B443" s="30"/>
      <c r="D443" s="30"/>
      <c r="G443" s="13" t="s">
        <v>1799</v>
      </c>
      <c r="H443" s="11" t="s">
        <v>126</v>
      </c>
      <c r="I443" s="13">
        <v>14706.0</v>
      </c>
      <c r="J443" s="87">
        <f t="array" ref="J443">INDEX('TJ List'!B:B,MATCH(I443,'TJ List'!N:N,0),0)</f>
        <v>43265</v>
      </c>
      <c r="K443" s="6"/>
      <c r="L443" s="13"/>
      <c r="M443" s="11"/>
      <c r="N443" s="86"/>
      <c r="O443" s="86"/>
      <c r="P443" s="88"/>
      <c r="T443" s="30"/>
      <c r="Z443" s="96"/>
    </row>
    <row r="444">
      <c r="B444" s="30"/>
      <c r="D444" s="30"/>
      <c r="G444" s="13" t="s">
        <v>1738</v>
      </c>
      <c r="H444" s="11" t="s">
        <v>126</v>
      </c>
      <c r="I444" s="13">
        <v>17282.0</v>
      </c>
      <c r="J444" s="87">
        <f t="array" ref="J444">INDEX('TJ List'!B:B,MATCH(I444,'TJ List'!N:N,0),0)</f>
        <v>43361</v>
      </c>
      <c r="K444" s="6"/>
      <c r="L444" s="13"/>
      <c r="M444" s="11"/>
      <c r="N444" s="86"/>
      <c r="O444" s="86"/>
      <c r="P444" s="88"/>
      <c r="T444" s="30"/>
      <c r="Z444" s="96"/>
    </row>
    <row r="445">
      <c r="B445" s="30"/>
      <c r="D445" s="30"/>
      <c r="G445" s="13" t="s">
        <v>1518</v>
      </c>
      <c r="H445" s="11" t="s">
        <v>126</v>
      </c>
      <c r="I445" s="13">
        <v>24737.0</v>
      </c>
      <c r="J445" s="87">
        <f t="array" ref="J445">INDEX('TJ List'!B:B,MATCH(I445,'TJ List'!N:N,0),0)</f>
        <v>43678</v>
      </c>
      <c r="K445" s="6"/>
      <c r="L445" s="13"/>
      <c r="M445" s="11"/>
      <c r="N445" s="86"/>
      <c r="O445" s="86"/>
      <c r="P445" s="88"/>
      <c r="T445" s="30"/>
      <c r="Z445" s="96"/>
    </row>
    <row r="446">
      <c r="B446" s="30"/>
      <c r="D446" s="30"/>
      <c r="G446" s="13" t="s">
        <v>1351</v>
      </c>
      <c r="H446" s="11" t="s">
        <v>126</v>
      </c>
      <c r="I446" s="13">
        <v>23391.0</v>
      </c>
      <c r="J446" s="87">
        <f t="array" ref="J446">INDEX('TJ List'!B:B,MATCH(I446,'TJ List'!N:N,0),0)</f>
        <v>44095</v>
      </c>
      <c r="K446" s="6"/>
      <c r="L446" s="13"/>
      <c r="M446" s="11"/>
      <c r="N446" s="86"/>
      <c r="O446" s="86"/>
      <c r="P446" s="88"/>
      <c r="T446" s="30"/>
      <c r="Z446" s="96"/>
    </row>
    <row r="447">
      <c r="B447" s="30"/>
      <c r="D447" s="30"/>
      <c r="G447" s="13" t="s">
        <v>1170</v>
      </c>
      <c r="H447" s="11" t="s">
        <v>126</v>
      </c>
      <c r="I447" s="13">
        <v>11828.0</v>
      </c>
      <c r="J447" s="87">
        <f t="array" ref="J447">INDEX('TJ List'!B:B,MATCH(I447,'TJ List'!N:N,0),0)</f>
        <v>44300</v>
      </c>
      <c r="K447" s="6"/>
      <c r="L447" s="13"/>
      <c r="M447" s="11"/>
      <c r="N447" s="86"/>
      <c r="O447" s="86"/>
      <c r="P447" s="88"/>
      <c r="T447" s="30"/>
      <c r="Z447" s="96"/>
    </row>
    <row r="448">
      <c r="B448" s="30"/>
      <c r="D448" s="30"/>
      <c r="G448" s="13" t="s">
        <v>1151</v>
      </c>
      <c r="H448" s="11" t="s">
        <v>126</v>
      </c>
      <c r="I448" s="13">
        <v>31204.0</v>
      </c>
      <c r="J448" s="87">
        <f t="array" ref="J448">INDEX('TJ List'!B:B,MATCH(I448,'TJ List'!N:N,0),0)</f>
        <v>44317</v>
      </c>
      <c r="K448" s="6"/>
      <c r="L448" s="13"/>
      <c r="M448" s="11"/>
      <c r="N448" s="86"/>
      <c r="O448" s="86"/>
      <c r="P448" s="88"/>
      <c r="T448" s="30"/>
      <c r="Z448" s="96"/>
    </row>
    <row r="449">
      <c r="B449" s="30"/>
      <c r="D449" s="30"/>
      <c r="G449" s="13" t="s">
        <v>1045</v>
      </c>
      <c r="H449" s="11" t="s">
        <v>126</v>
      </c>
      <c r="I449" s="13">
        <v>14374.0</v>
      </c>
      <c r="J449" s="87">
        <f t="array" ref="J449">INDEX('TJ List'!B:B,MATCH(I449,'TJ List'!N:N,0),0)</f>
        <v>44412</v>
      </c>
      <c r="K449" s="6"/>
      <c r="L449" s="13"/>
      <c r="M449" s="11"/>
      <c r="N449" s="86"/>
      <c r="O449" s="13"/>
      <c r="P449" s="88"/>
      <c r="T449" s="30"/>
      <c r="Z449" s="96"/>
    </row>
    <row r="450">
      <c r="B450" s="30"/>
      <c r="D450" s="30"/>
      <c r="G450" s="13" t="s">
        <v>969</v>
      </c>
      <c r="H450" s="11" t="s">
        <v>126</v>
      </c>
      <c r="I450" s="13">
        <v>26944.0</v>
      </c>
      <c r="J450" s="87">
        <f t="array" ref="J450">INDEX('TJ List'!B:B,MATCH(I450,'TJ List'!N:N,0),0)</f>
        <v>44562</v>
      </c>
      <c r="K450" s="6"/>
      <c r="L450" s="13"/>
      <c r="M450" s="11"/>
      <c r="N450" s="86"/>
      <c r="O450" s="86"/>
      <c r="P450" s="88"/>
      <c r="T450" s="30"/>
      <c r="Z450" s="96"/>
    </row>
    <row r="451">
      <c r="B451" s="30"/>
      <c r="D451" s="30"/>
      <c r="G451" s="13" t="s">
        <v>755</v>
      </c>
      <c r="H451" s="11" t="s">
        <v>126</v>
      </c>
      <c r="I451" s="13">
        <v>19374.0</v>
      </c>
      <c r="J451" s="87">
        <f t="array" ref="J451">INDEX('TJ List'!B:B,MATCH(I451,'TJ List'!N:N,0),0)</f>
        <v>44796</v>
      </c>
      <c r="K451" s="6"/>
      <c r="L451" s="13"/>
      <c r="M451" s="11"/>
      <c r="N451" s="86"/>
      <c r="O451" s="86"/>
      <c r="P451" s="88"/>
      <c r="T451" s="30"/>
      <c r="Z451" s="96"/>
    </row>
    <row r="452">
      <c r="B452" s="30"/>
      <c r="D452" s="30"/>
      <c r="G452" s="13" t="s">
        <v>286</v>
      </c>
      <c r="H452" s="11" t="s">
        <v>126</v>
      </c>
      <c r="I452" s="13">
        <v>27514.0</v>
      </c>
      <c r="J452" s="87">
        <f t="array" ref="J452">INDEX('TJ List'!B:B,MATCH(I452,'TJ List'!N:N,0),0)</f>
        <v>45503</v>
      </c>
      <c r="K452" s="6"/>
      <c r="L452" s="13"/>
      <c r="M452" s="11"/>
      <c r="N452" s="86"/>
      <c r="O452" s="86"/>
      <c r="P452" s="88"/>
      <c r="T452" s="30"/>
      <c r="Z452" s="96"/>
    </row>
    <row r="453">
      <c r="B453" s="30"/>
      <c r="D453" s="30"/>
      <c r="G453" s="13" t="s">
        <v>283</v>
      </c>
      <c r="H453" s="11" t="s">
        <v>126</v>
      </c>
      <c r="I453" s="13">
        <v>29514.0</v>
      </c>
      <c r="J453" s="87">
        <f t="array" ref="J453">INDEX('TJ List'!B:B,MATCH(I453,'TJ List'!N:N,0),0)</f>
        <v>45505</v>
      </c>
      <c r="K453" s="6"/>
      <c r="L453" s="13"/>
      <c r="M453" s="11"/>
      <c r="N453" s="86"/>
      <c r="O453" s="86"/>
      <c r="P453" s="88"/>
      <c r="T453" s="30"/>
      <c r="Z453" s="96"/>
    </row>
    <row r="454">
      <c r="B454" s="30"/>
      <c r="D454" s="30"/>
      <c r="G454" s="13" t="s">
        <v>5029</v>
      </c>
      <c r="H454" s="11" t="s">
        <v>126</v>
      </c>
      <c r="I454" s="13">
        <v>33825.0</v>
      </c>
      <c r="J454" t="str">
        <f t="array" ref="J454">INDEX('TJ List'!B:B,MATCH(I454,'TJ List'!N:N,0),0)</f>
        <v>#N/A</v>
      </c>
      <c r="K454" s="6"/>
      <c r="L454" s="13"/>
      <c r="M454" s="11"/>
      <c r="N454" s="86"/>
      <c r="O454" s="86"/>
      <c r="P454" s="88"/>
      <c r="T454" s="30"/>
      <c r="Z454" s="96"/>
    </row>
    <row r="455">
      <c r="B455" s="30"/>
      <c r="D455" s="30"/>
      <c r="G455" s="13" t="s">
        <v>5030</v>
      </c>
      <c r="H455" s="11" t="s">
        <v>126</v>
      </c>
      <c r="I455" s="13">
        <v>27792.0</v>
      </c>
      <c r="J455" t="str">
        <f t="array" ref="J455">INDEX('TJ List'!B:B,MATCH(I455,'TJ List'!N:N,0),0)</f>
        <v>#N/A</v>
      </c>
      <c r="K455" s="6"/>
      <c r="L455" s="13"/>
      <c r="M455" s="11"/>
      <c r="N455" s="86"/>
      <c r="O455" s="86"/>
      <c r="P455" s="88"/>
      <c r="T455" s="30"/>
      <c r="Z455" s="96"/>
    </row>
    <row r="456">
      <c r="B456" s="30"/>
      <c r="D456" s="30"/>
      <c r="G456" s="13" t="s">
        <v>5031</v>
      </c>
      <c r="H456" s="11" t="s">
        <v>126</v>
      </c>
      <c r="I456" s="13">
        <v>25007.0</v>
      </c>
      <c r="J456" t="str">
        <f t="array" ref="J456">INDEX('TJ List'!B:B,MATCH(I456,'TJ List'!N:N,0),0)</f>
        <v>#N/A</v>
      </c>
      <c r="K456" s="6"/>
      <c r="L456" s="13"/>
      <c r="M456" s="11"/>
      <c r="N456" s="86"/>
      <c r="O456" s="86"/>
      <c r="P456" s="88"/>
      <c r="T456" s="30"/>
      <c r="Z456" s="96"/>
    </row>
    <row r="457">
      <c r="B457" s="30"/>
      <c r="D457" s="30"/>
      <c r="G457" s="13" t="s">
        <v>5032</v>
      </c>
      <c r="H457" s="11" t="s">
        <v>126</v>
      </c>
      <c r="I457" s="13">
        <v>12572.0</v>
      </c>
      <c r="J457" t="str">
        <f t="array" ref="J457">INDEX('TJ List'!B:B,MATCH(I457,'TJ List'!N:N,0),0)</f>
        <v>#N/A</v>
      </c>
      <c r="K457" s="6"/>
      <c r="L457" s="13"/>
      <c r="M457" s="11"/>
      <c r="N457" s="86"/>
      <c r="O457" s="86"/>
      <c r="P457" s="88"/>
      <c r="T457" s="30"/>
      <c r="Z457" s="96"/>
    </row>
    <row r="458">
      <c r="B458" s="30"/>
      <c r="D458" s="30"/>
      <c r="G458" s="13" t="s">
        <v>125</v>
      </c>
      <c r="H458" s="11" t="s">
        <v>126</v>
      </c>
      <c r="I458" s="13">
        <v>17734.0</v>
      </c>
      <c r="J458" s="87">
        <f t="array" ref="J458">INDEX('TJ List'!B:B,MATCH(I458,'TJ List'!N:N,0),0)</f>
        <v>45812</v>
      </c>
      <c r="K458" s="6"/>
      <c r="L458" s="13"/>
      <c r="M458" s="11"/>
      <c r="N458" s="86"/>
      <c r="O458" s="86"/>
      <c r="P458" s="88"/>
      <c r="T458" s="30"/>
      <c r="Z458" s="96"/>
    </row>
    <row r="459">
      <c r="B459" s="30"/>
      <c r="D459" s="30"/>
      <c r="G459" s="13" t="s">
        <v>5033</v>
      </c>
      <c r="H459" s="11" t="s">
        <v>126</v>
      </c>
      <c r="I459" s="13">
        <v>2036.0</v>
      </c>
      <c r="J459" t="str">
        <f t="array" ref="J459">INDEX('TJ List'!B:B,MATCH(I459,'TJ List'!N:N,0),0)</f>
        <v>#N/A</v>
      </c>
      <c r="K459" s="6"/>
      <c r="L459" s="13"/>
      <c r="M459" s="11"/>
      <c r="N459" s="86"/>
      <c r="O459" s="86"/>
      <c r="P459" s="88"/>
      <c r="T459" s="30"/>
      <c r="Z459" s="96"/>
    </row>
    <row r="460">
      <c r="B460" s="30"/>
      <c r="D460" s="30"/>
      <c r="G460" s="13" t="s">
        <v>5034</v>
      </c>
      <c r="H460" s="11" t="s">
        <v>126</v>
      </c>
      <c r="I460" s="13">
        <v>27487.0</v>
      </c>
      <c r="J460" t="str">
        <f t="array" ref="J460">INDEX('TJ List'!B:B,MATCH(I460,'TJ List'!N:N,0),0)</f>
        <v>#N/A</v>
      </c>
      <c r="K460" s="6"/>
      <c r="L460" s="13"/>
      <c r="M460" s="11"/>
      <c r="N460" s="86"/>
      <c r="O460" s="86"/>
      <c r="P460" s="88"/>
      <c r="T460" s="30"/>
      <c r="Z460" s="96"/>
    </row>
    <row r="461">
      <c r="B461" s="30"/>
      <c r="D461" s="30"/>
      <c r="G461" s="13" t="s">
        <v>5035</v>
      </c>
      <c r="H461" s="11" t="s">
        <v>126</v>
      </c>
      <c r="I461" s="13">
        <v>30085.0</v>
      </c>
      <c r="J461" t="str">
        <f t="array" ref="J461">INDEX('TJ List'!B:B,MATCH(I461,'TJ List'!N:N,0),0)</f>
        <v>#N/A</v>
      </c>
      <c r="K461" s="6"/>
      <c r="L461" s="13"/>
      <c r="M461" s="11"/>
      <c r="N461" s="86"/>
      <c r="O461" s="86"/>
      <c r="P461" s="88"/>
      <c r="T461" s="30"/>
      <c r="Z461" s="96"/>
    </row>
    <row r="462">
      <c r="B462" s="30"/>
      <c r="D462" s="30"/>
      <c r="G462" s="13" t="s">
        <v>5036</v>
      </c>
      <c r="H462" s="11" t="s">
        <v>126</v>
      </c>
      <c r="I462" s="13">
        <v>17732.0</v>
      </c>
      <c r="J462" t="str">
        <f t="array" ref="J462">INDEX('TJ List'!B:B,MATCH(I462,'TJ List'!N:N,0),0)</f>
        <v>#N/A</v>
      </c>
      <c r="K462" s="6"/>
      <c r="L462" s="13"/>
      <c r="M462" s="11"/>
      <c r="N462" s="86"/>
      <c r="O462" s="86"/>
      <c r="P462" s="88"/>
      <c r="T462" s="30"/>
      <c r="Z462" s="96"/>
    </row>
    <row r="463">
      <c r="B463" s="30"/>
      <c r="D463" s="30"/>
      <c r="G463" s="13" t="s">
        <v>5037</v>
      </c>
      <c r="H463" s="11" t="s">
        <v>126</v>
      </c>
      <c r="I463" s="13">
        <v>12575.0</v>
      </c>
      <c r="J463" t="str">
        <f t="array" ref="J463">INDEX('TJ List'!B:B,MATCH(I463,'TJ List'!N:N,0),0)</f>
        <v>#N/A</v>
      </c>
      <c r="K463" s="6"/>
      <c r="L463" s="13"/>
      <c r="M463" s="11"/>
      <c r="N463" s="86"/>
      <c r="O463" s="86"/>
      <c r="P463" s="88"/>
      <c r="T463" s="30"/>
      <c r="Z463" s="96"/>
    </row>
    <row r="464">
      <c r="B464" s="30"/>
      <c r="D464" s="30"/>
      <c r="G464" s="13" t="s">
        <v>4738</v>
      </c>
      <c r="H464" s="11" t="s">
        <v>126</v>
      </c>
      <c r="I464" s="13">
        <v>10472.0</v>
      </c>
      <c r="J464" t="str">
        <f t="array" ref="J464">INDEX('TJ List'!B:B,MATCH(I464,'TJ List'!N:N,0),0)</f>
        <v>#N/A</v>
      </c>
      <c r="K464" s="6"/>
      <c r="L464" s="13"/>
      <c r="M464" s="11"/>
      <c r="N464" s="86"/>
      <c r="O464" s="86"/>
      <c r="P464" s="88"/>
      <c r="T464" s="30"/>
      <c r="Z464" s="96"/>
    </row>
    <row r="465">
      <c r="B465" s="30"/>
      <c r="D465" s="30"/>
      <c r="G465" s="13" t="s">
        <v>4794</v>
      </c>
      <c r="H465" s="11" t="s">
        <v>126</v>
      </c>
      <c r="I465" s="13">
        <v>7802.0</v>
      </c>
      <c r="J465" t="str">
        <f t="array" ref="J465">INDEX('TJ List'!B:B,MATCH(I465,'TJ List'!N:N,0),0)</f>
        <v>#N/A</v>
      </c>
      <c r="K465" s="6"/>
      <c r="L465" s="13"/>
      <c r="M465" s="11"/>
      <c r="N465" s="86"/>
      <c r="O465" s="86"/>
      <c r="P465" s="88"/>
      <c r="T465" s="30"/>
      <c r="Z465" s="96"/>
    </row>
    <row r="466">
      <c r="B466" s="30"/>
      <c r="D466" s="30"/>
      <c r="G466" s="13" t="s">
        <v>5038</v>
      </c>
      <c r="H466" s="11" t="s">
        <v>126</v>
      </c>
      <c r="I466" s="13">
        <v>20231.0</v>
      </c>
      <c r="J466" t="str">
        <f t="array" ref="J466">INDEX('TJ List'!B:B,MATCH(I466,'TJ List'!N:N,0),0)</f>
        <v>#N/A</v>
      </c>
      <c r="K466" s="6"/>
      <c r="L466" s="13"/>
      <c r="M466" s="11"/>
      <c r="N466" s="86"/>
      <c r="O466" s="86"/>
      <c r="P466" s="88"/>
      <c r="T466" s="30"/>
      <c r="Z466" s="96"/>
    </row>
    <row r="467">
      <c r="B467" s="30"/>
      <c r="D467" s="30"/>
      <c r="G467" s="13" t="s">
        <v>5039</v>
      </c>
      <c r="H467" s="11" t="s">
        <v>126</v>
      </c>
      <c r="I467" s="13">
        <v>9761.0</v>
      </c>
      <c r="J467" t="str">
        <f t="array" ref="J467">INDEX('TJ List'!B:B,MATCH(I467,'TJ List'!N:N,0),0)</f>
        <v>#N/A</v>
      </c>
      <c r="K467" s="6"/>
      <c r="L467" s="13"/>
      <c r="M467" s="11"/>
      <c r="N467" s="86"/>
      <c r="O467" s="86"/>
      <c r="P467" s="88"/>
      <c r="T467" s="30"/>
      <c r="Z467" s="96"/>
    </row>
    <row r="468">
      <c r="B468" s="30"/>
      <c r="D468" s="30"/>
      <c r="G468" s="13" t="s">
        <v>5040</v>
      </c>
      <c r="H468" s="11" t="s">
        <v>126</v>
      </c>
      <c r="I468" s="13">
        <v>16610.0</v>
      </c>
      <c r="J468" t="str">
        <f t="array" ref="J468">INDEX('TJ List'!B:B,MATCH(I468,'TJ List'!N:N,0),0)</f>
        <v>#N/A</v>
      </c>
      <c r="K468" s="6"/>
      <c r="L468" s="13"/>
      <c r="M468" s="11"/>
      <c r="N468" s="86"/>
      <c r="O468" s="86"/>
      <c r="P468" s="88"/>
      <c r="T468" s="30"/>
      <c r="Z468" s="96"/>
    </row>
    <row r="469">
      <c r="B469" s="30"/>
      <c r="D469" s="30"/>
      <c r="G469" s="13" t="s">
        <v>5041</v>
      </c>
      <c r="H469" s="11" t="s">
        <v>126</v>
      </c>
      <c r="I469" s="13">
        <v>27483.0</v>
      </c>
      <c r="J469" t="str">
        <f t="array" ref="J469">INDEX('TJ List'!B:B,MATCH(I469,'TJ List'!N:N,0),0)</f>
        <v>#N/A</v>
      </c>
      <c r="K469" s="6"/>
      <c r="L469" s="13"/>
      <c r="M469" s="11"/>
      <c r="N469" s="86"/>
      <c r="O469" s="86"/>
      <c r="P469" s="88"/>
      <c r="T469" s="30"/>
      <c r="Z469" s="96"/>
    </row>
    <row r="470">
      <c r="B470" s="30"/>
      <c r="D470" s="30"/>
      <c r="G470" s="13" t="s">
        <v>4690</v>
      </c>
      <c r="H470" s="11" t="s">
        <v>37</v>
      </c>
      <c r="I470" s="13">
        <v>13767.0</v>
      </c>
      <c r="J470" s="87">
        <f t="array" ref="J470">INDEX('TJ List'!B:B,MATCH(I470,'TJ List'!N:N,0),0)</f>
        <v>41534</v>
      </c>
      <c r="K470" s="6"/>
      <c r="L470" s="13"/>
      <c r="M470" s="11"/>
      <c r="N470" s="86"/>
      <c r="O470" s="86"/>
      <c r="P470" s="88"/>
      <c r="T470" s="30"/>
      <c r="Z470" s="96"/>
    </row>
    <row r="471">
      <c r="B471" s="30"/>
      <c r="D471" s="30"/>
      <c r="G471" s="13" t="s">
        <v>2749</v>
      </c>
      <c r="H471" s="11" t="s">
        <v>37</v>
      </c>
      <c r="I471" s="13">
        <v>12784.0</v>
      </c>
      <c r="J471" s="87">
        <f t="array" ref="J471">INDEX('TJ List'!B:B,MATCH(I471,'TJ List'!N:N,0),0)</f>
        <v>42101</v>
      </c>
      <c r="K471" s="6"/>
      <c r="L471" s="13"/>
      <c r="M471" s="11"/>
      <c r="N471" s="86"/>
      <c r="O471" s="86"/>
      <c r="P471" s="88"/>
      <c r="T471" s="30"/>
      <c r="Z471" s="96"/>
    </row>
    <row r="472">
      <c r="B472" s="30"/>
      <c r="D472" s="30"/>
      <c r="G472" s="13" t="s">
        <v>2685</v>
      </c>
      <c r="H472" s="11" t="s">
        <v>37</v>
      </c>
      <c r="I472" s="13">
        <v>26304.0</v>
      </c>
      <c r="J472" s="87">
        <f t="array" ref="J472">INDEX('TJ List'!B:B,MATCH(I472,'TJ List'!N:N,0),0)</f>
        <v>42156</v>
      </c>
      <c r="K472" s="6"/>
      <c r="L472" s="13"/>
      <c r="M472" s="11"/>
      <c r="N472" s="86"/>
      <c r="O472" s="86"/>
      <c r="P472" s="88"/>
      <c r="T472" s="30"/>
      <c r="Z472" s="96"/>
    </row>
    <row r="473">
      <c r="B473" s="30"/>
      <c r="D473" s="30"/>
      <c r="G473" s="13" t="s">
        <v>2679</v>
      </c>
      <c r="H473" s="11" t="s">
        <v>37</v>
      </c>
      <c r="I473" s="13">
        <v>15849.0</v>
      </c>
      <c r="J473" s="87">
        <f t="array" ref="J473">INDEX('TJ List'!B:B,MATCH(I473,'TJ List'!N:N,0),0)</f>
        <v>42158</v>
      </c>
      <c r="K473" s="6"/>
      <c r="L473" s="13"/>
      <c r="M473" s="11"/>
      <c r="N473" s="86"/>
      <c r="O473" s="86"/>
      <c r="P473" s="88"/>
      <c r="T473" s="30"/>
      <c r="Z473" s="96"/>
    </row>
    <row r="474">
      <c r="B474" s="30"/>
      <c r="D474" s="30"/>
      <c r="G474" s="13" t="s">
        <v>5042</v>
      </c>
      <c r="H474" s="11" t="s">
        <v>37</v>
      </c>
      <c r="I474" s="13">
        <v>19959.0</v>
      </c>
      <c r="J474" s="87">
        <f t="array" ref="J474">INDEX('TJ List'!B:B,MATCH(I474,'TJ List'!N:N,0),0)</f>
        <v>42451</v>
      </c>
      <c r="K474" s="6"/>
      <c r="L474" s="13"/>
      <c r="M474" s="11"/>
      <c r="N474" s="86"/>
      <c r="O474" s="86"/>
      <c r="P474" s="88"/>
      <c r="T474" s="30"/>
      <c r="Z474" s="96"/>
    </row>
    <row r="475">
      <c r="B475" s="30"/>
      <c r="D475" s="30"/>
      <c r="G475" s="13" t="s">
        <v>242</v>
      </c>
      <c r="H475" s="11" t="s">
        <v>37</v>
      </c>
      <c r="I475" s="13">
        <v>21844.0</v>
      </c>
      <c r="J475" s="87">
        <f t="array" ref="J475">INDEX('TJ List'!B:B,MATCH(I475,'TJ List'!N:N,0),0)</f>
        <v>45640</v>
      </c>
      <c r="K475" s="6"/>
      <c r="L475" s="13"/>
      <c r="M475" s="11"/>
      <c r="N475" s="86"/>
      <c r="O475" s="86"/>
      <c r="P475" s="88"/>
      <c r="T475" s="30"/>
      <c r="Z475" s="96"/>
    </row>
    <row r="476">
      <c r="B476" s="30"/>
      <c r="D476" s="30"/>
      <c r="G476" s="13" t="s">
        <v>1866</v>
      </c>
      <c r="H476" s="11" t="s">
        <v>37</v>
      </c>
      <c r="I476" s="13">
        <v>19343.0</v>
      </c>
      <c r="J476" s="87">
        <f t="array" ref="J476">INDEX('TJ List'!B:B,MATCH(I476,'TJ List'!N:N,0),0)</f>
        <v>43200</v>
      </c>
      <c r="K476" s="6"/>
      <c r="L476" s="13"/>
      <c r="M476" s="11"/>
      <c r="N476" s="86"/>
      <c r="O476" s="86"/>
      <c r="P476" s="88"/>
      <c r="T476" s="30"/>
      <c r="Z476" s="96"/>
    </row>
    <row r="477">
      <c r="B477" s="30"/>
      <c r="D477" s="30"/>
      <c r="G477" s="13" t="s">
        <v>1365</v>
      </c>
      <c r="H477" s="11" t="s">
        <v>37</v>
      </c>
      <c r="I477" s="13">
        <v>16401.0</v>
      </c>
      <c r="J477" s="87">
        <f t="array" ref="J477">INDEX('TJ List'!B:B,MATCH(I477,'TJ List'!N:N,0),0)</f>
        <v>44068</v>
      </c>
      <c r="K477" s="6"/>
      <c r="L477" s="13"/>
      <c r="M477" s="11"/>
      <c r="N477" s="86"/>
      <c r="O477" s="86"/>
      <c r="P477" s="88"/>
      <c r="T477" s="30"/>
      <c r="Z477" s="96"/>
    </row>
    <row r="478">
      <c r="B478" s="30"/>
      <c r="D478" s="30"/>
      <c r="G478" s="13" t="s">
        <v>1299</v>
      </c>
      <c r="H478" s="11" t="s">
        <v>37</v>
      </c>
      <c r="I478" s="13">
        <v>19222.0</v>
      </c>
      <c r="J478" s="87">
        <f t="array" ref="J478">INDEX('TJ List'!B:B,MATCH(I478,'TJ List'!N:N,0),0)</f>
        <v>44197</v>
      </c>
      <c r="K478" s="6"/>
      <c r="L478" s="13"/>
      <c r="M478" s="11"/>
      <c r="N478" s="86"/>
      <c r="O478" s="86"/>
      <c r="P478" s="88"/>
      <c r="T478" s="30"/>
      <c r="Z478" s="96"/>
    </row>
    <row r="479">
      <c r="B479" s="30"/>
      <c r="D479" s="30"/>
      <c r="G479" s="13" t="s">
        <v>785</v>
      </c>
      <c r="H479" s="11" t="s">
        <v>37</v>
      </c>
      <c r="I479" s="13">
        <v>19278.0</v>
      </c>
      <c r="J479" s="87">
        <f t="array" ref="J479">INDEX('TJ List'!B:B,MATCH(I479,'TJ List'!N:N,0),0)</f>
        <v>44762</v>
      </c>
      <c r="K479" s="6"/>
      <c r="L479" s="13"/>
      <c r="M479" s="11"/>
      <c r="N479" s="86"/>
      <c r="O479" s="86"/>
      <c r="P479" s="88"/>
      <c r="T479" s="30"/>
      <c r="Z479" s="96"/>
    </row>
    <row r="480">
      <c r="B480" s="30"/>
      <c r="D480" s="30"/>
      <c r="G480" s="13" t="s">
        <v>757</v>
      </c>
      <c r="H480" s="11" t="s">
        <v>37</v>
      </c>
      <c r="I480" s="13">
        <v>27474.0</v>
      </c>
      <c r="J480" s="87">
        <f t="array" ref="J480">INDEX('TJ List'!B:B,MATCH(I480,'TJ List'!N:N,0),0)</f>
        <v>44782</v>
      </c>
      <c r="K480" s="6"/>
      <c r="L480" s="13"/>
      <c r="M480" s="11"/>
      <c r="N480" s="86"/>
      <c r="O480" s="86"/>
      <c r="P480" s="88"/>
      <c r="T480" s="30"/>
      <c r="Z480" s="96"/>
    </row>
    <row r="481">
      <c r="B481" s="30"/>
      <c r="D481" s="30"/>
      <c r="G481" s="13" t="s">
        <v>753</v>
      </c>
      <c r="H481" s="11" t="s">
        <v>37</v>
      </c>
      <c r="I481" s="13">
        <v>19742.0</v>
      </c>
      <c r="J481" s="87">
        <f t="array" ref="J481">INDEX('TJ List'!B:B,MATCH(I481,'TJ List'!N:N,0),0)</f>
        <v>44803</v>
      </c>
      <c r="K481" s="6"/>
      <c r="L481" s="13"/>
      <c r="M481" s="11"/>
      <c r="N481" s="86"/>
      <c r="O481" s="86"/>
      <c r="P481" s="88"/>
      <c r="T481" s="30"/>
      <c r="Z481" s="96"/>
    </row>
    <row r="482">
      <c r="B482" s="30"/>
      <c r="D482" s="30"/>
      <c r="G482" s="13" t="s">
        <v>5043</v>
      </c>
      <c r="H482" s="11" t="s">
        <v>37</v>
      </c>
      <c r="I482" s="13">
        <v>20116.0</v>
      </c>
      <c r="J482" t="str">
        <f t="array" ref="J482">INDEX('TJ List'!B:B,MATCH(I482,'TJ List'!N:N,0),0)</f>
        <v>#N/A</v>
      </c>
      <c r="K482" s="6"/>
      <c r="L482" s="13"/>
      <c r="M482" s="11"/>
      <c r="N482" s="86"/>
      <c r="O482" s="86"/>
      <c r="P482" s="88"/>
      <c r="T482" s="30"/>
      <c r="Z482" s="96"/>
    </row>
    <row r="483">
      <c r="B483" s="30"/>
      <c r="D483" s="30"/>
      <c r="G483" s="13" t="s">
        <v>57</v>
      </c>
      <c r="H483" s="11" t="s">
        <v>37</v>
      </c>
      <c r="I483" s="13">
        <v>25645.0</v>
      </c>
      <c r="J483" s="87">
        <f t="array" ref="J483">INDEX('TJ List'!B:B,MATCH(I483,'TJ List'!N:N,0),0)</f>
        <v>45929</v>
      </c>
      <c r="K483" s="6"/>
      <c r="L483" s="13"/>
      <c r="M483" s="11"/>
      <c r="N483" s="86"/>
      <c r="O483" s="86"/>
      <c r="P483" s="88"/>
      <c r="T483" s="30"/>
      <c r="Z483" s="96"/>
    </row>
    <row r="484">
      <c r="B484" s="30"/>
      <c r="D484" s="30"/>
      <c r="G484" s="13" t="s">
        <v>5044</v>
      </c>
      <c r="H484" s="11" t="s">
        <v>37</v>
      </c>
      <c r="I484" s="13">
        <v>23796.0</v>
      </c>
      <c r="J484" t="str">
        <f t="array" ref="J484">INDEX('TJ List'!B:B,MATCH(I484,'TJ List'!N:N,0),0)</f>
        <v>#N/A</v>
      </c>
      <c r="K484" s="6"/>
      <c r="L484" s="13"/>
      <c r="M484" s="11"/>
      <c r="N484" s="86"/>
      <c r="O484" s="86"/>
      <c r="P484" s="88"/>
      <c r="T484" s="30"/>
      <c r="Z484" s="96"/>
    </row>
    <row r="485">
      <c r="B485" s="30"/>
      <c r="D485" s="30"/>
      <c r="G485" s="13" t="s">
        <v>5045</v>
      </c>
      <c r="H485" s="11" t="s">
        <v>37</v>
      </c>
      <c r="I485" s="13">
        <v>25942.0</v>
      </c>
      <c r="J485" t="str">
        <f t="array" ref="J485">INDEX('TJ List'!B:B,MATCH(I485,'TJ List'!N:N,0),0)</f>
        <v>#N/A</v>
      </c>
      <c r="K485" s="6"/>
      <c r="L485" s="13"/>
      <c r="M485" s="11"/>
      <c r="N485" s="86"/>
      <c r="O485" s="86"/>
      <c r="P485" s="88"/>
      <c r="T485" s="30"/>
      <c r="Z485" s="96"/>
    </row>
    <row r="486">
      <c r="B486" s="30"/>
      <c r="D486" s="30"/>
      <c r="G486" s="13" t="s">
        <v>5046</v>
      </c>
      <c r="H486" s="11" t="s">
        <v>37</v>
      </c>
      <c r="I486" s="13">
        <v>21690.0</v>
      </c>
      <c r="J486" t="str">
        <f t="array" ref="J486">INDEX('TJ List'!B:B,MATCH(I486,'TJ List'!N:N,0),0)</f>
        <v>#N/A</v>
      </c>
      <c r="K486" s="6"/>
      <c r="L486" s="13"/>
      <c r="M486" s="11"/>
      <c r="N486" s="86"/>
      <c r="O486" s="86"/>
      <c r="P486" s="88"/>
      <c r="T486" s="30"/>
      <c r="Z486" s="96"/>
    </row>
    <row r="487">
      <c r="B487" s="30"/>
      <c r="D487" s="30"/>
      <c r="G487" s="13" t="s">
        <v>5047</v>
      </c>
      <c r="H487" s="11" t="s">
        <v>37</v>
      </c>
      <c r="I487" s="13">
        <v>26034.0</v>
      </c>
      <c r="J487" t="str">
        <f t="array" ref="J487">INDEX('TJ List'!B:B,MATCH(I487,'TJ List'!N:N,0),0)</f>
        <v>#N/A</v>
      </c>
      <c r="K487" s="6"/>
      <c r="L487" s="13"/>
      <c r="M487" s="11"/>
      <c r="N487" s="86"/>
      <c r="O487" s="86"/>
      <c r="P487" s="88"/>
      <c r="T487" s="30"/>
      <c r="Z487" s="96"/>
    </row>
    <row r="488">
      <c r="B488" s="30"/>
      <c r="D488" s="30"/>
      <c r="G488" s="13" t="s">
        <v>5048</v>
      </c>
      <c r="H488" s="11" t="s">
        <v>37</v>
      </c>
      <c r="I488" s="13">
        <v>27942.0</v>
      </c>
      <c r="J488" t="str">
        <f t="array" ref="J488">INDEX('TJ List'!B:B,MATCH(I488,'TJ List'!N:N,0),0)</f>
        <v>#N/A</v>
      </c>
      <c r="K488" s="6"/>
      <c r="L488" s="13"/>
      <c r="M488" s="11"/>
      <c r="N488" s="86"/>
      <c r="O488" s="86"/>
      <c r="P488" s="88"/>
      <c r="T488" s="30"/>
      <c r="Z488" s="96"/>
    </row>
    <row r="489">
      <c r="B489" s="30"/>
      <c r="D489" s="30"/>
      <c r="G489" s="13" t="s">
        <v>5049</v>
      </c>
      <c r="H489" s="11" t="s">
        <v>37</v>
      </c>
      <c r="I489" s="13">
        <v>19680.0</v>
      </c>
      <c r="J489" t="str">
        <f t="array" ref="J489">INDEX('TJ List'!B:B,MATCH(I489,'TJ List'!N:N,0),0)</f>
        <v>#N/A</v>
      </c>
      <c r="K489" s="6"/>
      <c r="L489" s="13"/>
      <c r="M489" s="11"/>
      <c r="N489" s="86"/>
      <c r="O489" s="86"/>
      <c r="P489" s="88"/>
      <c r="T489" s="30"/>
      <c r="Z489" s="96"/>
    </row>
    <row r="490">
      <c r="B490" s="30"/>
      <c r="D490" s="30"/>
      <c r="G490" s="13" t="s">
        <v>5050</v>
      </c>
      <c r="H490" s="11" t="s">
        <v>37</v>
      </c>
      <c r="I490" s="13">
        <v>22092.0</v>
      </c>
      <c r="J490" t="str">
        <f t="array" ref="J490">INDEX('TJ List'!B:B,MATCH(I490,'TJ List'!N:N,0),0)</f>
        <v>#N/A</v>
      </c>
      <c r="K490" s="6"/>
      <c r="L490" s="13"/>
      <c r="M490" s="11"/>
      <c r="N490" s="86"/>
      <c r="O490" s="86"/>
      <c r="P490" s="88"/>
      <c r="T490" s="30"/>
      <c r="Z490" s="96"/>
    </row>
    <row r="491">
      <c r="B491" s="30"/>
      <c r="D491" s="30"/>
      <c r="G491" s="13" t="s">
        <v>5051</v>
      </c>
      <c r="H491" s="11" t="s">
        <v>37</v>
      </c>
      <c r="I491" s="13">
        <v>20132.0</v>
      </c>
      <c r="J491" t="str">
        <f t="array" ref="J491">INDEX('TJ List'!B:B,MATCH(I491,'TJ List'!N:N,0),0)</f>
        <v>#N/A</v>
      </c>
      <c r="K491" s="6"/>
      <c r="L491" s="13"/>
      <c r="M491" s="11"/>
      <c r="N491" s="86"/>
      <c r="O491" s="86"/>
      <c r="P491" s="88"/>
      <c r="T491" s="30"/>
      <c r="Z491" s="96"/>
    </row>
    <row r="492">
      <c r="B492" s="30"/>
      <c r="D492" s="30"/>
      <c r="G492" s="13" t="s">
        <v>4773</v>
      </c>
      <c r="H492" s="11" t="s">
        <v>37</v>
      </c>
      <c r="I492" s="13">
        <v>19802.0</v>
      </c>
      <c r="J492" t="str">
        <f t="array" ref="J492">INDEX('TJ List'!B:B,MATCH(I492,'TJ List'!N:N,0),0)</f>
        <v>#N/A</v>
      </c>
      <c r="K492" s="6"/>
      <c r="L492" s="13"/>
      <c r="M492" s="11"/>
      <c r="N492" s="86"/>
      <c r="O492" s="86"/>
      <c r="P492" s="88"/>
      <c r="T492" s="30"/>
      <c r="Z492" s="96"/>
    </row>
    <row r="493">
      <c r="B493" s="30"/>
      <c r="D493" s="30"/>
      <c r="G493" s="13" t="s">
        <v>4736</v>
      </c>
      <c r="H493" s="11" t="s">
        <v>37</v>
      </c>
      <c r="I493" s="13">
        <v>25111.0</v>
      </c>
      <c r="J493" t="str">
        <f t="array" ref="J493">INDEX('TJ List'!B:B,MATCH(I493,'TJ List'!N:N,0),0)</f>
        <v>#N/A</v>
      </c>
      <c r="K493" s="6"/>
      <c r="L493" s="13"/>
      <c r="M493" s="11"/>
      <c r="N493" s="86"/>
      <c r="O493" s="86"/>
      <c r="P493" s="88"/>
      <c r="T493" s="30"/>
      <c r="Z493" s="96"/>
    </row>
    <row r="494">
      <c r="B494" s="30"/>
      <c r="D494" s="30"/>
      <c r="G494" s="13" t="s">
        <v>5052</v>
      </c>
      <c r="H494" s="11" t="s">
        <v>37</v>
      </c>
      <c r="I494" s="13">
        <v>17304.0</v>
      </c>
      <c r="J494" t="str">
        <f t="array" ref="J494">INDEX('TJ List'!B:B,MATCH(I494,'TJ List'!N:N,0),0)</f>
        <v>#N/A</v>
      </c>
      <c r="K494" s="6"/>
      <c r="L494" s="13"/>
      <c r="M494" s="11"/>
      <c r="N494" s="86"/>
      <c r="O494" s="86"/>
      <c r="P494" s="88"/>
      <c r="T494" s="30"/>
      <c r="Z494" s="96"/>
    </row>
    <row r="495">
      <c r="B495" s="30"/>
      <c r="D495" s="30"/>
      <c r="G495" s="13" t="s">
        <v>5053</v>
      </c>
      <c r="H495" s="11" t="s">
        <v>37</v>
      </c>
      <c r="I495" s="13">
        <v>20408.0</v>
      </c>
      <c r="J495" t="str">
        <f t="array" ref="J495">INDEX('TJ List'!B:B,MATCH(I495,'TJ List'!N:N,0),0)</f>
        <v>#N/A</v>
      </c>
      <c r="K495" s="6"/>
      <c r="L495" s="13"/>
      <c r="M495" s="11"/>
      <c r="N495" s="86"/>
      <c r="O495" s="86"/>
      <c r="P495" s="88"/>
      <c r="T495" s="30"/>
      <c r="Z495" s="96"/>
    </row>
    <row r="496">
      <c r="B496" s="30"/>
      <c r="D496" s="30"/>
      <c r="G496" s="13" t="s">
        <v>4788</v>
      </c>
      <c r="H496" s="11" t="s">
        <v>37</v>
      </c>
      <c r="I496" s="13">
        <v>19890.0</v>
      </c>
      <c r="J496" t="str">
        <f t="array" ref="J496">INDEX('TJ List'!B:B,MATCH(I496,'TJ List'!N:N,0),0)</f>
        <v>#N/A</v>
      </c>
      <c r="K496" s="6"/>
      <c r="L496" s="13"/>
      <c r="M496" s="11"/>
      <c r="N496" s="86"/>
      <c r="O496" s="86"/>
      <c r="P496" s="88"/>
      <c r="T496" s="30"/>
      <c r="Z496" s="96"/>
    </row>
    <row r="497">
      <c r="B497" s="30"/>
      <c r="D497" s="30"/>
      <c r="G497" s="13" t="s">
        <v>5054</v>
      </c>
      <c r="H497" s="11" t="s">
        <v>37</v>
      </c>
      <c r="I497" s="13">
        <v>27910.0</v>
      </c>
      <c r="J497" t="str">
        <f t="array" ref="J497">INDEX('TJ List'!B:B,MATCH(I497,'TJ List'!N:N,0),0)</f>
        <v>#N/A</v>
      </c>
      <c r="K497" s="6"/>
      <c r="L497" s="13"/>
      <c r="M497" s="11"/>
      <c r="N497" s="86"/>
      <c r="O497" s="86"/>
      <c r="P497" s="88"/>
      <c r="T497" s="30"/>
      <c r="Z497" s="96"/>
    </row>
    <row r="498">
      <c r="B498" s="30"/>
      <c r="D498" s="30"/>
      <c r="G498" s="13" t="s">
        <v>5055</v>
      </c>
      <c r="H498" s="11" t="s">
        <v>37</v>
      </c>
      <c r="I498" s="13">
        <v>12022.0</v>
      </c>
      <c r="J498" t="str">
        <f t="array" ref="J498">INDEX('TJ List'!B:B,MATCH(I498,'TJ List'!N:N,0),0)</f>
        <v>#N/A</v>
      </c>
      <c r="K498" s="6"/>
      <c r="L498" s="13"/>
      <c r="M498" s="11"/>
      <c r="N498" s="86"/>
      <c r="O498" s="86"/>
      <c r="P498" s="88"/>
      <c r="T498" s="30"/>
      <c r="Z498" s="96"/>
    </row>
    <row r="499">
      <c r="B499" s="30"/>
      <c r="D499" s="30"/>
      <c r="G499" s="13" t="s">
        <v>5056</v>
      </c>
      <c r="H499" s="11" t="s">
        <v>37</v>
      </c>
      <c r="I499" s="13">
        <v>23899.0</v>
      </c>
      <c r="J499" t="str">
        <f t="array" ref="J499">INDEX('TJ List'!B:B,MATCH(I499,'TJ List'!N:N,0),0)</f>
        <v>#N/A</v>
      </c>
      <c r="K499" s="6"/>
      <c r="L499" s="13"/>
      <c r="M499" s="11"/>
      <c r="N499" s="86"/>
      <c r="O499" s="86"/>
      <c r="P499" s="88"/>
      <c r="T499" s="30"/>
      <c r="Z499" s="96"/>
    </row>
    <row r="500">
      <c r="B500" s="30"/>
      <c r="D500" s="30"/>
      <c r="G500" s="13" t="s">
        <v>4699</v>
      </c>
      <c r="H500" s="11" t="s">
        <v>37</v>
      </c>
      <c r="I500" s="13">
        <v>20536.0</v>
      </c>
      <c r="J500" t="str">
        <f t="array" ref="J500">INDEX('TJ List'!B:B,MATCH(I500,'TJ List'!N:N,0),0)</f>
        <v>#N/A</v>
      </c>
      <c r="K500" s="6"/>
      <c r="L500" s="13"/>
      <c r="M500" s="11"/>
      <c r="N500" s="86"/>
      <c r="O500" s="86"/>
      <c r="P500" s="88"/>
      <c r="T500" s="30"/>
      <c r="Z500" s="96"/>
    </row>
    <row r="501">
      <c r="B501" s="30"/>
      <c r="D501" s="30"/>
      <c r="G501" s="13" t="s">
        <v>5057</v>
      </c>
      <c r="H501" s="11" t="s">
        <v>37</v>
      </c>
      <c r="I501" s="13">
        <v>21241.0</v>
      </c>
      <c r="J501" t="str">
        <f t="array" ref="J501">INDEX('TJ List'!B:B,MATCH(I501,'TJ List'!N:N,0),0)</f>
        <v>#N/A</v>
      </c>
      <c r="K501" s="6"/>
      <c r="L501" s="13"/>
      <c r="M501" s="11"/>
      <c r="N501" s="86"/>
      <c r="O501" s="86"/>
      <c r="T501" s="30"/>
      <c r="Z501" s="96"/>
    </row>
    <row r="502">
      <c r="B502" s="30"/>
      <c r="D502" s="30"/>
      <c r="G502" s="13" t="s">
        <v>5058</v>
      </c>
      <c r="H502" s="11" t="s">
        <v>37</v>
      </c>
      <c r="I502" s="13">
        <v>21863.0</v>
      </c>
      <c r="J502" t="str">
        <f t="array" ref="J502">INDEX('TJ List'!B:B,MATCH(I502,'TJ List'!N:N,0),0)</f>
        <v>#N/A</v>
      </c>
      <c r="K502" s="6"/>
      <c r="L502" s="13"/>
      <c r="M502" s="11"/>
      <c r="N502" s="86"/>
      <c r="O502" s="86"/>
      <c r="T502" s="30"/>
      <c r="Z502" s="96"/>
    </row>
    <row r="503">
      <c r="B503" s="30"/>
      <c r="D503" s="30"/>
      <c r="G503" s="13" t="s">
        <v>5059</v>
      </c>
      <c r="H503" s="11" t="s">
        <v>37</v>
      </c>
      <c r="I503" s="13">
        <v>25311.0</v>
      </c>
      <c r="J503" t="str">
        <f t="array" ref="J503">INDEX('TJ List'!B:B,MATCH(I503,'TJ List'!N:N,0),0)</f>
        <v>#N/A</v>
      </c>
      <c r="K503" s="6"/>
      <c r="L503" s="13"/>
      <c r="M503" s="11"/>
      <c r="N503" s="86"/>
      <c r="O503" s="86"/>
      <c r="T503" s="30"/>
      <c r="Z503" s="96"/>
    </row>
    <row r="504">
      <c r="B504" s="30"/>
      <c r="D504" s="30"/>
      <c r="G504" s="13" t="s">
        <v>3229</v>
      </c>
      <c r="H504" s="11" t="s">
        <v>55</v>
      </c>
      <c r="I504" s="13">
        <v>17722.0</v>
      </c>
      <c r="J504" s="87">
        <f t="array" ref="J504">INDEX('TJ List'!B:B,MATCH(I504,'TJ List'!N:N,0),0)</f>
        <v>41395</v>
      </c>
      <c r="K504" s="6"/>
      <c r="L504" s="13"/>
      <c r="M504" s="11"/>
      <c r="N504" s="86"/>
      <c r="O504" s="86"/>
      <c r="T504" s="30"/>
      <c r="Z504" s="96"/>
    </row>
    <row r="505">
      <c r="B505" s="30"/>
      <c r="D505" s="30"/>
      <c r="G505" s="13" t="s">
        <v>3128</v>
      </c>
      <c r="H505" s="11" t="s">
        <v>55</v>
      </c>
      <c r="I505" s="13">
        <v>19225.0</v>
      </c>
      <c r="J505" s="87">
        <f t="array" ref="J505">INDEX('TJ List'!B:B,MATCH(I505,'TJ List'!N:N,0),0)</f>
        <v>41579</v>
      </c>
      <c r="K505" s="6"/>
      <c r="L505" s="13"/>
      <c r="M505" s="11"/>
      <c r="N505" s="86"/>
      <c r="O505" s="86"/>
      <c r="T505" s="30"/>
      <c r="Z505" s="96"/>
    </row>
    <row r="506">
      <c r="B506" s="30"/>
      <c r="D506" s="30"/>
      <c r="G506" s="13" t="s">
        <v>2266</v>
      </c>
      <c r="H506" s="11" t="s">
        <v>55</v>
      </c>
      <c r="I506" s="13">
        <v>12317.0</v>
      </c>
      <c r="J506" s="87">
        <f t="array" ref="J506">INDEX('TJ List'!B:B,MATCH(I506,'TJ List'!N:N,0),0)</f>
        <v>42684</v>
      </c>
      <c r="K506" s="6"/>
      <c r="L506" s="13"/>
      <c r="M506" s="11"/>
      <c r="N506" s="86"/>
      <c r="O506" s="86"/>
      <c r="T506" s="30"/>
      <c r="Z506" s="96"/>
    </row>
    <row r="507">
      <c r="B507" s="30"/>
      <c r="D507" s="30"/>
      <c r="G507" s="13" t="s">
        <v>2159</v>
      </c>
      <c r="H507" s="11" t="s">
        <v>55</v>
      </c>
      <c r="I507" s="13">
        <v>15816.0</v>
      </c>
      <c r="J507" s="87">
        <f t="array" ref="J507">INDEX('TJ List'!B:B,MATCH(I507,'TJ List'!N:N,0),0)</f>
        <v>42817</v>
      </c>
      <c r="K507" s="6"/>
      <c r="L507" s="13"/>
      <c r="M507" s="11"/>
      <c r="N507" s="86"/>
      <c r="O507" s="86"/>
      <c r="T507" s="30"/>
      <c r="Z507" s="96"/>
    </row>
    <row r="508">
      <c r="B508" s="30"/>
      <c r="D508" s="30"/>
      <c r="G508" s="13" t="s">
        <v>1719</v>
      </c>
      <c r="H508" s="11" t="s">
        <v>55</v>
      </c>
      <c r="I508" s="13">
        <v>15369.0</v>
      </c>
      <c r="J508" s="87">
        <f t="array" ref="J508">INDEX('TJ List'!B:B,MATCH(I508,'TJ List'!N:N,0),0)</f>
        <v>43466</v>
      </c>
      <c r="K508" s="6"/>
      <c r="L508" s="13"/>
      <c r="M508" s="11"/>
      <c r="N508" s="86"/>
      <c r="O508" s="86"/>
      <c r="T508" s="30"/>
      <c r="Z508" s="96"/>
    </row>
    <row r="509">
      <c r="B509" s="30"/>
      <c r="D509" s="30"/>
      <c r="G509" s="13" t="s">
        <v>889</v>
      </c>
      <c r="H509" s="11" t="s">
        <v>55</v>
      </c>
      <c r="I509" s="13">
        <v>26419.0</v>
      </c>
      <c r="J509" s="87">
        <f t="array" ref="J509">INDEX('TJ List'!B:B,MATCH(I509,'TJ List'!N:N,0),0)</f>
        <v>44621</v>
      </c>
      <c r="K509" s="6"/>
      <c r="L509" s="13"/>
      <c r="M509" s="11"/>
      <c r="N509" s="86"/>
      <c r="O509" s="86"/>
      <c r="T509" s="30"/>
      <c r="Z509" s="96"/>
    </row>
    <row r="510">
      <c r="B510" s="30"/>
      <c r="D510" s="30"/>
      <c r="G510" s="13" t="s">
        <v>805</v>
      </c>
      <c r="H510" s="11" t="s">
        <v>55</v>
      </c>
      <c r="I510" s="13">
        <v>12972.0</v>
      </c>
      <c r="J510" s="87">
        <f t="array" ref="J510">INDEX('TJ List'!B:B,MATCH(I510,'TJ List'!N:N,0),0)</f>
        <v>44722</v>
      </c>
      <c r="K510" s="6"/>
      <c r="L510" s="13"/>
      <c r="M510" s="11"/>
      <c r="N510" s="86"/>
      <c r="O510" s="86"/>
      <c r="T510" s="30"/>
      <c r="Z510" s="96"/>
    </row>
    <row r="511">
      <c r="B511" s="30"/>
      <c r="D511" s="30"/>
      <c r="G511" s="13" t="s">
        <v>353</v>
      </c>
      <c r="H511" s="11" t="s">
        <v>55</v>
      </c>
      <c r="I511" s="13">
        <v>8779.0</v>
      </c>
      <c r="J511" s="87">
        <f t="array" ref="J511">INDEX('TJ List'!B:B,MATCH(I511,'TJ List'!N:N,0),0)</f>
        <v>45419</v>
      </c>
      <c r="K511" s="6"/>
      <c r="L511" s="13"/>
      <c r="M511" s="11"/>
      <c r="N511" s="86"/>
      <c r="O511" s="86"/>
      <c r="T511" s="30"/>
      <c r="Z511" s="96"/>
    </row>
    <row r="512">
      <c r="B512" s="30"/>
      <c r="D512" s="30"/>
      <c r="G512" s="13" t="s">
        <v>314</v>
      </c>
      <c r="H512" s="11" t="s">
        <v>55</v>
      </c>
      <c r="I512" s="13">
        <v>29812.0</v>
      </c>
      <c r="J512" s="87">
        <f t="array" ref="J512">INDEX('TJ List'!B:B,MATCH(I512,'TJ List'!N:N,0),0)</f>
        <v>45467</v>
      </c>
      <c r="K512" s="6"/>
      <c r="L512" s="13"/>
      <c r="M512" s="11"/>
      <c r="N512" s="86"/>
      <c r="O512" s="86"/>
      <c r="T512" s="30"/>
      <c r="Z512" s="96"/>
    </row>
    <row r="513">
      <c r="B513" s="30"/>
      <c r="D513" s="30"/>
      <c r="G513" s="13" t="s">
        <v>5060</v>
      </c>
      <c r="H513" s="11" t="s">
        <v>55</v>
      </c>
      <c r="I513" s="13">
        <v>18679.0</v>
      </c>
      <c r="J513" t="str">
        <f t="array" ref="J513">INDEX('TJ List'!B:B,MATCH(I513,'TJ List'!N:N,0),0)</f>
        <v>#N/A</v>
      </c>
      <c r="K513" s="6"/>
      <c r="L513" s="13"/>
      <c r="M513" s="11"/>
      <c r="N513" s="86"/>
      <c r="O513" s="86"/>
      <c r="T513" s="30"/>
      <c r="Z513" s="96"/>
    </row>
    <row r="514">
      <c r="B514" s="30"/>
      <c r="D514" s="30"/>
      <c r="G514" s="13" t="s">
        <v>5061</v>
      </c>
      <c r="H514" s="11" t="s">
        <v>55</v>
      </c>
      <c r="I514" s="13">
        <v>22191.0</v>
      </c>
      <c r="J514" t="str">
        <f t="array" ref="J514">INDEX('TJ List'!B:B,MATCH(I514,'TJ List'!N:N,0),0)</f>
        <v>#N/A</v>
      </c>
      <c r="K514" s="6"/>
      <c r="L514" s="13"/>
      <c r="M514" s="11"/>
      <c r="N514" s="86"/>
      <c r="O514" s="86"/>
      <c r="T514" s="30"/>
      <c r="Z514" s="96"/>
    </row>
    <row r="515">
      <c r="B515" s="30"/>
      <c r="D515" s="30"/>
      <c r="G515" s="13" t="s">
        <v>5062</v>
      </c>
      <c r="H515" s="11" t="s">
        <v>55</v>
      </c>
      <c r="I515" s="13">
        <v>27517.0</v>
      </c>
      <c r="J515" t="str">
        <f t="array" ref="J515">INDEX('TJ List'!B:B,MATCH(I515,'TJ List'!N:N,0),0)</f>
        <v>#N/A</v>
      </c>
      <c r="K515" s="6"/>
      <c r="L515" s="13"/>
      <c r="M515" s="11"/>
      <c r="N515" s="86"/>
      <c r="O515" s="86"/>
      <c r="T515" s="30"/>
      <c r="Z515" s="96"/>
    </row>
    <row r="516">
      <c r="B516" s="30"/>
      <c r="D516" s="30"/>
      <c r="G516" s="13" t="s">
        <v>5063</v>
      </c>
      <c r="H516" s="11" t="s">
        <v>55</v>
      </c>
      <c r="I516" s="13">
        <v>13346.0</v>
      </c>
      <c r="J516" t="str">
        <f t="array" ref="J516">INDEX('TJ List'!B:B,MATCH(I516,'TJ List'!N:N,0),0)</f>
        <v>#N/A</v>
      </c>
      <c r="K516" s="6"/>
      <c r="L516" s="13"/>
      <c r="M516" s="11"/>
      <c r="N516" s="86"/>
      <c r="O516" s="86"/>
      <c r="T516" s="30"/>
      <c r="Z516" s="96"/>
    </row>
    <row r="517">
      <c r="B517" s="30"/>
      <c r="D517" s="30"/>
      <c r="G517" s="13" t="s">
        <v>5064</v>
      </c>
      <c r="H517" s="11" t="s">
        <v>55</v>
      </c>
      <c r="I517" s="13">
        <v>19924.0</v>
      </c>
      <c r="J517" t="str">
        <f t="array" ref="J517">INDEX('TJ List'!B:B,MATCH(I517,'TJ List'!N:N,0),0)</f>
        <v>#N/A</v>
      </c>
      <c r="K517" s="6"/>
      <c r="L517" s="13"/>
      <c r="M517" s="11"/>
      <c r="N517" s="86"/>
      <c r="O517" s="86"/>
      <c r="T517" s="30"/>
      <c r="Z517" s="96"/>
    </row>
    <row r="518">
      <c r="B518" s="30"/>
      <c r="D518" s="30"/>
      <c r="G518" s="13" t="s">
        <v>5065</v>
      </c>
      <c r="H518" s="11" t="s">
        <v>55</v>
      </c>
      <c r="I518" s="13">
        <v>23550.0</v>
      </c>
      <c r="J518" t="str">
        <f t="array" ref="J518">INDEX('TJ List'!B:B,MATCH(I518,'TJ List'!N:N,0),0)</f>
        <v>#N/A</v>
      </c>
      <c r="K518" s="6"/>
      <c r="L518" s="13"/>
      <c r="M518" s="11"/>
      <c r="N518" s="86"/>
      <c r="O518" s="86"/>
      <c r="T518" s="30"/>
      <c r="Z518" s="96"/>
    </row>
    <row r="519">
      <c r="B519" s="30"/>
      <c r="D519" s="30"/>
      <c r="G519" s="13" t="s">
        <v>5066</v>
      </c>
      <c r="H519" s="11" t="s">
        <v>55</v>
      </c>
      <c r="I519" s="13">
        <v>14332.0</v>
      </c>
      <c r="J519" t="str">
        <f t="array" ref="J519">INDEX('TJ List'!B:B,MATCH(I519,'TJ List'!N:N,0),0)</f>
        <v>#N/A</v>
      </c>
      <c r="K519" s="6"/>
      <c r="L519" s="13"/>
      <c r="M519" s="11"/>
      <c r="N519" s="86"/>
      <c r="O519" s="86"/>
      <c r="T519" s="30"/>
      <c r="Z519" s="96"/>
    </row>
    <row r="520">
      <c r="B520" s="30"/>
      <c r="D520" s="30"/>
      <c r="G520" s="13" t="s">
        <v>5067</v>
      </c>
      <c r="H520" s="11" t="s">
        <v>55</v>
      </c>
      <c r="I520" s="13">
        <v>15094.0</v>
      </c>
      <c r="J520" t="str">
        <f t="array" ref="J520">INDEX('TJ List'!B:B,MATCH(I520,'TJ List'!N:N,0),0)</f>
        <v>#N/A</v>
      </c>
      <c r="K520" s="6"/>
      <c r="L520" s="13"/>
      <c r="M520" s="11"/>
      <c r="N520" s="86"/>
      <c r="O520" s="86"/>
      <c r="T520" s="30"/>
      <c r="Z520" s="96"/>
    </row>
    <row r="521">
      <c r="B521" s="30"/>
      <c r="D521" s="30"/>
      <c r="G521" s="13" t="s">
        <v>5068</v>
      </c>
      <c r="H521" s="11" t="s">
        <v>55</v>
      </c>
      <c r="I521" s="13">
        <v>22207.0</v>
      </c>
      <c r="J521" t="str">
        <f t="array" ref="J521">INDEX('TJ List'!B:B,MATCH(I521,'TJ List'!N:N,0),0)</f>
        <v>#N/A</v>
      </c>
      <c r="K521" s="6"/>
      <c r="L521" s="13"/>
      <c r="M521" s="11"/>
      <c r="N521" s="86"/>
      <c r="O521" s="86"/>
      <c r="T521" s="30"/>
      <c r="Z521" s="96"/>
    </row>
    <row r="522">
      <c r="B522" s="30"/>
      <c r="D522" s="30"/>
      <c r="G522" s="13" t="s">
        <v>5069</v>
      </c>
      <c r="H522" s="11" t="s">
        <v>55</v>
      </c>
      <c r="I522" s="13">
        <v>21652.0</v>
      </c>
      <c r="J522" t="str">
        <f t="array" ref="J522">INDEX('TJ List'!B:B,MATCH(I522,'TJ List'!N:N,0),0)</f>
        <v>#N/A</v>
      </c>
      <c r="K522" s="6"/>
      <c r="L522" s="13"/>
      <c r="M522" s="11"/>
      <c r="N522" s="86"/>
      <c r="O522" s="86"/>
      <c r="T522" s="30"/>
      <c r="Z522" s="96"/>
    </row>
    <row r="523">
      <c r="B523" s="30"/>
      <c r="D523" s="30"/>
      <c r="G523" s="13" t="s">
        <v>5070</v>
      </c>
      <c r="H523" s="11" t="s">
        <v>55</v>
      </c>
      <c r="I523" s="13">
        <v>20491.0</v>
      </c>
      <c r="J523" t="str">
        <f t="array" ref="J523">INDEX('TJ List'!B:B,MATCH(I523,'TJ List'!N:N,0),0)</f>
        <v>#N/A</v>
      </c>
      <c r="K523" s="6"/>
      <c r="L523" s="13"/>
      <c r="M523" s="11"/>
      <c r="N523" s="86"/>
      <c r="O523" s="86"/>
      <c r="T523" s="30"/>
      <c r="Z523" s="96"/>
    </row>
    <row r="524">
      <c r="B524" s="30"/>
      <c r="D524" s="30"/>
      <c r="G524" s="13" t="s">
        <v>4692</v>
      </c>
      <c r="H524" s="11" t="s">
        <v>55</v>
      </c>
      <c r="I524" s="13">
        <v>15194.0</v>
      </c>
      <c r="J524" t="str">
        <f t="array" ref="J524">INDEX('TJ List'!B:B,MATCH(I524,'TJ List'!N:N,0),0)</f>
        <v>#N/A</v>
      </c>
      <c r="K524" s="6"/>
      <c r="L524" s="13"/>
      <c r="M524" s="11"/>
      <c r="N524" s="86"/>
      <c r="O524" s="86"/>
      <c r="T524" s="30"/>
      <c r="Z524" s="96"/>
    </row>
    <row r="525">
      <c r="B525" s="30"/>
      <c r="D525" s="30"/>
      <c r="G525" s="13" t="s">
        <v>5071</v>
      </c>
      <c r="H525" s="11" t="s">
        <v>55</v>
      </c>
      <c r="I525" s="13">
        <v>29891.0</v>
      </c>
      <c r="J525" t="str">
        <f t="array" ref="J525">INDEX('TJ List'!B:B,MATCH(I525,'TJ List'!N:N,0),0)</f>
        <v>#N/A</v>
      </c>
      <c r="K525" s="6"/>
      <c r="L525" s="13"/>
      <c r="M525" s="11"/>
      <c r="N525" s="86"/>
      <c r="O525" s="86"/>
      <c r="T525" s="30"/>
      <c r="Z525" s="96"/>
    </row>
    <row r="526">
      <c r="B526" s="30"/>
      <c r="D526" s="30"/>
      <c r="G526" s="13" t="s">
        <v>5072</v>
      </c>
      <c r="H526" s="11" t="s">
        <v>55</v>
      </c>
      <c r="I526" s="13">
        <v>30161.0</v>
      </c>
      <c r="J526" t="str">
        <f t="array" ref="J526">INDEX('TJ List'!B:B,MATCH(I526,'TJ List'!N:N,0),0)</f>
        <v>#N/A</v>
      </c>
      <c r="K526" s="6"/>
      <c r="L526" s="13"/>
      <c r="M526" s="11"/>
      <c r="N526" s="86"/>
      <c r="O526" s="86"/>
      <c r="T526" s="30"/>
      <c r="Z526" s="96"/>
    </row>
    <row r="527">
      <c r="B527" s="30"/>
      <c r="D527" s="30"/>
      <c r="G527" s="13" t="s">
        <v>5073</v>
      </c>
      <c r="H527" s="11" t="s">
        <v>55</v>
      </c>
      <c r="I527" s="13">
        <v>25327.0</v>
      </c>
      <c r="J527" t="str">
        <f t="array" ref="J527">INDEX('TJ List'!B:B,MATCH(I527,'TJ List'!N:N,0),0)</f>
        <v>#N/A</v>
      </c>
      <c r="K527" s="6"/>
      <c r="L527" s="13"/>
      <c r="M527" s="11"/>
      <c r="N527" s="86"/>
      <c r="O527" s="86"/>
      <c r="T527" s="30"/>
      <c r="Z527" s="96"/>
    </row>
    <row r="528">
      <c r="B528" s="30"/>
      <c r="D528" s="30"/>
      <c r="G528" s="13" t="s">
        <v>5074</v>
      </c>
      <c r="H528" s="11" t="s">
        <v>55</v>
      </c>
      <c r="I528" s="13">
        <v>9434.0</v>
      </c>
      <c r="J528" t="str">
        <f t="array" ref="J528">INDEX('TJ List'!B:B,MATCH(I528,'TJ List'!N:N,0),0)</f>
        <v>#N/A</v>
      </c>
      <c r="K528" s="6"/>
      <c r="L528" s="13"/>
      <c r="M528" s="11"/>
      <c r="N528" s="86"/>
      <c r="O528" s="86"/>
      <c r="T528" s="30"/>
      <c r="Z528" s="96"/>
    </row>
    <row r="529">
      <c r="B529" s="30"/>
      <c r="D529" s="30"/>
      <c r="G529" s="13" t="s">
        <v>4771</v>
      </c>
      <c r="H529" s="11" t="s">
        <v>55</v>
      </c>
      <c r="I529" s="13">
        <v>24655.0</v>
      </c>
      <c r="J529" t="str">
        <f t="array" ref="J529">INDEX('TJ List'!B:B,MATCH(I529,'TJ List'!N:N,0),0)</f>
        <v>#N/A</v>
      </c>
      <c r="K529" s="6"/>
      <c r="L529" s="13"/>
      <c r="M529" s="11"/>
      <c r="N529" s="86"/>
      <c r="O529" s="86"/>
      <c r="T529" s="30"/>
      <c r="Z529" s="96"/>
    </row>
    <row r="530">
      <c r="B530" s="30"/>
      <c r="D530" s="30"/>
      <c r="G530" s="13" t="s">
        <v>5075</v>
      </c>
      <c r="H530" s="11" t="s">
        <v>55</v>
      </c>
      <c r="I530" s="13">
        <v>19990.0</v>
      </c>
      <c r="J530" t="str">
        <f t="array" ref="J530">INDEX('TJ List'!B:B,MATCH(I530,'TJ List'!N:N,0),0)</f>
        <v>#N/A</v>
      </c>
      <c r="K530" s="6"/>
      <c r="L530" s="13"/>
      <c r="M530" s="11"/>
      <c r="N530" s="86"/>
      <c r="O530" s="86"/>
      <c r="T530" s="30"/>
      <c r="Z530" s="96"/>
    </row>
    <row r="531">
      <c r="B531" s="30"/>
      <c r="D531" s="30"/>
      <c r="G531" s="13" t="s">
        <v>5076</v>
      </c>
      <c r="H531" s="11" t="s">
        <v>103</v>
      </c>
      <c r="I531" s="13">
        <v>17085.0</v>
      </c>
      <c r="J531" s="87">
        <f t="array" ref="J531">INDEX('TJ List'!B:B,MATCH(I531,'TJ List'!N:N,0),0)</f>
        <v>41589</v>
      </c>
      <c r="K531" s="6"/>
      <c r="L531" s="13"/>
      <c r="M531" s="11"/>
      <c r="N531" s="86"/>
      <c r="O531" s="86"/>
      <c r="T531" s="30"/>
      <c r="Z531" s="96"/>
    </row>
    <row r="532">
      <c r="B532" s="30"/>
      <c r="D532" s="30"/>
      <c r="G532" s="13" t="s">
        <v>3062</v>
      </c>
      <c r="H532" s="11" t="s">
        <v>103</v>
      </c>
      <c r="I532" s="13">
        <v>19244.0</v>
      </c>
      <c r="J532" s="87">
        <f t="array" ref="J532">INDEX('TJ List'!B:B,MATCH(I532,'TJ List'!N:N,0),0)</f>
        <v>41673</v>
      </c>
      <c r="K532" s="6"/>
      <c r="L532" s="13"/>
      <c r="M532" s="11"/>
      <c r="N532" s="86"/>
      <c r="O532" s="86"/>
      <c r="T532" s="30"/>
      <c r="Z532" s="96"/>
    </row>
    <row r="533">
      <c r="B533" s="30"/>
      <c r="D533" s="30"/>
      <c r="G533" s="13" t="s">
        <v>2795</v>
      </c>
      <c r="H533" s="11" t="s">
        <v>103</v>
      </c>
      <c r="I533" s="13">
        <v>21224.0</v>
      </c>
      <c r="J533" s="87">
        <f t="array" ref="J533">INDEX('TJ List'!B:B,MATCH(I533,'TJ List'!N:N,0),0)</f>
        <v>42064</v>
      </c>
      <c r="K533" s="6"/>
      <c r="L533" s="13"/>
      <c r="M533" s="11"/>
      <c r="N533" s="86"/>
      <c r="O533" s="86"/>
      <c r="T533" s="30"/>
      <c r="Z533" s="96"/>
    </row>
    <row r="534">
      <c r="B534" s="30"/>
      <c r="D534" s="30"/>
      <c r="G534" s="13" t="s">
        <v>2726</v>
      </c>
      <c r="H534" s="11" t="s">
        <v>103</v>
      </c>
      <c r="I534" s="13">
        <v>15145.0</v>
      </c>
      <c r="J534" s="87">
        <f t="array" ref="J534">INDEX('TJ List'!B:B,MATCH(I534,'TJ List'!N:N,0),0)</f>
        <v>42123</v>
      </c>
      <c r="K534" s="6"/>
      <c r="L534" s="13"/>
      <c r="M534" s="11"/>
      <c r="N534" s="86"/>
      <c r="O534" s="86"/>
      <c r="T534" s="30"/>
      <c r="Z534" s="96"/>
    </row>
    <row r="535">
      <c r="B535" s="30"/>
      <c r="D535" s="30"/>
      <c r="G535" s="13" t="s">
        <v>1355</v>
      </c>
      <c r="H535" s="11" t="s">
        <v>103</v>
      </c>
      <c r="I535" s="13">
        <v>13528.0</v>
      </c>
      <c r="J535" s="87">
        <f t="array" ref="J535">INDEX('TJ List'!B:B,MATCH(I535,'TJ List'!N:N,0),0)</f>
        <v>44075</v>
      </c>
      <c r="K535" s="6"/>
      <c r="L535" s="13"/>
      <c r="M535" s="11"/>
      <c r="N535" s="86"/>
      <c r="O535" s="86"/>
      <c r="T535" s="30"/>
      <c r="Z535" s="96"/>
    </row>
    <row r="536">
      <c r="B536" s="30"/>
      <c r="D536" s="30"/>
      <c r="G536" s="13" t="s">
        <v>1153</v>
      </c>
      <c r="H536" s="11" t="s">
        <v>103</v>
      </c>
      <c r="I536" s="13">
        <v>16727.0</v>
      </c>
      <c r="J536" s="87">
        <f t="array" ref="J536">INDEX('TJ List'!B:B,MATCH(I536,'TJ List'!N:N,0),0)</f>
        <v>44317</v>
      </c>
      <c r="K536" s="6"/>
      <c r="L536" s="13"/>
      <c r="M536" s="11"/>
      <c r="N536" s="86"/>
      <c r="O536" s="86"/>
      <c r="T536" s="30"/>
      <c r="Z536" s="96"/>
    </row>
    <row r="537">
      <c r="B537" s="30"/>
      <c r="D537" s="30"/>
      <c r="G537" s="13" t="s">
        <v>822</v>
      </c>
      <c r="H537" s="11" t="s">
        <v>103</v>
      </c>
      <c r="I537" s="13">
        <v>20099.0</v>
      </c>
      <c r="J537" s="87">
        <f t="array" ref="J537">INDEX('TJ List'!B:B,MATCH(I537,'TJ List'!N:N,0),0)</f>
        <v>44699</v>
      </c>
      <c r="K537" s="6"/>
      <c r="L537" s="13"/>
      <c r="M537" s="11"/>
      <c r="N537" s="86"/>
      <c r="O537" s="86"/>
      <c r="T537" s="30"/>
      <c r="Z537" s="96"/>
    </row>
    <row r="538">
      <c r="B538" s="30"/>
      <c r="D538" s="30"/>
      <c r="G538" s="13" t="s">
        <v>356</v>
      </c>
      <c r="H538" s="11" t="s">
        <v>103</v>
      </c>
      <c r="I538" s="13">
        <v>17480.0</v>
      </c>
      <c r="J538" s="87">
        <f t="array" ref="J538">INDEX('TJ List'!B:B,MATCH(I538,'TJ List'!N:N,0),0)</f>
        <v>45419</v>
      </c>
      <c r="K538" s="6"/>
      <c r="L538" s="13"/>
      <c r="M538" s="11"/>
      <c r="N538" s="86"/>
      <c r="O538" s="86"/>
      <c r="T538" s="30"/>
      <c r="Z538" s="96"/>
    </row>
    <row r="539">
      <c r="B539" s="30"/>
      <c r="D539" s="30"/>
      <c r="G539" s="13" t="s">
        <v>5077</v>
      </c>
      <c r="H539" s="11" t="s">
        <v>103</v>
      </c>
      <c r="I539" s="13">
        <v>21390.0</v>
      </c>
      <c r="J539" t="str">
        <f t="array" ref="J539">INDEX('TJ List'!B:B,MATCH(I539,'TJ List'!N:N,0),0)</f>
        <v>#N/A</v>
      </c>
      <c r="K539" s="6"/>
      <c r="L539" s="13"/>
      <c r="M539" s="11"/>
      <c r="N539" s="86"/>
      <c r="O539" s="86"/>
      <c r="T539" s="30"/>
      <c r="Z539" s="96"/>
    </row>
    <row r="540">
      <c r="B540" s="30"/>
      <c r="D540" s="30"/>
      <c r="G540" s="13" t="s">
        <v>5078</v>
      </c>
      <c r="H540" s="11" t="s">
        <v>103</v>
      </c>
      <c r="I540" s="13">
        <v>20253.0</v>
      </c>
      <c r="J540" t="str">
        <f t="array" ref="J540">INDEX('TJ List'!B:B,MATCH(I540,'TJ List'!N:N,0),0)</f>
        <v>#N/A</v>
      </c>
      <c r="K540" s="6"/>
      <c r="L540" s="13"/>
      <c r="M540" s="11"/>
      <c r="N540" s="86"/>
      <c r="O540" s="86"/>
      <c r="T540" s="30"/>
      <c r="Z540" s="96"/>
    </row>
    <row r="541">
      <c r="B541" s="30"/>
      <c r="D541" s="30"/>
      <c r="G541" s="13" t="s">
        <v>5079</v>
      </c>
      <c r="H541" s="11" t="s">
        <v>103</v>
      </c>
      <c r="I541" s="13">
        <v>24494.0</v>
      </c>
      <c r="J541" t="str">
        <f t="array" ref="J541">INDEX('TJ List'!B:B,MATCH(I541,'TJ List'!N:N,0),0)</f>
        <v>#N/A</v>
      </c>
      <c r="K541" s="6"/>
      <c r="L541" s="13"/>
      <c r="M541" s="11"/>
      <c r="N541" s="86"/>
      <c r="O541" s="86"/>
      <c r="T541" s="30"/>
      <c r="Z541" s="96"/>
    </row>
    <row r="542">
      <c r="B542" s="30"/>
      <c r="D542" s="30"/>
      <c r="G542" s="13" t="s">
        <v>5080</v>
      </c>
      <c r="H542" s="11" t="s">
        <v>103</v>
      </c>
      <c r="I542" s="13">
        <v>21461.0</v>
      </c>
      <c r="J542" t="str">
        <f t="array" ref="J542">INDEX('TJ List'!B:B,MATCH(I542,'TJ List'!N:N,0),0)</f>
        <v>#N/A</v>
      </c>
      <c r="K542" s="6"/>
      <c r="L542" s="13"/>
      <c r="M542" s="11"/>
      <c r="N542" s="86"/>
      <c r="O542" s="86"/>
      <c r="T542" s="30"/>
      <c r="Z542" s="96"/>
    </row>
    <row r="543">
      <c r="B543" s="30"/>
      <c r="D543" s="30"/>
      <c r="G543" s="13" t="s">
        <v>5081</v>
      </c>
      <c r="H543" s="11" t="s">
        <v>103</v>
      </c>
      <c r="I543" s="13">
        <v>21029.0</v>
      </c>
      <c r="J543" t="str">
        <f t="array" ref="J543">INDEX('TJ List'!B:B,MATCH(I543,'TJ List'!N:N,0),0)</f>
        <v>#N/A</v>
      </c>
      <c r="K543" s="6"/>
      <c r="L543" s="13"/>
      <c r="M543" s="11"/>
      <c r="N543" s="86"/>
      <c r="O543" s="86"/>
      <c r="T543" s="30"/>
      <c r="Z543" s="96"/>
    </row>
    <row r="544">
      <c r="B544" s="30"/>
      <c r="D544" s="30"/>
      <c r="G544" s="13" t="s">
        <v>5082</v>
      </c>
      <c r="H544" s="11" t="s">
        <v>103</v>
      </c>
      <c r="I544" s="13">
        <v>30056.0</v>
      </c>
      <c r="J544" t="str">
        <f t="array" ref="J544">INDEX('TJ List'!B:B,MATCH(I544,'TJ List'!N:N,0),0)</f>
        <v>#N/A</v>
      </c>
      <c r="K544" s="6"/>
      <c r="L544" s="13"/>
      <c r="M544" s="11"/>
      <c r="N544" s="86"/>
      <c r="O544" s="86"/>
      <c r="T544" s="30"/>
      <c r="Z544" s="96"/>
    </row>
    <row r="545">
      <c r="B545" s="30"/>
      <c r="D545" s="30"/>
      <c r="G545" s="13" t="s">
        <v>5083</v>
      </c>
      <c r="H545" s="11" t="s">
        <v>103</v>
      </c>
      <c r="I545" s="13">
        <v>19459.0</v>
      </c>
      <c r="J545" t="str">
        <f t="array" ref="J545">INDEX('TJ List'!B:B,MATCH(I545,'TJ List'!N:N,0),0)</f>
        <v>#N/A</v>
      </c>
      <c r="K545" s="6"/>
      <c r="L545" s="13"/>
      <c r="M545" s="11"/>
      <c r="N545" s="86"/>
      <c r="O545" s="86"/>
      <c r="T545" s="30"/>
      <c r="Z545" s="96"/>
    </row>
    <row r="546">
      <c r="B546" s="30"/>
      <c r="D546" s="30"/>
      <c r="G546" s="13" t="s">
        <v>5084</v>
      </c>
      <c r="H546" s="11" t="s">
        <v>103</v>
      </c>
      <c r="I546" s="13">
        <v>18335.0</v>
      </c>
      <c r="J546" t="str">
        <f t="array" ref="J546">INDEX('TJ List'!B:B,MATCH(I546,'TJ List'!N:N,0),0)</f>
        <v>#N/A</v>
      </c>
      <c r="K546" s="6"/>
      <c r="L546" s="13"/>
      <c r="M546" s="11"/>
      <c r="N546" s="86"/>
      <c r="O546" s="86"/>
      <c r="T546" s="30"/>
      <c r="Z546" s="96"/>
    </row>
    <row r="547">
      <c r="B547" s="30"/>
      <c r="D547" s="30"/>
      <c r="G547" s="13" t="s">
        <v>200</v>
      </c>
      <c r="H547" s="11" t="s">
        <v>103</v>
      </c>
      <c r="I547" s="13">
        <v>24606.0</v>
      </c>
      <c r="J547" s="87">
        <f t="array" ref="J547">INDEX('TJ List'!B:B,MATCH(I547,'TJ List'!N:N,0),0)</f>
        <v>45717</v>
      </c>
      <c r="K547" s="6"/>
      <c r="L547" s="13"/>
      <c r="M547" s="11"/>
      <c r="N547" s="86"/>
      <c r="O547" s="86"/>
      <c r="T547" s="30"/>
      <c r="Z547" s="96"/>
    </row>
    <row r="548">
      <c r="B548" s="30"/>
      <c r="D548" s="30"/>
      <c r="G548" s="13" t="s">
        <v>5085</v>
      </c>
      <c r="H548" s="11" t="s">
        <v>103</v>
      </c>
      <c r="I548" s="13">
        <v>10078.0</v>
      </c>
      <c r="J548" t="str">
        <f t="array" ref="J548">INDEX('TJ List'!B:B,MATCH(I548,'TJ List'!N:N,0),0)</f>
        <v>#N/A</v>
      </c>
      <c r="K548" s="6"/>
      <c r="L548" s="13"/>
      <c r="M548" s="11"/>
      <c r="N548" s="86"/>
      <c r="O548" s="86"/>
      <c r="T548" s="30"/>
      <c r="Z548" s="96"/>
    </row>
    <row r="549">
      <c r="B549" s="30"/>
      <c r="D549" s="30"/>
      <c r="G549" s="13" t="s">
        <v>36</v>
      </c>
      <c r="H549" s="11" t="s">
        <v>103</v>
      </c>
      <c r="I549" s="13">
        <v>24094.0</v>
      </c>
      <c r="J549" s="87">
        <f t="array" ref="J549">INDEX('TJ List'!B:B,MATCH(I549,'TJ List'!N:N,0),0)</f>
        <v>45992</v>
      </c>
      <c r="K549" s="6"/>
      <c r="L549" s="13"/>
      <c r="M549" s="11"/>
      <c r="N549" s="86"/>
      <c r="O549" s="86"/>
      <c r="T549" s="30"/>
      <c r="Z549" s="96"/>
    </row>
    <row r="550">
      <c r="B550" s="30"/>
      <c r="D550" s="30"/>
      <c r="G550" s="13" t="s">
        <v>5086</v>
      </c>
      <c r="H550" s="11" t="s">
        <v>103</v>
      </c>
      <c r="I550" s="13">
        <v>16427.0</v>
      </c>
      <c r="J550" t="str">
        <f t="array" ref="J550">INDEX('TJ List'!B:B,MATCH(I550,'TJ List'!N:N,0),0)</f>
        <v>#N/A</v>
      </c>
      <c r="K550" s="6"/>
      <c r="L550" s="13"/>
      <c r="M550" s="11"/>
      <c r="N550" s="86"/>
      <c r="O550" s="86"/>
      <c r="T550" s="30"/>
      <c r="Z550" s="96"/>
    </row>
    <row r="551">
      <c r="B551" s="30"/>
      <c r="D551" s="30"/>
      <c r="G551" s="13" t="s">
        <v>4703</v>
      </c>
      <c r="H551" s="11" t="s">
        <v>103</v>
      </c>
      <c r="I551" s="13">
        <v>17496.0</v>
      </c>
      <c r="J551" t="str">
        <f t="array" ref="J551">INDEX('TJ List'!B:B,MATCH(I551,'TJ List'!N:N,0),0)</f>
        <v>#N/A</v>
      </c>
      <c r="K551" s="6"/>
      <c r="L551" s="13"/>
      <c r="M551" s="11"/>
      <c r="N551" s="86"/>
      <c r="O551" s="86"/>
      <c r="T551" s="30"/>
      <c r="Z551" s="96"/>
    </row>
    <row r="552">
      <c r="B552" s="30"/>
      <c r="D552" s="30"/>
      <c r="G552" s="13" t="s">
        <v>5087</v>
      </c>
      <c r="H552" s="11" t="s">
        <v>103</v>
      </c>
      <c r="I552" s="13">
        <v>19736.0</v>
      </c>
      <c r="J552" t="str">
        <f t="array" ref="J552">INDEX('TJ List'!B:B,MATCH(I552,'TJ List'!N:N,0),0)</f>
        <v>#N/A</v>
      </c>
      <c r="K552" s="6"/>
      <c r="L552" s="13"/>
      <c r="M552" s="11"/>
      <c r="N552" s="86"/>
      <c r="O552" s="86"/>
      <c r="T552" s="30"/>
      <c r="Z552" s="96"/>
    </row>
    <row r="553">
      <c r="B553" s="30"/>
      <c r="D553" s="30"/>
      <c r="G553" s="13" t="s">
        <v>4718</v>
      </c>
      <c r="H553" s="11" t="s">
        <v>103</v>
      </c>
      <c r="I553" s="13">
        <v>14813.0</v>
      </c>
      <c r="J553" t="str">
        <f t="array" ref="J553">INDEX('TJ List'!B:B,MATCH(I553,'TJ List'!N:N,0),0)</f>
        <v>#N/A</v>
      </c>
      <c r="K553" s="6"/>
      <c r="L553" s="13"/>
      <c r="M553" s="11"/>
      <c r="N553" s="86"/>
      <c r="O553" s="86"/>
      <c r="T553" s="30"/>
      <c r="Z553" s="96"/>
    </row>
    <row r="554">
      <c r="B554" s="30"/>
      <c r="D554" s="30"/>
      <c r="G554" s="13" t="s">
        <v>4819</v>
      </c>
      <c r="H554" s="11" t="s">
        <v>103</v>
      </c>
      <c r="I554" s="13">
        <v>26466.0</v>
      </c>
      <c r="J554" t="str">
        <f t="array" ref="J554">INDEX('TJ List'!B:B,MATCH(I554,'TJ List'!N:N,0),0)</f>
        <v>#N/A</v>
      </c>
      <c r="K554" s="6"/>
      <c r="L554" s="13"/>
      <c r="M554" s="11"/>
      <c r="N554" s="86"/>
      <c r="O554" s="86"/>
      <c r="T554" s="30"/>
      <c r="Z554" s="96"/>
    </row>
    <row r="555">
      <c r="B555" s="30"/>
      <c r="D555" s="30"/>
      <c r="G555" s="13" t="s">
        <v>4705</v>
      </c>
      <c r="H555" s="11" t="s">
        <v>103</v>
      </c>
      <c r="I555" s="13">
        <v>17338.0</v>
      </c>
      <c r="J555" t="str">
        <f t="array" ref="J555">INDEX('TJ List'!B:B,MATCH(I555,'TJ List'!N:N,0),0)</f>
        <v>#N/A</v>
      </c>
      <c r="K555" s="6"/>
      <c r="L555" s="13"/>
      <c r="M555" s="11"/>
      <c r="N555" s="86"/>
      <c r="O555" s="86"/>
      <c r="T555" s="30"/>
      <c r="Z555" s="96"/>
    </row>
    <row r="556">
      <c r="B556" s="30"/>
      <c r="D556" s="30"/>
      <c r="G556" s="13" t="s">
        <v>5088</v>
      </c>
      <c r="H556" s="11" t="s">
        <v>103</v>
      </c>
      <c r="I556" s="13">
        <v>27702.0</v>
      </c>
      <c r="J556" t="str">
        <f t="array" ref="J556">INDEX('TJ List'!B:B,MATCH(I556,'TJ List'!N:N,0),0)</f>
        <v>#N/A</v>
      </c>
      <c r="K556" s="6"/>
      <c r="L556" s="13"/>
      <c r="M556" s="11"/>
      <c r="N556" s="86"/>
      <c r="O556" s="86"/>
      <c r="T556" s="30"/>
      <c r="Z556" s="96"/>
    </row>
    <row r="557">
      <c r="B557" s="30"/>
      <c r="D557" s="30"/>
      <c r="G557" s="13" t="s">
        <v>5089</v>
      </c>
      <c r="H557" s="11" t="s">
        <v>103</v>
      </c>
      <c r="I557" s="13">
        <v>23798.0</v>
      </c>
      <c r="J557" t="str">
        <f t="array" ref="J557">INDEX('TJ List'!B:B,MATCH(I557,'TJ List'!N:N,0),0)</f>
        <v>#N/A</v>
      </c>
      <c r="K557" s="6"/>
      <c r="L557" s="13"/>
      <c r="M557" s="11"/>
      <c r="N557" s="86"/>
      <c r="O557" s="86"/>
      <c r="T557" s="30"/>
      <c r="Z557" s="96"/>
    </row>
    <row r="558">
      <c r="B558" s="30"/>
      <c r="D558" s="30"/>
      <c r="G558" s="13" t="s">
        <v>5090</v>
      </c>
      <c r="H558" s="11" t="s">
        <v>103</v>
      </c>
      <c r="I558" s="13">
        <v>24993.0</v>
      </c>
      <c r="J558" t="str">
        <f t="array" ref="J558">INDEX('TJ List'!B:B,MATCH(I558,'TJ List'!N:N,0),0)</f>
        <v>#N/A</v>
      </c>
      <c r="K558" s="6"/>
      <c r="L558" s="13"/>
      <c r="M558" s="11"/>
      <c r="N558" s="86"/>
      <c r="O558" s="86"/>
      <c r="T558" s="30"/>
      <c r="Z558" s="96"/>
    </row>
    <row r="559">
      <c r="B559" s="30"/>
      <c r="D559" s="30"/>
      <c r="G559" s="13" t="s">
        <v>5091</v>
      </c>
      <c r="H559" s="11" t="s">
        <v>103</v>
      </c>
      <c r="I559" s="13">
        <v>31827.0</v>
      </c>
      <c r="J559" t="str">
        <f t="array" ref="J559">INDEX('TJ List'!B:B,MATCH(I559,'TJ List'!N:N,0),0)</f>
        <v>#N/A</v>
      </c>
      <c r="K559" s="6"/>
      <c r="L559" s="13"/>
      <c r="M559" s="11"/>
      <c r="N559" s="86"/>
      <c r="O559" s="86"/>
      <c r="T559" s="30"/>
      <c r="Z559" s="96"/>
    </row>
    <row r="560">
      <c r="B560" s="30"/>
      <c r="D560" s="30"/>
      <c r="G560" s="13" t="s">
        <v>5092</v>
      </c>
      <c r="H560" s="11" t="s">
        <v>103</v>
      </c>
      <c r="I560" s="13">
        <v>13580.0</v>
      </c>
      <c r="J560" t="str">
        <f t="array" ref="J560">INDEX('TJ List'!B:B,MATCH(I560,'TJ List'!N:N,0),0)</f>
        <v>#N/A</v>
      </c>
      <c r="K560" s="6"/>
      <c r="L560" s="13"/>
      <c r="M560" s="11"/>
      <c r="N560" s="86"/>
      <c r="O560" s="86"/>
      <c r="T560" s="30"/>
      <c r="Z560" s="96"/>
    </row>
    <row r="561">
      <c r="B561" s="30"/>
      <c r="D561" s="30"/>
      <c r="G561" s="13" t="s">
        <v>5093</v>
      </c>
      <c r="H561" s="11" t="s">
        <v>103</v>
      </c>
      <c r="I561" s="13">
        <v>7432.0</v>
      </c>
      <c r="J561" t="str">
        <f t="array" ref="J561">INDEX('TJ List'!B:B,MATCH(I561,'TJ List'!N:N,0),0)</f>
        <v>#N/A</v>
      </c>
      <c r="K561" s="6"/>
      <c r="L561" s="13"/>
      <c r="M561" s="11"/>
      <c r="N561" s="86"/>
      <c r="O561" s="86"/>
      <c r="T561" s="30"/>
      <c r="Z561" s="96"/>
    </row>
    <row r="562">
      <c r="B562" s="30"/>
      <c r="D562" s="30"/>
      <c r="G562" s="13" t="s">
        <v>5094</v>
      </c>
      <c r="H562" s="11" t="s">
        <v>103</v>
      </c>
      <c r="I562" s="13">
        <v>27691.0</v>
      </c>
      <c r="J562" t="str">
        <f t="array" ref="J562">INDEX('TJ List'!B:B,MATCH(I562,'TJ List'!N:N,0),0)</f>
        <v>#N/A</v>
      </c>
      <c r="K562" s="6"/>
      <c r="L562" s="13"/>
      <c r="M562" s="11"/>
      <c r="N562" s="86"/>
      <c r="O562" s="86"/>
      <c r="T562" s="30"/>
      <c r="Z562" s="96"/>
    </row>
    <row r="563">
      <c r="B563" s="30"/>
      <c r="D563" s="30"/>
      <c r="G563" s="13" t="s">
        <v>2825</v>
      </c>
      <c r="H563" s="11" t="s">
        <v>49</v>
      </c>
      <c r="I563" s="13">
        <v>15256.0</v>
      </c>
      <c r="J563" s="87">
        <f t="array" ref="J563">INDEX('TJ List'!B:B,MATCH(I563,'TJ List'!N:N,0),0)</f>
        <v>42005</v>
      </c>
      <c r="K563" s="6"/>
      <c r="L563" s="13"/>
      <c r="M563" s="11"/>
      <c r="N563" s="86"/>
      <c r="O563" s="86"/>
      <c r="T563" s="30"/>
      <c r="Z563" s="96"/>
    </row>
    <row r="564">
      <c r="B564" s="30"/>
      <c r="D564" s="30"/>
      <c r="G564" s="13" t="s">
        <v>2709</v>
      </c>
      <c r="H564" s="11" t="s">
        <v>49</v>
      </c>
      <c r="I564" s="13">
        <v>1247.0</v>
      </c>
      <c r="J564" s="87">
        <f t="array" ref="J564">INDEX('TJ List'!B:B,MATCH(I564,'TJ List'!N:N,0),0)</f>
        <v>42131</v>
      </c>
      <c r="K564" s="6"/>
      <c r="L564" s="13"/>
      <c r="M564" s="11"/>
      <c r="N564" s="86"/>
      <c r="O564" s="86"/>
      <c r="T564" s="30"/>
      <c r="Z564" s="96"/>
    </row>
    <row r="565">
      <c r="B565" s="30"/>
      <c r="D565" s="30"/>
      <c r="G565" s="13" t="s">
        <v>2326</v>
      </c>
      <c r="H565" s="11" t="s">
        <v>49</v>
      </c>
      <c r="I565" s="13">
        <v>12718.0</v>
      </c>
      <c r="J565" s="87">
        <f t="array" ref="J565">INDEX('TJ List'!B:B,MATCH(I565,'TJ List'!N:N,0),0)</f>
        <v>42572</v>
      </c>
      <c r="K565" s="6"/>
      <c r="L565" s="13"/>
      <c r="M565" s="11"/>
      <c r="N565" s="86"/>
      <c r="O565" s="86"/>
      <c r="T565" s="30"/>
      <c r="Z565" s="96"/>
    </row>
    <row r="566">
      <c r="B566" s="30"/>
      <c r="D566" s="30"/>
      <c r="G566" s="13" t="s">
        <v>1430</v>
      </c>
      <c r="H566" s="11" t="s">
        <v>49</v>
      </c>
      <c r="I566" s="13">
        <v>15890.0</v>
      </c>
      <c r="J566" s="87">
        <f t="array" ref="J566">INDEX('TJ List'!B:B,MATCH(I566,'TJ List'!N:N,0),0)</f>
        <v>43888</v>
      </c>
      <c r="K566" s="6"/>
      <c r="L566" s="13"/>
      <c r="M566" s="11"/>
      <c r="N566" s="86"/>
      <c r="O566" s="86"/>
      <c r="T566" s="30"/>
      <c r="Z566" s="96"/>
    </row>
    <row r="567">
      <c r="B567" s="30"/>
      <c r="D567" s="30"/>
      <c r="G567" s="13" t="s">
        <v>1423</v>
      </c>
      <c r="H567" s="11" t="s">
        <v>49</v>
      </c>
      <c r="I567" s="13">
        <v>19330.0</v>
      </c>
      <c r="J567" s="87">
        <f t="array" ref="J567">INDEX('TJ List'!B:B,MATCH(I567,'TJ List'!N:N,0),0)</f>
        <v>43895</v>
      </c>
      <c r="K567" s="6"/>
      <c r="L567" s="13"/>
      <c r="M567" s="11"/>
      <c r="N567" s="86"/>
      <c r="O567" s="86"/>
      <c r="T567" s="30"/>
      <c r="Z567" s="96"/>
    </row>
    <row r="568">
      <c r="B568" s="30"/>
      <c r="D568" s="30"/>
      <c r="G568" s="13" t="s">
        <v>5095</v>
      </c>
      <c r="H568" s="11" t="s">
        <v>49</v>
      </c>
      <c r="I568" s="13">
        <v>23055.0</v>
      </c>
      <c r="J568" s="87">
        <f t="array" ref="J568">INDEX('TJ List'!B:B,MATCH(I568,'TJ List'!N:N,0),0)</f>
        <v>45852</v>
      </c>
      <c r="K568" s="6"/>
      <c r="L568" s="13"/>
      <c r="M568" s="11"/>
      <c r="N568" s="86"/>
      <c r="O568" s="86"/>
      <c r="T568" s="30"/>
      <c r="Z568" s="96"/>
    </row>
    <row r="569">
      <c r="B569" s="30"/>
      <c r="D569" s="30"/>
      <c r="G569" s="13" t="s">
        <v>1177</v>
      </c>
      <c r="H569" s="11" t="s">
        <v>49</v>
      </c>
      <c r="I569" s="13">
        <v>25651.0</v>
      </c>
      <c r="J569" s="87">
        <f t="array" ref="J569">INDEX('TJ List'!B:B,MATCH(I569,'TJ List'!N:N,0),0)</f>
        <v>44299</v>
      </c>
      <c r="K569" s="6"/>
      <c r="L569" s="13"/>
      <c r="M569" s="11"/>
      <c r="N569" s="86"/>
      <c r="O569" s="86"/>
      <c r="T569" s="30"/>
      <c r="Z569" s="96"/>
    </row>
    <row r="570">
      <c r="B570" s="30"/>
      <c r="D570" s="30"/>
      <c r="G570" s="13" t="s">
        <v>1090</v>
      </c>
      <c r="H570" s="11" t="s">
        <v>49</v>
      </c>
      <c r="I570" s="13">
        <v>19320.0</v>
      </c>
      <c r="J570" s="87">
        <f t="array" ref="J570">INDEX('TJ List'!B:B,MATCH(I570,'TJ List'!N:N,0),0)</f>
        <v>44371</v>
      </c>
      <c r="K570" s="6"/>
      <c r="L570" s="13"/>
      <c r="M570" s="11"/>
      <c r="N570" s="86"/>
      <c r="O570" s="86"/>
      <c r="T570" s="30"/>
      <c r="Z570" s="96"/>
    </row>
    <row r="571">
      <c r="B571" s="30"/>
      <c r="D571" s="30"/>
      <c r="G571" s="13" t="s">
        <v>828</v>
      </c>
      <c r="H571" s="11" t="s">
        <v>49</v>
      </c>
      <c r="I571" s="13">
        <v>17034.0</v>
      </c>
      <c r="J571" s="87">
        <f t="array" ref="J571">INDEX('TJ List'!B:B,MATCH(I571,'TJ List'!N:N,0),0)</f>
        <v>44692</v>
      </c>
      <c r="K571" s="6"/>
      <c r="L571" s="13"/>
      <c r="M571" s="11"/>
      <c r="N571" s="86"/>
      <c r="O571" s="86"/>
      <c r="T571" s="30"/>
      <c r="Z571" s="96"/>
    </row>
    <row r="572">
      <c r="B572" s="30"/>
      <c r="D572" s="30"/>
      <c r="G572" s="13" t="s">
        <v>343</v>
      </c>
      <c r="H572" s="11" t="s">
        <v>49</v>
      </c>
      <c r="I572" s="13">
        <v>10061.0</v>
      </c>
      <c r="J572" s="87">
        <f t="array" ref="J572">INDEX('TJ List'!B:B,MATCH(I572,'TJ List'!N:N,0),0)</f>
        <v>45438</v>
      </c>
      <c r="K572" s="6"/>
      <c r="L572" s="13"/>
      <c r="M572" s="11"/>
      <c r="N572" s="86"/>
      <c r="O572" s="86"/>
      <c r="T572" s="30"/>
      <c r="Z572" s="96"/>
    </row>
    <row r="573">
      <c r="B573" s="30"/>
      <c r="D573" s="30"/>
      <c r="G573" s="13" t="s">
        <v>293</v>
      </c>
      <c r="H573" s="11" t="s">
        <v>49</v>
      </c>
      <c r="I573" s="13">
        <v>17755.0</v>
      </c>
      <c r="J573" s="87">
        <f t="array" ref="J573">INDEX('TJ List'!B:B,MATCH(I573,'TJ List'!N:N,0),0)</f>
        <v>45485</v>
      </c>
      <c r="K573" s="6"/>
      <c r="L573" s="13"/>
      <c r="M573" s="11"/>
      <c r="N573" s="86"/>
      <c r="O573" s="86"/>
      <c r="T573" s="30"/>
      <c r="Z573" s="96"/>
    </row>
    <row r="574">
      <c r="B574" s="30"/>
      <c r="D574" s="30"/>
      <c r="G574" s="13" t="s">
        <v>256</v>
      </c>
      <c r="H574" s="11" t="s">
        <v>49</v>
      </c>
      <c r="I574" s="13">
        <v>30107.0</v>
      </c>
      <c r="J574" s="87">
        <f t="array" ref="J574">INDEX('TJ List'!B:B,MATCH(I574,'TJ List'!N:N,0),0)</f>
        <v>45560</v>
      </c>
      <c r="K574" s="6"/>
      <c r="L574" s="13"/>
      <c r="M574" s="11"/>
      <c r="N574" s="86"/>
      <c r="O574" s="86"/>
      <c r="T574" s="30"/>
      <c r="Z574" s="96"/>
    </row>
    <row r="575">
      <c r="B575" s="30"/>
      <c r="D575" s="30"/>
      <c r="G575" s="13" t="s">
        <v>5096</v>
      </c>
      <c r="H575" s="11" t="s">
        <v>49</v>
      </c>
      <c r="I575" s="13">
        <v>15873.0</v>
      </c>
      <c r="J575" t="str">
        <f t="array" ref="J575">INDEX('TJ List'!B:B,MATCH(I575,'TJ List'!N:N,0),0)</f>
        <v>#N/A</v>
      </c>
      <c r="K575" s="6"/>
      <c r="L575" s="13"/>
      <c r="M575" s="11"/>
      <c r="N575" s="86"/>
      <c r="O575" s="86"/>
      <c r="T575" s="30"/>
      <c r="Z575" s="96"/>
    </row>
    <row r="576">
      <c r="B576" s="30"/>
      <c r="D576" s="30"/>
      <c r="G576" s="13" t="s">
        <v>5097</v>
      </c>
      <c r="H576" s="11" t="s">
        <v>49</v>
      </c>
      <c r="I576" s="13">
        <v>20302.0</v>
      </c>
      <c r="J576" t="str">
        <f t="array" ref="J576">INDEX('TJ List'!B:B,MATCH(I576,'TJ List'!N:N,0),0)</f>
        <v>#N/A</v>
      </c>
      <c r="K576" s="6"/>
      <c r="L576" s="13"/>
      <c r="M576" s="11"/>
      <c r="N576" s="86"/>
      <c r="O576" s="86"/>
      <c r="T576" s="30"/>
      <c r="Z576" s="96"/>
    </row>
    <row r="577">
      <c r="B577" s="30"/>
      <c r="D577" s="30"/>
      <c r="G577" s="13" t="s">
        <v>66</v>
      </c>
      <c r="H577" s="11" t="s">
        <v>49</v>
      </c>
      <c r="I577" s="13">
        <v>21318.0</v>
      </c>
      <c r="J577" s="87">
        <f t="array" ref="J577">INDEX('TJ List'!B:B,MATCH(I577,'TJ List'!N:N,0),0)</f>
        <v>45922</v>
      </c>
      <c r="K577" s="6"/>
      <c r="L577" s="13"/>
      <c r="M577" s="11"/>
      <c r="N577" s="86"/>
      <c r="O577" s="86"/>
      <c r="T577" s="30"/>
      <c r="Z577" s="96"/>
    </row>
    <row r="578">
      <c r="B578" s="30"/>
      <c r="D578" s="30"/>
      <c r="G578" s="13" t="s">
        <v>5098</v>
      </c>
      <c r="H578" s="11" t="s">
        <v>49</v>
      </c>
      <c r="I578" s="13">
        <v>14710.0</v>
      </c>
      <c r="J578" t="str">
        <f t="array" ref="J578">INDEX('TJ List'!B:B,MATCH(I578,'TJ List'!N:N,0),0)</f>
        <v>#N/A</v>
      </c>
      <c r="K578" s="6"/>
      <c r="L578" s="13"/>
      <c r="M578" s="11"/>
      <c r="N578" s="86"/>
      <c r="O578" s="86"/>
      <c r="T578" s="30"/>
      <c r="Z578" s="96"/>
    </row>
    <row r="579">
      <c r="B579" s="30"/>
      <c r="D579" s="30"/>
      <c r="G579" s="13" t="s">
        <v>5099</v>
      </c>
      <c r="H579" s="11" t="s">
        <v>49</v>
      </c>
      <c r="I579" s="13">
        <v>11423.0</v>
      </c>
      <c r="J579" t="str">
        <f t="array" ref="J579">INDEX('TJ List'!B:B,MATCH(I579,'TJ List'!N:N,0),0)</f>
        <v>#N/A</v>
      </c>
      <c r="K579" s="6"/>
      <c r="L579" s="13"/>
      <c r="M579" s="11"/>
      <c r="N579" s="86"/>
      <c r="O579" s="86"/>
      <c r="T579" s="30"/>
      <c r="Z579" s="96"/>
    </row>
    <row r="580">
      <c r="B580" s="30"/>
      <c r="D580" s="30"/>
      <c r="G580" s="13" t="s">
        <v>5100</v>
      </c>
      <c r="H580" s="11" t="s">
        <v>49</v>
      </c>
      <c r="I580" s="13">
        <v>23313.0</v>
      </c>
      <c r="J580" t="str">
        <f t="array" ref="J580">INDEX('TJ List'!B:B,MATCH(I580,'TJ List'!N:N,0),0)</f>
        <v>#N/A</v>
      </c>
      <c r="K580" s="6"/>
      <c r="L580" s="13"/>
      <c r="M580" s="11"/>
      <c r="N580" s="86"/>
      <c r="O580" s="86"/>
      <c r="T580" s="30"/>
      <c r="Z580" s="96"/>
    </row>
    <row r="581">
      <c r="B581" s="30"/>
      <c r="D581" s="30"/>
      <c r="G581" s="13" t="s">
        <v>48</v>
      </c>
      <c r="H581" s="11" t="s">
        <v>49</v>
      </c>
      <c r="I581" s="13">
        <v>16866.0</v>
      </c>
      <c r="J581" s="87">
        <f t="array" ref="J581">INDEX('TJ List'!B:B,MATCH(I581,'TJ List'!N:N,0),0)</f>
        <v>45938</v>
      </c>
      <c r="K581" s="6"/>
      <c r="L581" s="13"/>
      <c r="M581" s="11"/>
      <c r="N581" s="86"/>
      <c r="O581" s="86"/>
      <c r="T581" s="30"/>
      <c r="Z581" s="96"/>
    </row>
    <row r="582">
      <c r="B582" s="30"/>
      <c r="D582" s="30"/>
      <c r="G582" s="13" t="s">
        <v>145</v>
      </c>
      <c r="H582" s="11" t="s">
        <v>49</v>
      </c>
      <c r="I582" s="13">
        <v>18439.0</v>
      </c>
      <c r="J582" s="87">
        <f t="array" ref="J582">INDEX('TJ List'!B:B,MATCH(I582,'TJ List'!N:N,0),0)</f>
        <v>45778</v>
      </c>
      <c r="K582" s="6"/>
      <c r="L582" s="13"/>
      <c r="M582" s="11"/>
      <c r="N582" s="86"/>
      <c r="O582" s="86"/>
      <c r="T582" s="30"/>
      <c r="Z582" s="96"/>
    </row>
    <row r="583">
      <c r="B583" s="30"/>
      <c r="D583" s="30"/>
      <c r="G583" s="13" t="s">
        <v>5101</v>
      </c>
      <c r="H583" s="11" t="s">
        <v>49</v>
      </c>
      <c r="I583" s="13">
        <v>31838.0</v>
      </c>
      <c r="J583" t="str">
        <f t="array" ref="J583">INDEX('TJ List'!B:B,MATCH(I583,'TJ List'!N:N,0),0)</f>
        <v>#N/A</v>
      </c>
      <c r="K583" s="6"/>
      <c r="L583" s="13"/>
      <c r="M583" s="11"/>
      <c r="N583" s="86"/>
      <c r="O583" s="86"/>
      <c r="T583" s="30"/>
      <c r="Z583" s="96"/>
    </row>
    <row r="584">
      <c r="B584" s="30"/>
      <c r="D584" s="30"/>
      <c r="G584" s="13" t="s">
        <v>5102</v>
      </c>
      <c r="H584" s="11" t="s">
        <v>49</v>
      </c>
      <c r="I584" s="13">
        <v>23617.0</v>
      </c>
      <c r="J584" t="str">
        <f t="array" ref="J584">INDEX('TJ List'!B:B,MATCH(I584,'TJ List'!N:N,0),0)</f>
        <v>#N/A</v>
      </c>
      <c r="K584" s="6"/>
      <c r="L584" s="13"/>
      <c r="M584" s="11"/>
      <c r="N584" s="86"/>
      <c r="O584" s="86"/>
      <c r="T584" s="30"/>
      <c r="Z584" s="96"/>
    </row>
    <row r="585">
      <c r="B585" s="30"/>
      <c r="D585" s="30"/>
      <c r="G585" s="13" t="s">
        <v>4811</v>
      </c>
      <c r="H585" s="11" t="s">
        <v>49</v>
      </c>
      <c r="I585" s="13">
        <v>15905.0</v>
      </c>
      <c r="J585" t="str">
        <f t="array" ref="J585">INDEX('TJ List'!B:B,MATCH(I585,'TJ List'!N:N,0),0)</f>
        <v>#N/A</v>
      </c>
      <c r="K585" s="6"/>
      <c r="L585" s="13"/>
      <c r="M585" s="11"/>
      <c r="N585" s="86"/>
      <c r="O585" s="86"/>
      <c r="T585" s="30"/>
      <c r="Z585" s="96"/>
    </row>
    <row r="586">
      <c r="B586" s="30"/>
      <c r="D586" s="30"/>
      <c r="G586" s="13" t="s">
        <v>4686</v>
      </c>
      <c r="H586" s="11" t="s">
        <v>49</v>
      </c>
      <c r="I586" s="13">
        <v>16959.0</v>
      </c>
      <c r="J586" t="str">
        <f t="array" ref="J586">INDEX('TJ List'!B:B,MATCH(I586,'TJ List'!N:N,0),0)</f>
        <v>#N/A</v>
      </c>
      <c r="K586" s="6"/>
      <c r="L586" s="13"/>
      <c r="M586" s="11"/>
      <c r="N586" s="86"/>
      <c r="O586" s="86"/>
      <c r="T586" s="30"/>
      <c r="Z586" s="96"/>
    </row>
    <row r="587">
      <c r="B587" s="30"/>
      <c r="D587" s="30"/>
      <c r="G587" s="13" t="s">
        <v>5103</v>
      </c>
      <c r="H587" s="11" t="s">
        <v>49</v>
      </c>
      <c r="I587" s="13">
        <v>6797.0</v>
      </c>
      <c r="J587" t="str">
        <f t="array" ref="J587">INDEX('TJ List'!B:B,MATCH(I587,'TJ List'!N:N,0),0)</f>
        <v>#N/A</v>
      </c>
      <c r="K587" s="6"/>
      <c r="L587" s="13"/>
      <c r="M587" s="11"/>
      <c r="N587" s="86"/>
      <c r="O587" s="86"/>
      <c r="T587" s="30"/>
      <c r="Z587" s="96"/>
    </row>
    <row r="588">
      <c r="B588" s="30"/>
      <c r="D588" s="30"/>
      <c r="G588" s="13" t="s">
        <v>5104</v>
      </c>
      <c r="H588" s="11" t="s">
        <v>49</v>
      </c>
      <c r="I588" s="13">
        <v>29946.0</v>
      </c>
      <c r="J588" t="str">
        <f t="array" ref="J588">INDEX('TJ List'!B:B,MATCH(I588,'TJ List'!N:N,0),0)</f>
        <v>#N/A</v>
      </c>
      <c r="K588" s="6"/>
      <c r="L588" s="13"/>
      <c r="M588" s="11"/>
      <c r="N588" s="86"/>
      <c r="O588" s="86"/>
      <c r="T588" s="30"/>
      <c r="Z588" s="96"/>
    </row>
    <row r="589">
      <c r="B589" s="30"/>
      <c r="D589" s="30"/>
      <c r="G589" s="13" t="s">
        <v>5105</v>
      </c>
      <c r="H589" s="11" t="s">
        <v>49</v>
      </c>
      <c r="I589" s="13">
        <v>27626.0</v>
      </c>
      <c r="J589" t="str">
        <f t="array" ref="J589">INDEX('TJ List'!B:B,MATCH(I589,'TJ List'!N:N,0),0)</f>
        <v>#N/A</v>
      </c>
      <c r="K589" s="6"/>
      <c r="L589" s="13"/>
      <c r="M589" s="11"/>
      <c r="N589" s="86"/>
      <c r="O589" s="86"/>
      <c r="T589" s="30"/>
      <c r="Z589" s="96"/>
    </row>
    <row r="590">
      <c r="B590" s="30"/>
      <c r="D590" s="30"/>
      <c r="G590" s="13" t="s">
        <v>5106</v>
      </c>
      <c r="H590" s="11" t="s">
        <v>49</v>
      </c>
      <c r="I590" s="13">
        <v>5003.0</v>
      </c>
      <c r="J590" t="str">
        <f t="array" ref="J590">INDEX('TJ List'!B:B,MATCH(I590,'TJ List'!N:N,0),0)</f>
        <v>#N/A</v>
      </c>
      <c r="K590" s="6"/>
      <c r="L590" s="13"/>
      <c r="M590" s="11"/>
      <c r="N590" s="86"/>
      <c r="O590" s="86"/>
      <c r="T590" s="30"/>
      <c r="Z590" s="96"/>
    </row>
    <row r="591">
      <c r="B591" s="30"/>
      <c r="D591" s="30"/>
      <c r="G591" s="13" t="s">
        <v>3289</v>
      </c>
      <c r="H591" s="11" t="s">
        <v>108</v>
      </c>
      <c r="I591" s="13">
        <v>23488.0</v>
      </c>
      <c r="J591" s="87">
        <f t="array" ref="J591">INDEX('TJ List'!B:B,MATCH(I591,'TJ List'!N:N,0),0)</f>
        <v>41275</v>
      </c>
      <c r="K591" s="6"/>
      <c r="L591" s="13"/>
      <c r="M591" s="11"/>
      <c r="N591" s="86"/>
      <c r="O591" s="86"/>
      <c r="T591" s="30"/>
      <c r="Z591" s="96"/>
    </row>
    <row r="592">
      <c r="B592" s="30"/>
      <c r="D592" s="30"/>
      <c r="G592" s="13" t="s">
        <v>3039</v>
      </c>
      <c r="H592" s="11" t="s">
        <v>108</v>
      </c>
      <c r="I592" s="13">
        <v>13649.0</v>
      </c>
      <c r="J592" s="87">
        <f t="array" ref="J592">INDEX('TJ List'!B:B,MATCH(I592,'TJ List'!N:N,0),0)</f>
        <v>41717</v>
      </c>
      <c r="K592" s="6"/>
      <c r="L592" s="13"/>
      <c r="M592" s="11"/>
      <c r="N592" s="86"/>
      <c r="O592" s="86"/>
      <c r="T592" s="30"/>
      <c r="Z592" s="96"/>
    </row>
    <row r="593">
      <c r="B593" s="30"/>
      <c r="D593" s="30"/>
      <c r="G593" s="13" t="s">
        <v>5107</v>
      </c>
      <c r="H593" s="11" t="s">
        <v>108</v>
      </c>
      <c r="I593" s="13">
        <v>19753.0</v>
      </c>
      <c r="J593" s="87">
        <f t="array" ref="J593">INDEX('TJ List'!B:B,MATCH(I593,'TJ List'!N:N,0),0)</f>
        <v>42491</v>
      </c>
      <c r="K593" s="6"/>
      <c r="L593" s="13"/>
      <c r="M593" s="11"/>
      <c r="N593" s="86"/>
      <c r="O593" s="86"/>
      <c r="T593" s="30"/>
      <c r="Z593" s="96"/>
    </row>
    <row r="594">
      <c r="B594" s="30"/>
      <c r="D594" s="30"/>
      <c r="G594" s="13" t="s">
        <v>5108</v>
      </c>
      <c r="H594" s="11" t="s">
        <v>108</v>
      </c>
      <c r="I594" s="13">
        <v>16408.0</v>
      </c>
      <c r="J594" s="89">
        <f t="array" ref="J594">INDEX('TJ List'!B:B,MATCH(I594,'TJ List'!N:N,0),0)</f>
        <v>42736</v>
      </c>
      <c r="K594" s="6"/>
      <c r="L594" s="13"/>
      <c r="M594" s="11"/>
      <c r="N594" s="86"/>
      <c r="O594" s="86"/>
      <c r="T594" s="30"/>
      <c r="Z594" s="96"/>
    </row>
    <row r="595">
      <c r="B595" s="30"/>
      <c r="D595" s="30"/>
      <c r="G595" s="13" t="s">
        <v>2103</v>
      </c>
      <c r="H595" s="11" t="s">
        <v>108</v>
      </c>
      <c r="I595" s="13">
        <v>19899.0</v>
      </c>
      <c r="J595" s="89">
        <f t="array" ref="J595">INDEX('TJ List'!B:B,MATCH(I595,'TJ List'!N:N,0),0)</f>
        <v>42858</v>
      </c>
      <c r="K595" s="6"/>
      <c r="L595" s="13"/>
      <c r="M595" s="11"/>
      <c r="N595" s="86"/>
      <c r="O595" s="86"/>
      <c r="T595" s="30"/>
      <c r="Z595" s="96"/>
    </row>
    <row r="596">
      <c r="B596" s="30"/>
      <c r="D596" s="30"/>
      <c r="G596" s="13" t="s">
        <v>1980</v>
      </c>
      <c r="H596" s="11" t="s">
        <v>108</v>
      </c>
      <c r="I596" s="13">
        <v>27494.0</v>
      </c>
      <c r="J596" s="89">
        <f t="array" ref="J596">INDEX('TJ List'!B:B,MATCH(I596,'TJ List'!N:N,0),0)</f>
        <v>43070</v>
      </c>
      <c r="K596" s="6"/>
      <c r="L596" s="13"/>
      <c r="M596" s="11"/>
      <c r="N596" s="86"/>
      <c r="O596" s="86"/>
      <c r="T596" s="30"/>
      <c r="Z596" s="96"/>
    </row>
    <row r="597">
      <c r="B597" s="30"/>
      <c r="D597" s="30"/>
      <c r="G597" s="13" t="s">
        <v>1646</v>
      </c>
      <c r="H597" s="11" t="s">
        <v>108</v>
      </c>
      <c r="I597" s="13">
        <v>15551.0</v>
      </c>
      <c r="J597" s="87">
        <f t="array" ref="J597">INDEX('TJ List'!B:B,MATCH(I597,'TJ List'!N:N,0),0)</f>
        <v>43536</v>
      </c>
      <c r="K597" s="6"/>
      <c r="L597" s="13"/>
      <c r="M597" s="11"/>
      <c r="N597" s="86"/>
      <c r="O597" s="86"/>
      <c r="T597" s="30"/>
      <c r="Z597" s="96"/>
    </row>
    <row r="598">
      <c r="B598" s="30"/>
      <c r="D598" s="30"/>
      <c r="G598" s="13" t="s">
        <v>5109</v>
      </c>
      <c r="H598" s="11" t="s">
        <v>108</v>
      </c>
      <c r="I598" s="13">
        <v>16137.0</v>
      </c>
      <c r="J598" s="87">
        <f t="array" ref="J598">INDEX('TJ List'!B:B,MATCH(I598,'TJ List'!N:N,0),0)</f>
        <v>43600</v>
      </c>
      <c r="K598" s="6"/>
      <c r="L598" s="13"/>
      <c r="M598" s="11"/>
      <c r="N598" s="86"/>
      <c r="O598" s="86"/>
      <c r="T598" s="30"/>
      <c r="Z598" s="96"/>
    </row>
    <row r="599">
      <c r="B599" s="30"/>
      <c r="D599" s="30"/>
      <c r="G599" s="13" t="s">
        <v>1498</v>
      </c>
      <c r="H599" s="11" t="s">
        <v>108</v>
      </c>
      <c r="I599" s="13">
        <v>15042.0</v>
      </c>
      <c r="J599" s="87">
        <f t="array" ref="J599">INDEX('TJ List'!B:B,MATCH(I599,'TJ List'!N:N,0),0)</f>
        <v>43726</v>
      </c>
      <c r="K599" s="6"/>
      <c r="L599" s="13"/>
      <c r="M599" s="11"/>
      <c r="N599" s="86"/>
      <c r="O599" s="86"/>
      <c r="T599" s="30"/>
      <c r="Z599" s="96"/>
    </row>
    <row r="600">
      <c r="B600" s="30"/>
      <c r="D600" s="30"/>
      <c r="G600" s="13" t="s">
        <v>1372</v>
      </c>
      <c r="H600" s="11" t="s">
        <v>108</v>
      </c>
      <c r="I600" s="13">
        <v>11384.0</v>
      </c>
      <c r="J600" s="87">
        <f t="array" ref="J600">INDEX('TJ List'!B:B,MATCH(I600,'TJ List'!N:N,0),0)</f>
        <v>44047</v>
      </c>
      <c r="K600" s="6"/>
      <c r="L600" s="13"/>
      <c r="M600" s="11"/>
      <c r="N600" s="86"/>
      <c r="O600" s="86"/>
      <c r="T600" s="30"/>
      <c r="Z600" s="96"/>
    </row>
    <row r="601">
      <c r="B601" s="30"/>
      <c r="D601" s="30"/>
      <c r="G601" s="13" t="s">
        <v>1350</v>
      </c>
      <c r="H601" s="11" t="s">
        <v>108</v>
      </c>
      <c r="I601" s="13">
        <v>19349.0</v>
      </c>
      <c r="J601" s="87">
        <f t="array" ref="J601">INDEX('TJ List'!B:B,MATCH(I601,'TJ List'!N:N,0),0)</f>
        <v>44096</v>
      </c>
      <c r="K601" s="6"/>
      <c r="L601" s="13"/>
      <c r="M601" s="11"/>
      <c r="N601" s="86"/>
      <c r="O601" s="86"/>
      <c r="T601" s="30"/>
      <c r="Z601" s="96"/>
    </row>
    <row r="602">
      <c r="B602" s="30"/>
      <c r="D602" s="30"/>
      <c r="G602" s="13" t="s">
        <v>1333</v>
      </c>
      <c r="H602" s="11" t="s">
        <v>108</v>
      </c>
      <c r="I602" s="13">
        <v>16074.0</v>
      </c>
      <c r="J602" s="87">
        <f t="array" ref="J602">INDEX('TJ List'!B:B,MATCH(I602,'TJ List'!N:N,0),0)</f>
        <v>44118</v>
      </c>
      <c r="K602" s="6"/>
      <c r="L602" s="13"/>
      <c r="M602" s="11"/>
      <c r="N602" s="86"/>
      <c r="O602" s="86"/>
      <c r="T602" s="30"/>
      <c r="Z602" s="96"/>
    </row>
    <row r="603">
      <c r="B603" s="30"/>
      <c r="D603" s="30"/>
      <c r="G603" s="13" t="s">
        <v>5110</v>
      </c>
      <c r="H603" s="11" t="s">
        <v>108</v>
      </c>
      <c r="I603" s="13">
        <v>22872.0</v>
      </c>
      <c r="J603" s="87">
        <f t="array" ref="J603">INDEX('TJ List'!B:B,MATCH(I603,'TJ List'!N:N,0),0)</f>
        <v>44409</v>
      </c>
      <c r="K603" s="6"/>
      <c r="L603" s="13"/>
      <c r="M603" s="11"/>
      <c r="N603" s="86"/>
      <c r="O603" s="86"/>
      <c r="T603" s="30"/>
      <c r="Z603" s="96"/>
    </row>
    <row r="604">
      <c r="B604" s="30"/>
      <c r="D604" s="30"/>
      <c r="G604" s="13" t="s">
        <v>821</v>
      </c>
      <c r="H604" s="11" t="s">
        <v>108</v>
      </c>
      <c r="I604" s="13">
        <v>21052.0</v>
      </c>
      <c r="J604" s="87">
        <f t="array" ref="J604">INDEX('TJ List'!B:B,MATCH(I604,'TJ List'!N:N,0),0)</f>
        <v>44705</v>
      </c>
      <c r="K604" s="6"/>
      <c r="L604" s="13"/>
      <c r="M604" s="11"/>
      <c r="N604" s="86"/>
      <c r="O604" s="86"/>
      <c r="T604" s="30"/>
      <c r="Z604" s="96"/>
    </row>
    <row r="605">
      <c r="B605" s="30"/>
      <c r="D605" s="30"/>
      <c r="G605" s="13" t="s">
        <v>756</v>
      </c>
      <c r="H605" s="11" t="s">
        <v>108</v>
      </c>
      <c r="I605" s="13">
        <v>18769.0</v>
      </c>
      <c r="J605" s="87">
        <f t="array" ref="J605">INDEX('TJ List'!B:B,MATCH(I605,'TJ List'!N:N,0),0)</f>
        <v>44790</v>
      </c>
      <c r="K605" s="6"/>
      <c r="L605" s="13"/>
      <c r="M605" s="11"/>
      <c r="N605" s="86"/>
      <c r="O605" s="86"/>
      <c r="T605" s="30"/>
      <c r="Z605" s="96"/>
    </row>
    <row r="606">
      <c r="B606" s="30"/>
      <c r="D606" s="30"/>
      <c r="G606" s="13" t="s">
        <v>740</v>
      </c>
      <c r="H606" s="11" t="s">
        <v>108</v>
      </c>
      <c r="I606" s="13">
        <v>18384.0</v>
      </c>
      <c r="J606" s="87">
        <f t="array" ref="J606">INDEX('TJ List'!B:B,MATCH(I606,'TJ List'!N:N,0),0)</f>
        <v>44847</v>
      </c>
      <c r="K606" s="6"/>
      <c r="L606" s="13"/>
      <c r="M606" s="11"/>
      <c r="N606" s="86"/>
      <c r="O606" s="86"/>
      <c r="T606" s="30"/>
      <c r="Z606" s="96"/>
    </row>
    <row r="607">
      <c r="B607" s="30"/>
      <c r="D607" s="30"/>
      <c r="G607" s="13" t="s">
        <v>5111</v>
      </c>
      <c r="H607" s="11" t="s">
        <v>108</v>
      </c>
      <c r="I607" s="13">
        <v>17874.0</v>
      </c>
      <c r="J607" t="str">
        <f t="array" ref="J607">INDEX('TJ List'!B:B,MATCH(I607,'TJ List'!N:N,0),0)</f>
        <v>#N/A</v>
      </c>
      <c r="K607" s="6"/>
      <c r="L607" s="13"/>
      <c r="M607" s="11"/>
      <c r="N607" s="86"/>
      <c r="O607" s="86"/>
      <c r="T607" s="30"/>
      <c r="Z607" s="96"/>
    </row>
    <row r="608">
      <c r="B608" s="30"/>
      <c r="D608" s="30"/>
      <c r="G608" s="13" t="s">
        <v>189</v>
      </c>
      <c r="H608" s="11" t="s">
        <v>108</v>
      </c>
      <c r="I608" s="13">
        <v>13125.0</v>
      </c>
      <c r="J608" s="87">
        <f t="array" ref="J608">INDEX('TJ List'!B:B,MATCH(I608,'TJ List'!N:N,0),0)</f>
        <v>45727</v>
      </c>
      <c r="K608" s="6"/>
      <c r="L608" s="13"/>
      <c r="M608" s="11"/>
      <c r="N608" s="86"/>
      <c r="O608" s="86"/>
      <c r="T608" s="30"/>
      <c r="Z608" s="96"/>
    </row>
    <row r="609">
      <c r="B609" s="30"/>
      <c r="D609" s="30"/>
      <c r="G609" s="13" t="s">
        <v>5112</v>
      </c>
      <c r="H609" s="11" t="s">
        <v>108</v>
      </c>
      <c r="I609" s="13">
        <v>16918.0</v>
      </c>
      <c r="J609" t="str">
        <f t="array" ref="J609">INDEX('TJ List'!B:B,MATCH(I609,'TJ List'!N:N,0),0)</f>
        <v>#N/A</v>
      </c>
      <c r="K609" s="6"/>
      <c r="L609" s="13"/>
      <c r="M609" s="11"/>
      <c r="N609" s="86"/>
      <c r="O609" s="86"/>
      <c r="T609" s="30"/>
      <c r="Z609" s="96"/>
    </row>
    <row r="610">
      <c r="B610" s="30"/>
      <c r="D610" s="30"/>
      <c r="G610" s="13" t="s">
        <v>5113</v>
      </c>
      <c r="H610" s="11" t="s">
        <v>108</v>
      </c>
      <c r="I610" s="13">
        <v>13431.0</v>
      </c>
      <c r="J610" t="str">
        <f t="array" ref="J610">INDEX('TJ List'!B:B,MATCH(I610,'TJ List'!N:N,0),0)</f>
        <v>#N/A</v>
      </c>
      <c r="K610" s="6"/>
      <c r="L610" s="13"/>
      <c r="M610" s="11"/>
      <c r="N610" s="86"/>
      <c r="O610" s="86"/>
      <c r="T610" s="30"/>
      <c r="Z610" s="96"/>
    </row>
    <row r="611">
      <c r="B611" s="30"/>
      <c r="D611" s="30"/>
      <c r="G611" s="13" t="s">
        <v>5114</v>
      </c>
      <c r="H611" s="11" t="s">
        <v>108</v>
      </c>
      <c r="I611" s="13">
        <v>19261.0</v>
      </c>
      <c r="J611" t="str">
        <f t="array" ref="J611">INDEX('TJ List'!B:B,MATCH(I611,'TJ List'!N:N,0),0)</f>
        <v>#N/A</v>
      </c>
      <c r="K611" s="6"/>
      <c r="L611" s="13"/>
      <c r="M611" s="11"/>
      <c r="N611" s="86"/>
      <c r="O611" s="86"/>
      <c r="T611" s="30"/>
      <c r="Z611" s="96"/>
    </row>
    <row r="612">
      <c r="B612" s="30"/>
      <c r="D612" s="30"/>
      <c r="G612" s="13" t="s">
        <v>107</v>
      </c>
      <c r="H612" s="11" t="s">
        <v>108</v>
      </c>
      <c r="I612" s="13">
        <v>21620.0</v>
      </c>
      <c r="J612" s="87">
        <f t="array" ref="J612">INDEX('TJ List'!B:B,MATCH(I612,'TJ List'!N:N,0),0)</f>
        <v>45826</v>
      </c>
      <c r="K612" s="6"/>
      <c r="L612" s="13"/>
      <c r="M612" s="11"/>
      <c r="N612" s="86"/>
      <c r="O612" s="86"/>
      <c r="T612" s="30"/>
      <c r="Z612" s="96"/>
    </row>
    <row r="613">
      <c r="B613" s="30"/>
      <c r="D613" s="30"/>
      <c r="G613" s="13" t="s">
        <v>5115</v>
      </c>
      <c r="H613" s="11" t="s">
        <v>108</v>
      </c>
      <c r="I613" s="13">
        <v>30182.0</v>
      </c>
      <c r="J613" t="str">
        <f t="array" ref="J613">INDEX('TJ List'!B:B,MATCH(I613,'TJ List'!N:N,0),0)</f>
        <v>#N/A</v>
      </c>
      <c r="K613" s="6"/>
      <c r="L613" s="13"/>
      <c r="M613" s="11"/>
      <c r="N613" s="86"/>
      <c r="O613" s="86"/>
      <c r="T613" s="30"/>
      <c r="Z613" s="96"/>
    </row>
    <row r="614">
      <c r="B614" s="30"/>
      <c r="D614" s="30"/>
      <c r="G614" s="13" t="s">
        <v>5116</v>
      </c>
      <c r="H614" s="11" t="s">
        <v>108</v>
      </c>
      <c r="I614" s="13">
        <v>18519.0</v>
      </c>
      <c r="J614" t="str">
        <f t="array" ref="J614">INDEX('TJ List'!B:B,MATCH(I614,'TJ List'!N:N,0),0)</f>
        <v>#N/A</v>
      </c>
      <c r="K614" s="6"/>
      <c r="L614" s="13"/>
      <c r="M614" s="11"/>
      <c r="N614" s="86"/>
      <c r="O614" s="86"/>
      <c r="T614" s="30"/>
      <c r="Z614" s="96"/>
    </row>
    <row r="615">
      <c r="B615" s="30"/>
      <c r="D615" s="30"/>
      <c r="G615" s="13" t="s">
        <v>5117</v>
      </c>
      <c r="H615" s="11" t="s">
        <v>108</v>
      </c>
      <c r="I615" s="13">
        <v>21310.0</v>
      </c>
      <c r="J615" t="str">
        <f t="array" ref="J615">INDEX('TJ List'!B:B,MATCH(I615,'TJ List'!N:N,0),0)</f>
        <v>#N/A</v>
      </c>
      <c r="K615" s="6"/>
      <c r="L615" s="13"/>
      <c r="M615" s="11"/>
      <c r="N615" s="86"/>
      <c r="O615" s="86"/>
      <c r="T615" s="30"/>
      <c r="Z615" s="96"/>
    </row>
    <row r="616">
      <c r="B616" s="30"/>
      <c r="D616" s="30"/>
      <c r="G616" s="13" t="s">
        <v>5118</v>
      </c>
      <c r="H616" s="11" t="s">
        <v>108</v>
      </c>
      <c r="I616" s="13">
        <v>18152.0</v>
      </c>
      <c r="J616" t="str">
        <f t="array" ref="J616">INDEX('TJ List'!B:B,MATCH(I616,'TJ List'!N:N,0),0)</f>
        <v>#N/A</v>
      </c>
      <c r="K616" s="6"/>
      <c r="L616" s="13"/>
      <c r="M616" s="11"/>
      <c r="N616" s="86"/>
      <c r="O616" s="86"/>
      <c r="T616" s="30"/>
      <c r="Z616" s="96"/>
    </row>
    <row r="617">
      <c r="B617" s="30"/>
      <c r="D617" s="30"/>
      <c r="G617" s="13" t="s">
        <v>4814</v>
      </c>
      <c r="H617" s="11" t="s">
        <v>108</v>
      </c>
      <c r="I617" s="13">
        <v>16725.0</v>
      </c>
      <c r="J617" t="str">
        <f t="array" ref="J617">INDEX('TJ List'!B:B,MATCH(I617,'TJ List'!N:N,0),0)</f>
        <v>#N/A</v>
      </c>
      <c r="K617" s="6"/>
      <c r="L617" s="13"/>
      <c r="M617" s="11"/>
      <c r="N617" s="86"/>
      <c r="O617" s="86"/>
      <c r="T617" s="30"/>
      <c r="Z617" s="96"/>
    </row>
    <row r="618">
      <c r="B618" s="30"/>
      <c r="D618" s="30"/>
      <c r="G618" s="13" t="s">
        <v>4701</v>
      </c>
      <c r="H618" s="11" t="s">
        <v>108</v>
      </c>
      <c r="I618" s="13">
        <v>21707.0</v>
      </c>
      <c r="J618" t="str">
        <f t="array" ref="J618">INDEX('TJ List'!B:B,MATCH(I618,'TJ List'!N:N,0),0)</f>
        <v>#N/A</v>
      </c>
      <c r="K618" s="6"/>
      <c r="L618" s="13"/>
      <c r="M618" s="11"/>
      <c r="N618" s="86"/>
      <c r="O618" s="86"/>
      <c r="T618" s="30"/>
      <c r="Z618" s="96"/>
    </row>
    <row r="619">
      <c r="B619" s="30"/>
      <c r="D619" s="30"/>
      <c r="G619" s="13" t="s">
        <v>5119</v>
      </c>
      <c r="H619" s="11" t="s">
        <v>108</v>
      </c>
      <c r="I619" s="13">
        <v>23631.0</v>
      </c>
      <c r="J619" t="str">
        <f t="array" ref="J619">INDEX('TJ List'!B:B,MATCH(I619,'TJ List'!N:N,0),0)</f>
        <v>#N/A</v>
      </c>
      <c r="K619" s="6"/>
      <c r="L619" s="13"/>
      <c r="M619" s="11"/>
      <c r="N619" s="86"/>
      <c r="O619" s="86"/>
      <c r="T619" s="30"/>
      <c r="Z619" s="96"/>
    </row>
    <row r="620">
      <c r="B620" s="30"/>
      <c r="D620" s="30"/>
      <c r="G620" s="13" t="s">
        <v>3772</v>
      </c>
      <c r="H620" s="11" t="s">
        <v>274</v>
      </c>
      <c r="I620" s="13">
        <v>13781.0</v>
      </c>
      <c r="J620" s="87">
        <f t="array" ref="J620">INDEX('TJ List'!B:B,MATCH(I620,'TJ List'!N:N,0),0)</f>
        <v>39814</v>
      </c>
      <c r="K620" s="6"/>
      <c r="L620" s="13"/>
      <c r="M620" s="11"/>
      <c r="N620" s="86"/>
      <c r="O620" s="86"/>
      <c r="T620" s="30"/>
      <c r="Z620" s="96"/>
    </row>
    <row r="621">
      <c r="B621" s="30"/>
      <c r="D621" s="30"/>
      <c r="G621" s="13" t="s">
        <v>3019</v>
      </c>
      <c r="H621" s="11" t="s">
        <v>274</v>
      </c>
      <c r="I621" s="13">
        <v>13273.0</v>
      </c>
      <c r="J621" s="87">
        <f t="array" ref="J621">INDEX('TJ List'!B:B,MATCH(I621,'TJ List'!N:N,0),0)</f>
        <v>41731</v>
      </c>
      <c r="K621" s="6"/>
      <c r="L621" s="13"/>
      <c r="M621" s="11"/>
      <c r="N621" s="86"/>
      <c r="O621" s="86"/>
      <c r="T621" s="30"/>
      <c r="Z621" s="96"/>
    </row>
    <row r="622">
      <c r="B622" s="30"/>
      <c r="D622" s="30"/>
      <c r="G622" s="13" t="s">
        <v>1470</v>
      </c>
      <c r="H622" s="11" t="s">
        <v>274</v>
      </c>
      <c r="I622" s="13">
        <v>21520.0</v>
      </c>
      <c r="J622" s="89">
        <f t="array" ref="J622">INDEX('TJ List'!B:B,MATCH(I622,'TJ List'!N:N,0),0)</f>
        <v>43831</v>
      </c>
      <c r="K622" s="6"/>
      <c r="L622" s="13"/>
      <c r="M622" s="11"/>
      <c r="N622" s="86"/>
      <c r="O622" s="86"/>
      <c r="T622" s="30"/>
      <c r="Z622" s="96"/>
    </row>
    <row r="623">
      <c r="B623" s="30"/>
      <c r="D623" s="30"/>
      <c r="G623" s="13" t="s">
        <v>1427</v>
      </c>
      <c r="H623" s="11" t="s">
        <v>274</v>
      </c>
      <c r="I623" s="13">
        <v>27889.0</v>
      </c>
      <c r="J623" s="87">
        <f t="array" ref="J623">INDEX('TJ List'!B:B,MATCH(I623,'TJ List'!N:N,0),0)</f>
        <v>43891</v>
      </c>
      <c r="K623" s="6"/>
      <c r="L623" s="13"/>
      <c r="M623" s="11"/>
      <c r="N623" s="86"/>
      <c r="O623" s="86"/>
      <c r="T623" s="30"/>
      <c r="Z623" s="96"/>
    </row>
    <row r="624">
      <c r="B624" s="30"/>
      <c r="D624" s="30"/>
      <c r="G624" s="13" t="s">
        <v>1199</v>
      </c>
      <c r="H624" s="11" t="s">
        <v>274</v>
      </c>
      <c r="I624" s="13">
        <v>16306.0</v>
      </c>
      <c r="J624" s="87">
        <f t="array" ref="J624">INDEX('TJ List'!B:B,MATCH(I624,'TJ List'!N:N,0),0)</f>
        <v>44273</v>
      </c>
      <c r="K624" s="6"/>
      <c r="L624" s="13"/>
      <c r="M624" s="11"/>
      <c r="N624" s="86"/>
      <c r="O624" s="86"/>
      <c r="T624" s="30"/>
      <c r="Z624" s="96"/>
    </row>
    <row r="625">
      <c r="B625" s="30"/>
      <c r="D625" s="30"/>
      <c r="G625" s="13" t="s">
        <v>1084</v>
      </c>
      <c r="H625" s="11" t="s">
        <v>274</v>
      </c>
      <c r="I625" s="13">
        <v>25582.0</v>
      </c>
      <c r="J625" s="87">
        <f t="array" ref="J625">INDEX('TJ List'!B:B,MATCH(I625,'TJ List'!N:N,0),0)</f>
        <v>44378</v>
      </c>
      <c r="K625" s="6"/>
      <c r="L625" s="13"/>
      <c r="M625" s="11"/>
      <c r="N625" s="86"/>
      <c r="O625" s="86"/>
      <c r="T625" s="30"/>
      <c r="Z625" s="96"/>
    </row>
    <row r="626">
      <c r="B626" s="30"/>
      <c r="D626" s="30"/>
      <c r="G626" s="13" t="s">
        <v>273</v>
      </c>
      <c r="H626" s="11" t="s">
        <v>274</v>
      </c>
      <c r="I626" s="13">
        <v>21649.0</v>
      </c>
      <c r="J626" s="87">
        <f t="array" ref="J626">INDEX('TJ List'!B:B,MATCH(I626,'TJ List'!N:N,0),0)</f>
        <v>45511</v>
      </c>
      <c r="K626" s="6"/>
      <c r="L626" s="13"/>
      <c r="M626" s="11"/>
      <c r="N626" s="86"/>
      <c r="O626" s="86"/>
      <c r="T626" s="30"/>
      <c r="Z626" s="96"/>
    </row>
    <row r="627">
      <c r="B627" s="30"/>
      <c r="D627" s="30"/>
      <c r="G627" s="13" t="s">
        <v>5120</v>
      </c>
      <c r="H627" s="11" t="s">
        <v>274</v>
      </c>
      <c r="I627" s="13">
        <v>31757.0</v>
      </c>
      <c r="J627" t="str">
        <f t="array" ref="J627">INDEX('TJ List'!B:B,MATCH(I627,'TJ List'!N:N,0),0)</f>
        <v>#N/A</v>
      </c>
      <c r="K627" s="6"/>
      <c r="L627" s="13"/>
      <c r="M627" s="11"/>
      <c r="N627" s="86"/>
      <c r="O627" s="86"/>
      <c r="T627" s="30"/>
      <c r="Z627" s="96"/>
    </row>
    <row r="628">
      <c r="B628" s="30"/>
      <c r="D628" s="30"/>
      <c r="G628" s="13" t="s">
        <v>5121</v>
      </c>
      <c r="H628" s="11" t="s">
        <v>274</v>
      </c>
      <c r="I628" s="13">
        <v>23150.0</v>
      </c>
      <c r="J628" t="str">
        <f t="array" ref="J628">INDEX('TJ List'!B:B,MATCH(I628,'TJ List'!N:N,0),0)</f>
        <v>#N/A</v>
      </c>
      <c r="K628" s="6"/>
      <c r="L628" s="13"/>
      <c r="M628" s="11"/>
      <c r="N628" s="86"/>
      <c r="O628" s="86"/>
      <c r="T628" s="30"/>
      <c r="Z628" s="96"/>
    </row>
    <row r="629">
      <c r="B629" s="30"/>
      <c r="D629" s="30"/>
      <c r="G629" s="13" t="s">
        <v>5122</v>
      </c>
      <c r="H629" s="11" t="s">
        <v>274</v>
      </c>
      <c r="I629" s="13">
        <v>27707.0</v>
      </c>
      <c r="J629" t="str">
        <f t="array" ref="J629">INDEX('TJ List'!B:B,MATCH(I629,'TJ List'!N:N,0),0)</f>
        <v>#N/A</v>
      </c>
      <c r="K629" s="6"/>
      <c r="L629" s="13"/>
      <c r="M629" s="11"/>
      <c r="N629" s="86"/>
      <c r="O629" s="86"/>
      <c r="T629" s="30"/>
      <c r="Z629" s="96"/>
    </row>
    <row r="630">
      <c r="B630" s="30"/>
      <c r="D630" s="30"/>
      <c r="G630" s="13" t="s">
        <v>5123</v>
      </c>
      <c r="H630" s="11" t="s">
        <v>274</v>
      </c>
      <c r="I630" s="13">
        <v>23429.0</v>
      </c>
      <c r="J630" t="str">
        <f t="array" ref="J630">INDEX('TJ List'!B:B,MATCH(I630,'TJ List'!N:N,0),0)</f>
        <v>#N/A</v>
      </c>
      <c r="K630" s="6"/>
      <c r="L630" s="13"/>
      <c r="M630" s="11"/>
      <c r="N630" s="86"/>
      <c r="O630" s="86"/>
      <c r="T630" s="30"/>
      <c r="Z630" s="96"/>
    </row>
    <row r="631">
      <c r="B631" s="30"/>
      <c r="D631" s="30"/>
      <c r="G631" s="13" t="s">
        <v>5124</v>
      </c>
      <c r="H631" s="11" t="s">
        <v>274</v>
      </c>
      <c r="I631" s="13">
        <v>26257.0</v>
      </c>
      <c r="J631" t="str">
        <f t="array" ref="J631">INDEX('TJ List'!B:B,MATCH(I631,'TJ List'!N:N,0),0)</f>
        <v>#N/A</v>
      </c>
      <c r="K631" s="6"/>
      <c r="L631" s="13"/>
      <c r="M631" s="11"/>
      <c r="N631" s="86"/>
      <c r="O631" s="86"/>
      <c r="T631" s="30"/>
      <c r="Z631" s="96"/>
    </row>
    <row r="632">
      <c r="B632" s="30"/>
      <c r="D632" s="30"/>
      <c r="G632" s="13" t="s">
        <v>5125</v>
      </c>
      <c r="H632" s="11" t="s">
        <v>274</v>
      </c>
      <c r="I632" s="13">
        <v>22533.0</v>
      </c>
      <c r="J632" t="str">
        <f t="array" ref="J632">INDEX('TJ List'!B:B,MATCH(I632,'TJ List'!N:N,0),0)</f>
        <v>#N/A</v>
      </c>
      <c r="K632" s="6"/>
      <c r="L632" s="13"/>
      <c r="M632" s="11"/>
      <c r="N632" s="86"/>
      <c r="O632" s="86"/>
      <c r="T632" s="30"/>
      <c r="Z632" s="96"/>
    </row>
    <row r="633">
      <c r="B633" s="30"/>
      <c r="D633" s="30"/>
      <c r="G633" s="13" t="s">
        <v>5126</v>
      </c>
      <c r="H633" s="11" t="s">
        <v>274</v>
      </c>
      <c r="I633" s="13">
        <v>19481.0</v>
      </c>
      <c r="J633" t="str">
        <f t="array" ref="J633">INDEX('TJ List'!B:B,MATCH(I633,'TJ List'!N:N,0),0)</f>
        <v>#N/A</v>
      </c>
      <c r="K633" s="6"/>
      <c r="L633" s="13"/>
      <c r="M633" s="11"/>
      <c r="N633" s="86"/>
      <c r="O633" s="86"/>
      <c r="T633" s="30"/>
      <c r="Z633" s="96"/>
    </row>
    <row r="634">
      <c r="B634" s="30"/>
      <c r="D634" s="30"/>
      <c r="G634" s="13" t="s">
        <v>5127</v>
      </c>
      <c r="H634" s="11" t="s">
        <v>274</v>
      </c>
      <c r="I634" s="13">
        <v>3237.0</v>
      </c>
      <c r="J634" t="str">
        <f t="array" ref="J634">INDEX('TJ List'!B:B,MATCH(I634,'TJ List'!N:N,0),0)</f>
        <v>#N/A</v>
      </c>
      <c r="K634" s="6"/>
      <c r="L634" s="13"/>
      <c r="M634" s="11"/>
      <c r="N634" s="86"/>
      <c r="O634" s="86"/>
      <c r="T634" s="30"/>
      <c r="Z634" s="96"/>
    </row>
    <row r="635">
      <c r="B635" s="30"/>
      <c r="D635" s="30"/>
      <c r="G635" s="13" t="s">
        <v>5128</v>
      </c>
      <c r="H635" s="11" t="s">
        <v>274</v>
      </c>
      <c r="I635" s="13">
        <v>29608.0</v>
      </c>
      <c r="J635" t="str">
        <f t="array" ref="J635">INDEX('TJ List'!B:B,MATCH(I635,'TJ List'!N:N,0),0)</f>
        <v>#N/A</v>
      </c>
      <c r="K635" s="6"/>
      <c r="L635" s="13"/>
      <c r="M635" s="11"/>
      <c r="N635" s="86"/>
      <c r="O635" s="86"/>
      <c r="T635" s="30"/>
      <c r="Z635" s="96"/>
    </row>
    <row r="636">
      <c r="B636" s="30"/>
      <c r="D636" s="30"/>
      <c r="G636" s="13" t="s">
        <v>5129</v>
      </c>
      <c r="H636" s="11" t="s">
        <v>274</v>
      </c>
      <c r="I636" s="13">
        <v>12791.0</v>
      </c>
      <c r="J636" t="str">
        <f t="array" ref="J636">INDEX('TJ List'!B:B,MATCH(I636,'TJ List'!N:N,0),0)</f>
        <v>#N/A</v>
      </c>
      <c r="K636" s="6"/>
      <c r="L636" s="13"/>
      <c r="M636" s="11"/>
      <c r="N636" s="86"/>
      <c r="O636" s="86"/>
      <c r="T636" s="30"/>
      <c r="Z636" s="96"/>
    </row>
    <row r="637">
      <c r="B637" s="30"/>
      <c r="D637" s="30"/>
      <c r="G637" s="13" t="s">
        <v>5130</v>
      </c>
      <c r="H637" s="11" t="s">
        <v>274</v>
      </c>
      <c r="I637" s="13">
        <v>20167.0</v>
      </c>
      <c r="J637" t="str">
        <f t="array" ref="J637">INDEX('TJ List'!B:B,MATCH(I637,'TJ List'!N:N,0),0)</f>
        <v>#N/A</v>
      </c>
      <c r="K637" s="6"/>
      <c r="L637" s="13"/>
      <c r="M637" s="11"/>
      <c r="N637" s="86"/>
      <c r="O637" s="86"/>
      <c r="T637" s="30"/>
      <c r="Z637" s="96"/>
    </row>
    <row r="638">
      <c r="B638" s="30"/>
      <c r="D638" s="30"/>
      <c r="G638" s="13" t="s">
        <v>5131</v>
      </c>
      <c r="H638" s="11" t="s">
        <v>274</v>
      </c>
      <c r="I638" s="13">
        <v>10591.0</v>
      </c>
      <c r="J638" t="str">
        <f t="array" ref="J638">INDEX('TJ List'!B:B,MATCH(I638,'TJ List'!N:N,0),0)</f>
        <v>#N/A</v>
      </c>
      <c r="K638" s="6"/>
      <c r="L638" s="13"/>
      <c r="M638" s="11"/>
      <c r="N638" s="86"/>
      <c r="O638" s="86"/>
      <c r="T638" s="30"/>
      <c r="Z638" s="96"/>
    </row>
    <row r="639">
      <c r="B639" s="30"/>
      <c r="D639" s="30"/>
      <c r="G639" s="13" t="s">
        <v>5132</v>
      </c>
      <c r="H639" s="11" t="s">
        <v>274</v>
      </c>
      <c r="I639" s="13">
        <v>30002.0</v>
      </c>
      <c r="J639" t="str">
        <f t="array" ref="J639">INDEX('TJ List'!B:B,MATCH(I639,'TJ List'!N:N,0),0)</f>
        <v>#N/A</v>
      </c>
      <c r="K639" s="6"/>
      <c r="L639" s="13"/>
      <c r="M639" s="11"/>
      <c r="N639" s="86"/>
      <c r="O639" s="86"/>
      <c r="T639" s="30"/>
      <c r="Z639" s="96"/>
    </row>
    <row r="640">
      <c r="B640" s="30"/>
      <c r="D640" s="30"/>
      <c r="G640" s="13" t="s">
        <v>5133</v>
      </c>
      <c r="H640" s="11" t="s">
        <v>274</v>
      </c>
      <c r="I640" s="13">
        <v>13801.0</v>
      </c>
      <c r="J640" t="str">
        <f t="array" ref="J640">INDEX('TJ List'!B:B,MATCH(I640,'TJ List'!N:N,0),0)</f>
        <v>#N/A</v>
      </c>
      <c r="K640" s="6"/>
      <c r="L640" s="13"/>
      <c r="M640" s="11"/>
      <c r="N640" s="86"/>
      <c r="O640" s="86"/>
      <c r="T640" s="30"/>
      <c r="Z640" s="96"/>
    </row>
    <row r="641">
      <c r="B641" s="30"/>
      <c r="D641" s="30"/>
      <c r="G641" s="13" t="s">
        <v>5134</v>
      </c>
      <c r="H641" s="11" t="s">
        <v>274</v>
      </c>
      <c r="I641" s="13">
        <v>22690.0</v>
      </c>
      <c r="J641" t="str">
        <f t="array" ref="J641">INDEX('TJ List'!B:B,MATCH(I641,'TJ List'!N:N,0),0)</f>
        <v>#N/A</v>
      </c>
      <c r="K641" s="6"/>
      <c r="L641" s="13"/>
      <c r="M641" s="11"/>
      <c r="N641" s="86"/>
      <c r="O641" s="86"/>
      <c r="T641" s="30"/>
      <c r="Z641" s="96"/>
    </row>
    <row r="642">
      <c r="B642" s="30"/>
      <c r="D642" s="30"/>
      <c r="G642" s="13" t="s">
        <v>5135</v>
      </c>
      <c r="H642" s="11" t="s">
        <v>274</v>
      </c>
      <c r="I642" s="13">
        <v>12272.0</v>
      </c>
      <c r="J642" t="str">
        <f t="array" ref="J642">INDEX('TJ List'!B:B,MATCH(I642,'TJ List'!N:N,0),0)</f>
        <v>#N/A</v>
      </c>
      <c r="K642" s="6"/>
      <c r="L642" s="13"/>
      <c r="M642" s="11"/>
      <c r="N642" s="86"/>
      <c r="O642" s="86"/>
      <c r="T642" s="30"/>
      <c r="Z642" s="96"/>
    </row>
    <row r="643">
      <c r="A643" s="13" t="s">
        <v>5136</v>
      </c>
      <c r="B643" s="30"/>
      <c r="D643" s="30"/>
      <c r="G643" s="13" t="s">
        <v>5137</v>
      </c>
      <c r="H643" s="11" t="s">
        <v>274</v>
      </c>
      <c r="I643" s="13">
        <v>16943.0</v>
      </c>
      <c r="J643" t="str">
        <f t="array" ref="J643">INDEX('TJ List'!B:B,MATCH(I643,'TJ List'!N:N,0),0)</f>
        <v>#N/A</v>
      </c>
      <c r="K643" s="6"/>
      <c r="L643" s="13"/>
      <c r="M643" s="11"/>
      <c r="N643" s="86"/>
      <c r="O643" s="86"/>
      <c r="T643" s="30"/>
      <c r="Z643" s="96"/>
    </row>
    <row r="644">
      <c r="B644" s="30"/>
      <c r="D644" s="30"/>
      <c r="G644" s="13" t="s">
        <v>5138</v>
      </c>
      <c r="H644" s="11" t="s">
        <v>274</v>
      </c>
      <c r="I644" s="13">
        <v>21170.0</v>
      </c>
      <c r="J644" t="str">
        <f t="array" ref="J644">INDEX('TJ List'!B:B,MATCH(I644,'TJ List'!N:N,0),0)</f>
        <v>#N/A</v>
      </c>
      <c r="K644" s="6"/>
      <c r="L644" s="13"/>
      <c r="M644" s="11"/>
      <c r="N644" s="86"/>
      <c r="O644" s="86"/>
      <c r="T644" s="30"/>
      <c r="Z644" s="96"/>
    </row>
    <row r="645">
      <c r="B645" s="30"/>
      <c r="D645" s="30"/>
      <c r="G645" s="13" t="s">
        <v>3169</v>
      </c>
      <c r="H645" s="11" t="s">
        <v>150</v>
      </c>
      <c r="I645" s="13">
        <v>13799.0</v>
      </c>
      <c r="J645" s="87">
        <f t="array" ref="J645">INDEX('TJ List'!B:B,MATCH(I645,'TJ List'!N:N,0),0)</f>
        <v>41466</v>
      </c>
      <c r="K645" s="6"/>
      <c r="L645" s="13"/>
      <c r="M645" s="11"/>
      <c r="N645" s="86"/>
      <c r="O645" s="86"/>
      <c r="T645" s="30"/>
      <c r="Z645" s="96"/>
    </row>
    <row r="646">
      <c r="B646" s="30"/>
      <c r="D646" s="30"/>
      <c r="G646" s="13" t="s">
        <v>2987</v>
      </c>
      <c r="H646" s="11" t="s">
        <v>150</v>
      </c>
      <c r="I646" s="13">
        <v>17432.0</v>
      </c>
      <c r="J646" s="87">
        <f t="array" ref="J646">INDEX('TJ List'!B:B,MATCH(I646,'TJ List'!N:N,0),0)</f>
        <v>41773</v>
      </c>
      <c r="K646" s="6"/>
      <c r="L646" s="13"/>
      <c r="M646" s="11"/>
      <c r="N646" s="86"/>
      <c r="O646" s="86"/>
      <c r="T646" s="30"/>
      <c r="Z646" s="96"/>
    </row>
    <row r="647">
      <c r="B647" s="30"/>
      <c r="D647" s="30"/>
      <c r="G647" s="13" t="s">
        <v>2772</v>
      </c>
      <c r="H647" s="11" t="s">
        <v>150</v>
      </c>
      <c r="I647" s="13">
        <v>10310.0</v>
      </c>
      <c r="J647" s="87">
        <f t="array" ref="J647">INDEX('TJ List'!B:B,MATCH(I647,'TJ List'!N:N,0),0)</f>
        <v>42088</v>
      </c>
      <c r="K647" s="6"/>
      <c r="L647" s="13"/>
      <c r="M647" s="11"/>
      <c r="N647" s="86"/>
      <c r="O647" s="86"/>
      <c r="T647" s="30"/>
      <c r="Z647" s="96"/>
    </row>
    <row r="648">
      <c r="B648" s="30"/>
      <c r="D648" s="30"/>
      <c r="G648" s="13" t="s">
        <v>1850</v>
      </c>
      <c r="H648" s="11" t="s">
        <v>150</v>
      </c>
      <c r="I648" s="13">
        <v>11836.0</v>
      </c>
      <c r="J648" s="87">
        <f t="array" ref="J648">INDEX('TJ List'!B:B,MATCH(I648,'TJ List'!N:N,0),0)</f>
        <v>43215</v>
      </c>
      <c r="K648" s="6"/>
      <c r="L648" s="13"/>
      <c r="M648" s="11"/>
      <c r="N648" s="86"/>
      <c r="O648" s="86"/>
      <c r="T648" s="30"/>
      <c r="Z648" s="96"/>
    </row>
    <row r="649">
      <c r="B649" s="30"/>
      <c r="D649" s="30"/>
      <c r="G649" s="13" t="s">
        <v>1607</v>
      </c>
      <c r="H649" s="11" t="s">
        <v>150</v>
      </c>
      <c r="I649" s="13">
        <v>23223.0</v>
      </c>
      <c r="J649" s="87">
        <f t="array" ref="J649">INDEX('TJ List'!B:B,MATCH(I649,'TJ List'!N:N,0),0)</f>
        <v>43586</v>
      </c>
      <c r="K649" s="6"/>
      <c r="L649" s="13"/>
      <c r="M649" s="11"/>
      <c r="N649" s="86"/>
      <c r="O649" s="86"/>
      <c r="T649" s="30"/>
      <c r="Z649" s="96"/>
    </row>
    <row r="650">
      <c r="B650" s="30"/>
      <c r="D650" s="30"/>
      <c r="G650" s="13" t="s">
        <v>4753</v>
      </c>
      <c r="H650" s="11" t="s">
        <v>150</v>
      </c>
      <c r="I650" s="13">
        <v>19249.0</v>
      </c>
      <c r="J650" s="87">
        <f t="array" ref="J650">INDEX('TJ List'!B:B,MATCH(I650,'TJ List'!N:N,0),0)</f>
        <v>44042</v>
      </c>
      <c r="K650" s="6"/>
      <c r="L650" s="13"/>
      <c r="M650" s="11"/>
      <c r="N650" s="86"/>
      <c r="O650" s="86"/>
      <c r="T650" s="30"/>
      <c r="Z650" s="96"/>
    </row>
    <row r="651">
      <c r="B651" s="30"/>
      <c r="D651" s="30"/>
      <c r="G651" s="13" t="s">
        <v>1257</v>
      </c>
      <c r="H651" s="11" t="s">
        <v>150</v>
      </c>
      <c r="I651" s="13">
        <v>23426.0</v>
      </c>
      <c r="J651" s="87">
        <f t="array" ref="J651">INDEX('TJ List'!B:B,MATCH(I651,'TJ List'!N:N,0),0)</f>
        <v>44197</v>
      </c>
      <c r="K651" s="6"/>
      <c r="L651" s="13"/>
      <c r="M651" s="11"/>
      <c r="N651" s="86"/>
      <c r="O651" s="86"/>
      <c r="T651" s="30"/>
      <c r="Z651" s="96"/>
    </row>
    <row r="652">
      <c r="B652" s="30"/>
      <c r="D652" s="30"/>
      <c r="G652" s="13" t="s">
        <v>1057</v>
      </c>
      <c r="H652" s="11" t="s">
        <v>150</v>
      </c>
      <c r="I652" s="13">
        <v>16207.0</v>
      </c>
      <c r="J652" s="87">
        <f t="array" ref="J652">INDEX('TJ List'!B:B,MATCH(I652,'TJ List'!N:N,0),0)</f>
        <v>44406</v>
      </c>
      <c r="K652" s="6"/>
      <c r="L652" s="13"/>
      <c r="M652" s="11"/>
      <c r="N652" s="86"/>
      <c r="O652" s="86"/>
      <c r="T652" s="30"/>
      <c r="Z652" s="96"/>
    </row>
    <row r="653">
      <c r="B653" s="30"/>
      <c r="D653" s="30"/>
      <c r="G653" s="13" t="s">
        <v>1016</v>
      </c>
      <c r="H653" s="11" t="s">
        <v>150</v>
      </c>
      <c r="I653" s="13">
        <v>20629.0</v>
      </c>
      <c r="J653" s="87">
        <f t="array" ref="J653">INDEX('TJ List'!B:B,MATCH(I653,'TJ List'!N:N,0),0)</f>
        <v>44470</v>
      </c>
      <c r="K653" s="6"/>
      <c r="L653" s="13"/>
      <c r="M653" s="11"/>
      <c r="N653" s="86"/>
      <c r="O653" s="86"/>
      <c r="T653" s="30"/>
      <c r="Z653" s="96"/>
    </row>
    <row r="654">
      <c r="B654" s="30"/>
      <c r="D654" s="30"/>
      <c r="G654" s="13" t="s">
        <v>767</v>
      </c>
      <c r="H654" s="11" t="s">
        <v>150</v>
      </c>
      <c r="I654" s="13">
        <v>26020.0</v>
      </c>
      <c r="J654" s="87">
        <f t="array" ref="J654">INDEX('TJ List'!B:B,MATCH(I654,'TJ List'!N:N,0),0)</f>
        <v>44776</v>
      </c>
      <c r="K654" s="6"/>
      <c r="L654" s="13"/>
      <c r="M654" s="11"/>
      <c r="N654" s="86"/>
      <c r="O654" s="86"/>
      <c r="T654" s="30"/>
      <c r="Z654" s="96"/>
    </row>
    <row r="655">
      <c r="B655" s="30"/>
      <c r="D655" s="30"/>
      <c r="G655" s="13" t="s">
        <v>5139</v>
      </c>
      <c r="H655" s="11" t="s">
        <v>150</v>
      </c>
      <c r="I655" s="13">
        <v>16942.0</v>
      </c>
      <c r="J655" s="87">
        <f t="array" ref="J655">INDEX('TJ List'!B:B,MATCH(I655,'TJ List'!N:N,0),0)</f>
        <v>45484</v>
      </c>
      <c r="K655" s="6"/>
      <c r="L655" s="13"/>
      <c r="M655" s="11"/>
      <c r="N655" s="86"/>
      <c r="O655" s="86"/>
      <c r="T655" s="30"/>
      <c r="Z655" s="96"/>
    </row>
    <row r="656">
      <c r="B656" s="30"/>
      <c r="D656" s="30"/>
      <c r="G656" s="13" t="s">
        <v>5140</v>
      </c>
      <c r="H656" s="11" t="s">
        <v>150</v>
      </c>
      <c r="I656" s="13">
        <v>20778.0</v>
      </c>
      <c r="J656" t="str">
        <f t="array" ref="J656">INDEX('TJ List'!B:B,MATCH(I656,'TJ List'!N:N,0),0)</f>
        <v>#N/A</v>
      </c>
      <c r="K656" s="6"/>
      <c r="L656" s="13"/>
      <c r="M656" s="11"/>
      <c r="N656" s="86"/>
      <c r="O656" s="86"/>
      <c r="T656" s="30"/>
      <c r="Z656" s="96"/>
    </row>
    <row r="657">
      <c r="B657" s="30"/>
      <c r="D657" s="30"/>
      <c r="G657" s="13" t="s">
        <v>5141</v>
      </c>
      <c r="H657" s="11" t="s">
        <v>150</v>
      </c>
      <c r="I657" s="13">
        <v>17277.0</v>
      </c>
      <c r="J657" t="str">
        <f t="array" ref="J657">INDEX('TJ List'!B:B,MATCH(I657,'TJ List'!N:N,0),0)</f>
        <v>#N/A</v>
      </c>
      <c r="K657" s="6"/>
      <c r="L657" s="13"/>
      <c r="M657" s="11"/>
      <c r="N657" s="86"/>
      <c r="O657" s="86"/>
      <c r="T657" s="30"/>
      <c r="Z657" s="96"/>
    </row>
    <row r="658">
      <c r="B658" s="30"/>
      <c r="D658" s="30"/>
      <c r="G658" s="13" t="s">
        <v>4590</v>
      </c>
      <c r="H658" s="11" t="s">
        <v>150</v>
      </c>
      <c r="I658" s="13">
        <v>16149.0</v>
      </c>
      <c r="J658" t="str">
        <f t="array" ref="J658">INDEX('TJ List'!B:B,MATCH(I658,'TJ List'!N:N,0),0)</f>
        <v>#N/A</v>
      </c>
      <c r="K658" s="6"/>
      <c r="L658" s="13"/>
      <c r="M658" s="11"/>
      <c r="N658" s="86"/>
      <c r="O658" s="86"/>
      <c r="T658" s="30"/>
      <c r="Z658" s="96"/>
    </row>
    <row r="659">
      <c r="B659" s="30"/>
      <c r="D659" s="30"/>
      <c r="G659" s="13" t="s">
        <v>5142</v>
      </c>
      <c r="H659" s="11" t="s">
        <v>150</v>
      </c>
      <c r="I659" s="13">
        <v>31776.0</v>
      </c>
      <c r="J659" t="str">
        <f t="array" ref="J659">INDEX('TJ List'!B:B,MATCH(I659,'TJ List'!N:N,0),0)</f>
        <v>#N/A</v>
      </c>
      <c r="K659" s="6"/>
      <c r="L659" s="13"/>
      <c r="M659" s="11"/>
      <c r="N659" s="86"/>
      <c r="O659" s="86"/>
      <c r="T659" s="30"/>
      <c r="Z659" s="96"/>
    </row>
    <row r="660">
      <c r="B660" s="30"/>
      <c r="D660" s="30"/>
      <c r="G660" s="13" t="s">
        <v>5143</v>
      </c>
      <c r="H660" s="11" t="s">
        <v>150</v>
      </c>
      <c r="I660" s="13">
        <v>17780.0</v>
      </c>
      <c r="J660" t="str">
        <f t="array" ref="J660">INDEX('TJ List'!B:B,MATCH(I660,'TJ List'!N:N,0),0)</f>
        <v>#N/A</v>
      </c>
      <c r="K660" s="6"/>
      <c r="L660" s="13"/>
      <c r="M660" s="11"/>
      <c r="N660" s="86"/>
      <c r="O660" s="86"/>
      <c r="T660" s="30"/>
      <c r="Z660" s="96"/>
    </row>
    <row r="661">
      <c r="B661" s="30"/>
      <c r="D661" s="30"/>
      <c r="G661" s="13" t="s">
        <v>5144</v>
      </c>
      <c r="H661" s="11" t="s">
        <v>150</v>
      </c>
      <c r="I661" s="13">
        <v>20153.0</v>
      </c>
      <c r="J661" t="str">
        <f t="array" ref="J661">INDEX('TJ List'!B:B,MATCH(I661,'TJ List'!N:N,0),0)</f>
        <v>#N/A</v>
      </c>
      <c r="K661" s="6"/>
      <c r="L661" s="13"/>
      <c r="M661" s="11"/>
      <c r="N661" s="86"/>
      <c r="O661" s="86"/>
      <c r="T661" s="30"/>
      <c r="Z661" s="96"/>
    </row>
    <row r="662">
      <c r="B662" s="30"/>
      <c r="D662" s="30"/>
      <c r="G662" s="13" t="s">
        <v>5145</v>
      </c>
      <c r="H662" s="11" t="s">
        <v>150</v>
      </c>
      <c r="I662" s="13">
        <v>14552.0</v>
      </c>
      <c r="J662" t="str">
        <f t="array" ref="J662">INDEX('TJ List'!B:B,MATCH(I662,'TJ List'!N:N,0),0)</f>
        <v>#N/A</v>
      </c>
      <c r="K662" s="6"/>
      <c r="L662" s="13"/>
      <c r="M662" s="11"/>
      <c r="N662" s="86"/>
      <c r="O662" s="86"/>
      <c r="T662" s="30"/>
      <c r="Z662" s="96"/>
    </row>
    <row r="663">
      <c r="B663" s="30"/>
      <c r="D663" s="30"/>
      <c r="G663" s="13" t="s">
        <v>5146</v>
      </c>
      <c r="H663" s="11" t="s">
        <v>150</v>
      </c>
      <c r="I663" s="13">
        <v>18694.0</v>
      </c>
      <c r="J663" t="str">
        <f t="array" ref="J663">INDEX('TJ List'!B:B,MATCH(I663,'TJ List'!N:N,0),0)</f>
        <v>#N/A</v>
      </c>
      <c r="K663" s="6"/>
      <c r="L663" s="13"/>
      <c r="M663" s="11"/>
      <c r="N663" s="86"/>
      <c r="O663" s="86"/>
      <c r="T663" s="30"/>
      <c r="Z663" s="96"/>
    </row>
    <row r="664">
      <c r="B664" s="30"/>
      <c r="D664" s="30"/>
      <c r="G664" s="13" t="s">
        <v>4825</v>
      </c>
      <c r="H664" s="11" t="s">
        <v>150</v>
      </c>
      <c r="I664" s="13">
        <v>19358.0</v>
      </c>
      <c r="J664" t="str">
        <f t="array" ref="J664">INDEX('TJ List'!B:B,MATCH(I664,'TJ List'!N:N,0),0)</f>
        <v>#N/A</v>
      </c>
      <c r="K664" s="6"/>
      <c r="L664" s="13"/>
      <c r="M664" s="11"/>
      <c r="N664" s="86"/>
      <c r="O664" s="86"/>
      <c r="T664" s="30"/>
      <c r="Z664" s="96"/>
    </row>
    <row r="665">
      <c r="B665" s="30"/>
      <c r="D665" s="30"/>
      <c r="G665" s="13" t="s">
        <v>5147</v>
      </c>
      <c r="H665" s="11" t="s">
        <v>150</v>
      </c>
      <c r="I665" s="13">
        <v>17964.0</v>
      </c>
      <c r="J665" t="str">
        <f t="array" ref="J665">INDEX('TJ List'!B:B,MATCH(I665,'TJ List'!N:N,0),0)</f>
        <v>#N/A</v>
      </c>
      <c r="K665" s="6"/>
      <c r="L665" s="13"/>
      <c r="M665" s="11"/>
      <c r="N665" s="86"/>
      <c r="O665" s="86"/>
      <c r="T665" s="30"/>
      <c r="Z665" s="96"/>
    </row>
    <row r="666">
      <c r="B666" s="30"/>
      <c r="D666" s="30"/>
      <c r="G666" s="13" t="s">
        <v>5148</v>
      </c>
      <c r="H666" s="11" t="s">
        <v>150</v>
      </c>
      <c r="I666" s="13">
        <v>16318.0</v>
      </c>
      <c r="J666" t="str">
        <f t="array" ref="J666">INDEX('TJ List'!B:B,MATCH(I666,'TJ List'!N:N,0),0)</f>
        <v>#N/A</v>
      </c>
      <c r="K666" s="6"/>
      <c r="L666" s="13"/>
      <c r="M666" s="11"/>
      <c r="N666" s="86"/>
      <c r="O666" s="86"/>
      <c r="T666" s="30"/>
      <c r="Z666" s="96"/>
    </row>
    <row r="667">
      <c r="B667" s="30"/>
      <c r="D667" s="30"/>
      <c r="G667" s="13" t="s">
        <v>4805</v>
      </c>
      <c r="H667" s="11" t="s">
        <v>150</v>
      </c>
      <c r="I667" s="13">
        <v>18067.0</v>
      </c>
      <c r="J667" t="str">
        <f t="array" ref="J667">INDEX('TJ List'!B:B,MATCH(I667,'TJ List'!N:N,0),0)</f>
        <v>#N/A</v>
      </c>
      <c r="K667" s="6"/>
      <c r="L667" s="13"/>
      <c r="M667" s="11"/>
      <c r="N667" s="86"/>
      <c r="O667" s="86"/>
      <c r="T667" s="30"/>
      <c r="Z667" s="96"/>
    </row>
    <row r="668">
      <c r="B668" s="30"/>
      <c r="D668" s="30"/>
      <c r="G668" s="13" t="s">
        <v>5149</v>
      </c>
      <c r="H668" s="11" t="s">
        <v>150</v>
      </c>
      <c r="I668" s="13">
        <v>14416.0</v>
      </c>
      <c r="J668" t="str">
        <f t="array" ref="J668">INDEX('TJ List'!B:B,MATCH(I668,'TJ List'!N:N,0),0)</f>
        <v>#N/A</v>
      </c>
      <c r="K668" s="6"/>
      <c r="L668" s="13"/>
      <c r="M668" s="11"/>
      <c r="N668" s="86"/>
      <c r="O668" s="86"/>
      <c r="T668" s="30"/>
      <c r="Z668" s="96"/>
    </row>
    <row r="669">
      <c r="B669" s="30"/>
      <c r="D669" s="30"/>
      <c r="G669" s="13" t="s">
        <v>2317</v>
      </c>
      <c r="H669" s="11" t="s">
        <v>150</v>
      </c>
      <c r="I669" s="13">
        <v>20572.0</v>
      </c>
      <c r="K669" s="6"/>
      <c r="L669" s="13"/>
      <c r="M669" s="11"/>
      <c r="N669" s="86"/>
      <c r="O669" s="86"/>
      <c r="T669" s="30"/>
      <c r="Z669" s="96"/>
    </row>
    <row r="670">
      <c r="B670" s="30"/>
      <c r="D670" s="30"/>
      <c r="G670" s="13" t="s">
        <v>3246</v>
      </c>
      <c r="H670" s="11" t="s">
        <v>362</v>
      </c>
      <c r="I670" s="13">
        <v>16350.0</v>
      </c>
      <c r="J670" s="87">
        <f t="array" ref="J670">INDEX('TJ List'!B:B,MATCH(I670,'TJ List'!N:N,0),0)</f>
        <v>41363</v>
      </c>
      <c r="K670" s="6"/>
      <c r="L670" s="13"/>
      <c r="M670" s="11"/>
      <c r="N670" s="86"/>
      <c r="O670" s="86"/>
      <c r="T670" s="30"/>
      <c r="Z670" s="96"/>
    </row>
    <row r="671">
      <c r="B671" s="30"/>
      <c r="D671" s="30"/>
      <c r="G671" s="13" t="s">
        <v>3103</v>
      </c>
      <c r="H671" s="11" t="s">
        <v>362</v>
      </c>
      <c r="I671" s="13">
        <v>23779.0</v>
      </c>
      <c r="J671" s="87">
        <f t="array" ref="J671">INDEX('TJ List'!B:B,MATCH(I671,'TJ List'!N:N,0),0)</f>
        <v>41640</v>
      </c>
      <c r="K671" s="6"/>
      <c r="L671" s="13"/>
      <c r="M671" s="11"/>
      <c r="N671" s="86"/>
      <c r="O671" s="86"/>
      <c r="T671" s="30"/>
      <c r="Z671" s="96"/>
    </row>
    <row r="672">
      <c r="B672" s="30"/>
      <c r="D672" s="30"/>
      <c r="G672" s="13" t="s">
        <v>4700</v>
      </c>
      <c r="H672" s="11" t="s">
        <v>362</v>
      </c>
      <c r="I672" s="13">
        <v>6902.0</v>
      </c>
      <c r="J672" s="87">
        <f t="array" ref="J672">INDEX('TJ List'!B:B,MATCH(I672,'TJ List'!N:N,0),0)</f>
        <v>41778</v>
      </c>
      <c r="K672" s="6"/>
      <c r="L672" s="13"/>
      <c r="M672" s="11"/>
      <c r="N672" s="86"/>
      <c r="O672" s="86"/>
      <c r="T672" s="30"/>
      <c r="Z672" s="96"/>
    </row>
    <row r="673">
      <c r="B673" s="30"/>
      <c r="D673" s="30"/>
      <c r="G673" s="13" t="s">
        <v>5150</v>
      </c>
      <c r="H673" s="11" t="s">
        <v>362</v>
      </c>
      <c r="I673" s="13">
        <v>17149.0</v>
      </c>
      <c r="J673" s="87">
        <f t="array" ref="J673">INDEX('TJ List'!B:B,MATCH(I673,'TJ List'!N:N,0),0)</f>
        <v>42094</v>
      </c>
      <c r="K673" s="6"/>
      <c r="L673" s="13"/>
      <c r="M673" s="11"/>
      <c r="N673" s="86"/>
      <c r="O673" s="86"/>
      <c r="T673" s="30"/>
      <c r="Z673" s="96"/>
    </row>
    <row r="674">
      <c r="B674" s="30"/>
      <c r="D674" s="30"/>
      <c r="G674" s="13" t="s">
        <v>2727</v>
      </c>
      <c r="H674" s="11" t="s">
        <v>362</v>
      </c>
      <c r="I674" s="13">
        <v>15968.0</v>
      </c>
      <c r="J674" s="87">
        <f t="array" ref="J674">INDEX('TJ List'!B:B,MATCH(I674,'TJ List'!N:N,0),0)</f>
        <v>42115</v>
      </c>
      <c r="K674" s="6"/>
      <c r="L674" s="13"/>
      <c r="M674" s="11"/>
      <c r="N674" s="86"/>
      <c r="O674" s="86"/>
      <c r="T674" s="30"/>
      <c r="Z674" s="96"/>
    </row>
    <row r="675">
      <c r="B675" s="30"/>
      <c r="D675" s="30"/>
      <c r="G675" s="13" t="s">
        <v>2410</v>
      </c>
      <c r="H675" s="11" t="s">
        <v>362</v>
      </c>
      <c r="I675" s="13">
        <v>15467.0</v>
      </c>
      <c r="J675" s="87">
        <f t="array" ref="J675">INDEX('TJ List'!B:B,MATCH(I675,'TJ List'!N:N,0),0)</f>
        <v>42475</v>
      </c>
      <c r="K675" s="6"/>
      <c r="L675" s="13"/>
      <c r="M675" s="11"/>
      <c r="N675" s="86"/>
      <c r="O675" s="86"/>
      <c r="T675" s="30"/>
      <c r="Z675" s="96"/>
    </row>
    <row r="676">
      <c r="B676" s="30"/>
      <c r="D676" s="30"/>
      <c r="G676" s="13" t="s">
        <v>1911</v>
      </c>
      <c r="H676" s="11" t="s">
        <v>362</v>
      </c>
      <c r="I676" s="13">
        <v>16466.0</v>
      </c>
      <c r="J676" s="87">
        <f t="array" ref="J676">INDEX('TJ List'!B:B,MATCH(I676,'TJ List'!N:N,0),0)</f>
        <v>43158</v>
      </c>
      <c r="K676" s="6"/>
      <c r="L676" s="13"/>
      <c r="M676" s="11"/>
      <c r="N676" s="86"/>
      <c r="O676" s="86"/>
      <c r="T676" s="30"/>
      <c r="Z676" s="96"/>
    </row>
    <row r="677">
      <c r="B677" s="30"/>
      <c r="D677" s="30"/>
      <c r="G677" s="13" t="s">
        <v>1871</v>
      </c>
      <c r="H677" s="11" t="s">
        <v>362</v>
      </c>
      <c r="I677" s="13">
        <v>22361.0</v>
      </c>
      <c r="J677" s="87">
        <f t="array" ref="J677">INDEX('TJ List'!B:B,MATCH(I677,'TJ List'!N:N,0),0)</f>
        <v>43194</v>
      </c>
      <c r="K677" s="6"/>
      <c r="L677" s="13"/>
      <c r="M677" s="11"/>
      <c r="N677" s="86"/>
      <c r="O677" s="86"/>
      <c r="T677" s="30"/>
      <c r="Z677" s="96"/>
    </row>
    <row r="678">
      <c r="B678" s="30"/>
      <c r="D678" s="30"/>
      <c r="G678" s="13" t="s">
        <v>1867</v>
      </c>
      <c r="H678" s="11" t="s">
        <v>362</v>
      </c>
      <c r="I678" s="13">
        <v>15100.0</v>
      </c>
      <c r="J678" s="87">
        <f t="array" ref="J678">INDEX('TJ List'!B:B,MATCH(I678,'TJ List'!N:N,0),0)</f>
        <v>43196</v>
      </c>
      <c r="K678" s="6"/>
      <c r="L678" s="13"/>
      <c r="M678" s="11"/>
      <c r="N678" s="86"/>
      <c r="O678" s="86"/>
      <c r="T678" s="30"/>
      <c r="Z678" s="96"/>
    </row>
    <row r="679">
      <c r="B679" s="30"/>
      <c r="D679" s="30"/>
      <c r="G679" s="13" t="s">
        <v>5151</v>
      </c>
      <c r="H679" s="11" t="s">
        <v>362</v>
      </c>
      <c r="I679" s="13">
        <v>22318.0</v>
      </c>
      <c r="J679" s="89">
        <f t="array" ref="J679">INDEX('TJ List'!B:B,MATCH(I679,'TJ List'!N:N,0),0)</f>
        <v>43466</v>
      </c>
      <c r="K679" s="6"/>
      <c r="L679" s="13"/>
      <c r="M679" s="11"/>
      <c r="N679" s="86"/>
      <c r="O679" s="86"/>
      <c r="T679" s="30"/>
      <c r="Z679" s="96"/>
    </row>
    <row r="680">
      <c r="B680" s="30"/>
      <c r="D680" s="30"/>
      <c r="G680" s="13" t="s">
        <v>1417</v>
      </c>
      <c r="H680" s="11" t="s">
        <v>362</v>
      </c>
      <c r="I680" s="13">
        <v>19962.0</v>
      </c>
      <c r="J680" s="87">
        <f t="array" ref="J680">INDEX('TJ List'!B:B,MATCH(I680,'TJ List'!N:N,0),0)</f>
        <v>43907</v>
      </c>
      <c r="K680" s="6"/>
      <c r="L680" s="13"/>
      <c r="M680" s="11"/>
      <c r="N680" s="86"/>
      <c r="O680" s="86"/>
      <c r="T680" s="30"/>
      <c r="Z680" s="96"/>
    </row>
    <row r="681">
      <c r="B681" s="30"/>
      <c r="D681" s="30"/>
      <c r="G681" s="13" t="s">
        <v>1354</v>
      </c>
      <c r="H681" s="11" t="s">
        <v>362</v>
      </c>
      <c r="I681" s="13">
        <v>17192.0</v>
      </c>
      <c r="J681" s="87">
        <f t="array" ref="J681">INDEX('TJ List'!B:B,MATCH(I681,'TJ List'!N:N,0),0)</f>
        <v>44076</v>
      </c>
      <c r="K681" s="6"/>
      <c r="L681" s="13"/>
      <c r="M681" s="11"/>
      <c r="N681" s="86"/>
      <c r="O681" s="86"/>
      <c r="T681" s="30"/>
      <c r="Z681" s="96"/>
    </row>
    <row r="682">
      <c r="B682" s="30"/>
      <c r="D682" s="30"/>
      <c r="G682" s="13" t="s">
        <v>747</v>
      </c>
      <c r="H682" s="11" t="s">
        <v>362</v>
      </c>
      <c r="I682" s="13">
        <v>19345.0</v>
      </c>
      <c r="J682" s="87">
        <f t="array" ref="J682">INDEX('TJ List'!B:B,MATCH(I682,'TJ List'!N:N,0),0)</f>
        <v>44813</v>
      </c>
      <c r="K682" s="6"/>
      <c r="L682" s="13"/>
      <c r="M682" s="11"/>
      <c r="N682" s="86"/>
      <c r="O682" s="86"/>
      <c r="T682" s="30"/>
      <c r="Z682" s="96"/>
    </row>
    <row r="683">
      <c r="B683" s="30"/>
      <c r="D683" s="30"/>
      <c r="G683" s="13" t="s">
        <v>617</v>
      </c>
      <c r="H683" s="11" t="s">
        <v>362</v>
      </c>
      <c r="I683" s="13">
        <v>24728.0</v>
      </c>
      <c r="J683" s="87">
        <f t="array" ref="J683">INDEX('TJ List'!B:B,MATCH(I683,'TJ List'!N:N,0),0)</f>
        <v>45042</v>
      </c>
      <c r="K683" s="6"/>
      <c r="L683" s="13"/>
      <c r="M683" s="11"/>
      <c r="N683" s="86"/>
      <c r="O683" s="86"/>
      <c r="T683" s="30"/>
      <c r="Z683" s="96"/>
    </row>
    <row r="684">
      <c r="B684" s="30"/>
      <c r="D684" s="30"/>
      <c r="G684" s="13" t="s">
        <v>5152</v>
      </c>
      <c r="H684" s="11" t="s">
        <v>362</v>
      </c>
      <c r="I684" s="13">
        <v>33677.0</v>
      </c>
      <c r="J684" t="str">
        <f t="array" ref="J684">INDEX('TJ List'!B:B,MATCH(I684,'TJ List'!N:N,0),0)</f>
        <v>#N/A</v>
      </c>
      <c r="K684" s="6"/>
      <c r="L684" s="13"/>
      <c r="M684" s="11"/>
      <c r="N684" s="86"/>
      <c r="O684" s="86"/>
      <c r="T684" s="30"/>
      <c r="Z684" s="96"/>
    </row>
    <row r="685">
      <c r="B685" s="30"/>
      <c r="D685" s="30"/>
      <c r="G685" s="13" t="s">
        <v>5153</v>
      </c>
      <c r="H685" s="11" t="s">
        <v>362</v>
      </c>
      <c r="I685" s="13">
        <v>17594.0</v>
      </c>
      <c r="J685" t="str">
        <f t="array" ref="J685">INDEX('TJ List'!B:B,MATCH(I685,'TJ List'!N:N,0),0)</f>
        <v>#N/A</v>
      </c>
      <c r="K685" s="6"/>
      <c r="L685" s="13"/>
      <c r="M685" s="11"/>
      <c r="N685" s="86"/>
      <c r="O685" s="86"/>
      <c r="T685" s="30"/>
      <c r="Z685" s="96"/>
    </row>
    <row r="686">
      <c r="B686" s="30"/>
      <c r="D686" s="30"/>
      <c r="G686" s="13" t="s">
        <v>4612</v>
      </c>
      <c r="H686" s="11" t="s">
        <v>362</v>
      </c>
      <c r="I686" s="13">
        <v>27863.0</v>
      </c>
      <c r="J686" t="str">
        <f t="array" ref="J686">INDEX('TJ List'!B:B,MATCH(I686,'TJ List'!N:N,0),0)</f>
        <v>#N/A</v>
      </c>
      <c r="K686" s="6"/>
      <c r="L686" s="13"/>
      <c r="M686" s="11"/>
      <c r="N686" s="86"/>
      <c r="O686" s="86"/>
      <c r="T686" s="30"/>
      <c r="Z686" s="96"/>
    </row>
    <row r="687">
      <c r="B687" s="30"/>
      <c r="D687" s="30"/>
      <c r="G687" s="13" t="s">
        <v>5154</v>
      </c>
      <c r="H687" s="11" t="s">
        <v>362</v>
      </c>
      <c r="I687" s="13">
        <v>20070.0</v>
      </c>
      <c r="J687" t="str">
        <f t="array" ref="J687">INDEX('TJ List'!B:B,MATCH(I687,'TJ List'!N:N,0),0)</f>
        <v>#N/A</v>
      </c>
      <c r="K687" s="6"/>
      <c r="L687" s="13"/>
      <c r="M687" s="11"/>
      <c r="N687" s="86"/>
      <c r="O687" s="86"/>
      <c r="T687" s="30"/>
      <c r="Z687" s="96"/>
    </row>
    <row r="688">
      <c r="B688" s="30"/>
      <c r="D688" s="30"/>
      <c r="G688" s="13" t="s">
        <v>5155</v>
      </c>
      <c r="H688" s="11" t="s">
        <v>362</v>
      </c>
      <c r="I688" s="13">
        <v>10233.0</v>
      </c>
      <c r="J688" t="str">
        <f t="array" ref="J688">INDEX('TJ List'!B:B,MATCH(I688,'TJ List'!N:N,0),0)</f>
        <v>#N/A</v>
      </c>
      <c r="K688" s="6"/>
      <c r="L688" s="13"/>
      <c r="M688" s="11"/>
      <c r="N688" s="86"/>
      <c r="O688" s="86"/>
      <c r="T688" s="30"/>
      <c r="Z688" s="96"/>
    </row>
    <row r="689">
      <c r="B689" s="30"/>
      <c r="D689" s="30"/>
      <c r="G689" s="13" t="s">
        <v>5156</v>
      </c>
      <c r="H689" s="11" t="s">
        <v>362</v>
      </c>
      <c r="I689" s="13">
        <v>27646.0</v>
      </c>
      <c r="J689" t="str">
        <f t="array" ref="J689">INDEX('TJ List'!B:B,MATCH(I689,'TJ List'!N:N,0),0)</f>
        <v>#N/A</v>
      </c>
      <c r="K689" s="6"/>
      <c r="L689" s="13"/>
      <c r="M689" s="11"/>
      <c r="N689" s="86"/>
      <c r="O689" s="86"/>
      <c r="T689" s="30"/>
      <c r="Z689" s="96"/>
    </row>
    <row r="690">
      <c r="B690" s="30"/>
      <c r="D690" s="30"/>
      <c r="G690" s="13" t="s">
        <v>5157</v>
      </c>
      <c r="H690" s="11" t="s">
        <v>362</v>
      </c>
      <c r="I690" s="13">
        <v>23455.0</v>
      </c>
      <c r="J690" t="str">
        <f t="array" ref="J690">INDEX('TJ List'!B:B,MATCH(I690,'TJ List'!N:N,0),0)</f>
        <v>#N/A</v>
      </c>
      <c r="K690" s="6"/>
      <c r="L690" s="13"/>
      <c r="M690" s="11"/>
      <c r="N690" s="86"/>
      <c r="O690" s="86"/>
      <c r="T690" s="30"/>
      <c r="Z690" s="96"/>
    </row>
    <row r="691">
      <c r="B691" s="30"/>
      <c r="D691" s="30"/>
      <c r="G691" s="13" t="s">
        <v>5158</v>
      </c>
      <c r="H691" s="11" t="s">
        <v>362</v>
      </c>
      <c r="I691" s="13">
        <v>27572.0</v>
      </c>
      <c r="J691" t="str">
        <f t="array" ref="J691">INDEX('TJ List'!B:B,MATCH(I691,'TJ List'!N:N,0),0)</f>
        <v>#N/A</v>
      </c>
      <c r="K691" s="6"/>
      <c r="L691" s="13"/>
      <c r="M691" s="11"/>
      <c r="N691" s="86"/>
      <c r="O691" s="86"/>
      <c r="T691" s="30"/>
      <c r="Z691" s="96"/>
    </row>
    <row r="692">
      <c r="B692" s="30"/>
      <c r="D692" s="30"/>
      <c r="G692" s="13" t="s">
        <v>5159</v>
      </c>
      <c r="H692" s="11" t="s">
        <v>362</v>
      </c>
      <c r="I692" s="13">
        <v>27775.0</v>
      </c>
      <c r="J692" t="str">
        <f t="array" ref="J692">INDEX('TJ List'!B:B,MATCH(I692,'TJ List'!N:N,0),0)</f>
        <v>#N/A</v>
      </c>
      <c r="K692" s="6"/>
      <c r="L692" s="13"/>
      <c r="M692" s="11"/>
      <c r="N692" s="86"/>
      <c r="O692" s="86"/>
      <c r="T692" s="30"/>
      <c r="Z692" s="96"/>
    </row>
    <row r="693">
      <c r="B693" s="30"/>
      <c r="D693" s="30"/>
      <c r="G693" s="13" t="s">
        <v>5160</v>
      </c>
      <c r="H693" s="11" t="s">
        <v>362</v>
      </c>
      <c r="I693" s="13">
        <v>20385.0</v>
      </c>
      <c r="J693" t="str">
        <f t="array" ref="J693">INDEX('TJ List'!B:B,MATCH(I693,'TJ List'!N:N,0),0)</f>
        <v>#N/A</v>
      </c>
      <c r="K693" s="6"/>
      <c r="L693" s="13"/>
      <c r="M693" s="11"/>
      <c r="N693" s="86"/>
      <c r="O693" s="86"/>
      <c r="T693" s="30"/>
      <c r="Z693" s="96"/>
    </row>
    <row r="694">
      <c r="B694" s="30"/>
      <c r="D694" s="30"/>
      <c r="G694" s="13" t="s">
        <v>5161</v>
      </c>
      <c r="H694" s="11" t="s">
        <v>362</v>
      </c>
      <c r="I694" s="13">
        <v>19891.0</v>
      </c>
      <c r="J694" t="str">
        <f t="array" ref="J694">INDEX('TJ List'!B:B,MATCH(I694,'TJ List'!N:N,0),0)</f>
        <v>#N/A</v>
      </c>
      <c r="K694" s="6"/>
      <c r="L694" s="13"/>
      <c r="M694" s="11"/>
      <c r="N694" s="86"/>
      <c r="O694" s="86"/>
      <c r="T694" s="30"/>
      <c r="Z694" s="96"/>
    </row>
    <row r="695">
      <c r="B695" s="30"/>
      <c r="D695" s="30"/>
      <c r="G695" s="13" t="s">
        <v>5162</v>
      </c>
      <c r="H695" s="11" t="s">
        <v>362</v>
      </c>
      <c r="I695" s="13">
        <v>20418.0</v>
      </c>
      <c r="J695" t="str">
        <f t="array" ref="J695">INDEX('TJ List'!B:B,MATCH(I695,'TJ List'!N:N,0),0)</f>
        <v>#N/A</v>
      </c>
      <c r="K695" s="6"/>
      <c r="L695" s="13"/>
      <c r="M695" s="11"/>
      <c r="N695" s="86"/>
      <c r="O695" s="86"/>
      <c r="T695" s="30"/>
      <c r="Z695" s="96"/>
    </row>
    <row r="696">
      <c r="B696" s="30"/>
      <c r="D696" s="30"/>
      <c r="G696" s="13" t="s">
        <v>4808</v>
      </c>
      <c r="H696" s="11" t="s">
        <v>362</v>
      </c>
      <c r="I696" s="13">
        <v>15679.0</v>
      </c>
      <c r="J696" t="str">
        <f t="array" ref="J696">INDEX('TJ List'!B:B,MATCH(I696,'TJ List'!N:N,0),0)</f>
        <v>#N/A</v>
      </c>
      <c r="K696" s="6"/>
      <c r="L696" s="13"/>
      <c r="M696" s="11"/>
      <c r="N696" s="86"/>
      <c r="O696" s="86"/>
      <c r="T696" s="30"/>
      <c r="Z696" s="96"/>
    </row>
    <row r="697">
      <c r="B697" s="30"/>
      <c r="D697" s="30"/>
      <c r="G697" s="13" t="s">
        <v>5163</v>
      </c>
      <c r="H697" s="11" t="s">
        <v>362</v>
      </c>
      <c r="I697" s="13">
        <v>19569.0</v>
      </c>
      <c r="J697" t="str">
        <f t="array" ref="J697">INDEX('TJ List'!B:B,MATCH(I697,'TJ List'!N:N,0),0)</f>
        <v>#N/A</v>
      </c>
      <c r="K697" s="6"/>
      <c r="L697" s="13"/>
      <c r="M697" s="11"/>
      <c r="N697" s="86"/>
      <c r="O697" s="86"/>
      <c r="T697" s="30"/>
      <c r="Z697" s="96"/>
    </row>
    <row r="698">
      <c r="B698" s="30"/>
      <c r="D698" s="30"/>
      <c r="G698" s="13" t="s">
        <v>4700</v>
      </c>
      <c r="H698" s="11" t="s">
        <v>4734</v>
      </c>
      <c r="I698" s="13">
        <v>6902.0</v>
      </c>
      <c r="J698" s="87">
        <f t="array" ref="J698">INDEX('TJ List'!B:B,MATCH(I698,'TJ List'!N:N,0),0)</f>
        <v>41778</v>
      </c>
      <c r="K698" s="6"/>
      <c r="L698" s="13"/>
      <c r="M698" s="11"/>
      <c r="N698" s="86"/>
      <c r="O698" s="86"/>
      <c r="T698" s="30"/>
      <c r="Z698" s="96"/>
    </row>
    <row r="699">
      <c r="B699" s="30"/>
      <c r="D699" s="30"/>
      <c r="G699" s="13" t="s">
        <v>2924</v>
      </c>
      <c r="H699" s="11" t="s">
        <v>4734</v>
      </c>
      <c r="I699" s="13">
        <v>18525.0</v>
      </c>
      <c r="J699" s="87">
        <f t="array" ref="J699">INDEX('TJ List'!B:B,MATCH(I699,'TJ List'!N:N,0),0)</f>
        <v>41842</v>
      </c>
      <c r="K699" s="6"/>
      <c r="L699" s="13"/>
      <c r="M699" s="11"/>
      <c r="N699" s="86"/>
      <c r="O699" s="86"/>
      <c r="T699" s="30"/>
      <c r="Z699" s="96"/>
    </row>
    <row r="700">
      <c r="B700" s="30"/>
      <c r="D700" s="30"/>
      <c r="G700" s="13" t="s">
        <v>2781</v>
      </c>
      <c r="H700" s="11" t="s">
        <v>4734</v>
      </c>
      <c r="I700" s="13">
        <v>13074.0</v>
      </c>
      <c r="J700" s="87">
        <f t="array" ref="J700">INDEX('TJ List'!B:B,MATCH(I700,'TJ List'!N:N,0),0)</f>
        <v>42080</v>
      </c>
      <c r="K700" s="6"/>
      <c r="L700" s="13"/>
      <c r="M700" s="11"/>
      <c r="N700" s="86"/>
      <c r="O700" s="86"/>
      <c r="T700" s="30"/>
      <c r="Z700" s="96"/>
    </row>
    <row r="701">
      <c r="B701" s="30"/>
      <c r="D701" s="30"/>
      <c r="G701" s="13" t="s">
        <v>2685</v>
      </c>
      <c r="H701" s="11" t="s">
        <v>4734</v>
      </c>
      <c r="I701" s="13">
        <v>26304.0</v>
      </c>
      <c r="J701" s="87">
        <f t="array" ref="J701">INDEX('TJ List'!B:B,MATCH(I701,'TJ List'!N:N,0),0)</f>
        <v>42156</v>
      </c>
      <c r="K701" s="6"/>
      <c r="L701" s="13"/>
      <c r="M701" s="11"/>
      <c r="N701" s="86"/>
      <c r="O701" s="86"/>
      <c r="T701" s="30"/>
      <c r="Z701" s="96"/>
    </row>
    <row r="702">
      <c r="B702" s="30"/>
      <c r="D702" s="30"/>
      <c r="G702" s="13" t="s">
        <v>2236</v>
      </c>
      <c r="H702" s="11" t="s">
        <v>4734</v>
      </c>
      <c r="I702" s="13">
        <v>25386.0</v>
      </c>
      <c r="J702" s="89">
        <f t="array" ref="J702">INDEX('TJ List'!B:B,MATCH(I702,'TJ List'!N:N,0),0)</f>
        <v>42736</v>
      </c>
      <c r="K702" s="6"/>
      <c r="L702" s="13"/>
      <c r="M702" s="11"/>
      <c r="N702" s="86"/>
      <c r="O702" s="86"/>
      <c r="T702" s="30"/>
      <c r="Z702" s="96"/>
    </row>
    <row r="703">
      <c r="B703" s="30"/>
      <c r="D703" s="30"/>
      <c r="G703" s="13" t="s">
        <v>2127</v>
      </c>
      <c r="H703" s="11" t="s">
        <v>4734</v>
      </c>
      <c r="I703" s="13">
        <v>30115.0</v>
      </c>
      <c r="J703" s="89">
        <f t="array" ref="J703">INDEX('TJ List'!B:B,MATCH(I703,'TJ List'!N:N,0),0)</f>
        <v>42839</v>
      </c>
      <c r="K703" s="6"/>
      <c r="L703" s="13"/>
      <c r="M703" s="11"/>
      <c r="N703" s="86"/>
      <c r="O703" s="86"/>
      <c r="T703" s="30"/>
      <c r="Z703" s="96"/>
    </row>
    <row r="704">
      <c r="B704" s="30"/>
      <c r="D704" s="30"/>
      <c r="G704" s="13" t="s">
        <v>1511</v>
      </c>
      <c r="H704" s="11" t="s">
        <v>4734</v>
      </c>
      <c r="I704" s="13">
        <v>22210.0</v>
      </c>
      <c r="J704" s="87">
        <f t="array" ref="J704">INDEX('TJ List'!B:B,MATCH(I704,'TJ List'!N:N,0),0)</f>
        <v>43700</v>
      </c>
      <c r="K704" s="6"/>
      <c r="L704" s="13"/>
      <c r="M704" s="11"/>
      <c r="N704" s="86"/>
      <c r="O704" s="86"/>
      <c r="T704" s="30"/>
      <c r="Z704" s="96"/>
    </row>
    <row r="705">
      <c r="B705" s="30"/>
      <c r="D705" s="30"/>
      <c r="G705" s="13" t="s">
        <v>1509</v>
      </c>
      <c r="H705" s="11" t="s">
        <v>4734</v>
      </c>
      <c r="I705" s="13">
        <v>23443.0</v>
      </c>
      <c r="J705" s="87">
        <f t="array" ref="J705">INDEX('TJ List'!B:B,MATCH(I705,'TJ List'!N:N,0),0)</f>
        <v>43709</v>
      </c>
      <c r="K705" s="6"/>
      <c r="L705" s="13"/>
      <c r="M705" s="11"/>
      <c r="N705" s="86"/>
      <c r="O705" s="86"/>
      <c r="T705" s="30"/>
      <c r="Z705" s="96"/>
    </row>
    <row r="706">
      <c r="B706" s="30"/>
      <c r="D706" s="30"/>
      <c r="G706" s="13" t="s">
        <v>1507</v>
      </c>
      <c r="H706" s="11" t="s">
        <v>4734</v>
      </c>
      <c r="I706" s="13">
        <v>18864.0</v>
      </c>
      <c r="J706" s="87">
        <f t="array" ref="J706">INDEX('TJ List'!B:B,MATCH(I706,'TJ List'!N:N,0),0)</f>
        <v>43709</v>
      </c>
      <c r="K706" s="6"/>
      <c r="L706" s="13"/>
      <c r="M706" s="11"/>
      <c r="N706" s="86"/>
      <c r="O706" s="86"/>
      <c r="T706" s="30"/>
      <c r="Z706" s="96"/>
    </row>
    <row r="707">
      <c r="B707" s="30"/>
      <c r="D707" s="30"/>
      <c r="G707" s="13" t="s">
        <v>1169</v>
      </c>
      <c r="H707" s="11" t="s">
        <v>4734</v>
      </c>
      <c r="I707" s="13">
        <v>20039.0</v>
      </c>
      <c r="J707" s="87">
        <f t="array" ref="J707">INDEX('TJ List'!B:B,MATCH(I707,'TJ List'!N:N,0),0)</f>
        <v>44306</v>
      </c>
      <c r="K707" s="6"/>
      <c r="L707" s="13"/>
      <c r="M707" s="11"/>
      <c r="N707" s="86"/>
      <c r="O707" s="86"/>
      <c r="T707" s="30"/>
      <c r="Z707" s="96"/>
    </row>
    <row r="708">
      <c r="B708" s="30"/>
      <c r="D708" s="30"/>
      <c r="G708" s="13" t="s">
        <v>249</v>
      </c>
      <c r="H708" s="11" t="s">
        <v>4734</v>
      </c>
      <c r="I708" s="13">
        <v>12970.0</v>
      </c>
      <c r="J708" s="87">
        <f t="array" ref="J708">INDEX('TJ List'!B:B,MATCH(I708,'TJ List'!N:N,0),0)</f>
        <v>45576</v>
      </c>
      <c r="K708" s="6"/>
      <c r="L708" s="13"/>
      <c r="M708" s="11"/>
      <c r="N708" s="86"/>
      <c r="O708" s="86"/>
      <c r="T708" s="30"/>
      <c r="Z708" s="96"/>
    </row>
    <row r="709">
      <c r="B709" s="30"/>
      <c r="D709" s="30"/>
      <c r="G709" s="13" t="s">
        <v>5164</v>
      </c>
      <c r="H709" s="11" t="s">
        <v>4734</v>
      </c>
      <c r="I709" s="13">
        <v>19853.0</v>
      </c>
      <c r="J709" t="str">
        <f t="array" ref="J709">INDEX('TJ List'!B:B,MATCH(I709,'TJ List'!N:N,0),0)</f>
        <v>#N/A</v>
      </c>
      <c r="K709" s="6"/>
      <c r="L709" s="13"/>
      <c r="M709" s="11"/>
      <c r="N709" s="86"/>
      <c r="O709" s="86"/>
      <c r="T709" s="30"/>
      <c r="Z709" s="96"/>
    </row>
    <row r="710">
      <c r="B710" s="30"/>
      <c r="D710" s="30"/>
      <c r="G710" s="13" t="s">
        <v>5165</v>
      </c>
      <c r="H710" s="11" t="s">
        <v>4734</v>
      </c>
      <c r="I710" s="13">
        <v>25550.0</v>
      </c>
      <c r="J710" t="str">
        <f t="array" ref="J710">INDEX('TJ List'!B:B,MATCH(I710,'TJ List'!N:N,0),0)</f>
        <v>#N/A</v>
      </c>
      <c r="K710" s="6"/>
      <c r="L710" s="13"/>
      <c r="M710" s="11"/>
      <c r="N710" s="86"/>
      <c r="O710" s="86"/>
      <c r="T710" s="30"/>
      <c r="Z710" s="96"/>
    </row>
    <row r="711">
      <c r="B711" s="30"/>
      <c r="D711" s="30"/>
      <c r="G711" s="13" t="s">
        <v>5166</v>
      </c>
      <c r="H711" s="11" t="s">
        <v>4734</v>
      </c>
      <c r="I711" s="13">
        <v>24719.0</v>
      </c>
      <c r="J711" t="str">
        <f t="array" ref="J711">INDEX('TJ List'!B:B,MATCH(I711,'TJ List'!N:N,0),0)</f>
        <v>#N/A</v>
      </c>
      <c r="K711" s="6"/>
      <c r="L711" s="13"/>
      <c r="M711" s="11"/>
      <c r="N711" s="86"/>
      <c r="O711" s="86"/>
      <c r="T711" s="30"/>
      <c r="Z711" s="96"/>
    </row>
    <row r="712">
      <c r="B712" s="30"/>
      <c r="D712" s="30"/>
      <c r="G712" s="13" t="s">
        <v>5167</v>
      </c>
      <c r="H712" s="11" t="s">
        <v>4734</v>
      </c>
      <c r="I712" s="13">
        <v>33826.0</v>
      </c>
      <c r="J712" t="str">
        <f t="array" ref="J712">INDEX('TJ List'!B:B,MATCH(I712,'TJ List'!N:N,0),0)</f>
        <v>#N/A</v>
      </c>
      <c r="K712" s="6"/>
      <c r="L712" s="13"/>
      <c r="M712" s="11"/>
      <c r="N712" s="86"/>
      <c r="O712" s="86"/>
      <c r="T712" s="30"/>
      <c r="Z712" s="96"/>
    </row>
    <row r="713">
      <c r="B713" s="30"/>
      <c r="D713" s="30"/>
      <c r="G713" s="13" t="s">
        <v>5168</v>
      </c>
      <c r="H713" s="11" t="s">
        <v>4734</v>
      </c>
      <c r="I713" s="13">
        <v>21487.0</v>
      </c>
      <c r="J713" t="str">
        <f t="array" ref="J713">INDEX('TJ List'!B:B,MATCH(I713,'TJ List'!N:N,0),0)</f>
        <v>#N/A</v>
      </c>
      <c r="K713" s="6"/>
      <c r="L713" s="13"/>
      <c r="M713" s="11"/>
      <c r="N713" s="86"/>
      <c r="O713" s="86"/>
      <c r="T713" s="30"/>
      <c r="Z713" s="96"/>
    </row>
    <row r="714">
      <c r="B714" s="30"/>
      <c r="D714" s="30"/>
      <c r="G714" s="13" t="s">
        <v>5169</v>
      </c>
      <c r="H714" s="11" t="s">
        <v>4734</v>
      </c>
      <c r="I714" s="13">
        <v>22253.0</v>
      </c>
      <c r="J714" t="str">
        <f t="array" ref="J714">INDEX('TJ List'!B:B,MATCH(I714,'TJ List'!N:N,0),0)</f>
        <v>#N/A</v>
      </c>
      <c r="K714" s="6"/>
      <c r="L714" s="13"/>
      <c r="M714" s="11"/>
      <c r="N714" s="86"/>
      <c r="O714" s="86"/>
      <c r="T714" s="30"/>
      <c r="Z714" s="96"/>
    </row>
    <row r="715">
      <c r="B715" s="30"/>
      <c r="D715" s="30"/>
      <c r="G715" s="13" t="s">
        <v>5170</v>
      </c>
      <c r="H715" s="11" t="s">
        <v>4734</v>
      </c>
      <c r="I715" s="13">
        <v>29628.0</v>
      </c>
      <c r="J715" t="str">
        <f t="array" ref="J715">INDEX('TJ List'!B:B,MATCH(I715,'TJ List'!N:N,0),0)</f>
        <v>#N/A</v>
      </c>
      <c r="K715" s="6"/>
      <c r="L715" s="13"/>
      <c r="M715" s="11"/>
      <c r="N715" s="86"/>
      <c r="O715" s="86"/>
      <c r="T715" s="30"/>
      <c r="Z715" s="96"/>
    </row>
    <row r="716">
      <c r="B716" s="30"/>
      <c r="D716" s="30"/>
      <c r="G716" s="13" t="s">
        <v>5171</v>
      </c>
      <c r="H716" s="11" t="s">
        <v>4734</v>
      </c>
      <c r="I716" s="13">
        <v>17117.0</v>
      </c>
      <c r="J716" t="str">
        <f t="array" ref="J716">INDEX('TJ List'!B:B,MATCH(I716,'TJ List'!N:N,0),0)</f>
        <v>#N/A</v>
      </c>
      <c r="K716" s="6"/>
      <c r="L716" s="13"/>
      <c r="M716" s="11"/>
      <c r="N716" s="86"/>
      <c r="O716" s="86"/>
      <c r="T716" s="30"/>
      <c r="Z716" s="96"/>
    </row>
    <row r="717">
      <c r="B717" s="30"/>
      <c r="D717" s="30"/>
      <c r="G717" s="13" t="s">
        <v>5172</v>
      </c>
      <c r="H717" s="11" t="s">
        <v>4734</v>
      </c>
      <c r="I717" s="13">
        <v>13607.0</v>
      </c>
      <c r="J717" t="str">
        <f t="array" ref="J717">INDEX('TJ List'!B:B,MATCH(I717,'TJ List'!N:N,0),0)</f>
        <v>#N/A</v>
      </c>
      <c r="K717" s="6"/>
      <c r="L717" s="13"/>
      <c r="M717" s="11"/>
      <c r="N717" s="86"/>
      <c r="O717" s="86"/>
      <c r="T717" s="30"/>
      <c r="Z717" s="96"/>
    </row>
    <row r="718">
      <c r="B718" s="30"/>
      <c r="D718" s="30"/>
      <c r="G718" s="13" t="s">
        <v>5173</v>
      </c>
      <c r="H718" s="11" t="s">
        <v>4734</v>
      </c>
      <c r="I718" s="13">
        <v>22461.0</v>
      </c>
      <c r="J718" t="str">
        <f t="array" ref="J718">INDEX('TJ List'!B:B,MATCH(I718,'TJ List'!N:N,0),0)</f>
        <v>#N/A</v>
      </c>
      <c r="K718" s="6"/>
      <c r="L718" s="13"/>
      <c r="M718" s="11"/>
      <c r="N718" s="86"/>
      <c r="O718" s="86"/>
      <c r="T718" s="30"/>
      <c r="Z718" s="96"/>
    </row>
    <row r="719">
      <c r="B719" s="30"/>
      <c r="D719" s="30"/>
      <c r="G719" s="13" t="s">
        <v>5174</v>
      </c>
      <c r="H719" s="11" t="s">
        <v>4734</v>
      </c>
      <c r="I719" s="13">
        <v>31900.0</v>
      </c>
      <c r="J719" t="str">
        <f t="array" ref="J719">INDEX('TJ List'!B:B,MATCH(I719,'TJ List'!N:N,0),0)</f>
        <v>#N/A</v>
      </c>
      <c r="K719" s="6"/>
      <c r="L719" s="13"/>
      <c r="M719" s="11"/>
      <c r="N719" s="86"/>
      <c r="O719" s="86"/>
      <c r="T719" s="30"/>
      <c r="Z719" s="96"/>
    </row>
    <row r="720">
      <c r="B720" s="30"/>
      <c r="D720" s="30"/>
      <c r="G720" s="13" t="s">
        <v>5175</v>
      </c>
      <c r="H720" s="11" t="s">
        <v>4734</v>
      </c>
      <c r="I720" s="13">
        <v>14295.0</v>
      </c>
      <c r="J720" t="str">
        <f t="array" ref="J720">INDEX('TJ List'!B:B,MATCH(I720,'TJ List'!N:N,0),0)</f>
        <v>#N/A</v>
      </c>
      <c r="K720" s="6"/>
      <c r="L720" s="13"/>
      <c r="M720" s="11"/>
      <c r="N720" s="86"/>
      <c r="O720" s="86"/>
      <c r="T720" s="30"/>
      <c r="Z720" s="96"/>
    </row>
    <row r="721">
      <c r="B721" s="30"/>
      <c r="D721" s="30"/>
      <c r="G721" s="13" t="s">
        <v>3146</v>
      </c>
      <c r="H721" s="11" t="s">
        <v>230</v>
      </c>
      <c r="I721" s="13">
        <v>17170.0</v>
      </c>
      <c r="J721" s="87">
        <f t="array" ref="J721">INDEX('TJ List'!B:B,MATCH(I721,'TJ List'!N:N,0),0)</f>
        <v>41518</v>
      </c>
      <c r="K721" s="6"/>
      <c r="L721" s="13"/>
      <c r="M721" s="11"/>
      <c r="N721" s="86"/>
      <c r="O721" s="86"/>
      <c r="T721" s="30"/>
      <c r="Z721" s="96"/>
    </row>
    <row r="722">
      <c r="B722" s="30"/>
      <c r="D722" s="30"/>
      <c r="G722" s="13" t="s">
        <v>4690</v>
      </c>
      <c r="H722" s="11" t="s">
        <v>230</v>
      </c>
      <c r="I722" s="13">
        <v>13767.0</v>
      </c>
      <c r="J722" s="87">
        <f t="array" ref="J722">INDEX('TJ List'!B:B,MATCH(I722,'TJ List'!N:N,0),0)</f>
        <v>41534</v>
      </c>
      <c r="K722" s="6"/>
      <c r="L722" s="13"/>
      <c r="M722" s="11"/>
      <c r="N722" s="86"/>
      <c r="O722" s="86"/>
      <c r="T722" s="30"/>
      <c r="Z722" s="96"/>
    </row>
    <row r="723">
      <c r="B723" s="30"/>
      <c r="D723" s="30"/>
      <c r="G723" s="13" t="s">
        <v>4715</v>
      </c>
      <c r="H723" s="11" t="s">
        <v>230</v>
      </c>
      <c r="I723" s="13">
        <v>12095.0</v>
      </c>
      <c r="J723" s="87">
        <f t="array" ref="J723">INDEX('TJ List'!B:B,MATCH(I723,'TJ List'!N:N,0),0)</f>
        <v>42668</v>
      </c>
      <c r="K723" s="6"/>
      <c r="L723" s="13"/>
      <c r="M723" s="11"/>
      <c r="N723" s="86"/>
      <c r="O723" s="86"/>
      <c r="T723" s="30"/>
      <c r="Z723" s="96"/>
    </row>
    <row r="724">
      <c r="B724" s="30"/>
      <c r="D724" s="30"/>
      <c r="G724" s="13" t="s">
        <v>5176</v>
      </c>
      <c r="H724" s="11" t="s">
        <v>230</v>
      </c>
      <c r="I724" s="13">
        <v>20373.0</v>
      </c>
      <c r="J724" s="87">
        <f t="array" ref="J724">INDEX('TJ List'!B:B,MATCH(I724,'TJ List'!N:N,0),0)</f>
        <v>43910</v>
      </c>
      <c r="K724" s="6"/>
      <c r="L724" s="13"/>
      <c r="M724" s="11"/>
      <c r="N724" s="86"/>
      <c r="O724" s="86"/>
      <c r="T724" s="30"/>
      <c r="Z724" s="96"/>
    </row>
    <row r="725">
      <c r="B725" s="30"/>
      <c r="D725" s="30"/>
      <c r="G725" s="13" t="s">
        <v>1355</v>
      </c>
      <c r="H725" s="11" t="s">
        <v>230</v>
      </c>
      <c r="I725" s="13">
        <v>13528.0</v>
      </c>
      <c r="J725" s="87">
        <f t="array" ref="J725">INDEX('TJ List'!B:B,MATCH(I725,'TJ List'!N:N,0),0)</f>
        <v>44075</v>
      </c>
      <c r="K725" s="6"/>
      <c r="L725" s="13"/>
      <c r="M725" s="11"/>
      <c r="N725" s="86"/>
      <c r="O725" s="86"/>
      <c r="T725" s="30"/>
      <c r="Z725" s="96"/>
    </row>
    <row r="726">
      <c r="B726" s="30"/>
      <c r="D726" s="30"/>
      <c r="G726" s="13" t="s">
        <v>4768</v>
      </c>
      <c r="H726" s="11" t="s">
        <v>230</v>
      </c>
      <c r="I726" s="13">
        <v>17464.0</v>
      </c>
      <c r="J726" s="87">
        <f t="array" ref="J726">INDEX('TJ List'!B:B,MATCH(I726,'TJ List'!N:N,0),0)</f>
        <v>44298</v>
      </c>
      <c r="K726" s="6"/>
      <c r="L726" s="13"/>
      <c r="M726" s="11"/>
      <c r="N726" s="86"/>
      <c r="O726" s="86"/>
      <c r="T726" s="30"/>
      <c r="Z726" s="96"/>
    </row>
    <row r="727">
      <c r="B727" s="30"/>
      <c r="D727" s="30"/>
      <c r="G727" s="13" t="s">
        <v>5177</v>
      </c>
      <c r="H727" s="11" t="s">
        <v>230</v>
      </c>
      <c r="I727" s="13">
        <v>25436.0</v>
      </c>
      <c r="J727" t="str">
        <f t="array" ref="J727">INDEX('TJ List'!B:B,MATCH(I727,'TJ List'!N:N,0),0)</f>
        <v>#N/A</v>
      </c>
      <c r="K727" s="6"/>
      <c r="L727" s="13"/>
      <c r="M727" s="11"/>
      <c r="N727" s="86"/>
      <c r="O727" s="86"/>
      <c r="T727" s="30"/>
      <c r="Z727" s="96"/>
    </row>
    <row r="728">
      <c r="B728" s="30"/>
      <c r="D728" s="30"/>
      <c r="G728" s="13" t="s">
        <v>5178</v>
      </c>
      <c r="H728" s="11" t="s">
        <v>230</v>
      </c>
      <c r="I728" s="13">
        <v>22250.0</v>
      </c>
      <c r="J728" t="str">
        <f t="array" ref="J728">INDEX('TJ List'!B:B,MATCH(I728,'TJ List'!N:N,0),0)</f>
        <v>#N/A</v>
      </c>
      <c r="K728" s="6"/>
      <c r="L728" s="13"/>
      <c r="M728" s="11"/>
      <c r="N728" s="86"/>
      <c r="O728" s="86"/>
      <c r="T728" s="30"/>
      <c r="Z728" s="96"/>
    </row>
    <row r="729">
      <c r="B729" s="30"/>
      <c r="D729" s="30"/>
      <c r="G729" s="13" t="s">
        <v>5179</v>
      </c>
      <c r="H729" s="11" t="s">
        <v>230</v>
      </c>
      <c r="I729" s="13">
        <v>29837.0</v>
      </c>
      <c r="J729" t="str">
        <f t="array" ref="J729">INDEX('TJ List'!B:B,MATCH(I729,'TJ List'!N:N,0),0)</f>
        <v>#N/A</v>
      </c>
      <c r="K729" s="6"/>
      <c r="L729" s="13"/>
      <c r="M729" s="11"/>
      <c r="N729" s="86"/>
      <c r="O729" s="86"/>
      <c r="T729" s="30"/>
      <c r="Z729" s="96"/>
    </row>
    <row r="730">
      <c r="B730" s="30"/>
      <c r="D730" s="30"/>
      <c r="G730" s="13" t="s">
        <v>5180</v>
      </c>
      <c r="H730" s="11" t="s">
        <v>230</v>
      </c>
      <c r="I730" s="13">
        <v>15689.0</v>
      </c>
      <c r="J730" t="str">
        <f t="array" ref="J730">INDEX('TJ List'!B:B,MATCH(I730,'TJ List'!N:N,0),0)</f>
        <v>#N/A</v>
      </c>
      <c r="K730" s="6"/>
      <c r="L730" s="13"/>
      <c r="M730" s="11"/>
      <c r="N730" s="86"/>
      <c r="O730" s="86"/>
      <c r="T730" s="30"/>
      <c r="Z730" s="96"/>
    </row>
    <row r="731">
      <c r="B731" s="30"/>
      <c r="D731" s="30"/>
      <c r="G731" s="13" t="s">
        <v>4633</v>
      </c>
      <c r="H731" s="11" t="s">
        <v>230</v>
      </c>
      <c r="I731" s="13">
        <v>30279.0</v>
      </c>
      <c r="J731" t="str">
        <f t="array" ref="J731">INDEX('TJ List'!B:B,MATCH(I731,'TJ List'!N:N,0),0)</f>
        <v>#N/A</v>
      </c>
      <c r="K731" s="6"/>
      <c r="L731" s="13"/>
      <c r="M731" s="11"/>
      <c r="N731" s="86"/>
      <c r="O731" s="86"/>
      <c r="T731" s="30"/>
      <c r="Z731" s="96"/>
    </row>
    <row r="732">
      <c r="B732" s="30"/>
      <c r="D732" s="30"/>
      <c r="G732" s="13" t="s">
        <v>5181</v>
      </c>
      <c r="H732" s="11" t="s">
        <v>230</v>
      </c>
      <c r="I732" s="13">
        <v>17948.0</v>
      </c>
      <c r="J732" t="str">
        <f t="array" ref="J732">INDEX('TJ List'!B:B,MATCH(I732,'TJ List'!N:N,0),0)</f>
        <v>#N/A</v>
      </c>
      <c r="K732" s="6"/>
      <c r="L732" s="13"/>
      <c r="M732" s="11"/>
      <c r="N732" s="86"/>
      <c r="O732" s="86"/>
      <c r="T732" s="30"/>
      <c r="Z732" s="96"/>
    </row>
    <row r="733">
      <c r="B733" s="30"/>
      <c r="D733" s="30"/>
      <c r="G733" s="13" t="s">
        <v>5182</v>
      </c>
      <c r="H733" s="11" t="s">
        <v>230</v>
      </c>
      <c r="I733" s="13">
        <v>23307.0</v>
      </c>
      <c r="J733" t="str">
        <f t="array" ref="J733">INDEX('TJ List'!B:B,MATCH(I733,'TJ List'!N:N,0),0)</f>
        <v>#N/A</v>
      </c>
      <c r="K733" s="6"/>
      <c r="L733" s="13"/>
      <c r="M733" s="11"/>
      <c r="N733" s="86"/>
      <c r="O733" s="86"/>
      <c r="T733" s="30"/>
      <c r="Z733" s="96"/>
    </row>
    <row r="734">
      <c r="B734" s="30"/>
      <c r="D734" s="30"/>
      <c r="G734" s="13" t="s">
        <v>5183</v>
      </c>
      <c r="H734" s="11" t="s">
        <v>230</v>
      </c>
      <c r="I734" s="13">
        <v>20997.0</v>
      </c>
      <c r="J734" t="str">
        <f t="array" ref="J734">INDEX('TJ List'!B:B,MATCH(I734,'TJ List'!N:N,0),0)</f>
        <v>#N/A</v>
      </c>
      <c r="K734" s="6"/>
      <c r="L734" s="13"/>
      <c r="M734" s="11"/>
      <c r="N734" s="86"/>
      <c r="O734" s="86"/>
      <c r="T734" s="30"/>
      <c r="Z734" s="96"/>
    </row>
    <row r="735">
      <c r="B735" s="30"/>
      <c r="D735" s="30"/>
      <c r="G735" s="13" t="s">
        <v>5184</v>
      </c>
      <c r="H735" s="11" t="s">
        <v>230</v>
      </c>
      <c r="I735" s="13">
        <v>17888.0</v>
      </c>
      <c r="J735" t="str">
        <f t="array" ref="J735">INDEX('TJ List'!B:B,MATCH(I735,'TJ List'!N:N,0),0)</f>
        <v>#N/A</v>
      </c>
      <c r="K735" s="6"/>
      <c r="L735" s="13"/>
      <c r="M735" s="11"/>
      <c r="N735" s="86"/>
      <c r="O735" s="86"/>
      <c r="T735" s="30"/>
      <c r="Z735" s="96"/>
    </row>
    <row r="736">
      <c r="B736" s="30"/>
      <c r="D736" s="30"/>
      <c r="G736" s="13" t="s">
        <v>5185</v>
      </c>
      <c r="H736" s="11" t="s">
        <v>230</v>
      </c>
      <c r="I736" s="13">
        <v>21894.0</v>
      </c>
      <c r="J736" t="str">
        <f t="array" ref="J736">INDEX('TJ List'!B:B,MATCH(I736,'TJ List'!N:N,0),0)</f>
        <v>#N/A</v>
      </c>
      <c r="K736" s="6"/>
      <c r="L736" s="13"/>
      <c r="M736" s="11"/>
      <c r="N736" s="86"/>
      <c r="O736" s="86"/>
      <c r="T736" s="30"/>
      <c r="Z736" s="96"/>
    </row>
    <row r="737">
      <c r="B737" s="30"/>
      <c r="D737" s="30"/>
      <c r="G737" s="13" t="s">
        <v>4786</v>
      </c>
      <c r="H737" s="11" t="s">
        <v>230</v>
      </c>
      <c r="I737" s="13">
        <v>21009.0</v>
      </c>
      <c r="J737" t="str">
        <f t="array" ref="J737">INDEX('TJ List'!B:B,MATCH(I737,'TJ List'!N:N,0),0)</f>
        <v>#N/A</v>
      </c>
      <c r="K737" s="6"/>
      <c r="L737" s="13"/>
      <c r="M737" s="11"/>
      <c r="N737" s="86"/>
      <c r="O737" s="86"/>
      <c r="T737" s="30"/>
      <c r="Z737" s="96"/>
    </row>
    <row r="738">
      <c r="B738" s="30"/>
      <c r="D738" s="30"/>
      <c r="G738" s="13" t="s">
        <v>5186</v>
      </c>
      <c r="H738" s="11" t="s">
        <v>230</v>
      </c>
      <c r="I738" s="13">
        <v>15047.0</v>
      </c>
      <c r="J738" t="str">
        <f t="array" ref="J738">INDEX('TJ List'!B:B,MATCH(I738,'TJ List'!N:N,0),0)</f>
        <v>#N/A</v>
      </c>
      <c r="K738" s="6"/>
      <c r="L738" s="13"/>
      <c r="M738" s="11"/>
      <c r="N738" s="86"/>
      <c r="O738" s="86"/>
      <c r="T738" s="30"/>
      <c r="Z738" s="96"/>
    </row>
    <row r="739">
      <c r="B739" s="30"/>
      <c r="D739" s="30"/>
      <c r="G739" s="13" t="s">
        <v>5187</v>
      </c>
      <c r="H739" s="11" t="s">
        <v>230</v>
      </c>
      <c r="I739" s="13">
        <v>31883.0</v>
      </c>
      <c r="J739" t="str">
        <f t="array" ref="J739">INDEX('TJ List'!B:B,MATCH(I739,'TJ List'!N:N,0),0)</f>
        <v>#N/A</v>
      </c>
      <c r="K739" s="6"/>
      <c r="L739" s="13"/>
      <c r="M739" s="11"/>
      <c r="N739" s="86"/>
      <c r="O739" s="86"/>
      <c r="T739" s="30"/>
      <c r="Z739" s="96"/>
    </row>
    <row r="740">
      <c r="B740" s="30"/>
      <c r="D740" s="30"/>
      <c r="G740" s="13" t="s">
        <v>5188</v>
      </c>
      <c r="H740" s="11" t="s">
        <v>230</v>
      </c>
      <c r="I740" s="13">
        <v>19179.0</v>
      </c>
      <c r="J740" t="str">
        <f t="array" ref="J740">INDEX('TJ List'!B:B,MATCH(I740,'TJ List'!N:N,0),0)</f>
        <v>#N/A</v>
      </c>
      <c r="K740" s="6"/>
      <c r="L740" s="13"/>
      <c r="M740" s="11"/>
      <c r="N740" s="86"/>
      <c r="O740" s="86"/>
      <c r="T740" s="30"/>
      <c r="Z740" s="96"/>
    </row>
    <row r="741">
      <c r="B741" s="30"/>
      <c r="D741" s="30"/>
      <c r="G741" s="13" t="s">
        <v>5189</v>
      </c>
      <c r="H741" s="11" t="s">
        <v>230</v>
      </c>
      <c r="I741" s="13">
        <v>20298.0</v>
      </c>
      <c r="J741" t="str">
        <f t="array" ref="J741">INDEX('TJ List'!B:B,MATCH(I741,'TJ List'!N:N,0),0)</f>
        <v>#N/A</v>
      </c>
      <c r="K741" s="6"/>
      <c r="L741" s="13"/>
      <c r="M741" s="11"/>
      <c r="N741" s="86"/>
      <c r="O741" s="86"/>
      <c r="T741" s="30"/>
      <c r="Z741" s="96"/>
    </row>
    <row r="742">
      <c r="B742" s="30"/>
      <c r="D742" s="30"/>
      <c r="G742" s="13" t="s">
        <v>5190</v>
      </c>
      <c r="H742" s="11" t="s">
        <v>230</v>
      </c>
      <c r="I742" s="13">
        <v>23265.0</v>
      </c>
      <c r="J742" t="str">
        <f t="array" ref="J742">INDEX('TJ List'!B:B,MATCH(I742,'TJ List'!N:N,0),0)</f>
        <v>#N/A</v>
      </c>
      <c r="K742" s="6"/>
      <c r="L742" s="13"/>
      <c r="M742" s="11"/>
      <c r="N742" s="86"/>
      <c r="O742" s="86"/>
      <c r="T742" s="30"/>
      <c r="Z742" s="96"/>
    </row>
    <row r="743">
      <c r="B743" s="30"/>
      <c r="D743" s="30"/>
      <c r="G743" s="13" t="s">
        <v>4791</v>
      </c>
      <c r="H743" s="11" t="s">
        <v>230</v>
      </c>
      <c r="I743" s="13">
        <v>19734.0</v>
      </c>
      <c r="J743" t="str">
        <f t="array" ref="J743">INDEX('TJ List'!B:B,MATCH(I743,'TJ List'!N:N,0),0)</f>
        <v>#N/A</v>
      </c>
      <c r="K743" s="6"/>
      <c r="L743" s="13"/>
      <c r="M743" s="11"/>
      <c r="N743" s="86"/>
      <c r="O743" s="86"/>
      <c r="T743" s="30"/>
      <c r="Z743" s="96"/>
    </row>
    <row r="744">
      <c r="B744" s="30"/>
      <c r="D744" s="30"/>
      <c r="G744" s="13" t="s">
        <v>5191</v>
      </c>
      <c r="H744" s="11" t="s">
        <v>230</v>
      </c>
      <c r="I744" s="13">
        <v>27470.0</v>
      </c>
      <c r="J744" t="str">
        <f t="array" ref="J744">INDEX('TJ List'!B:B,MATCH(I744,'TJ List'!N:N,0),0)</f>
        <v>#N/A</v>
      </c>
      <c r="K744" s="6"/>
      <c r="L744" s="13"/>
      <c r="M744" s="11"/>
      <c r="N744" s="86"/>
      <c r="O744" s="86"/>
      <c r="T744" s="30"/>
      <c r="Z744" s="96"/>
    </row>
    <row r="745">
      <c r="B745" s="30"/>
      <c r="D745" s="30"/>
      <c r="G745" s="13" t="s">
        <v>3128</v>
      </c>
      <c r="H745" s="11" t="s">
        <v>4722</v>
      </c>
      <c r="I745" s="13">
        <v>19225.0</v>
      </c>
      <c r="J745" s="87">
        <f t="array" ref="J745">INDEX('TJ List'!B:B,MATCH(I745,'TJ List'!N:N,0),0)</f>
        <v>41579</v>
      </c>
      <c r="K745" s="6"/>
      <c r="L745" s="13"/>
      <c r="M745" s="11"/>
      <c r="N745" s="86"/>
      <c r="O745" s="86"/>
      <c r="T745" s="30"/>
      <c r="Z745" s="96"/>
    </row>
    <row r="746">
      <c r="B746" s="30"/>
      <c r="D746" s="30"/>
      <c r="G746" s="13" t="s">
        <v>2363</v>
      </c>
      <c r="H746" s="11" t="s">
        <v>4722</v>
      </c>
      <c r="I746" s="13">
        <v>17995.0</v>
      </c>
      <c r="J746" s="87">
        <f t="array" ref="J746">INDEX('TJ List'!B:B,MATCH(I746,'TJ List'!N:N,0),0)</f>
        <v>42522</v>
      </c>
      <c r="K746" s="6"/>
      <c r="L746" s="13"/>
      <c r="M746" s="11"/>
      <c r="N746" s="86"/>
      <c r="O746" s="86"/>
      <c r="T746" s="30"/>
      <c r="Z746" s="96"/>
    </row>
    <row r="747">
      <c r="B747" s="30"/>
      <c r="D747" s="30"/>
      <c r="G747" s="13" t="s">
        <v>2294</v>
      </c>
      <c r="H747" s="11" t="s">
        <v>4722</v>
      </c>
      <c r="I747" s="13">
        <v>22370.0</v>
      </c>
      <c r="J747" s="87">
        <f t="array" ref="J747">INDEX('TJ List'!B:B,MATCH(I747,'TJ List'!N:N,0),0)</f>
        <v>42620</v>
      </c>
      <c r="K747" s="6"/>
      <c r="L747" s="13"/>
      <c r="M747" s="11"/>
      <c r="N747" s="86"/>
      <c r="O747" s="86"/>
      <c r="T747" s="30"/>
      <c r="Z747" s="96"/>
    </row>
    <row r="748">
      <c r="B748" s="30"/>
      <c r="D748" s="30"/>
      <c r="G748" s="13" t="s">
        <v>1544</v>
      </c>
      <c r="H748" s="11" t="s">
        <v>4722</v>
      </c>
      <c r="I748" s="13">
        <v>19618.0</v>
      </c>
      <c r="J748" s="87">
        <f t="array" ref="J748">INDEX('TJ List'!B:B,MATCH(I748,'TJ List'!N:N,0),0)</f>
        <v>43642</v>
      </c>
      <c r="K748" s="6"/>
      <c r="L748" s="13"/>
      <c r="M748" s="11"/>
      <c r="N748" s="86"/>
      <c r="O748" s="86"/>
      <c r="T748" s="30"/>
      <c r="Z748" s="96"/>
    </row>
    <row r="749">
      <c r="B749" s="30"/>
      <c r="D749" s="30"/>
      <c r="G749" s="13" t="s">
        <v>1305</v>
      </c>
      <c r="H749" s="11" t="s">
        <v>4722</v>
      </c>
      <c r="I749" s="13">
        <v>23499.0</v>
      </c>
      <c r="J749" s="87">
        <f t="array" ref="J749">INDEX('TJ List'!B:B,MATCH(I749,'TJ List'!N:N,0),0)</f>
        <v>44197</v>
      </c>
      <c r="K749" s="6"/>
      <c r="L749" s="13"/>
      <c r="M749" s="11"/>
      <c r="N749" s="86"/>
      <c r="O749" s="86"/>
      <c r="T749" s="30"/>
      <c r="Z749" s="96"/>
    </row>
    <row r="750">
      <c r="B750" s="30"/>
      <c r="D750" s="30"/>
      <c r="G750" s="13" t="s">
        <v>853</v>
      </c>
      <c r="H750" s="11" t="s">
        <v>4722</v>
      </c>
      <c r="I750" s="13">
        <v>11752.0</v>
      </c>
      <c r="J750" s="87">
        <f t="array" ref="J750">INDEX('TJ List'!B:B,MATCH(I750,'TJ List'!N:N,0),0)</f>
        <v>44664</v>
      </c>
      <c r="K750" s="6"/>
      <c r="L750" s="13"/>
      <c r="M750" s="11"/>
      <c r="N750" s="86"/>
      <c r="O750" s="86"/>
      <c r="T750" s="30"/>
      <c r="Z750" s="96"/>
    </row>
    <row r="751">
      <c r="B751" s="30"/>
      <c r="D751" s="30"/>
      <c r="G751" s="13" t="s">
        <v>747</v>
      </c>
      <c r="H751" s="11" t="s">
        <v>4722</v>
      </c>
      <c r="I751" s="13">
        <v>19345.0</v>
      </c>
      <c r="J751" s="87">
        <f t="array" ref="J751">INDEX('TJ List'!B:B,MATCH(I751,'TJ List'!N:N,0),0)</f>
        <v>44813</v>
      </c>
      <c r="K751" s="6"/>
      <c r="L751" s="13"/>
      <c r="M751" s="11"/>
      <c r="N751" s="86"/>
      <c r="O751" s="86"/>
      <c r="T751" s="30"/>
      <c r="Z751" s="96"/>
    </row>
    <row r="752">
      <c r="B752" s="30"/>
      <c r="D752" s="30"/>
      <c r="G752" s="13" t="s">
        <v>606</v>
      </c>
      <c r="H752" s="11" t="s">
        <v>4722</v>
      </c>
      <c r="I752" s="13">
        <v>11486.0</v>
      </c>
      <c r="J752" s="87">
        <f t="array" ref="J752">INDEX('TJ List'!B:B,MATCH(I752,'TJ List'!N:N,0),0)</f>
        <v>45049</v>
      </c>
      <c r="K752" s="6"/>
      <c r="L752" s="13"/>
      <c r="M752" s="11"/>
      <c r="N752" s="86"/>
      <c r="O752" s="86"/>
      <c r="T752" s="30"/>
      <c r="Z752" s="96"/>
    </row>
    <row r="753">
      <c r="B753" s="30"/>
      <c r="D753" s="30"/>
      <c r="G753" s="13" t="s">
        <v>601</v>
      </c>
      <c r="H753" s="11" t="s">
        <v>4722</v>
      </c>
      <c r="I753" s="13">
        <v>24937.0</v>
      </c>
      <c r="J753" s="87">
        <f t="array" ref="J753">INDEX('TJ List'!B:B,MATCH(I753,'TJ List'!N:N,0),0)</f>
        <v>45063</v>
      </c>
      <c r="K753" s="6"/>
      <c r="L753" s="13"/>
      <c r="M753" s="11"/>
      <c r="N753" s="86"/>
      <c r="O753" s="86"/>
      <c r="T753" s="30"/>
      <c r="Z753" s="96"/>
    </row>
    <row r="754">
      <c r="B754" s="30"/>
      <c r="D754" s="30"/>
      <c r="G754" s="13" t="s">
        <v>5192</v>
      </c>
      <c r="H754" s="11" t="s">
        <v>4722</v>
      </c>
      <c r="I754" s="13">
        <v>13543.0</v>
      </c>
      <c r="J754" t="str">
        <f t="array" ref="J754">INDEX('TJ List'!B:B,MATCH(I754,'TJ List'!N:N,0),0)</f>
        <v>#N/A</v>
      </c>
      <c r="K754" s="6"/>
      <c r="L754" s="13"/>
      <c r="M754" s="11"/>
      <c r="N754" s="86"/>
      <c r="O754" s="86"/>
      <c r="T754" s="30"/>
      <c r="Z754" s="96"/>
    </row>
    <row r="755">
      <c r="B755" s="30"/>
      <c r="D755" s="30"/>
      <c r="G755" s="13" t="s">
        <v>5193</v>
      </c>
      <c r="H755" s="11" t="s">
        <v>4722</v>
      </c>
      <c r="I755" s="13">
        <v>20423.0</v>
      </c>
      <c r="J755" t="str">
        <f t="array" ref="J755">INDEX('TJ List'!B:B,MATCH(I755,'TJ List'!N:N,0),0)</f>
        <v>#N/A</v>
      </c>
      <c r="K755" s="6"/>
      <c r="L755" s="13"/>
      <c r="M755" s="11"/>
      <c r="N755" s="86"/>
      <c r="O755" s="86"/>
      <c r="T755" s="30"/>
      <c r="Z755" s="96"/>
    </row>
    <row r="756">
      <c r="B756" s="30"/>
      <c r="D756" s="30"/>
      <c r="G756" s="13" t="s">
        <v>5194</v>
      </c>
      <c r="H756" s="11" t="s">
        <v>4722</v>
      </c>
      <c r="I756" s="13">
        <v>27758.0</v>
      </c>
      <c r="J756" t="str">
        <f t="array" ref="J756">INDEX('TJ List'!B:B,MATCH(I756,'TJ List'!N:N,0),0)</f>
        <v>#N/A</v>
      </c>
      <c r="K756" s="6"/>
      <c r="L756" s="13"/>
      <c r="M756" s="11"/>
      <c r="N756" s="86"/>
      <c r="O756" s="86"/>
      <c r="T756" s="30"/>
      <c r="Z756" s="96"/>
    </row>
    <row r="757">
      <c r="B757" s="30"/>
      <c r="D757" s="30"/>
      <c r="G757" s="13" t="s">
        <v>5195</v>
      </c>
      <c r="H757" s="11" t="s">
        <v>4722</v>
      </c>
      <c r="I757" s="13">
        <v>15541.0</v>
      </c>
      <c r="J757" t="str">
        <f t="array" ref="J757">INDEX('TJ List'!B:B,MATCH(I757,'TJ List'!N:N,0),0)</f>
        <v>#N/A</v>
      </c>
      <c r="K757" s="6"/>
      <c r="L757" s="13"/>
      <c r="M757" s="11"/>
      <c r="N757" s="86"/>
      <c r="O757" s="86"/>
      <c r="T757" s="30"/>
      <c r="Z757" s="96"/>
    </row>
    <row r="758">
      <c r="B758" s="30"/>
      <c r="D758" s="30"/>
      <c r="G758" s="13" t="s">
        <v>5196</v>
      </c>
      <c r="H758" s="11" t="s">
        <v>4722</v>
      </c>
      <c r="I758" s="13">
        <v>30076.0</v>
      </c>
      <c r="J758" t="str">
        <f t="array" ref="J758">INDEX('TJ List'!B:B,MATCH(I758,'TJ List'!N:N,0),0)</f>
        <v>#N/A</v>
      </c>
      <c r="K758" s="6"/>
      <c r="L758" s="13"/>
      <c r="M758" s="11"/>
      <c r="N758" s="86"/>
      <c r="O758" s="86"/>
      <c r="T758" s="30"/>
      <c r="Z758" s="96"/>
    </row>
    <row r="759">
      <c r="B759" s="30"/>
      <c r="D759" s="30"/>
      <c r="G759" s="13" t="s">
        <v>5197</v>
      </c>
      <c r="H759" s="11" t="s">
        <v>4722</v>
      </c>
      <c r="I759" s="13">
        <v>23974.0</v>
      </c>
      <c r="J759" s="87">
        <f t="array" ref="J759">INDEX('TJ List'!B:B,MATCH(I759,'TJ List'!N:N,0),0)</f>
        <v>45924</v>
      </c>
      <c r="K759" s="6"/>
      <c r="L759" s="13"/>
      <c r="M759" s="11"/>
      <c r="N759" s="86"/>
      <c r="O759" s="86"/>
      <c r="T759" s="30"/>
      <c r="Z759" s="96"/>
    </row>
    <row r="760">
      <c r="B760" s="30"/>
      <c r="D760" s="30"/>
      <c r="G760" s="13" t="s">
        <v>5198</v>
      </c>
      <c r="H760" s="11" t="s">
        <v>4722</v>
      </c>
      <c r="I760" s="13">
        <v>26252.0</v>
      </c>
      <c r="J760" t="str">
        <f t="array" ref="J760">INDEX('TJ List'!B:B,MATCH(I760,'TJ List'!N:N,0),0)</f>
        <v>#N/A</v>
      </c>
      <c r="K760" s="6"/>
      <c r="L760" s="13"/>
      <c r="M760" s="11"/>
      <c r="N760" s="86"/>
      <c r="O760" s="86"/>
      <c r="T760" s="30"/>
      <c r="Z760" s="96"/>
    </row>
    <row r="761">
      <c r="B761" s="30"/>
      <c r="D761" s="30"/>
      <c r="G761" s="13" t="s">
        <v>5199</v>
      </c>
      <c r="H761" s="11" t="s">
        <v>4722</v>
      </c>
      <c r="I761" s="13">
        <v>21481.0</v>
      </c>
      <c r="J761" t="str">
        <f t="array" ref="J761">INDEX('TJ List'!B:B,MATCH(I761,'TJ List'!N:N,0),0)</f>
        <v>#N/A</v>
      </c>
      <c r="K761" s="6"/>
      <c r="L761" s="13"/>
      <c r="M761" s="11"/>
      <c r="N761" s="86"/>
      <c r="O761" s="86"/>
      <c r="T761" s="30"/>
      <c r="Z761" s="96"/>
    </row>
    <row r="762">
      <c r="B762" s="30"/>
      <c r="D762" s="30"/>
      <c r="G762" s="13" t="s">
        <v>5200</v>
      </c>
      <c r="H762" s="11" t="s">
        <v>4722</v>
      </c>
      <c r="I762" s="13">
        <v>13449.0</v>
      </c>
      <c r="J762" t="str">
        <f t="array" ref="J762">INDEX('TJ List'!B:B,MATCH(I762,'TJ List'!N:N,0),0)</f>
        <v>#N/A</v>
      </c>
      <c r="K762" s="6"/>
      <c r="L762" s="13"/>
      <c r="M762" s="11"/>
      <c r="N762" s="86"/>
      <c r="O762" s="86"/>
      <c r="T762" s="30"/>
      <c r="Z762" s="96"/>
    </row>
    <row r="763">
      <c r="B763" s="30"/>
      <c r="D763" s="30"/>
      <c r="G763" s="13" t="s">
        <v>5201</v>
      </c>
      <c r="H763" s="11" t="s">
        <v>4722</v>
      </c>
      <c r="I763" s="13">
        <v>21584.0</v>
      </c>
      <c r="J763" t="str">
        <f t="array" ref="J763">INDEX('TJ List'!B:B,MATCH(I763,'TJ List'!N:N,0),0)</f>
        <v>#N/A</v>
      </c>
      <c r="K763" s="6"/>
      <c r="L763" s="13"/>
      <c r="M763" s="11"/>
      <c r="N763" s="86"/>
      <c r="O763" s="86"/>
      <c r="T763" s="30"/>
      <c r="Z763" s="96"/>
    </row>
    <row r="764">
      <c r="B764" s="30"/>
      <c r="D764" s="30"/>
      <c r="G764" s="13" t="s">
        <v>5202</v>
      </c>
      <c r="H764" s="11" t="s">
        <v>4722</v>
      </c>
      <c r="I764" s="13">
        <v>31635.0</v>
      </c>
      <c r="J764" t="str">
        <f t="array" ref="J764">INDEX('TJ List'!B:B,MATCH(I764,'TJ List'!N:N,0),0)</f>
        <v>#N/A</v>
      </c>
      <c r="K764" s="6"/>
      <c r="L764" s="13"/>
      <c r="M764" s="11"/>
      <c r="N764" s="86"/>
      <c r="O764" s="86"/>
      <c r="T764" s="30"/>
      <c r="Z764" s="96"/>
    </row>
    <row r="765">
      <c r="B765" s="30"/>
      <c r="D765" s="30"/>
      <c r="G765" s="13" t="s">
        <v>5203</v>
      </c>
      <c r="H765" s="11" t="s">
        <v>4722</v>
      </c>
      <c r="I765" s="13">
        <v>21992.0</v>
      </c>
      <c r="J765" t="str">
        <f t="array" ref="J765">INDEX('TJ List'!B:B,MATCH(I765,'TJ List'!N:N,0),0)</f>
        <v>#N/A</v>
      </c>
      <c r="K765" s="6"/>
      <c r="L765" s="13"/>
      <c r="M765" s="11"/>
      <c r="N765" s="86"/>
      <c r="O765" s="86"/>
      <c r="T765" s="30"/>
      <c r="Z765" s="96"/>
    </row>
    <row r="766">
      <c r="B766" s="30"/>
      <c r="D766" s="30"/>
      <c r="G766" s="13" t="s">
        <v>5204</v>
      </c>
      <c r="H766" s="11" t="s">
        <v>4722</v>
      </c>
      <c r="I766" s="13">
        <v>25667.0</v>
      </c>
      <c r="J766" t="str">
        <f t="array" ref="J766">INDEX('TJ List'!B:B,MATCH(I766,'TJ List'!N:N,0),0)</f>
        <v>#N/A</v>
      </c>
      <c r="K766" s="6"/>
      <c r="L766" s="13"/>
      <c r="M766" s="11"/>
      <c r="N766" s="86"/>
      <c r="O766" s="86"/>
      <c r="T766" s="30"/>
      <c r="Z766" s="96"/>
    </row>
    <row r="767">
      <c r="B767" s="30"/>
      <c r="D767" s="30"/>
      <c r="G767" s="13" t="s">
        <v>4821</v>
      </c>
      <c r="H767" s="11" t="s">
        <v>4722</v>
      </c>
      <c r="I767" s="13">
        <v>19314.0</v>
      </c>
      <c r="J767" t="str">
        <f t="array" ref="J767">INDEX('TJ List'!B:B,MATCH(I767,'TJ List'!N:N,0),0)</f>
        <v>#N/A</v>
      </c>
      <c r="K767" s="6"/>
      <c r="L767" s="13"/>
      <c r="M767" s="11"/>
      <c r="N767" s="86"/>
      <c r="O767" s="86"/>
      <c r="T767" s="30"/>
      <c r="Z767" s="96"/>
    </row>
    <row r="768">
      <c r="B768" s="30"/>
      <c r="D768" s="30"/>
      <c r="G768" s="13" t="s">
        <v>4721</v>
      </c>
      <c r="H768" s="11" t="s">
        <v>4722</v>
      </c>
      <c r="I768" s="13">
        <v>26208.0</v>
      </c>
      <c r="J768" t="str">
        <f t="array" ref="J768">INDEX('TJ List'!B:B,MATCH(I768,'TJ List'!N:N,0),0)</f>
        <v>#N/A</v>
      </c>
      <c r="K768" s="6"/>
      <c r="L768" s="13"/>
      <c r="M768" s="11"/>
      <c r="N768" s="86"/>
      <c r="O768" s="86"/>
      <c r="T768" s="30"/>
      <c r="Z768" s="96"/>
    </row>
    <row r="769">
      <c r="B769" s="30"/>
      <c r="D769" s="30"/>
      <c r="G769" s="13" t="s">
        <v>5205</v>
      </c>
      <c r="H769" s="11" t="s">
        <v>4722</v>
      </c>
      <c r="I769" s="13">
        <v>26448.0</v>
      </c>
      <c r="J769" t="str">
        <f t="array" ref="J769">INDEX('TJ List'!B:B,MATCH(I769,'TJ List'!N:N,0),0)</f>
        <v>#N/A</v>
      </c>
      <c r="K769" s="6"/>
      <c r="L769" s="13"/>
      <c r="M769" s="11"/>
      <c r="N769" s="86"/>
      <c r="O769" s="86"/>
      <c r="T769" s="30"/>
      <c r="Z769" s="96"/>
    </row>
    <row r="770">
      <c r="B770" s="30"/>
      <c r="D770" s="30"/>
      <c r="G770" s="13" t="s">
        <v>4829</v>
      </c>
      <c r="H770" s="11" t="s">
        <v>4722</v>
      </c>
      <c r="I770" s="13">
        <v>14854.0</v>
      </c>
      <c r="J770" t="str">
        <f t="array" ref="J770">INDEX('TJ List'!B:B,MATCH(I770,'TJ List'!N:N,0),0)</f>
        <v>#N/A</v>
      </c>
      <c r="K770" s="6"/>
      <c r="L770" s="13"/>
      <c r="M770" s="11"/>
      <c r="N770" s="86"/>
      <c r="O770" s="86"/>
      <c r="T770" s="30"/>
      <c r="Z770" s="96"/>
    </row>
    <row r="771">
      <c r="B771" s="30"/>
      <c r="D771" s="30"/>
      <c r="G771" s="13" t="s">
        <v>5206</v>
      </c>
      <c r="H771" s="11" t="s">
        <v>4722</v>
      </c>
      <c r="I771" s="13">
        <v>24282.0</v>
      </c>
      <c r="J771" t="str">
        <f t="array" ref="J771">INDEX('TJ List'!B:B,MATCH(I771,'TJ List'!N:N,0),0)</f>
        <v>#N/A</v>
      </c>
      <c r="K771" s="6"/>
      <c r="L771" s="13"/>
      <c r="M771" s="11"/>
      <c r="N771" s="86"/>
      <c r="O771" s="86"/>
      <c r="T771" s="30"/>
      <c r="Z771" s="96"/>
    </row>
    <row r="772">
      <c r="B772" s="30"/>
      <c r="D772" s="30"/>
      <c r="G772" s="13" t="s">
        <v>5207</v>
      </c>
      <c r="H772" s="11" t="s">
        <v>4722</v>
      </c>
      <c r="I772" s="13">
        <v>30171.0</v>
      </c>
      <c r="J772" t="str">
        <f t="array" ref="J772">INDEX('TJ List'!B:B,MATCH(I772,'TJ List'!N:N,0),0)</f>
        <v>#N/A</v>
      </c>
      <c r="L772" s="13"/>
      <c r="M772" s="11"/>
      <c r="N772" s="86"/>
      <c r="O772" s="86"/>
      <c r="T772" s="30"/>
      <c r="Z772" s="96"/>
    </row>
    <row r="773">
      <c r="B773" s="30"/>
      <c r="D773" s="30"/>
      <c r="G773" s="13" t="s">
        <v>5208</v>
      </c>
      <c r="H773" s="11" t="s">
        <v>4722</v>
      </c>
      <c r="I773" s="13">
        <v>30226.0</v>
      </c>
      <c r="J773" t="str">
        <f t="array" ref="J773">INDEX('TJ List'!B:B,MATCH(I773,'TJ List'!N:N,0),0)</f>
        <v>#N/A</v>
      </c>
      <c r="L773" s="13"/>
      <c r="M773" s="11"/>
      <c r="N773" s="86"/>
      <c r="O773" s="86"/>
      <c r="T773" s="30"/>
      <c r="Z773" s="96"/>
    </row>
    <row r="774">
      <c r="B774" s="30"/>
      <c r="D774" s="30"/>
      <c r="G774" s="13" t="s">
        <v>3629</v>
      </c>
      <c r="H774" s="11" t="s">
        <v>83</v>
      </c>
      <c r="I774" s="13">
        <v>13361.0</v>
      </c>
      <c r="J774" s="87">
        <f t="array" ref="J774">INDEX('TJ List'!B:B,MATCH(I774,'TJ List'!N:N,0),0)</f>
        <v>40316</v>
      </c>
      <c r="L774" s="13"/>
      <c r="M774" s="11"/>
      <c r="N774" s="86"/>
      <c r="O774" s="86"/>
      <c r="T774" s="30"/>
      <c r="Z774" s="96"/>
    </row>
    <row r="775">
      <c r="B775" s="30"/>
      <c r="D775" s="30"/>
      <c r="G775" s="13" t="s">
        <v>3562</v>
      </c>
      <c r="H775" s="11" t="s">
        <v>83</v>
      </c>
      <c r="I775" s="13">
        <v>14986.0</v>
      </c>
      <c r="J775" s="87">
        <f t="array" ref="J775">INDEX('TJ List'!B:B,MATCH(I775,'TJ List'!N:N,0),0)</f>
        <v>40544</v>
      </c>
      <c r="L775" s="13"/>
      <c r="M775" s="11"/>
      <c r="N775" s="86"/>
      <c r="O775" s="86"/>
      <c r="T775" s="30"/>
      <c r="Z775" s="96"/>
    </row>
    <row r="776">
      <c r="B776" s="30"/>
      <c r="D776" s="30"/>
      <c r="G776" s="13" t="s">
        <v>3473</v>
      </c>
      <c r="H776" s="11" t="s">
        <v>83</v>
      </c>
      <c r="I776" s="13">
        <v>10123.0</v>
      </c>
      <c r="J776" s="87">
        <f t="array" ref="J776">INDEX('TJ List'!B:B,MATCH(I776,'TJ List'!N:N,0),0)</f>
        <v>40793</v>
      </c>
      <c r="L776" s="13"/>
      <c r="M776" s="11"/>
      <c r="N776" s="86"/>
      <c r="O776" s="86"/>
      <c r="T776" s="30"/>
      <c r="Z776" s="96"/>
    </row>
    <row r="777">
      <c r="B777" s="30"/>
      <c r="D777" s="30"/>
      <c r="G777" s="13" t="s">
        <v>2964</v>
      </c>
      <c r="H777" s="11" t="s">
        <v>83</v>
      </c>
      <c r="I777" s="13">
        <v>17425.0</v>
      </c>
      <c r="J777" s="87">
        <f t="array" ref="J777">INDEX('TJ List'!B:B,MATCH(I777,'TJ List'!N:N,0),0)</f>
        <v>41793</v>
      </c>
      <c r="L777" s="13"/>
      <c r="M777" s="11"/>
      <c r="N777" s="86"/>
      <c r="O777" s="86"/>
      <c r="T777" s="30"/>
      <c r="Z777" s="96"/>
    </row>
    <row r="778">
      <c r="B778" s="30"/>
      <c r="D778" s="30"/>
      <c r="G778" s="13" t="s">
        <v>2556</v>
      </c>
      <c r="H778" s="11" t="s">
        <v>83</v>
      </c>
      <c r="I778" s="13">
        <v>2520.0</v>
      </c>
      <c r="J778" s="87">
        <f t="array" ref="J778">INDEX('TJ List'!B:B,MATCH(I778,'TJ List'!N:N,0),0)</f>
        <v>42318</v>
      </c>
      <c r="L778" s="13"/>
      <c r="M778" s="11"/>
      <c r="N778" s="86"/>
      <c r="O778" s="86"/>
      <c r="T778" s="30"/>
      <c r="Z778" s="96"/>
    </row>
    <row r="779">
      <c r="B779" s="30"/>
      <c r="D779" s="30"/>
      <c r="G779" s="13" t="s">
        <v>2256</v>
      </c>
      <c r="H779" s="11" t="s">
        <v>83</v>
      </c>
      <c r="I779" s="13">
        <v>22051.0</v>
      </c>
      <c r="J779" s="87">
        <f t="array" ref="J779">INDEX('TJ List'!B:B,MATCH(I779,'TJ List'!N:N,0),0)</f>
        <v>42736</v>
      </c>
      <c r="L779" s="13"/>
      <c r="M779" s="11"/>
      <c r="N779" s="86"/>
      <c r="O779" s="86"/>
      <c r="T779" s="30"/>
      <c r="Z779" s="96"/>
    </row>
    <row r="780">
      <c r="B780" s="30"/>
      <c r="D780" s="30"/>
      <c r="G780" s="13" t="s">
        <v>2223</v>
      </c>
      <c r="H780" s="11" t="s">
        <v>83</v>
      </c>
      <c r="I780" s="13">
        <v>26226.0</v>
      </c>
      <c r="J780" s="89">
        <f t="array" ref="J780">INDEX('TJ List'!B:B,MATCH(I780,'TJ List'!N:N,0),0)</f>
        <v>42736</v>
      </c>
      <c r="L780" s="13"/>
      <c r="M780" s="11"/>
      <c r="N780" s="86"/>
      <c r="O780" s="86"/>
      <c r="T780" s="30"/>
      <c r="Z780" s="96"/>
    </row>
    <row r="781">
      <c r="B781" s="30"/>
      <c r="D781" s="30"/>
      <c r="G781" s="13" t="s">
        <v>1124</v>
      </c>
      <c r="H781" s="11" t="s">
        <v>83</v>
      </c>
      <c r="I781" s="13">
        <v>19574.0</v>
      </c>
      <c r="J781" s="87">
        <f t="array" ref="J781">INDEX('TJ List'!B:B,MATCH(I781,'TJ List'!N:N,0),0)</f>
        <v>44341</v>
      </c>
      <c r="L781" s="13"/>
      <c r="M781" s="11"/>
      <c r="N781" s="86"/>
      <c r="O781" s="86"/>
      <c r="T781" s="30"/>
      <c r="Z781" s="96"/>
    </row>
    <row r="782">
      <c r="B782" s="30"/>
      <c r="D782" s="30"/>
      <c r="G782" s="13" t="s">
        <v>801</v>
      </c>
      <c r="H782" s="11" t="s">
        <v>83</v>
      </c>
      <c r="I782" s="13">
        <v>12828.0</v>
      </c>
      <c r="J782" s="87">
        <f t="array" ref="J782">INDEX('TJ List'!B:B,MATCH(I782,'TJ List'!N:N,0),0)</f>
        <v>44734</v>
      </c>
      <c r="L782" s="13"/>
      <c r="M782" s="11"/>
      <c r="N782" s="86"/>
      <c r="O782" s="86"/>
      <c r="T782" s="30"/>
      <c r="Z782" s="96"/>
    </row>
    <row r="783">
      <c r="B783" s="30"/>
      <c r="D783" s="30"/>
      <c r="G783" s="13" t="s">
        <v>5209</v>
      </c>
      <c r="H783" s="11" t="s">
        <v>83</v>
      </c>
      <c r="I783" s="13">
        <v>12768.0</v>
      </c>
      <c r="J783" t="str">
        <f t="array" ref="J783">INDEX('TJ List'!B:B,MATCH(I783,'TJ List'!N:N,0),0)</f>
        <v>#N/A</v>
      </c>
      <c r="L783" s="13"/>
      <c r="M783" s="11"/>
      <c r="N783" s="86"/>
      <c r="O783" s="86"/>
      <c r="T783" s="30"/>
      <c r="Z783" s="96"/>
    </row>
    <row r="784">
      <c r="B784" s="30"/>
      <c r="D784" s="30"/>
      <c r="G784" s="13" t="s">
        <v>5210</v>
      </c>
      <c r="H784" s="11" t="s">
        <v>83</v>
      </c>
      <c r="I784" s="13">
        <v>18138.0</v>
      </c>
      <c r="J784" t="str">
        <f t="array" ref="J784">INDEX('TJ List'!B:B,MATCH(I784,'TJ List'!N:N,0),0)</f>
        <v>#N/A</v>
      </c>
      <c r="L784" s="13"/>
      <c r="M784" s="11"/>
      <c r="N784" s="86"/>
      <c r="O784" s="86"/>
      <c r="T784" s="30"/>
      <c r="Z784" s="96"/>
    </row>
    <row r="785">
      <c r="B785" s="30"/>
      <c r="D785" s="30"/>
      <c r="G785" s="13" t="s">
        <v>5211</v>
      </c>
      <c r="H785" s="11" t="s">
        <v>83</v>
      </c>
      <c r="I785" s="13">
        <v>9803.0</v>
      </c>
      <c r="J785" t="str">
        <f t="array" ref="J785">INDEX('TJ List'!B:B,MATCH(I785,'TJ List'!N:N,0),0)</f>
        <v>#N/A</v>
      </c>
      <c r="L785" s="13"/>
      <c r="M785" s="11"/>
      <c r="N785" s="86"/>
      <c r="O785" s="86"/>
      <c r="T785" s="30"/>
      <c r="Z785" s="96"/>
    </row>
    <row r="786">
      <c r="B786" s="30"/>
      <c r="D786" s="30"/>
      <c r="G786" s="13" t="s">
        <v>5212</v>
      </c>
      <c r="H786" s="11" t="s">
        <v>83</v>
      </c>
      <c r="I786" s="13">
        <v>26108.0</v>
      </c>
      <c r="J786" t="str">
        <f t="array" ref="J786">INDEX('TJ List'!B:B,MATCH(I786,'TJ List'!N:N,0),0)</f>
        <v>#N/A</v>
      </c>
      <c r="L786" s="13"/>
      <c r="M786" s="11"/>
      <c r="N786" s="86"/>
      <c r="O786" s="86"/>
      <c r="T786" s="30"/>
      <c r="Z786" s="96"/>
    </row>
    <row r="787">
      <c r="B787" s="30"/>
      <c r="D787" s="30"/>
      <c r="G787" s="13" t="s">
        <v>5213</v>
      </c>
      <c r="H787" s="11" t="s">
        <v>83</v>
      </c>
      <c r="I787" s="13">
        <v>24862.0</v>
      </c>
      <c r="J787" t="str">
        <f t="array" ref="J787">INDEX('TJ List'!B:B,MATCH(I787,'TJ List'!N:N,0),0)</f>
        <v>#N/A</v>
      </c>
      <c r="L787" s="13"/>
      <c r="M787" s="11"/>
      <c r="N787" s="86"/>
      <c r="O787" s="86"/>
      <c r="T787" s="30"/>
      <c r="Z787" s="96"/>
    </row>
    <row r="788">
      <c r="B788" s="30"/>
      <c r="D788" s="30"/>
      <c r="G788" s="13" t="s">
        <v>5214</v>
      </c>
      <c r="H788" s="11" t="s">
        <v>83</v>
      </c>
      <c r="I788" s="13">
        <v>29869.0</v>
      </c>
      <c r="J788" t="str">
        <f t="array" ref="J788">INDEX('TJ List'!B:B,MATCH(I788,'TJ List'!N:N,0),0)</f>
        <v>#N/A</v>
      </c>
      <c r="L788" s="13"/>
      <c r="M788" s="11"/>
      <c r="N788" s="86"/>
      <c r="O788" s="86"/>
      <c r="T788" s="30"/>
      <c r="Z788" s="96"/>
    </row>
    <row r="789">
      <c r="B789" s="30"/>
      <c r="D789" s="30"/>
      <c r="G789" s="13" t="s">
        <v>5215</v>
      </c>
      <c r="H789" s="11" t="s">
        <v>83</v>
      </c>
      <c r="I789" s="13">
        <v>22294.0</v>
      </c>
      <c r="J789" t="str">
        <f t="array" ref="J789">INDEX('TJ List'!B:B,MATCH(I789,'TJ List'!N:N,0),0)</f>
        <v>#N/A</v>
      </c>
      <c r="L789" s="13"/>
      <c r="M789" s="11"/>
      <c r="N789" s="86"/>
      <c r="O789" s="86"/>
      <c r="T789" s="30"/>
      <c r="Z789" s="96"/>
    </row>
    <row r="790">
      <c r="B790" s="30"/>
      <c r="D790" s="30"/>
      <c r="G790" s="13" t="s">
        <v>5216</v>
      </c>
      <c r="H790" s="11" t="s">
        <v>83</v>
      </c>
      <c r="I790" s="13">
        <v>24763.0</v>
      </c>
      <c r="J790" t="str">
        <f t="array" ref="J790">INDEX('TJ List'!B:B,MATCH(I790,'TJ List'!N:N,0),0)</f>
        <v>#N/A</v>
      </c>
      <c r="L790" s="13"/>
      <c r="M790" s="11"/>
      <c r="N790" s="86"/>
      <c r="O790" s="86"/>
      <c r="T790" s="30"/>
      <c r="Z790" s="96"/>
    </row>
    <row r="791">
      <c r="B791" s="30"/>
      <c r="D791" s="30"/>
      <c r="G791" s="13" t="s">
        <v>5217</v>
      </c>
      <c r="H791" s="11" t="s">
        <v>83</v>
      </c>
      <c r="I791" s="13">
        <v>31261.0</v>
      </c>
      <c r="J791" t="str">
        <f t="array" ref="J791">INDEX('TJ List'!B:B,MATCH(I791,'TJ List'!N:N,0),0)</f>
        <v>#N/A</v>
      </c>
      <c r="L791" s="13"/>
      <c r="M791" s="11"/>
      <c r="N791" s="86"/>
      <c r="O791" s="86"/>
      <c r="T791" s="30"/>
      <c r="Z791" s="96"/>
    </row>
    <row r="792">
      <c r="B792" s="30"/>
      <c r="D792" s="30"/>
      <c r="G792" s="13" t="s">
        <v>5218</v>
      </c>
      <c r="H792" s="11" t="s">
        <v>83</v>
      </c>
      <c r="I792" s="13">
        <v>24493.0</v>
      </c>
      <c r="J792" t="str">
        <f t="array" ref="J792">INDEX('TJ List'!B:B,MATCH(I792,'TJ List'!N:N,0),0)</f>
        <v>#N/A</v>
      </c>
      <c r="L792" s="13"/>
      <c r="M792" s="11"/>
      <c r="N792" s="86"/>
      <c r="O792" s="86"/>
      <c r="T792" s="30"/>
      <c r="Z792" s="96"/>
    </row>
    <row r="793">
      <c r="B793" s="30"/>
      <c r="D793" s="30"/>
      <c r="G793" s="13" t="s">
        <v>5219</v>
      </c>
      <c r="H793" s="11" t="s">
        <v>83</v>
      </c>
      <c r="I793" s="13">
        <v>29519.0</v>
      </c>
      <c r="J793" t="str">
        <f t="array" ref="J793">INDEX('TJ List'!B:B,MATCH(I793,'TJ List'!N:N,0),0)</f>
        <v>#N/A</v>
      </c>
      <c r="L793" s="13"/>
      <c r="M793" s="11"/>
      <c r="N793" s="86"/>
      <c r="O793" s="86"/>
      <c r="T793" s="30"/>
      <c r="Z793" s="96"/>
    </row>
    <row r="794">
      <c r="B794" s="30"/>
      <c r="D794" s="30"/>
      <c r="G794" s="13" t="s">
        <v>5220</v>
      </c>
      <c r="H794" s="11" t="s">
        <v>83</v>
      </c>
      <c r="I794" s="13">
        <v>29521.0</v>
      </c>
      <c r="J794" t="str">
        <f t="array" ref="J794">INDEX('TJ List'!B:B,MATCH(I794,'TJ List'!N:N,0),0)</f>
        <v>#N/A</v>
      </c>
      <c r="L794" s="13"/>
      <c r="M794" s="11"/>
      <c r="N794" s="86"/>
      <c r="O794" s="86"/>
      <c r="T794" s="30"/>
      <c r="Z794" s="96"/>
    </row>
    <row r="795">
      <c r="B795" s="30"/>
      <c r="D795" s="30"/>
      <c r="G795" s="13" t="s">
        <v>4714</v>
      </c>
      <c r="H795" s="11" t="s">
        <v>83</v>
      </c>
      <c r="I795" s="13">
        <v>5343.0</v>
      </c>
      <c r="J795" t="str">
        <f t="array" ref="J795">INDEX('TJ List'!B:B,MATCH(I795,'TJ List'!N:N,0),0)</f>
        <v>#N/A</v>
      </c>
      <c r="L795" s="13"/>
      <c r="M795" s="11"/>
      <c r="N795" s="86"/>
      <c r="O795" s="86"/>
      <c r="T795" s="30"/>
      <c r="Z795" s="96"/>
    </row>
    <row r="796">
      <c r="B796" s="30"/>
      <c r="D796" s="30"/>
      <c r="G796" s="13" t="s">
        <v>5221</v>
      </c>
      <c r="H796" s="11" t="s">
        <v>83</v>
      </c>
      <c r="I796" s="13">
        <v>20348.0</v>
      </c>
      <c r="J796" t="str">
        <f t="array" ref="J796">INDEX('TJ List'!B:B,MATCH(I796,'TJ List'!N:N,0),0)</f>
        <v>#N/A</v>
      </c>
      <c r="L796" s="13"/>
      <c r="M796" s="11"/>
      <c r="N796" s="86"/>
      <c r="O796" s="86"/>
      <c r="T796" s="30"/>
      <c r="Z796" s="96"/>
    </row>
    <row r="797">
      <c r="B797" s="30"/>
      <c r="D797" s="30"/>
      <c r="G797" s="13" t="s">
        <v>5222</v>
      </c>
      <c r="H797" s="11" t="s">
        <v>83</v>
      </c>
      <c r="I797" s="13">
        <v>25918.0</v>
      </c>
      <c r="J797" t="str">
        <f t="array" ref="J797">INDEX('TJ List'!B:B,MATCH(I797,'TJ List'!N:N,0),0)</f>
        <v>#N/A</v>
      </c>
      <c r="L797" s="13"/>
      <c r="M797" s="11"/>
      <c r="N797" s="86"/>
      <c r="O797" s="86"/>
      <c r="T797" s="30"/>
      <c r="Z797" s="96"/>
    </row>
    <row r="798">
      <c r="B798" s="30"/>
      <c r="D798" s="30"/>
      <c r="G798" s="13" t="s">
        <v>2825</v>
      </c>
      <c r="H798" s="11" t="s">
        <v>4757</v>
      </c>
      <c r="I798" s="13">
        <v>15256.0</v>
      </c>
      <c r="J798" s="87">
        <f t="array" ref="J798">INDEX('TJ List'!B:B,MATCH(I798,'TJ List'!N:N,0),0)</f>
        <v>42005</v>
      </c>
      <c r="L798" s="13"/>
      <c r="M798" s="11"/>
      <c r="N798" s="86"/>
      <c r="O798" s="86"/>
      <c r="T798" s="30"/>
      <c r="Z798" s="96"/>
    </row>
    <row r="799">
      <c r="B799" s="30"/>
      <c r="D799" s="30"/>
      <c r="G799" s="13" t="s">
        <v>5223</v>
      </c>
      <c r="H799" s="11" t="s">
        <v>4757</v>
      </c>
      <c r="I799" s="13">
        <v>17998.0</v>
      </c>
      <c r="J799" s="87">
        <f t="array" ref="J799">INDEX('TJ List'!B:B,MATCH(I799,'TJ List'!N:N,0),0)</f>
        <v>42961</v>
      </c>
      <c r="L799" s="13"/>
      <c r="M799" s="11"/>
      <c r="N799" s="86"/>
      <c r="O799" s="86"/>
      <c r="T799" s="30"/>
      <c r="Z799" s="96"/>
    </row>
    <row r="800">
      <c r="B800" s="30"/>
      <c r="D800" s="30"/>
      <c r="G800" s="13" t="s">
        <v>2010</v>
      </c>
      <c r="H800" s="11" t="s">
        <v>4757</v>
      </c>
      <c r="I800" s="13">
        <v>25385.0</v>
      </c>
      <c r="J800" s="89">
        <f t="array" ref="J800">INDEX('TJ List'!B:B,MATCH(I800,'TJ List'!N:N,0),0)</f>
        <v>42970</v>
      </c>
      <c r="L800" s="13"/>
      <c r="M800" s="11"/>
      <c r="N800" s="86"/>
      <c r="O800" s="86"/>
      <c r="T800" s="30"/>
      <c r="Z800" s="96"/>
    </row>
    <row r="801">
      <c r="B801" s="30"/>
      <c r="D801" s="30"/>
      <c r="G801" s="13" t="s">
        <v>1383</v>
      </c>
      <c r="H801" s="11" t="s">
        <v>4757</v>
      </c>
      <c r="I801" s="13">
        <v>19403.0</v>
      </c>
      <c r="J801" s="87">
        <f t="array" ref="J801">INDEX('TJ List'!B:B,MATCH(I801,'TJ List'!N:N,0),0)</f>
        <v>44041</v>
      </c>
      <c r="L801" s="13"/>
      <c r="M801" s="11"/>
      <c r="N801" s="86"/>
      <c r="O801" s="86"/>
      <c r="T801" s="30"/>
      <c r="Z801" s="96"/>
    </row>
    <row r="802">
      <c r="B802" s="30"/>
      <c r="D802" s="30"/>
      <c r="G802" s="13" t="s">
        <v>1311</v>
      </c>
      <c r="H802" s="11" t="s">
        <v>4757</v>
      </c>
      <c r="I802" s="13">
        <v>25098.0</v>
      </c>
      <c r="J802" s="89">
        <f t="array" ref="J802">INDEX('TJ List'!B:B,MATCH(I802,'TJ List'!N:N,0),0)</f>
        <v>44197</v>
      </c>
      <c r="L802" s="13"/>
      <c r="M802" s="11"/>
      <c r="N802" s="86"/>
      <c r="O802" s="86"/>
      <c r="T802" s="30"/>
      <c r="Z802" s="96"/>
    </row>
    <row r="803">
      <c r="B803" s="30"/>
      <c r="D803" s="30"/>
      <c r="G803" s="13" t="s">
        <v>1103</v>
      </c>
      <c r="H803" s="11" t="s">
        <v>4757</v>
      </c>
      <c r="I803" s="13">
        <v>12763.0</v>
      </c>
      <c r="J803" s="87">
        <f t="array" ref="J803">INDEX('TJ List'!B:B,MATCH(I803,'TJ List'!N:N,0),0)</f>
        <v>44348</v>
      </c>
      <c r="L803" s="13"/>
      <c r="M803" s="11"/>
      <c r="N803" s="86"/>
      <c r="O803" s="86"/>
      <c r="T803" s="30"/>
      <c r="Z803" s="96"/>
    </row>
    <row r="804">
      <c r="B804" s="30"/>
      <c r="D804" s="30"/>
      <c r="G804" s="13" t="s">
        <v>1017</v>
      </c>
      <c r="H804" s="11" t="s">
        <v>4757</v>
      </c>
      <c r="I804" s="13">
        <v>19337.0</v>
      </c>
      <c r="J804" s="87">
        <f t="array" ref="J804">INDEX('TJ List'!B:B,MATCH(I804,'TJ List'!N:N,0),0)</f>
        <v>44468</v>
      </c>
      <c r="L804" s="13"/>
      <c r="M804" s="11"/>
      <c r="N804" s="86"/>
      <c r="O804" s="86"/>
      <c r="T804" s="30"/>
      <c r="Z804" s="96"/>
    </row>
    <row r="805">
      <c r="B805" s="30"/>
      <c r="D805" s="30"/>
      <c r="G805" s="13" t="s">
        <v>743</v>
      </c>
      <c r="H805" s="11" t="s">
        <v>4757</v>
      </c>
      <c r="I805" s="13">
        <v>22264.0</v>
      </c>
      <c r="J805" s="87">
        <f t="array" ref="J805">INDEX('TJ List'!B:B,MATCH(I805,'TJ List'!N:N,0),0)</f>
        <v>44832</v>
      </c>
      <c r="L805" s="13"/>
      <c r="M805" s="11"/>
      <c r="N805" s="86"/>
      <c r="O805" s="86"/>
      <c r="T805" s="30"/>
      <c r="Z805" s="96"/>
    </row>
    <row r="806">
      <c r="B806" s="30"/>
      <c r="D806" s="30"/>
      <c r="G806" s="13" t="s">
        <v>612</v>
      </c>
      <c r="H806" s="11" t="s">
        <v>4757</v>
      </c>
      <c r="I806" s="13">
        <v>17677.0</v>
      </c>
      <c r="J806" s="87">
        <f t="array" ref="J806">INDEX('TJ List'!B:B,MATCH(I806,'TJ List'!N:N,0),0)</f>
        <v>45047</v>
      </c>
      <c r="L806" s="13"/>
      <c r="M806" s="11"/>
      <c r="N806" s="86"/>
      <c r="O806" s="86"/>
      <c r="T806" s="30"/>
      <c r="Z806" s="96"/>
    </row>
    <row r="807">
      <c r="B807" s="30"/>
      <c r="D807" s="30"/>
      <c r="G807" s="13" t="s">
        <v>5224</v>
      </c>
      <c r="H807" s="11" t="s">
        <v>4757</v>
      </c>
      <c r="I807" s="13">
        <v>15823.0</v>
      </c>
      <c r="J807" t="str">
        <f t="array" ref="J807">INDEX('TJ List'!B:B,MATCH(I807,'TJ List'!N:N,0),0)</f>
        <v>#N/A</v>
      </c>
      <c r="L807" s="13"/>
      <c r="M807" s="11"/>
      <c r="N807" s="86"/>
      <c r="O807" s="86"/>
      <c r="T807" s="30"/>
      <c r="Z807" s="96"/>
    </row>
    <row r="808">
      <c r="B808" s="30"/>
      <c r="D808" s="30"/>
      <c r="G808" s="13" t="s">
        <v>5225</v>
      </c>
      <c r="H808" s="11" t="s">
        <v>4757</v>
      </c>
      <c r="I808" s="13">
        <v>26221.0</v>
      </c>
      <c r="J808" t="str">
        <f t="array" ref="J808">INDEX('TJ List'!B:B,MATCH(I808,'TJ List'!N:N,0),0)</f>
        <v>#N/A</v>
      </c>
      <c r="L808" s="13"/>
      <c r="M808" s="11"/>
      <c r="N808" s="86"/>
      <c r="O808" s="86"/>
      <c r="T808" s="30"/>
      <c r="Z808" s="96"/>
    </row>
    <row r="809">
      <c r="B809" s="30"/>
      <c r="D809" s="30"/>
      <c r="G809" s="13" t="s">
        <v>5226</v>
      </c>
      <c r="H809" s="11" t="s">
        <v>4757</v>
      </c>
      <c r="I809" s="13">
        <v>20539.0</v>
      </c>
      <c r="J809" t="str">
        <f t="array" ref="J809">INDEX('TJ List'!B:B,MATCH(I809,'TJ List'!N:N,0),0)</f>
        <v>#N/A</v>
      </c>
      <c r="L809" s="13"/>
      <c r="M809" s="11"/>
      <c r="N809" s="86"/>
      <c r="O809" s="86"/>
      <c r="T809" s="30"/>
      <c r="Z809" s="96"/>
    </row>
    <row r="810">
      <c r="B810" s="30"/>
      <c r="D810" s="30"/>
      <c r="G810" s="13" t="s">
        <v>5227</v>
      </c>
      <c r="H810" s="11" t="s">
        <v>4757</v>
      </c>
      <c r="I810" s="13">
        <v>22543.0</v>
      </c>
      <c r="J810" t="str">
        <f t="array" ref="J810">INDEX('TJ List'!B:B,MATCH(I810,'TJ List'!N:N,0),0)</f>
        <v>#N/A</v>
      </c>
      <c r="L810" s="13"/>
      <c r="M810" s="11"/>
      <c r="N810" s="86"/>
      <c r="O810" s="86"/>
      <c r="T810" s="30"/>
      <c r="Z810" s="96"/>
    </row>
    <row r="811">
      <c r="B811" s="30"/>
      <c r="D811" s="30"/>
      <c r="G811" s="13" t="s">
        <v>5228</v>
      </c>
      <c r="H811" s="11" t="s">
        <v>4757</v>
      </c>
      <c r="I811" s="13">
        <v>25679.0</v>
      </c>
      <c r="J811" t="str">
        <f t="array" ref="J811">INDEX('TJ List'!B:B,MATCH(I811,'TJ List'!N:N,0),0)</f>
        <v>#N/A</v>
      </c>
      <c r="L811" s="13"/>
      <c r="M811" s="11"/>
      <c r="N811" s="86"/>
      <c r="O811" s="86"/>
      <c r="T811" s="30"/>
      <c r="Z811" s="96"/>
    </row>
    <row r="812">
      <c r="B812" s="30"/>
      <c r="D812" s="30"/>
      <c r="G812" s="13" t="s">
        <v>5229</v>
      </c>
      <c r="H812" s="11" t="s">
        <v>4757</v>
      </c>
      <c r="I812" s="13">
        <v>29770.0</v>
      </c>
      <c r="J812" t="str">
        <f t="array" ref="J812">INDEX('TJ List'!B:B,MATCH(I812,'TJ List'!N:N,0),0)</f>
        <v>#N/A</v>
      </c>
      <c r="L812" s="13"/>
      <c r="M812" s="11"/>
      <c r="N812" s="86"/>
      <c r="O812" s="86"/>
      <c r="T812" s="30"/>
      <c r="Z812" s="96"/>
    </row>
    <row r="813">
      <c r="B813" s="30"/>
      <c r="D813" s="30"/>
      <c r="G813" s="13" t="s">
        <v>5230</v>
      </c>
      <c r="H813" s="11" t="s">
        <v>4757</v>
      </c>
      <c r="I813" s="13">
        <v>20794.0</v>
      </c>
      <c r="J813" t="str">
        <f t="array" ref="J813">INDEX('TJ List'!B:B,MATCH(I813,'TJ List'!N:N,0),0)</f>
        <v>#N/A</v>
      </c>
      <c r="L813" s="13"/>
      <c r="M813" s="11"/>
      <c r="N813" s="86"/>
      <c r="O813" s="86"/>
      <c r="T813" s="30"/>
      <c r="Z813" s="96"/>
    </row>
    <row r="814">
      <c r="B814" s="30"/>
      <c r="D814" s="30"/>
      <c r="G814" s="13" t="s">
        <v>5231</v>
      </c>
      <c r="H814" s="11" t="s">
        <v>4757</v>
      </c>
      <c r="I814" s="13">
        <v>17897.0</v>
      </c>
      <c r="J814" t="str">
        <f t="array" ref="J814">INDEX('TJ List'!B:B,MATCH(I814,'TJ List'!N:N,0),0)</f>
        <v>#N/A</v>
      </c>
      <c r="L814" s="13"/>
      <c r="M814" s="11"/>
      <c r="N814" s="86"/>
      <c r="O814" s="86"/>
      <c r="T814" s="30"/>
      <c r="Z814" s="96"/>
    </row>
    <row r="815">
      <c r="B815" s="30"/>
      <c r="D815" s="30"/>
      <c r="G815" s="13" t="s">
        <v>5232</v>
      </c>
      <c r="H815" s="11" t="s">
        <v>4757</v>
      </c>
      <c r="I815" s="13">
        <v>27694.0</v>
      </c>
      <c r="J815" t="str">
        <f t="array" ref="J815">INDEX('TJ List'!B:B,MATCH(I815,'TJ List'!N:N,0),0)</f>
        <v>#N/A</v>
      </c>
      <c r="L815" s="13"/>
      <c r="M815" s="11"/>
      <c r="N815" s="86"/>
      <c r="O815" s="86"/>
      <c r="T815" s="30"/>
      <c r="Z815" s="96"/>
    </row>
    <row r="816">
      <c r="B816" s="30"/>
      <c r="D816" s="30"/>
      <c r="G816" s="13" t="s">
        <v>5233</v>
      </c>
      <c r="H816" s="11" t="s">
        <v>4757</v>
      </c>
      <c r="I816" s="13">
        <v>18318.0</v>
      </c>
      <c r="J816" t="str">
        <f t="array" ref="J816">INDEX('TJ List'!B:B,MATCH(I816,'TJ List'!N:N,0),0)</f>
        <v>#N/A</v>
      </c>
      <c r="L816" s="13"/>
      <c r="M816" s="11"/>
      <c r="N816" s="86"/>
      <c r="O816" s="86"/>
      <c r="T816" s="30"/>
      <c r="Z816" s="96"/>
    </row>
    <row r="817">
      <c r="B817" s="30"/>
      <c r="D817" s="30"/>
      <c r="G817" s="13" t="s">
        <v>5234</v>
      </c>
      <c r="H817" s="11" t="s">
        <v>4757</v>
      </c>
      <c r="I817" s="13">
        <v>20379.0</v>
      </c>
      <c r="J817" t="str">
        <f t="array" ref="J817">INDEX('TJ List'!B:B,MATCH(I817,'TJ List'!N:N,0),0)</f>
        <v>#N/A</v>
      </c>
      <c r="L817" s="13"/>
      <c r="M817" s="11"/>
      <c r="N817" s="86"/>
      <c r="O817" s="86"/>
      <c r="T817" s="30"/>
      <c r="Z817" s="96"/>
    </row>
    <row r="818">
      <c r="B818" s="30"/>
      <c r="D818" s="30"/>
      <c r="G818" s="13" t="s">
        <v>4795</v>
      </c>
      <c r="H818" s="11" t="s">
        <v>4757</v>
      </c>
      <c r="I818" s="13">
        <v>20287.0</v>
      </c>
      <c r="J818" t="str">
        <f t="array" ref="J818">INDEX('TJ List'!B:B,MATCH(I818,'TJ List'!N:N,0),0)</f>
        <v>#N/A</v>
      </c>
      <c r="L818" s="13"/>
      <c r="M818" s="11"/>
      <c r="N818" s="86"/>
      <c r="O818" s="86"/>
      <c r="T818" s="30"/>
      <c r="Z818" s="96"/>
    </row>
    <row r="819">
      <c r="B819" s="30"/>
      <c r="D819" s="30"/>
      <c r="G819" s="13" t="s">
        <v>5235</v>
      </c>
      <c r="H819" s="11" t="s">
        <v>4757</v>
      </c>
      <c r="I819" s="13">
        <v>10314.0</v>
      </c>
      <c r="J819" t="str">
        <f t="array" ref="J819">INDEX('TJ List'!B:B,MATCH(I819,'TJ List'!N:N,0),0)</f>
        <v>#N/A</v>
      </c>
      <c r="L819" s="13"/>
      <c r="M819" s="11"/>
      <c r="N819" s="86"/>
      <c r="O819" s="86"/>
      <c r="T819" s="30"/>
      <c r="Z819" s="96"/>
    </row>
    <row r="820">
      <c r="B820" s="30"/>
      <c r="D820" s="30"/>
      <c r="G820" s="13" t="s">
        <v>5236</v>
      </c>
      <c r="H820" s="11" t="s">
        <v>4757</v>
      </c>
      <c r="I820" s="13">
        <v>17735.0</v>
      </c>
      <c r="J820" t="str">
        <f t="array" ref="J820">INDEX('TJ List'!B:B,MATCH(I820,'TJ List'!N:N,0),0)</f>
        <v>#N/A</v>
      </c>
      <c r="L820" s="13"/>
      <c r="M820" s="11"/>
      <c r="N820" s="86"/>
      <c r="O820" s="86"/>
      <c r="T820" s="30"/>
      <c r="Z820" s="96"/>
    </row>
    <row r="821">
      <c r="B821" s="30"/>
      <c r="D821" s="30"/>
      <c r="G821" s="13" t="s">
        <v>3734</v>
      </c>
      <c r="H821" s="11" t="s">
        <v>186</v>
      </c>
      <c r="I821" s="13">
        <v>12988.0</v>
      </c>
      <c r="J821" s="87">
        <f t="array" ref="J821">INDEX('TJ List'!B:B,MATCH(I821,'TJ List'!N:N,0),0)</f>
        <v>39973</v>
      </c>
      <c r="L821" s="13"/>
      <c r="M821" s="11"/>
      <c r="N821" s="86"/>
      <c r="O821" s="86"/>
      <c r="T821" s="30"/>
      <c r="Z821" s="96"/>
    </row>
    <row r="822">
      <c r="B822" s="30"/>
      <c r="D822" s="30"/>
      <c r="G822" s="13" t="s">
        <v>2342</v>
      </c>
      <c r="H822" s="11" t="s">
        <v>186</v>
      </c>
      <c r="I822" s="13">
        <v>15423.0</v>
      </c>
      <c r="J822" s="87">
        <f t="array" ref="J822">INDEX('TJ List'!B:B,MATCH(I822,'TJ List'!N:N,0),0)</f>
        <v>42552</v>
      </c>
      <c r="L822" s="13"/>
      <c r="M822" s="11"/>
      <c r="N822" s="86"/>
      <c r="O822" s="86"/>
      <c r="T822" s="30"/>
      <c r="Z822" s="96"/>
    </row>
    <row r="823">
      <c r="B823" s="30"/>
      <c r="D823" s="30"/>
      <c r="G823" s="13" t="s">
        <v>2302</v>
      </c>
      <c r="H823" s="11" t="s">
        <v>186</v>
      </c>
      <c r="I823" s="13">
        <v>9132.0</v>
      </c>
      <c r="J823" s="87">
        <f t="array" ref="J823">INDEX('TJ List'!B:B,MATCH(I823,'TJ List'!N:N,0),0)</f>
        <v>42601</v>
      </c>
      <c r="L823" s="13"/>
      <c r="M823" s="11"/>
      <c r="N823" s="86"/>
      <c r="O823" s="86"/>
      <c r="T823" s="30"/>
      <c r="Z823" s="96"/>
    </row>
    <row r="824">
      <c r="B824" s="30"/>
      <c r="D824" s="30"/>
      <c r="G824" s="13" t="s">
        <v>2257</v>
      </c>
      <c r="H824" s="11" t="s">
        <v>186</v>
      </c>
      <c r="I824" s="13">
        <v>21229.0</v>
      </c>
      <c r="J824" s="87">
        <f t="array" ref="J824">INDEX('TJ List'!B:B,MATCH(I824,'TJ List'!N:N,0),0)</f>
        <v>42736</v>
      </c>
      <c r="L824" s="13"/>
      <c r="M824" s="11"/>
      <c r="N824" s="86"/>
      <c r="O824" s="86"/>
      <c r="T824" s="30"/>
      <c r="Z824" s="96"/>
    </row>
    <row r="825">
      <c r="B825" s="30"/>
      <c r="D825" s="30"/>
      <c r="G825" s="13" t="s">
        <v>1642</v>
      </c>
      <c r="H825" s="11" t="s">
        <v>186</v>
      </c>
      <c r="I825" s="13">
        <v>19409.0</v>
      </c>
      <c r="J825" s="87">
        <f t="array" ref="J825">INDEX('TJ List'!B:B,MATCH(I825,'TJ List'!N:N,0),0)</f>
        <v>43542</v>
      </c>
      <c r="M825" s="30"/>
      <c r="N825" s="98"/>
      <c r="O825" s="98"/>
      <c r="T825" s="30"/>
      <c r="Z825" s="96"/>
    </row>
    <row r="826">
      <c r="B826" s="30"/>
      <c r="D826" s="30"/>
      <c r="G826" s="13" t="s">
        <v>1608</v>
      </c>
      <c r="H826" s="11" t="s">
        <v>186</v>
      </c>
      <c r="I826" s="13">
        <v>22273.0</v>
      </c>
      <c r="J826" s="87">
        <f t="array" ref="J826">INDEX('TJ List'!B:B,MATCH(I826,'TJ List'!N:N,0),0)</f>
        <v>43586</v>
      </c>
      <c r="M826" s="30"/>
      <c r="N826" s="98"/>
      <c r="O826" s="98"/>
      <c r="T826" s="30"/>
      <c r="Z826" s="96"/>
    </row>
    <row r="827">
      <c r="B827" s="30"/>
      <c r="D827" s="30"/>
      <c r="G827" s="13" t="s">
        <v>1514</v>
      </c>
      <c r="H827" s="11" t="s">
        <v>186</v>
      </c>
      <c r="I827" s="13">
        <v>8241.0</v>
      </c>
      <c r="J827" s="87">
        <f t="array" ref="J827">INDEX('TJ List'!B:B,MATCH(I827,'TJ List'!N:N,0),0)</f>
        <v>43692</v>
      </c>
      <c r="M827" s="30"/>
      <c r="N827" s="98"/>
      <c r="O827" s="98"/>
      <c r="T827" s="30"/>
      <c r="Z827" s="96"/>
    </row>
    <row r="828">
      <c r="B828" s="30"/>
      <c r="D828" s="30"/>
      <c r="G828" s="13" t="s">
        <v>1423</v>
      </c>
      <c r="H828" s="11" t="s">
        <v>186</v>
      </c>
      <c r="I828" s="13">
        <v>19330.0</v>
      </c>
      <c r="J828" s="87">
        <f t="array" ref="J828">INDEX('TJ List'!B:B,MATCH(I828,'TJ List'!N:N,0),0)</f>
        <v>43895</v>
      </c>
      <c r="M828" s="30"/>
      <c r="N828" s="98"/>
      <c r="O828" s="98"/>
      <c r="T828" s="30"/>
      <c r="Z828" s="96"/>
    </row>
    <row r="829">
      <c r="B829" s="30"/>
      <c r="D829" s="30"/>
      <c r="G829" s="13" t="s">
        <v>1193</v>
      </c>
      <c r="H829" s="11" t="s">
        <v>186</v>
      </c>
      <c r="I829" s="13">
        <v>9073.0</v>
      </c>
      <c r="J829" s="87">
        <f t="array" ref="J829">INDEX('TJ List'!B:B,MATCH(I829,'TJ List'!N:N,0),0)</f>
        <v>44279</v>
      </c>
      <c r="M829" s="30"/>
      <c r="N829" s="98"/>
      <c r="O829" s="98"/>
      <c r="T829" s="30"/>
      <c r="Z829" s="96"/>
    </row>
    <row r="830">
      <c r="B830" s="30"/>
      <c r="D830" s="30"/>
      <c r="G830" s="13" t="s">
        <v>5237</v>
      </c>
      <c r="H830" s="11" t="s">
        <v>186</v>
      </c>
      <c r="I830" s="13">
        <v>14524.0</v>
      </c>
      <c r="J830" s="87">
        <f t="array" ref="J830">INDEX('TJ List'!B:B,MATCH(I830,'TJ List'!N:N,0),0)</f>
        <v>44285</v>
      </c>
      <c r="M830" s="30"/>
      <c r="N830" s="98"/>
      <c r="O830" s="98"/>
      <c r="T830" s="30"/>
      <c r="Z830" s="96"/>
    </row>
    <row r="831">
      <c r="B831" s="30"/>
      <c r="D831" s="30"/>
      <c r="G831" s="13" t="s">
        <v>4768</v>
      </c>
      <c r="H831" s="11" t="s">
        <v>186</v>
      </c>
      <c r="I831" s="13">
        <v>17464.0</v>
      </c>
      <c r="J831" s="87">
        <f t="array" ref="J831">INDEX('TJ List'!B:B,MATCH(I831,'TJ List'!N:N,0),0)</f>
        <v>44298</v>
      </c>
      <c r="M831" s="30"/>
      <c r="N831" s="98"/>
      <c r="O831" s="98"/>
      <c r="T831" s="30"/>
      <c r="Z831" s="96"/>
    </row>
    <row r="832">
      <c r="B832" s="30"/>
      <c r="D832" s="30"/>
      <c r="G832" s="13" t="s">
        <v>595</v>
      </c>
      <c r="H832" s="11" t="s">
        <v>186</v>
      </c>
      <c r="I832" s="13">
        <v>16358.0</v>
      </c>
      <c r="J832" s="87">
        <f t="array" ref="J832">INDEX('TJ List'!B:B,MATCH(I832,'TJ List'!N:N,0),0)</f>
        <v>45068</v>
      </c>
      <c r="M832" s="30"/>
      <c r="N832" s="98"/>
      <c r="O832" s="98"/>
      <c r="T832" s="30"/>
      <c r="Z832" s="96"/>
    </row>
    <row r="833">
      <c r="B833" s="30"/>
      <c r="D833" s="30"/>
      <c r="G833" s="13" t="s">
        <v>596</v>
      </c>
      <c r="H833" s="11" t="s">
        <v>186</v>
      </c>
      <c r="I833" s="13">
        <v>31843.0</v>
      </c>
      <c r="J833" s="87">
        <f t="array" ref="J833">INDEX('TJ List'!B:B,MATCH(I833,'TJ List'!N:N,0),0)</f>
        <v>45068</v>
      </c>
      <c r="M833" s="30"/>
      <c r="N833" s="98"/>
      <c r="O833" s="98"/>
      <c r="T833" s="30"/>
      <c r="Z833" s="96"/>
    </row>
    <row r="834">
      <c r="B834" s="30"/>
      <c r="D834" s="30"/>
      <c r="G834" s="13" t="s">
        <v>573</v>
      </c>
      <c r="H834" s="11" t="s">
        <v>186</v>
      </c>
      <c r="I834" s="13">
        <v>10954.0</v>
      </c>
      <c r="J834" s="87">
        <f t="array" ref="J834">INDEX('TJ List'!B:B,MATCH(I834,'TJ List'!N:N,0),0)</f>
        <v>45089</v>
      </c>
      <c r="M834" s="30"/>
      <c r="N834" s="98"/>
      <c r="O834" s="98"/>
      <c r="T834" s="30"/>
      <c r="Z834" s="96"/>
    </row>
    <row r="835">
      <c r="B835" s="30"/>
      <c r="D835" s="30"/>
      <c r="G835" s="13" t="s">
        <v>5238</v>
      </c>
      <c r="H835" s="11" t="s">
        <v>186</v>
      </c>
      <c r="I835" s="13">
        <v>14916.0</v>
      </c>
      <c r="J835" t="str">
        <f t="array" ref="J835">INDEX('TJ List'!B:B,MATCH(I835,'TJ List'!N:N,0),0)</f>
        <v>#N/A</v>
      </c>
      <c r="M835" s="30"/>
      <c r="N835" s="98"/>
      <c r="O835" s="98"/>
      <c r="T835" s="30"/>
      <c r="Z835" s="96"/>
    </row>
    <row r="836">
      <c r="B836" s="30"/>
      <c r="D836" s="30"/>
      <c r="G836" s="13" t="s">
        <v>4611</v>
      </c>
      <c r="H836" s="11" t="s">
        <v>186</v>
      </c>
      <c r="I836" s="13">
        <v>27597.0</v>
      </c>
      <c r="J836" t="str">
        <f t="array" ref="J836">INDEX('TJ List'!B:B,MATCH(I836,'TJ List'!N:N,0),0)</f>
        <v>#N/A</v>
      </c>
      <c r="M836" s="30"/>
      <c r="N836" s="98"/>
      <c r="O836" s="98"/>
      <c r="T836" s="30"/>
      <c r="Z836" s="96"/>
    </row>
    <row r="837">
      <c r="B837" s="30"/>
      <c r="D837" s="30"/>
      <c r="G837" s="13" t="s">
        <v>5239</v>
      </c>
      <c r="H837" s="11" t="s">
        <v>186</v>
      </c>
      <c r="I837" s="13">
        <v>3137.0</v>
      </c>
      <c r="J837" t="str">
        <f t="array" ref="J837">INDEX('TJ List'!B:B,MATCH(I837,'TJ List'!N:N,0),0)</f>
        <v>#N/A</v>
      </c>
      <c r="M837" s="30"/>
      <c r="N837" s="98"/>
      <c r="O837" s="98"/>
      <c r="T837" s="30"/>
      <c r="Z837" s="96"/>
    </row>
    <row r="838">
      <c r="B838" s="30"/>
      <c r="D838" s="30"/>
      <c r="G838" s="13" t="s">
        <v>5240</v>
      </c>
      <c r="H838" s="11" t="s">
        <v>186</v>
      </c>
      <c r="I838" s="13">
        <v>18323.0</v>
      </c>
      <c r="J838" t="str">
        <f t="array" ref="J838">INDEX('TJ List'!B:B,MATCH(I838,'TJ List'!N:N,0),0)</f>
        <v>#N/A</v>
      </c>
      <c r="M838" s="30"/>
      <c r="N838" s="98"/>
      <c r="O838" s="98"/>
      <c r="T838" s="30"/>
      <c r="Z838" s="96"/>
    </row>
    <row r="839">
      <c r="B839" s="30"/>
      <c r="D839" s="30"/>
      <c r="G839" s="13" t="s">
        <v>5241</v>
      </c>
      <c r="H839" s="11" t="s">
        <v>186</v>
      </c>
      <c r="I839" s="13">
        <v>11589.0</v>
      </c>
      <c r="J839" t="str">
        <f t="array" ref="J839">INDEX('TJ List'!B:B,MATCH(I839,'TJ List'!N:N,0),0)</f>
        <v>#N/A</v>
      </c>
      <c r="M839" s="30"/>
      <c r="N839" s="98"/>
      <c r="O839" s="98"/>
      <c r="T839" s="30"/>
      <c r="Z839" s="96"/>
    </row>
    <row r="840">
      <c r="B840" s="30"/>
      <c r="D840" s="30"/>
      <c r="G840" s="13" t="s">
        <v>5242</v>
      </c>
      <c r="H840" s="11" t="s">
        <v>186</v>
      </c>
      <c r="I840" s="13">
        <v>26353.0</v>
      </c>
      <c r="J840" t="str">
        <f t="array" ref="J840">INDEX('TJ List'!B:B,MATCH(I840,'TJ List'!N:N,0),0)</f>
        <v>#N/A</v>
      </c>
      <c r="M840" s="30"/>
      <c r="N840" s="98"/>
      <c r="O840" s="98"/>
      <c r="T840" s="30"/>
      <c r="Z840" s="96"/>
    </row>
    <row r="841">
      <c r="B841" s="30"/>
      <c r="D841" s="30"/>
      <c r="G841" s="13" t="s">
        <v>5243</v>
      </c>
      <c r="H841" s="11" t="s">
        <v>186</v>
      </c>
      <c r="I841" s="13">
        <v>22113.0</v>
      </c>
      <c r="J841" t="str">
        <f t="array" ref="J841">INDEX('TJ List'!B:B,MATCH(I841,'TJ List'!N:N,0),0)</f>
        <v>#N/A</v>
      </c>
      <c r="M841" s="30"/>
      <c r="N841" s="98"/>
      <c r="O841" s="98"/>
      <c r="T841" s="30"/>
      <c r="Z841" s="96"/>
    </row>
    <row r="842">
      <c r="B842" s="30"/>
      <c r="D842" s="30"/>
      <c r="G842" s="13" t="s">
        <v>4748</v>
      </c>
      <c r="H842" s="11" t="s">
        <v>186</v>
      </c>
      <c r="I842" s="13">
        <v>19514.0</v>
      </c>
      <c r="J842" t="str">
        <f t="array" ref="J842">INDEX('TJ List'!B:B,MATCH(I842,'TJ List'!N:N,0),0)</f>
        <v>#N/A</v>
      </c>
      <c r="M842" s="30"/>
      <c r="N842" s="98"/>
      <c r="O842" s="98"/>
      <c r="T842" s="30"/>
      <c r="Z842" s="96"/>
    </row>
    <row r="843">
      <c r="B843" s="30"/>
      <c r="D843" s="30"/>
      <c r="G843" s="13" t="s">
        <v>5244</v>
      </c>
      <c r="H843" s="11" t="s">
        <v>186</v>
      </c>
      <c r="I843" s="13">
        <v>19835.0</v>
      </c>
      <c r="J843" t="str">
        <f t="array" ref="J843">INDEX('TJ List'!B:B,MATCH(I843,'TJ List'!N:N,0),0)</f>
        <v>#N/A</v>
      </c>
      <c r="M843" s="30"/>
      <c r="N843" s="98"/>
      <c r="O843" s="98"/>
      <c r="T843" s="30"/>
      <c r="Z843" s="96"/>
    </row>
    <row r="844">
      <c r="B844" s="30"/>
      <c r="D844" s="30"/>
      <c r="G844" s="13" t="s">
        <v>5245</v>
      </c>
      <c r="H844" s="11" t="s">
        <v>186</v>
      </c>
      <c r="I844" s="13">
        <v>30146.0</v>
      </c>
      <c r="J844" t="str">
        <f t="array" ref="J844">INDEX('TJ List'!B:B,MATCH(I844,'TJ List'!N:N,0),0)</f>
        <v>#N/A</v>
      </c>
      <c r="M844" s="30"/>
      <c r="N844" s="98"/>
      <c r="O844" s="98"/>
      <c r="T844" s="30"/>
      <c r="Z844" s="96"/>
    </row>
    <row r="845">
      <c r="B845" s="30"/>
      <c r="D845" s="30"/>
      <c r="G845" s="13" t="s">
        <v>5246</v>
      </c>
      <c r="H845" s="11" t="s">
        <v>186</v>
      </c>
      <c r="I845" s="13">
        <v>21306.0</v>
      </c>
      <c r="J845" t="str">
        <f t="array" ref="J845">INDEX('TJ List'!B:B,MATCH(I845,'TJ List'!N:N,0),0)</f>
        <v>#N/A</v>
      </c>
      <c r="M845" s="30"/>
      <c r="N845" s="98"/>
      <c r="O845" s="98"/>
      <c r="T845" s="30"/>
      <c r="Z845" s="96"/>
    </row>
    <row r="846">
      <c r="B846" s="30"/>
      <c r="D846" s="30"/>
      <c r="G846" s="13" t="s">
        <v>5247</v>
      </c>
      <c r="H846" s="11" t="s">
        <v>186</v>
      </c>
      <c r="I846" s="13">
        <v>15290.0</v>
      </c>
      <c r="J846" t="str">
        <f t="array" ref="J846">INDEX('TJ List'!B:B,MATCH(I846,'TJ List'!N:N,0),0)</f>
        <v>#N/A</v>
      </c>
      <c r="M846" s="30"/>
      <c r="N846" s="98"/>
      <c r="O846" s="98"/>
      <c r="T846" s="30"/>
      <c r="Z846" s="96"/>
    </row>
    <row r="847">
      <c r="B847" s="30"/>
      <c r="D847" s="30"/>
      <c r="G847" s="13" t="s">
        <v>5248</v>
      </c>
      <c r="H847" s="11" t="s">
        <v>186</v>
      </c>
      <c r="I847" s="13">
        <v>20546.0</v>
      </c>
      <c r="J847" t="str">
        <f t="array" ref="J847">INDEX('TJ List'!B:B,MATCH(I847,'TJ List'!N:N,0),0)</f>
        <v>#N/A</v>
      </c>
      <c r="M847" s="30"/>
      <c r="N847" s="98"/>
      <c r="O847" s="98"/>
      <c r="T847" s="30"/>
      <c r="Z847" s="96"/>
    </row>
    <row r="848">
      <c r="B848" s="30"/>
      <c r="D848" s="30"/>
      <c r="G848" s="13" t="s">
        <v>3272</v>
      </c>
      <c r="H848" s="11" t="s">
        <v>235</v>
      </c>
      <c r="I848" s="13">
        <v>19178.0</v>
      </c>
      <c r="J848" s="89">
        <f t="array" ref="J848">INDEX('TJ List'!B:B,MATCH(I848,'TJ List'!N:N,0),0)</f>
        <v>41275</v>
      </c>
      <c r="M848" s="30"/>
      <c r="N848" s="98"/>
      <c r="O848" s="98"/>
      <c r="T848" s="30"/>
      <c r="Z848" s="96"/>
    </row>
    <row r="849">
      <c r="B849" s="30"/>
      <c r="D849" s="30"/>
      <c r="G849" s="13" t="s">
        <v>3128</v>
      </c>
      <c r="H849" s="11" t="s">
        <v>235</v>
      </c>
      <c r="I849" s="13">
        <v>19225.0</v>
      </c>
      <c r="J849" s="87">
        <f t="array" ref="J849">INDEX('TJ List'!B:B,MATCH(I849,'TJ List'!N:N,0),0)</f>
        <v>41579</v>
      </c>
      <c r="M849" s="30"/>
      <c r="N849" s="98"/>
      <c r="O849" s="98"/>
      <c r="T849" s="30"/>
      <c r="Z849" s="96"/>
    </row>
    <row r="850">
      <c r="B850" s="30"/>
      <c r="D850" s="30"/>
      <c r="G850" s="13" t="s">
        <v>2769</v>
      </c>
      <c r="H850" s="11" t="s">
        <v>235</v>
      </c>
      <c r="I850" s="13">
        <v>16122.0</v>
      </c>
      <c r="J850" s="87">
        <f t="array" ref="J850">INDEX('TJ List'!B:B,MATCH(I850,'TJ List'!N:N,0),0)</f>
        <v>42094</v>
      </c>
      <c r="M850" s="30"/>
      <c r="N850" s="98"/>
      <c r="O850" s="98"/>
      <c r="T850" s="30"/>
      <c r="Z850" s="96"/>
    </row>
    <row r="851">
      <c r="B851" s="30"/>
      <c r="D851" s="30"/>
      <c r="G851" s="13" t="s">
        <v>2391</v>
      </c>
      <c r="H851" s="11" t="s">
        <v>235</v>
      </c>
      <c r="I851" s="13">
        <v>12304.0</v>
      </c>
      <c r="J851" s="87">
        <f t="array" ref="J851">INDEX('TJ List'!B:B,MATCH(I851,'TJ List'!N:N,0),0)</f>
        <v>42496</v>
      </c>
      <c r="M851" s="30"/>
      <c r="N851" s="98"/>
      <c r="O851" s="98"/>
      <c r="T851" s="30"/>
      <c r="Z851" s="96"/>
    </row>
    <row r="852">
      <c r="B852" s="30"/>
      <c r="D852" s="30"/>
      <c r="G852" s="13" t="s">
        <v>4715</v>
      </c>
      <c r="H852" s="11" t="s">
        <v>235</v>
      </c>
      <c r="I852" s="13">
        <v>12095.0</v>
      </c>
      <c r="J852" s="87">
        <f t="array" ref="J852">INDEX('TJ List'!B:B,MATCH(I852,'TJ List'!N:N,0),0)</f>
        <v>42668</v>
      </c>
      <c r="M852" s="30"/>
      <c r="N852" s="98"/>
      <c r="O852" s="98"/>
      <c r="T852" s="30"/>
      <c r="Z852" s="96"/>
    </row>
    <row r="853">
      <c r="B853" s="30"/>
      <c r="D853" s="30"/>
      <c r="G853" s="13" t="s">
        <v>2223</v>
      </c>
      <c r="H853" s="11" t="s">
        <v>235</v>
      </c>
      <c r="I853" s="13">
        <v>26226.0</v>
      </c>
      <c r="J853" s="89">
        <f t="array" ref="J853">INDEX('TJ List'!B:B,MATCH(I853,'TJ List'!N:N,0),0)</f>
        <v>42736</v>
      </c>
      <c r="M853" s="30"/>
      <c r="N853" s="98"/>
      <c r="O853" s="98"/>
      <c r="T853" s="30"/>
      <c r="Z853" s="96"/>
    </row>
    <row r="854">
      <c r="B854" s="30"/>
      <c r="D854" s="30"/>
      <c r="G854" s="13" t="s">
        <v>1588</v>
      </c>
      <c r="H854" s="11" t="s">
        <v>235</v>
      </c>
      <c r="I854" s="13">
        <v>20185.0</v>
      </c>
      <c r="J854" s="87">
        <f t="array" ref="J854">INDEX('TJ List'!B:B,MATCH(I854,'TJ List'!N:N,0),0)</f>
        <v>43599</v>
      </c>
      <c r="M854" s="30"/>
      <c r="N854" s="98"/>
      <c r="O854" s="98"/>
      <c r="T854" s="30"/>
      <c r="Z854" s="96"/>
    </row>
    <row r="855">
      <c r="B855" s="30"/>
      <c r="D855" s="30"/>
      <c r="G855" s="13" t="s">
        <v>1546</v>
      </c>
      <c r="H855" s="11" t="s">
        <v>235</v>
      </c>
      <c r="I855" s="13">
        <v>17536.0</v>
      </c>
      <c r="J855" s="87">
        <f t="array" ref="J855">INDEX('TJ List'!B:B,MATCH(I855,'TJ List'!N:N,0),0)</f>
        <v>43641</v>
      </c>
      <c r="M855" s="30"/>
      <c r="N855" s="98"/>
      <c r="O855" s="98"/>
      <c r="T855" s="30"/>
      <c r="Z855" s="96"/>
    </row>
    <row r="856">
      <c r="B856" s="30"/>
      <c r="D856" s="30"/>
      <c r="G856" s="13" t="s">
        <v>1498</v>
      </c>
      <c r="H856" s="11" t="s">
        <v>235</v>
      </c>
      <c r="I856" s="13">
        <v>15042.0</v>
      </c>
      <c r="J856" s="87">
        <f t="array" ref="J856">INDEX('TJ List'!B:B,MATCH(I856,'TJ List'!N:N,0),0)</f>
        <v>43726</v>
      </c>
      <c r="M856" s="30"/>
      <c r="N856" s="98"/>
      <c r="O856" s="98"/>
      <c r="T856" s="30"/>
      <c r="Z856" s="96"/>
    </row>
    <row r="857">
      <c r="B857" s="30"/>
      <c r="D857" s="30"/>
      <c r="G857" s="13" t="s">
        <v>810</v>
      </c>
      <c r="H857" s="11" t="s">
        <v>235</v>
      </c>
      <c r="I857" s="13">
        <v>15552.0</v>
      </c>
      <c r="J857" s="87">
        <f t="array" ref="J857">INDEX('TJ List'!B:B,MATCH(I857,'TJ List'!N:N,0),0)</f>
        <v>44713</v>
      </c>
      <c r="M857" s="30"/>
      <c r="N857" s="98"/>
      <c r="O857" s="98"/>
      <c r="T857" s="30"/>
      <c r="Z857" s="96"/>
    </row>
    <row r="858">
      <c r="B858" s="30"/>
      <c r="D858" s="30"/>
      <c r="G858" s="13" t="s">
        <v>319</v>
      </c>
      <c r="H858" s="11" t="s">
        <v>235</v>
      </c>
      <c r="I858" s="13">
        <v>26410.0</v>
      </c>
      <c r="J858" s="87">
        <f t="array" ref="J858">INDEX('TJ List'!B:B,MATCH(I858,'TJ List'!N:N,0),0)</f>
        <v>45460</v>
      </c>
      <c r="M858" s="30"/>
      <c r="N858" s="98"/>
      <c r="O858" s="98"/>
      <c r="T858" s="30"/>
      <c r="Z858" s="96"/>
    </row>
    <row r="859">
      <c r="B859" s="30"/>
      <c r="D859" s="30"/>
      <c r="G859" s="13" t="s">
        <v>5249</v>
      </c>
      <c r="H859" s="11" t="s">
        <v>235</v>
      </c>
      <c r="I859" s="13">
        <v>14107.0</v>
      </c>
      <c r="J859" t="str">
        <f t="array" ref="J859">INDEX('TJ List'!B:B,MATCH(I859,'TJ List'!N:N,0),0)</f>
        <v>#N/A</v>
      </c>
      <c r="M859" s="30"/>
      <c r="N859" s="98"/>
      <c r="O859" s="98"/>
      <c r="T859" s="30"/>
      <c r="Z859" s="96"/>
    </row>
    <row r="860">
      <c r="B860" s="30"/>
      <c r="D860" s="30"/>
      <c r="G860" s="13" t="s">
        <v>5250</v>
      </c>
      <c r="H860" s="11" t="s">
        <v>235</v>
      </c>
      <c r="I860" s="13">
        <v>33838.0</v>
      </c>
      <c r="J860" t="str">
        <f t="array" ref="J860">INDEX('TJ List'!B:B,MATCH(I860,'TJ List'!N:N,0),0)</f>
        <v>#N/A</v>
      </c>
      <c r="M860" s="30"/>
      <c r="N860" s="98"/>
      <c r="O860" s="98"/>
      <c r="T860" s="30"/>
      <c r="Z860" s="96"/>
    </row>
    <row r="861">
      <c r="B861" s="30"/>
      <c r="D861" s="30"/>
      <c r="G861" s="13" t="s">
        <v>5251</v>
      </c>
      <c r="H861" s="11" t="s">
        <v>235</v>
      </c>
      <c r="I861" s="13">
        <v>14168.0</v>
      </c>
      <c r="J861" t="str">
        <f t="array" ref="J861">INDEX('TJ List'!B:B,MATCH(I861,'TJ List'!N:N,0),0)</f>
        <v>#N/A</v>
      </c>
      <c r="M861" s="30"/>
      <c r="N861" s="98"/>
      <c r="O861" s="98"/>
      <c r="T861" s="30"/>
      <c r="Z861" s="96"/>
    </row>
    <row r="862">
      <c r="B862" s="30"/>
      <c r="D862" s="30"/>
      <c r="G862" s="13" t="s">
        <v>5252</v>
      </c>
      <c r="H862" s="11" t="s">
        <v>235</v>
      </c>
      <c r="I862" s="13">
        <v>20548.0</v>
      </c>
      <c r="J862" t="str">
        <f t="array" ref="J862">INDEX('TJ List'!B:B,MATCH(I862,'TJ List'!N:N,0),0)</f>
        <v>#N/A</v>
      </c>
      <c r="M862" s="30"/>
      <c r="N862" s="98"/>
      <c r="O862" s="98"/>
      <c r="T862" s="30"/>
      <c r="Z862" s="96"/>
    </row>
    <row r="863">
      <c r="B863" s="30"/>
      <c r="D863" s="30"/>
      <c r="G863" s="13" t="s">
        <v>4733</v>
      </c>
      <c r="H863" s="11" t="s">
        <v>235</v>
      </c>
      <c r="I863" s="13">
        <v>13897.0</v>
      </c>
      <c r="J863" t="str">
        <f t="array" ref="J863">INDEX('TJ List'!B:B,MATCH(I863,'TJ List'!N:N,0),0)</f>
        <v>#N/A</v>
      </c>
      <c r="M863" s="30"/>
      <c r="N863" s="98"/>
      <c r="O863" s="98"/>
      <c r="T863" s="30"/>
      <c r="Z863" s="96"/>
    </row>
    <row r="864">
      <c r="B864" s="30"/>
      <c r="D864" s="30"/>
      <c r="G864" s="13" t="s">
        <v>4709</v>
      </c>
      <c r="H864" s="11" t="s">
        <v>235</v>
      </c>
      <c r="I864" s="13">
        <v>20352.0</v>
      </c>
      <c r="J864" t="str">
        <f t="array" ref="J864">INDEX('TJ List'!B:B,MATCH(I864,'TJ List'!N:N,0),0)</f>
        <v>#N/A</v>
      </c>
      <c r="M864" s="30"/>
      <c r="N864" s="98"/>
      <c r="O864" s="98"/>
      <c r="T864" s="30"/>
      <c r="Z864" s="96"/>
    </row>
    <row r="865">
      <c r="B865" s="30"/>
      <c r="D865" s="30"/>
      <c r="G865" s="13" t="s">
        <v>5253</v>
      </c>
      <c r="H865" s="11" t="s">
        <v>235</v>
      </c>
      <c r="I865" s="13">
        <v>27668.0</v>
      </c>
      <c r="J865" t="str">
        <f t="array" ref="J865">INDEX('TJ List'!B:B,MATCH(I865,'TJ List'!N:N,0),0)</f>
        <v>#N/A</v>
      </c>
      <c r="M865" s="30"/>
      <c r="N865" s="98"/>
      <c r="O865" s="98"/>
      <c r="T865" s="30"/>
      <c r="Z865" s="96"/>
    </row>
    <row r="866">
      <c r="B866" s="30"/>
      <c r="D866" s="30"/>
      <c r="G866" s="13" t="s">
        <v>4745</v>
      </c>
      <c r="H866" s="11" t="s">
        <v>235</v>
      </c>
      <c r="I866" s="13">
        <v>16512.0</v>
      </c>
      <c r="J866" t="str">
        <f t="array" ref="J866">INDEX('TJ List'!B:B,MATCH(I866,'TJ List'!N:N,0),0)</f>
        <v>#N/A</v>
      </c>
      <c r="M866" s="30"/>
      <c r="N866" s="98"/>
      <c r="O866" s="98"/>
      <c r="T866" s="30"/>
      <c r="Z866" s="96"/>
    </row>
    <row r="867">
      <c r="B867" s="30"/>
      <c r="D867" s="30"/>
      <c r="G867" s="13" t="s">
        <v>5254</v>
      </c>
      <c r="H867" s="11" t="s">
        <v>235</v>
      </c>
      <c r="I867" s="13">
        <v>8246.0</v>
      </c>
      <c r="J867" t="str">
        <f t="array" ref="J867">INDEX('TJ List'!B:B,MATCH(I867,'TJ List'!N:N,0),0)</f>
        <v>#N/A</v>
      </c>
      <c r="M867" s="30"/>
      <c r="N867" s="98"/>
      <c r="O867" s="98"/>
      <c r="T867" s="30"/>
      <c r="Z867" s="96"/>
    </row>
    <row r="868">
      <c r="B868" s="30"/>
      <c r="D868" s="30"/>
      <c r="G868" s="13" t="s">
        <v>5255</v>
      </c>
      <c r="H868" s="11" t="s">
        <v>235</v>
      </c>
      <c r="I868" s="13">
        <v>21574.0</v>
      </c>
      <c r="J868" t="str">
        <f t="array" ref="J868">INDEX('TJ List'!B:B,MATCH(I868,'TJ List'!N:N,0),0)</f>
        <v>#N/A</v>
      </c>
      <c r="M868" s="30"/>
      <c r="N868" s="98"/>
      <c r="O868" s="98"/>
      <c r="T868" s="30"/>
      <c r="Z868" s="96"/>
    </row>
    <row r="869">
      <c r="B869" s="30"/>
      <c r="D869" s="30"/>
      <c r="G869" s="13" t="s">
        <v>5256</v>
      </c>
      <c r="H869" s="11" t="s">
        <v>235</v>
      </c>
      <c r="I869" s="13">
        <v>17490.0</v>
      </c>
      <c r="J869" t="str">
        <f t="array" ref="J869">INDEX('TJ List'!B:B,MATCH(I869,'TJ List'!N:N,0),0)</f>
        <v>#N/A</v>
      </c>
      <c r="M869" s="30"/>
      <c r="N869" s="98"/>
      <c r="O869" s="98"/>
      <c r="T869" s="30"/>
      <c r="Z869" s="96"/>
    </row>
    <row r="870">
      <c r="A870" t="str">
        <f>A832</f>
        <v/>
      </c>
      <c r="B870" s="30"/>
      <c r="D870" s="30"/>
      <c r="G870" s="13" t="s">
        <v>5257</v>
      </c>
      <c r="H870" s="11" t="s">
        <v>235</v>
      </c>
      <c r="I870" s="13">
        <v>16587.0</v>
      </c>
      <c r="J870" t="str">
        <f t="array" ref="J870">INDEX('TJ List'!B:B,MATCH(I870,'TJ List'!N:N,0),0)</f>
        <v>#N/A</v>
      </c>
      <c r="M870" s="30"/>
      <c r="N870" s="98"/>
      <c r="O870" s="98"/>
      <c r="T870" s="30"/>
      <c r="Z870" s="96"/>
    </row>
    <row r="871">
      <c r="B871" s="30"/>
      <c r="D871" s="30"/>
      <c r="G871" s="13" t="s">
        <v>3033</v>
      </c>
      <c r="H871" s="11" t="s">
        <v>4769</v>
      </c>
      <c r="I871" s="13">
        <v>9323.0</v>
      </c>
      <c r="J871" s="87">
        <f t="array" ref="J871">INDEX('TJ List'!B:B,MATCH(I871,'TJ List'!N:N,0),0)</f>
        <v>41723</v>
      </c>
      <c r="M871" s="30"/>
      <c r="N871" s="98"/>
      <c r="O871" s="98"/>
      <c r="T871" s="30"/>
      <c r="Z871" s="96"/>
    </row>
    <row r="872">
      <c r="B872" s="30"/>
      <c r="D872" s="30"/>
      <c r="G872" s="13" t="s">
        <v>2945</v>
      </c>
      <c r="H872" s="11" t="s">
        <v>4769</v>
      </c>
      <c r="I872" s="13">
        <v>13133.0</v>
      </c>
      <c r="J872" s="87">
        <f t="array" ref="J872">INDEX('TJ List'!B:B,MATCH(I872,'TJ List'!N:N,0),0)</f>
        <v>41814</v>
      </c>
      <c r="M872" s="30"/>
      <c r="N872" s="98"/>
      <c r="O872" s="98"/>
      <c r="T872" s="30"/>
      <c r="Z872" s="96"/>
    </row>
    <row r="873">
      <c r="B873" s="30"/>
      <c r="D873" s="30"/>
      <c r="G873" s="13" t="s">
        <v>2323</v>
      </c>
      <c r="H873" s="11" t="s">
        <v>4769</v>
      </c>
      <c r="I873" s="13">
        <v>15507.0</v>
      </c>
      <c r="J873" s="87">
        <f t="array" ref="J873">INDEX('TJ List'!B:B,MATCH(I873,'TJ List'!N:N,0),0)</f>
        <v>42577</v>
      </c>
      <c r="M873" s="30"/>
      <c r="N873" s="98"/>
      <c r="O873" s="98"/>
      <c r="T873" s="30"/>
      <c r="Z873" s="96"/>
    </row>
    <row r="874">
      <c r="B874" s="30"/>
      <c r="D874" s="30"/>
      <c r="G874" s="13" t="s">
        <v>1346</v>
      </c>
      <c r="H874" s="11" t="s">
        <v>4769</v>
      </c>
      <c r="I874" s="13">
        <v>21504.0</v>
      </c>
      <c r="J874" s="87">
        <f t="array" ref="J874">INDEX('TJ List'!B:B,MATCH(I874,'TJ List'!N:N,0),0)</f>
        <v>44105</v>
      </c>
      <c r="M874" s="30"/>
      <c r="N874" s="98"/>
      <c r="O874" s="98"/>
      <c r="T874" s="30"/>
      <c r="Z874" s="96"/>
    </row>
    <row r="875">
      <c r="B875" s="30"/>
      <c r="D875" s="30"/>
      <c r="G875" s="13" t="s">
        <v>768</v>
      </c>
      <c r="H875" s="11" t="s">
        <v>4769</v>
      </c>
      <c r="I875" s="13">
        <v>17610.0</v>
      </c>
      <c r="J875" s="87">
        <f t="array" ref="J875">INDEX('TJ List'!B:B,MATCH(I875,'TJ List'!N:N,0),0)</f>
        <v>44776</v>
      </c>
      <c r="M875" s="30"/>
      <c r="N875" s="98"/>
      <c r="O875" s="98"/>
      <c r="T875" s="30"/>
      <c r="Z875" s="96"/>
    </row>
    <row r="876">
      <c r="B876" s="30"/>
      <c r="D876" s="30"/>
      <c r="G876" s="13" t="s">
        <v>649</v>
      </c>
      <c r="H876" s="11" t="s">
        <v>4769</v>
      </c>
      <c r="I876" s="13">
        <v>27783.0</v>
      </c>
      <c r="J876" s="87">
        <f t="array" ref="J876">INDEX('TJ List'!B:B,MATCH(I876,'TJ List'!N:N,0),0)</f>
        <v>45017</v>
      </c>
      <c r="M876" s="30"/>
      <c r="N876" s="98"/>
      <c r="O876" s="98"/>
      <c r="T876" s="30"/>
      <c r="Z876" s="96"/>
    </row>
    <row r="877">
      <c r="B877" s="30"/>
      <c r="D877" s="30"/>
      <c r="G877" s="13" t="s">
        <v>291</v>
      </c>
      <c r="H877" s="11" t="s">
        <v>4769</v>
      </c>
      <c r="I877" s="13">
        <v>24580.0</v>
      </c>
      <c r="J877" s="87">
        <f t="array" ref="J877">INDEX('TJ List'!B:B,MATCH(I877,'TJ List'!N:N,0),0)</f>
        <v>45497</v>
      </c>
      <c r="M877" s="30"/>
      <c r="N877" s="98"/>
      <c r="O877" s="98"/>
      <c r="T877" s="30"/>
      <c r="Z877" s="96"/>
    </row>
    <row r="878">
      <c r="B878" s="30"/>
      <c r="D878" s="30"/>
      <c r="G878" s="13" t="s">
        <v>5258</v>
      </c>
      <c r="H878" s="11" t="s">
        <v>4769</v>
      </c>
      <c r="I878" s="13">
        <v>22201.0</v>
      </c>
      <c r="J878" t="str">
        <f t="array" ref="J878">INDEX('TJ List'!B:B,MATCH(I878,'TJ List'!N:N,0),0)</f>
        <v>#N/A</v>
      </c>
      <c r="M878" s="30"/>
      <c r="N878" s="98"/>
      <c r="O878" s="98"/>
      <c r="T878" s="30"/>
      <c r="Z878" s="96"/>
    </row>
    <row r="879">
      <c r="B879" s="30"/>
      <c r="D879" s="30"/>
      <c r="G879" s="13" t="s">
        <v>5259</v>
      </c>
      <c r="H879" s="11" t="s">
        <v>4769</v>
      </c>
      <c r="I879" s="13">
        <v>27636.0</v>
      </c>
      <c r="J879" t="str">
        <f t="array" ref="J879">INDEX('TJ List'!B:B,MATCH(I879,'TJ List'!N:N,0),0)</f>
        <v>#N/A</v>
      </c>
      <c r="M879" s="30"/>
      <c r="N879" s="98"/>
      <c r="O879" s="98"/>
      <c r="T879" s="30"/>
      <c r="Z879" s="96"/>
    </row>
    <row r="880">
      <c r="B880" s="30"/>
      <c r="D880" s="30"/>
      <c r="G880" s="13" t="s">
        <v>4609</v>
      </c>
      <c r="H880" s="11" t="s">
        <v>4769</v>
      </c>
      <c r="I880" s="13">
        <v>16977.0</v>
      </c>
      <c r="J880" t="str">
        <f t="array" ref="J880">INDEX('TJ List'!B:B,MATCH(I880,'TJ List'!N:N,0),0)</f>
        <v>#N/A</v>
      </c>
      <c r="M880" s="30"/>
      <c r="N880" s="98"/>
      <c r="O880" s="98"/>
      <c r="T880" s="30"/>
      <c r="Z880" s="96"/>
    </row>
    <row r="881">
      <c r="B881" s="30"/>
      <c r="D881" s="30"/>
      <c r="G881" s="13" t="s">
        <v>168</v>
      </c>
      <c r="H881" s="11" t="s">
        <v>4769</v>
      </c>
      <c r="I881" s="13">
        <v>26389.0</v>
      </c>
      <c r="J881" s="87">
        <f t="array" ref="J881">INDEX('TJ List'!B:B,MATCH(I881,'TJ List'!N:N,0),0)</f>
        <v>45763</v>
      </c>
      <c r="M881" s="30"/>
      <c r="N881" s="98"/>
      <c r="O881" s="98"/>
      <c r="T881" s="30"/>
      <c r="Z881" s="96"/>
    </row>
    <row r="882">
      <c r="B882" s="30"/>
      <c r="D882" s="30"/>
      <c r="G882" s="13" t="s">
        <v>5260</v>
      </c>
      <c r="H882" s="11" t="s">
        <v>4769</v>
      </c>
      <c r="I882" s="13">
        <v>23363.0</v>
      </c>
      <c r="J882" t="str">
        <f t="array" ref="J882">INDEX('TJ List'!B:B,MATCH(I882,'TJ List'!N:N,0),0)</f>
        <v>#N/A</v>
      </c>
      <c r="M882" s="30"/>
      <c r="N882" s="98"/>
      <c r="O882" s="98"/>
      <c r="T882" s="30"/>
      <c r="Z882" s="96"/>
    </row>
    <row r="883">
      <c r="B883" s="30"/>
      <c r="D883" s="30"/>
      <c r="G883" s="13" t="s">
        <v>5261</v>
      </c>
      <c r="H883" s="11" t="s">
        <v>4769</v>
      </c>
      <c r="I883" s="13">
        <v>24017.0</v>
      </c>
      <c r="J883" t="str">
        <f t="array" ref="J883">INDEX('TJ List'!B:B,MATCH(I883,'TJ List'!N:N,0),0)</f>
        <v>#N/A</v>
      </c>
      <c r="M883" s="30"/>
      <c r="N883" s="98"/>
      <c r="O883" s="98"/>
      <c r="T883" s="30"/>
      <c r="Z883" s="96"/>
    </row>
    <row r="884">
      <c r="B884" s="30"/>
      <c r="D884" s="30"/>
      <c r="G884" s="13" t="s">
        <v>5262</v>
      </c>
      <c r="H884" s="11" t="s">
        <v>4769</v>
      </c>
      <c r="I884" s="13">
        <v>26215.0</v>
      </c>
      <c r="J884" t="str">
        <f t="array" ref="J884">INDEX('TJ List'!B:B,MATCH(I884,'TJ List'!N:N,0),0)</f>
        <v>#N/A</v>
      </c>
      <c r="M884" s="30"/>
      <c r="N884" s="98"/>
      <c r="O884" s="98"/>
      <c r="T884" s="30"/>
      <c r="Z884" s="96"/>
    </row>
    <row r="885">
      <c r="B885" s="30"/>
      <c r="D885" s="30"/>
      <c r="G885" s="13" t="s">
        <v>5263</v>
      </c>
      <c r="H885" s="11" t="s">
        <v>4769</v>
      </c>
      <c r="I885" s="13">
        <v>12863.0</v>
      </c>
      <c r="J885" t="str">
        <f t="array" ref="J885">INDEX('TJ List'!B:B,MATCH(I885,'TJ List'!N:N,0),0)</f>
        <v>#N/A</v>
      </c>
      <c r="M885" s="30"/>
      <c r="N885" s="98"/>
      <c r="O885" s="98"/>
      <c r="T885" s="30"/>
      <c r="Z885" s="96"/>
    </row>
    <row r="886">
      <c r="B886" s="30"/>
      <c r="D886" s="30"/>
      <c r="G886" s="13" t="s">
        <v>5264</v>
      </c>
      <c r="H886" s="11" t="s">
        <v>4769</v>
      </c>
      <c r="I886" s="13">
        <v>12323.0</v>
      </c>
      <c r="J886" t="str">
        <f t="array" ref="J886">INDEX('TJ List'!B:B,MATCH(I886,'TJ List'!N:N,0),0)</f>
        <v>#N/A</v>
      </c>
      <c r="M886" s="30"/>
      <c r="N886" s="98"/>
      <c r="O886" s="98"/>
      <c r="T886" s="30"/>
      <c r="Z886" s="96"/>
    </row>
    <row r="887">
      <c r="B887" s="30"/>
      <c r="D887" s="30"/>
      <c r="G887" s="13" t="s">
        <v>5265</v>
      </c>
      <c r="H887" s="11" t="s">
        <v>4769</v>
      </c>
      <c r="I887" s="13">
        <v>26247.0</v>
      </c>
      <c r="J887" t="str">
        <f t="array" ref="J887">INDEX('TJ List'!B:B,MATCH(I887,'TJ List'!N:N,0),0)</f>
        <v>#N/A</v>
      </c>
      <c r="M887" s="30"/>
      <c r="N887" s="98"/>
      <c r="O887" s="98"/>
      <c r="T887" s="30"/>
      <c r="Z887" s="96"/>
    </row>
    <row r="888">
      <c r="B888" s="30"/>
      <c r="D888" s="30"/>
      <c r="G888" s="13" t="s">
        <v>5266</v>
      </c>
      <c r="H888" s="11" t="s">
        <v>4769</v>
      </c>
      <c r="I888" s="13">
        <v>15009.0</v>
      </c>
      <c r="J888" t="str">
        <f t="array" ref="J888">INDEX('TJ List'!B:B,MATCH(I888,'TJ List'!N:N,0),0)</f>
        <v>#N/A</v>
      </c>
      <c r="M888" s="30"/>
      <c r="N888" s="98"/>
      <c r="O888" s="98"/>
      <c r="T888" s="30"/>
      <c r="Z888" s="96"/>
    </row>
    <row r="889">
      <c r="B889" s="30"/>
      <c r="D889" s="30"/>
      <c r="G889" s="13" t="s">
        <v>5267</v>
      </c>
      <c r="H889" s="11" t="s">
        <v>4769</v>
      </c>
      <c r="I889" s="13">
        <v>26128.0</v>
      </c>
      <c r="J889" t="str">
        <f t="array" ref="J889">INDEX('TJ List'!B:B,MATCH(I889,'TJ List'!N:N,0),0)</f>
        <v>#N/A</v>
      </c>
      <c r="M889" s="30"/>
      <c r="N889" s="98"/>
      <c r="O889" s="98"/>
      <c r="T889" s="30"/>
      <c r="Z889" s="96"/>
    </row>
    <row r="890">
      <c r="B890" s="30"/>
      <c r="D890" s="30"/>
      <c r="G890" s="13" t="s">
        <v>5268</v>
      </c>
      <c r="H890" s="11" t="s">
        <v>4769</v>
      </c>
      <c r="I890" s="13">
        <v>22925.0</v>
      </c>
      <c r="J890" t="str">
        <f t="array" ref="J890">INDEX('TJ List'!B:B,MATCH(I890,'TJ List'!N:N,0),0)</f>
        <v>#N/A</v>
      </c>
      <c r="M890" s="30"/>
      <c r="N890" s="98"/>
      <c r="O890" s="98"/>
      <c r="T890" s="30"/>
      <c r="Z890" s="96"/>
    </row>
    <row r="891">
      <c r="B891" s="30"/>
      <c r="D891" s="30"/>
      <c r="G891" s="13" t="s">
        <v>4818</v>
      </c>
      <c r="H891" s="11" t="s">
        <v>4769</v>
      </c>
      <c r="I891" s="13">
        <v>13324.0</v>
      </c>
      <c r="J891" t="str">
        <f t="array" ref="J891">INDEX('TJ List'!B:B,MATCH(I891,'TJ List'!N:N,0),0)</f>
        <v>#N/A</v>
      </c>
      <c r="M891" s="30"/>
      <c r="N891" s="98"/>
      <c r="O891" s="98"/>
      <c r="T891" s="30"/>
      <c r="Z891" s="96"/>
    </row>
    <row r="892">
      <c r="B892" s="30"/>
      <c r="D892" s="30"/>
      <c r="G892" s="13" t="s">
        <v>5269</v>
      </c>
      <c r="H892" s="11" t="s">
        <v>4769</v>
      </c>
      <c r="I892" s="13">
        <v>25481.0</v>
      </c>
      <c r="J892" t="str">
        <f t="array" ref="J892">INDEX('TJ List'!B:B,MATCH(I892,'TJ List'!N:N,0),0)</f>
        <v>#N/A</v>
      </c>
      <c r="M892" s="30"/>
      <c r="N892" s="98"/>
      <c r="O892" s="98"/>
      <c r="T892" s="30"/>
      <c r="Z892" s="96"/>
    </row>
    <row r="893">
      <c r="B893" s="30"/>
      <c r="D893" s="30"/>
      <c r="G893" s="13" t="s">
        <v>5270</v>
      </c>
      <c r="H893" s="11" t="s">
        <v>4769</v>
      </c>
      <c r="I893" s="13">
        <v>13190.0</v>
      </c>
      <c r="J893" t="str">
        <f t="array" ref="J893">INDEX('TJ List'!B:B,MATCH(I893,'TJ List'!N:N,0),0)</f>
        <v>#N/A</v>
      </c>
      <c r="M893" s="30"/>
      <c r="N893" s="98"/>
      <c r="O893" s="98"/>
      <c r="T893" s="30"/>
      <c r="Z893" s="96"/>
    </row>
    <row r="894">
      <c r="B894" s="30"/>
      <c r="D894" s="30"/>
      <c r="H894" s="11"/>
      <c r="M894" s="30"/>
      <c r="N894" s="98"/>
      <c r="O894" s="98"/>
      <c r="T894" s="30"/>
      <c r="Z894" s="96"/>
    </row>
    <row r="895">
      <c r="B895" s="30"/>
      <c r="D895" s="30"/>
      <c r="H895" s="11"/>
      <c r="M895" s="30"/>
      <c r="N895" s="98"/>
      <c r="O895" s="98"/>
      <c r="T895" s="30"/>
      <c r="Z895" s="96"/>
    </row>
    <row r="896">
      <c r="B896" s="30"/>
      <c r="D896" s="30"/>
      <c r="H896" s="11"/>
      <c r="M896" s="30"/>
      <c r="N896" s="98"/>
      <c r="O896" s="98"/>
      <c r="T896" s="30"/>
      <c r="Z896" s="96"/>
    </row>
    <row r="897">
      <c r="B897" s="30"/>
      <c r="D897" s="30"/>
      <c r="H897" s="11"/>
      <c r="M897" s="30"/>
      <c r="N897" s="98"/>
      <c r="O897" s="98"/>
      <c r="T897" s="30"/>
      <c r="Z897" s="96"/>
    </row>
    <row r="898">
      <c r="B898" s="30"/>
      <c r="D898" s="30"/>
      <c r="H898" s="11"/>
      <c r="M898" s="30"/>
      <c r="N898" s="98"/>
      <c r="O898" s="98"/>
      <c r="T898" s="30"/>
      <c r="Z898" s="96"/>
    </row>
    <row r="899">
      <c r="B899" s="30"/>
      <c r="D899" s="30"/>
      <c r="H899" s="11"/>
      <c r="M899" s="30"/>
      <c r="N899" s="98"/>
      <c r="O899" s="98"/>
      <c r="T899" s="30"/>
      <c r="Z899" s="96"/>
    </row>
    <row r="900">
      <c r="B900" s="30"/>
      <c r="D900" s="30"/>
      <c r="H900" s="11"/>
      <c r="M900" s="30"/>
      <c r="N900" s="98"/>
      <c r="O900" s="98"/>
      <c r="T900" s="30"/>
      <c r="Z900" s="96"/>
    </row>
    <row r="901">
      <c r="B901" s="30"/>
      <c r="D901" s="30"/>
      <c r="H901" s="11"/>
      <c r="M901" s="30"/>
      <c r="N901" s="98"/>
      <c r="O901" s="98"/>
      <c r="T901" s="30"/>
      <c r="Z901" s="96"/>
    </row>
    <row r="902">
      <c r="B902" s="30"/>
      <c r="D902" s="30"/>
      <c r="M902" s="30"/>
      <c r="N902" s="98"/>
      <c r="O902" s="98"/>
      <c r="T902" s="30"/>
      <c r="Z902" s="96"/>
    </row>
    <row r="903">
      <c r="B903" s="30"/>
      <c r="D903" s="30"/>
      <c r="H903" s="11"/>
      <c r="M903" s="30"/>
      <c r="N903" s="98"/>
      <c r="O903" s="98"/>
      <c r="T903" s="30"/>
      <c r="Z903" s="96"/>
    </row>
    <row r="904">
      <c r="B904" s="30"/>
      <c r="D904" s="30"/>
      <c r="H904" s="11"/>
      <c r="M904" s="30"/>
      <c r="N904" s="98"/>
      <c r="O904" s="98"/>
      <c r="T904" s="30"/>
      <c r="Z904" s="96"/>
    </row>
    <row r="905">
      <c r="B905" s="30"/>
      <c r="D905" s="30"/>
      <c r="H905" s="11"/>
      <c r="M905" s="30"/>
      <c r="N905" s="98"/>
      <c r="O905" s="98"/>
      <c r="T905" s="30"/>
      <c r="Z905" s="96"/>
    </row>
    <row r="906">
      <c r="B906" s="30"/>
      <c r="D906" s="30"/>
      <c r="H906" s="11"/>
      <c r="M906" s="30"/>
      <c r="N906" s="98"/>
      <c r="O906" s="98"/>
      <c r="T906" s="30"/>
      <c r="Z906" s="96"/>
    </row>
    <row r="907">
      <c r="B907" s="30"/>
      <c r="D907" s="30"/>
      <c r="H907" s="11"/>
      <c r="M907" s="30"/>
      <c r="N907" s="98"/>
      <c r="O907" s="98"/>
      <c r="T907" s="30"/>
      <c r="Z907" s="96"/>
    </row>
    <row r="908">
      <c r="B908" s="30"/>
      <c r="D908" s="30"/>
      <c r="H908" s="11"/>
      <c r="M908" s="30"/>
      <c r="N908" s="98"/>
      <c r="O908" s="98"/>
      <c r="T908" s="30"/>
      <c r="Z908" s="96"/>
    </row>
    <row r="909">
      <c r="B909" s="30"/>
      <c r="D909" s="30"/>
      <c r="H909" s="11"/>
      <c r="M909" s="30"/>
      <c r="N909" s="98"/>
      <c r="O909" s="98"/>
      <c r="T909" s="30"/>
      <c r="Z909" s="96"/>
    </row>
    <row r="910">
      <c r="B910" s="30"/>
      <c r="D910" s="30"/>
      <c r="H910" s="11"/>
      <c r="M910" s="30"/>
      <c r="N910" s="98"/>
      <c r="O910" s="98"/>
      <c r="T910" s="30"/>
      <c r="Z910" s="96"/>
    </row>
    <row r="911">
      <c r="B911" s="30"/>
      <c r="D911" s="30"/>
      <c r="H911" s="11"/>
      <c r="M911" s="30"/>
      <c r="N911" s="98"/>
      <c r="O911" s="98"/>
      <c r="T911" s="30"/>
      <c r="Z911" s="96"/>
    </row>
    <row r="912">
      <c r="B912" s="30"/>
      <c r="D912" s="30"/>
      <c r="H912" s="11"/>
      <c r="M912" s="30"/>
      <c r="N912" s="98"/>
      <c r="O912" s="98"/>
      <c r="T912" s="30"/>
      <c r="Z912" s="96"/>
    </row>
    <row r="913">
      <c r="B913" s="30"/>
      <c r="D913" s="30"/>
      <c r="H913" s="11"/>
      <c r="M913" s="30"/>
      <c r="N913" s="98"/>
      <c r="O913" s="98"/>
      <c r="T913" s="30"/>
      <c r="Z913" s="96"/>
    </row>
    <row r="914">
      <c r="B914" s="30"/>
      <c r="D914" s="30"/>
      <c r="H914" s="11"/>
      <c r="M914" s="30"/>
      <c r="N914" s="98"/>
      <c r="O914" s="98"/>
      <c r="T914" s="30"/>
      <c r="Z914" s="96"/>
    </row>
    <row r="915">
      <c r="B915" s="30"/>
      <c r="D915" s="30"/>
      <c r="H915" s="11"/>
      <c r="M915" s="30"/>
      <c r="N915" s="98"/>
      <c r="O915" s="98"/>
      <c r="T915" s="30"/>
      <c r="Z915" s="96"/>
    </row>
    <row r="916">
      <c r="B916" s="30"/>
      <c r="D916" s="30"/>
      <c r="H916" s="11"/>
      <c r="M916" s="30"/>
      <c r="N916" s="98"/>
      <c r="O916" s="98"/>
      <c r="T916" s="30"/>
      <c r="Z916" s="96"/>
    </row>
    <row r="917">
      <c r="B917" s="30"/>
      <c r="D917" s="30"/>
      <c r="H917" s="11"/>
      <c r="M917" s="30"/>
      <c r="N917" s="98"/>
      <c r="O917" s="98"/>
      <c r="T917" s="30"/>
      <c r="Z917" s="96"/>
    </row>
    <row r="918">
      <c r="B918" s="30"/>
      <c r="D918" s="30"/>
      <c r="H918" s="11"/>
      <c r="M918" s="30"/>
      <c r="N918" s="98"/>
      <c r="O918" s="98"/>
      <c r="T918" s="30"/>
      <c r="Z918" s="96"/>
    </row>
    <row r="919">
      <c r="B919" s="30"/>
      <c r="D919" s="30"/>
      <c r="H919" s="11"/>
      <c r="M919" s="30"/>
      <c r="N919" s="98"/>
      <c r="O919" s="98"/>
      <c r="T919" s="30"/>
      <c r="Z919" s="96"/>
    </row>
    <row r="920">
      <c r="B920" s="30"/>
      <c r="D920" s="30"/>
      <c r="H920" s="11"/>
      <c r="M920" s="30"/>
      <c r="N920" s="98"/>
      <c r="O920" s="98"/>
      <c r="T920" s="30"/>
      <c r="Z920" s="96"/>
    </row>
    <row r="921">
      <c r="B921" s="30"/>
      <c r="D921" s="30"/>
      <c r="H921" s="11"/>
      <c r="M921" s="30"/>
      <c r="N921" s="98"/>
      <c r="O921" s="98"/>
      <c r="T921" s="30"/>
      <c r="Z921" s="96"/>
    </row>
    <row r="922">
      <c r="B922" s="30"/>
      <c r="D922" s="30"/>
      <c r="H922" s="11"/>
      <c r="M922" s="30"/>
      <c r="N922" s="98"/>
      <c r="O922" s="98"/>
      <c r="T922" s="30"/>
      <c r="Z922" s="96"/>
    </row>
    <row r="923">
      <c r="B923" s="30"/>
      <c r="D923" s="30"/>
      <c r="H923" s="11"/>
      <c r="M923" s="30"/>
      <c r="N923" s="98"/>
      <c r="O923" s="98"/>
      <c r="T923" s="30"/>
      <c r="Z923" s="96"/>
    </row>
    <row r="924">
      <c r="B924" s="30"/>
      <c r="D924" s="30"/>
      <c r="H924" s="11"/>
      <c r="M924" s="30"/>
      <c r="N924" s="98"/>
      <c r="O924" s="98"/>
      <c r="T924" s="30"/>
      <c r="Z924" s="96"/>
    </row>
    <row r="925">
      <c r="B925" s="30"/>
      <c r="D925" s="30"/>
      <c r="H925" s="11"/>
      <c r="M925" s="30"/>
      <c r="N925" s="98"/>
      <c r="O925" s="98"/>
      <c r="T925" s="30"/>
      <c r="Z925" s="96"/>
    </row>
    <row r="926">
      <c r="B926" s="30"/>
      <c r="D926" s="30"/>
      <c r="H926" s="11"/>
      <c r="M926" s="30"/>
      <c r="N926" s="98"/>
      <c r="O926" s="98"/>
      <c r="T926" s="30"/>
      <c r="Z926" s="96"/>
    </row>
    <row r="927">
      <c r="B927" s="30"/>
      <c r="D927" s="30"/>
      <c r="H927" s="11"/>
      <c r="M927" s="30"/>
      <c r="N927" s="98"/>
      <c r="O927" s="98"/>
      <c r="T927" s="30"/>
      <c r="Z927" s="96"/>
    </row>
    <row r="928">
      <c r="B928" s="30"/>
      <c r="D928" s="30"/>
      <c r="H928" s="11"/>
      <c r="M928" s="30"/>
      <c r="N928" s="98"/>
      <c r="O928" s="98"/>
      <c r="T928" s="30"/>
      <c r="Z928" s="96"/>
    </row>
    <row r="929">
      <c r="B929" s="30"/>
      <c r="D929" s="30"/>
      <c r="H929" s="11"/>
      <c r="M929" s="30"/>
      <c r="N929" s="98"/>
      <c r="O929" s="98"/>
      <c r="T929" s="30"/>
      <c r="Z929" s="96"/>
    </row>
    <row r="930">
      <c r="B930" s="30"/>
      <c r="D930" s="30"/>
      <c r="H930" s="11"/>
      <c r="M930" s="30"/>
      <c r="N930" s="98"/>
      <c r="O930" s="98"/>
      <c r="T930" s="30"/>
      <c r="Z930" s="96"/>
    </row>
    <row r="931">
      <c r="B931" s="30"/>
      <c r="D931" s="30"/>
      <c r="H931" s="11"/>
      <c r="M931" s="30"/>
      <c r="N931" s="98"/>
      <c r="O931" s="98"/>
      <c r="T931" s="30"/>
      <c r="Z931" s="96"/>
    </row>
    <row r="932">
      <c r="B932" s="30"/>
      <c r="D932" s="30"/>
      <c r="H932" s="11"/>
      <c r="M932" s="30"/>
      <c r="N932" s="98"/>
      <c r="O932" s="98"/>
      <c r="T932" s="30"/>
      <c r="Z932" s="96"/>
    </row>
    <row r="933">
      <c r="B933" s="30"/>
      <c r="D933" s="30"/>
      <c r="H933" s="11"/>
      <c r="M933" s="30"/>
      <c r="N933" s="98"/>
      <c r="O933" s="98"/>
      <c r="T933" s="30"/>
      <c r="Z933" s="96"/>
    </row>
    <row r="934">
      <c r="B934" s="30"/>
      <c r="D934" s="30"/>
      <c r="H934" s="11"/>
      <c r="M934" s="30"/>
      <c r="N934" s="98"/>
      <c r="O934" s="98"/>
      <c r="T934" s="30"/>
      <c r="Z934" s="96"/>
    </row>
    <row r="935">
      <c r="B935" s="30"/>
      <c r="D935" s="30"/>
      <c r="H935" s="11"/>
      <c r="M935" s="30"/>
      <c r="N935" s="98"/>
      <c r="O935" s="98"/>
      <c r="T935" s="30"/>
      <c r="Z935" s="96"/>
    </row>
    <row r="936">
      <c r="B936" s="30"/>
      <c r="D936" s="30"/>
      <c r="H936" s="11"/>
      <c r="M936" s="30"/>
      <c r="N936" s="98"/>
      <c r="O936" s="98"/>
      <c r="T936" s="30"/>
      <c r="Z936" s="96"/>
    </row>
    <row r="937">
      <c r="B937" s="30"/>
      <c r="D937" s="30"/>
      <c r="H937" s="11"/>
      <c r="M937" s="30"/>
      <c r="N937" s="98"/>
      <c r="O937" s="98"/>
      <c r="T937" s="30"/>
      <c r="Z937" s="96"/>
    </row>
    <row r="938">
      <c r="B938" s="30"/>
      <c r="D938" s="30"/>
      <c r="H938" s="11"/>
      <c r="M938" s="30"/>
      <c r="N938" s="98"/>
      <c r="O938" s="98"/>
      <c r="T938" s="30"/>
      <c r="Z938" s="96"/>
    </row>
    <row r="939">
      <c r="B939" s="30"/>
      <c r="D939" s="30"/>
      <c r="H939" s="11"/>
      <c r="M939" s="30"/>
      <c r="N939" s="98"/>
      <c r="O939" s="98"/>
      <c r="T939" s="30"/>
      <c r="Z939" s="96"/>
    </row>
    <row r="940">
      <c r="B940" s="30"/>
      <c r="D940" s="30"/>
      <c r="H940" s="11"/>
      <c r="M940" s="30"/>
      <c r="N940" s="98"/>
      <c r="O940" s="98"/>
      <c r="T940" s="30"/>
      <c r="Z940" s="96"/>
    </row>
    <row r="941">
      <c r="B941" s="30"/>
      <c r="D941" s="30"/>
      <c r="H941" s="11"/>
      <c r="M941" s="30"/>
      <c r="N941" s="98"/>
      <c r="O941" s="98"/>
      <c r="T941" s="30"/>
      <c r="Z941" s="96"/>
    </row>
    <row r="942">
      <c r="B942" s="30"/>
      <c r="D942" s="30"/>
      <c r="H942" s="11"/>
      <c r="M942" s="30"/>
      <c r="N942" s="98"/>
      <c r="O942" s="98"/>
      <c r="T942" s="30"/>
      <c r="Z942" s="96"/>
    </row>
    <row r="943">
      <c r="B943" s="30"/>
      <c r="D943" s="30"/>
      <c r="H943" s="11"/>
      <c r="M943" s="30"/>
      <c r="N943" s="98"/>
      <c r="O943" s="98"/>
      <c r="T943" s="30"/>
      <c r="Z943" s="96"/>
    </row>
    <row r="944">
      <c r="B944" s="30"/>
      <c r="D944" s="30"/>
      <c r="H944" s="11"/>
      <c r="M944" s="30"/>
      <c r="N944" s="98"/>
      <c r="O944" s="98"/>
      <c r="T944" s="30"/>
      <c r="Z944" s="96"/>
    </row>
    <row r="945">
      <c r="B945" s="30"/>
      <c r="D945" s="30"/>
      <c r="H945" s="11"/>
      <c r="M945" s="30"/>
      <c r="N945" s="98"/>
      <c r="O945" s="98"/>
      <c r="T945" s="30"/>
      <c r="Z945" s="96"/>
    </row>
    <row r="946">
      <c r="B946" s="30"/>
      <c r="D946" s="30"/>
      <c r="H946" s="11"/>
      <c r="M946" s="30"/>
      <c r="N946" s="98"/>
      <c r="O946" s="98"/>
      <c r="T946" s="30"/>
      <c r="Z946" s="96"/>
    </row>
    <row r="947">
      <c r="B947" s="30"/>
      <c r="D947" s="30"/>
      <c r="H947" s="11"/>
      <c r="M947" s="30"/>
      <c r="N947" s="98"/>
      <c r="O947" s="98"/>
      <c r="T947" s="30"/>
      <c r="Z947" s="96"/>
    </row>
    <row r="948">
      <c r="B948" s="30"/>
      <c r="D948" s="30"/>
      <c r="H948" s="11"/>
      <c r="M948" s="30"/>
      <c r="N948" s="98"/>
      <c r="O948" s="98"/>
      <c r="T948" s="30"/>
      <c r="Z948" s="96"/>
    </row>
    <row r="949">
      <c r="B949" s="30"/>
      <c r="D949" s="30"/>
      <c r="H949" s="11"/>
      <c r="M949" s="30"/>
      <c r="N949" s="98"/>
      <c r="O949" s="98"/>
      <c r="T949" s="30"/>
      <c r="Z949" s="96"/>
    </row>
    <row r="950">
      <c r="B950" s="30"/>
      <c r="D950" s="30"/>
      <c r="H950" s="11"/>
      <c r="M950" s="30"/>
      <c r="N950" s="98"/>
      <c r="O950" s="98"/>
      <c r="T950" s="30"/>
      <c r="Z950" s="96"/>
    </row>
    <row r="951">
      <c r="B951" s="30"/>
      <c r="D951" s="30"/>
      <c r="H951" s="11"/>
      <c r="M951" s="30"/>
      <c r="N951" s="98"/>
      <c r="O951" s="98"/>
      <c r="T951" s="30"/>
      <c r="Z951" s="96"/>
    </row>
    <row r="952">
      <c r="B952" s="30"/>
      <c r="D952" s="30"/>
      <c r="H952" s="11"/>
      <c r="M952" s="30"/>
      <c r="N952" s="98"/>
      <c r="O952" s="98"/>
      <c r="T952" s="30"/>
      <c r="Z952" s="96"/>
    </row>
    <row r="953">
      <c r="B953" s="30"/>
      <c r="D953" s="30"/>
      <c r="H953" s="11"/>
      <c r="M953" s="30"/>
      <c r="N953" s="98"/>
      <c r="O953" s="98"/>
      <c r="T953" s="30"/>
      <c r="Z953" s="96"/>
    </row>
    <row r="954">
      <c r="B954" s="30"/>
      <c r="D954" s="30"/>
      <c r="H954" s="11"/>
      <c r="M954" s="30"/>
      <c r="N954" s="98"/>
      <c r="O954" s="98"/>
      <c r="T954" s="30"/>
      <c r="Z954" s="96"/>
    </row>
    <row r="955">
      <c r="B955" s="30"/>
      <c r="D955" s="30"/>
      <c r="H955" s="11"/>
      <c r="M955" s="30"/>
      <c r="N955" s="98"/>
      <c r="O955" s="98"/>
      <c r="T955" s="30"/>
      <c r="Z955" s="96"/>
    </row>
    <row r="956">
      <c r="B956" s="30"/>
      <c r="D956" s="30"/>
      <c r="H956" s="11"/>
      <c r="M956" s="30"/>
      <c r="N956" s="98"/>
      <c r="O956" s="98"/>
      <c r="T956" s="30"/>
      <c r="Z956" s="96"/>
    </row>
    <row r="957">
      <c r="B957" s="30"/>
      <c r="D957" s="30"/>
      <c r="H957" s="11"/>
      <c r="M957" s="30"/>
      <c r="N957" s="98"/>
      <c r="O957" s="98"/>
      <c r="T957" s="30"/>
      <c r="Z957" s="96"/>
    </row>
    <row r="958">
      <c r="B958" s="30"/>
      <c r="D958" s="30"/>
      <c r="H958" s="11"/>
      <c r="M958" s="30"/>
      <c r="N958" s="98"/>
      <c r="O958" s="98"/>
      <c r="T958" s="30"/>
      <c r="Z958" s="96"/>
    </row>
    <row r="959">
      <c r="B959" s="30"/>
      <c r="D959" s="30"/>
      <c r="H959" s="11"/>
      <c r="M959" s="30"/>
      <c r="N959" s="98"/>
      <c r="O959" s="98"/>
      <c r="T959" s="30"/>
      <c r="Z959" s="96"/>
    </row>
    <row r="960">
      <c r="B960" s="30"/>
      <c r="D960" s="30"/>
      <c r="H960" s="11"/>
      <c r="M960" s="30"/>
      <c r="N960" s="98"/>
      <c r="O960" s="98"/>
      <c r="T960" s="30"/>
      <c r="Z960" s="96"/>
    </row>
    <row r="961">
      <c r="B961" s="30"/>
      <c r="D961" s="30"/>
      <c r="H961" s="11"/>
      <c r="M961" s="30"/>
      <c r="N961" s="98"/>
      <c r="O961" s="98"/>
      <c r="T961" s="30"/>
      <c r="Z961" s="96"/>
    </row>
    <row r="962">
      <c r="B962" s="30"/>
      <c r="D962" s="30"/>
      <c r="H962" s="11"/>
      <c r="M962" s="30"/>
      <c r="N962" s="98"/>
      <c r="O962" s="98"/>
      <c r="T962" s="30"/>
      <c r="Z962" s="96"/>
    </row>
    <row r="963">
      <c r="B963" s="30"/>
      <c r="D963" s="30"/>
      <c r="H963" s="11"/>
      <c r="M963" s="30"/>
      <c r="N963" s="98"/>
      <c r="O963" s="98"/>
      <c r="T963" s="30"/>
      <c r="Z963" s="96"/>
    </row>
    <row r="964">
      <c r="B964" s="30"/>
      <c r="D964" s="30"/>
      <c r="H964" s="11"/>
      <c r="M964" s="30"/>
      <c r="N964" s="98"/>
      <c r="O964" s="98"/>
      <c r="T964" s="30"/>
      <c r="Z964" s="96"/>
    </row>
    <row r="965">
      <c r="B965" s="30"/>
      <c r="D965" s="30"/>
      <c r="H965" s="11"/>
      <c r="M965" s="30"/>
      <c r="N965" s="98"/>
      <c r="O965" s="98"/>
      <c r="T965" s="30"/>
      <c r="Z965" s="96"/>
    </row>
    <row r="966">
      <c r="B966" s="30"/>
      <c r="D966" s="30"/>
      <c r="H966" s="11"/>
      <c r="M966" s="30"/>
      <c r="N966" s="98"/>
      <c r="O966" s="98"/>
      <c r="T966" s="30"/>
      <c r="Z966" s="96"/>
    </row>
    <row r="967">
      <c r="B967" s="30"/>
      <c r="D967" s="30"/>
      <c r="H967" s="11"/>
      <c r="M967" s="30"/>
      <c r="N967" s="98"/>
      <c r="O967" s="98"/>
      <c r="T967" s="30"/>
      <c r="Z967" s="96"/>
    </row>
    <row r="968">
      <c r="B968" s="30"/>
      <c r="D968" s="30"/>
      <c r="H968" s="11"/>
      <c r="M968" s="30"/>
      <c r="N968" s="98"/>
      <c r="O968" s="98"/>
      <c r="T968" s="30"/>
      <c r="Z968" s="96"/>
    </row>
    <row r="969">
      <c r="B969" s="30"/>
      <c r="D969" s="30"/>
      <c r="H969" s="11"/>
      <c r="M969" s="30"/>
      <c r="N969" s="98"/>
      <c r="O969" s="98"/>
      <c r="T969" s="30"/>
      <c r="Z969" s="96"/>
    </row>
    <row r="970">
      <c r="B970" s="30"/>
      <c r="D970" s="30"/>
      <c r="H970" s="11"/>
      <c r="M970" s="30"/>
      <c r="N970" s="98"/>
      <c r="O970" s="98"/>
      <c r="T970" s="30"/>
      <c r="Z970" s="96"/>
    </row>
    <row r="971">
      <c r="B971" s="30"/>
      <c r="D971" s="30"/>
      <c r="H971" s="11"/>
      <c r="M971" s="30"/>
      <c r="N971" s="98"/>
      <c r="O971" s="98"/>
      <c r="T971" s="30"/>
      <c r="Z971" s="96"/>
    </row>
    <row r="972">
      <c r="B972" s="30"/>
      <c r="D972" s="30"/>
      <c r="H972" s="30"/>
      <c r="M972" s="30"/>
      <c r="N972" s="98"/>
      <c r="O972" s="98"/>
      <c r="T972" s="30"/>
      <c r="Z972" s="96"/>
    </row>
    <row r="973">
      <c r="B973" s="30"/>
      <c r="D973" s="30"/>
      <c r="H973" s="30"/>
      <c r="M973" s="30"/>
      <c r="N973" s="98"/>
      <c r="O973" s="98"/>
      <c r="T973" s="30"/>
      <c r="Z973" s="96"/>
    </row>
    <row r="974">
      <c r="B974" s="30"/>
      <c r="D974" s="30"/>
      <c r="H974" s="30"/>
      <c r="M974" s="30"/>
      <c r="N974" s="98"/>
      <c r="O974" s="98"/>
      <c r="T974" s="30"/>
      <c r="Z974" s="96"/>
    </row>
    <row r="975">
      <c r="B975" s="30"/>
      <c r="D975" s="30"/>
      <c r="H975" s="30"/>
      <c r="M975" s="30"/>
      <c r="N975" s="98"/>
      <c r="O975" s="98"/>
      <c r="T975" s="30"/>
      <c r="Z975" s="96"/>
    </row>
    <row r="976">
      <c r="B976" s="30"/>
      <c r="D976" s="30"/>
      <c r="H976" s="30"/>
      <c r="M976" s="30"/>
      <c r="N976" s="98"/>
      <c r="O976" s="98"/>
      <c r="T976" s="30"/>
      <c r="Z976" s="96"/>
    </row>
    <row r="977">
      <c r="B977" s="30"/>
      <c r="D977" s="30"/>
      <c r="H977" s="30"/>
      <c r="M977" s="30"/>
      <c r="N977" s="98"/>
      <c r="O977" s="98"/>
      <c r="T977" s="30"/>
      <c r="Z977" s="96"/>
    </row>
    <row r="978">
      <c r="B978" s="30"/>
      <c r="D978" s="30"/>
      <c r="H978" s="30"/>
      <c r="M978" s="30"/>
      <c r="N978" s="98"/>
      <c r="O978" s="98"/>
      <c r="T978" s="30"/>
      <c r="Z978" s="96"/>
    </row>
    <row r="979">
      <c r="B979" s="30"/>
      <c r="D979" s="30"/>
      <c r="H979" s="30"/>
      <c r="M979" s="30"/>
      <c r="N979" s="98"/>
      <c r="O979" s="98"/>
      <c r="T979" s="30"/>
      <c r="Z979" s="96"/>
    </row>
    <row r="980">
      <c r="B980" s="30"/>
      <c r="D980" s="30"/>
      <c r="H980" s="30"/>
      <c r="M980" s="30"/>
      <c r="N980" s="98"/>
      <c r="O980" s="98"/>
      <c r="T980" s="30"/>
      <c r="Z980" s="96"/>
    </row>
    <row r="981">
      <c r="B981" s="30"/>
      <c r="D981" s="30"/>
      <c r="H981" s="30"/>
      <c r="M981" s="30"/>
      <c r="N981" s="98"/>
      <c r="O981" s="98"/>
      <c r="T981" s="30"/>
      <c r="Z981" s="96"/>
    </row>
    <row r="982">
      <c r="B982" s="30"/>
      <c r="D982" s="30"/>
      <c r="H982" s="30"/>
      <c r="M982" s="30"/>
      <c r="N982" s="98"/>
      <c r="O982" s="98"/>
      <c r="T982" s="30"/>
      <c r="Z982" s="96"/>
    </row>
    <row r="983">
      <c r="B983" s="30"/>
      <c r="D983" s="30"/>
      <c r="H983" s="30"/>
      <c r="M983" s="30"/>
      <c r="N983" s="98"/>
      <c r="O983" s="98"/>
      <c r="T983" s="30"/>
      <c r="Z983" s="96"/>
    </row>
    <row r="984">
      <c r="B984" s="30"/>
      <c r="D984" s="30"/>
      <c r="H984" s="30"/>
      <c r="M984" s="30"/>
      <c r="N984" s="98"/>
      <c r="O984" s="98"/>
      <c r="T984" s="30"/>
      <c r="Z984" s="96"/>
    </row>
    <row r="985">
      <c r="B985" s="30"/>
      <c r="D985" s="30"/>
      <c r="H985" s="30"/>
      <c r="M985" s="30"/>
      <c r="N985" s="98"/>
      <c r="O985" s="98"/>
      <c r="T985" s="30"/>
      <c r="Z985" s="96"/>
    </row>
    <row r="986">
      <c r="B986" s="30"/>
      <c r="D986" s="30"/>
      <c r="H986" s="30"/>
      <c r="M986" s="30"/>
      <c r="N986" s="98"/>
      <c r="O986" s="98"/>
      <c r="T986" s="30"/>
      <c r="Z986" s="96"/>
    </row>
    <row r="987">
      <c r="B987" s="30"/>
      <c r="D987" s="30"/>
      <c r="H987" s="30"/>
      <c r="M987" s="30"/>
      <c r="N987" s="98"/>
      <c r="O987" s="98"/>
      <c r="T987" s="30"/>
      <c r="Z987" s="96"/>
    </row>
    <row r="988">
      <c r="B988" s="30"/>
      <c r="D988" s="30"/>
      <c r="H988" s="30"/>
      <c r="M988" s="30"/>
      <c r="N988" s="98"/>
      <c r="O988" s="98"/>
      <c r="T988" s="30"/>
      <c r="Z988" s="96"/>
    </row>
    <row r="989">
      <c r="B989" s="30"/>
      <c r="D989" s="30"/>
      <c r="H989" s="30"/>
      <c r="M989" s="30"/>
      <c r="N989" s="98"/>
      <c r="O989" s="98"/>
      <c r="T989" s="30"/>
      <c r="Z989" s="96"/>
    </row>
    <row r="990">
      <c r="B990" s="30"/>
      <c r="D990" s="30"/>
      <c r="H990" s="30"/>
      <c r="M990" s="30"/>
      <c r="N990" s="98"/>
      <c r="O990" s="98"/>
      <c r="T990" s="30"/>
      <c r="Z990" s="96"/>
    </row>
    <row r="991">
      <c r="B991" s="30"/>
      <c r="D991" s="30"/>
      <c r="H991" s="30"/>
      <c r="M991" s="30"/>
      <c r="N991" s="98"/>
      <c r="O991" s="98"/>
      <c r="T991" s="30"/>
      <c r="Z991" s="96"/>
    </row>
    <row r="992">
      <c r="B992" s="30"/>
      <c r="D992" s="30"/>
      <c r="H992" s="30"/>
      <c r="M992" s="30"/>
      <c r="N992" s="98"/>
      <c r="O992" s="98"/>
      <c r="T992" s="30"/>
      <c r="Z992" s="96"/>
    </row>
    <row r="993">
      <c r="B993" s="30"/>
      <c r="D993" s="30"/>
      <c r="H993" s="30"/>
      <c r="M993" s="30"/>
      <c r="N993" s="98"/>
      <c r="O993" s="98"/>
      <c r="T993" s="30"/>
      <c r="Z993" s="96"/>
    </row>
    <row r="994">
      <c r="B994" s="30"/>
      <c r="D994" s="30"/>
      <c r="H994" s="30"/>
      <c r="M994" s="30"/>
      <c r="N994" s="98"/>
      <c r="O994" s="98"/>
      <c r="T994" s="30"/>
      <c r="Z994" s="96"/>
    </row>
    <row r="995">
      <c r="B995" s="30"/>
      <c r="D995" s="30"/>
      <c r="H995" s="30"/>
      <c r="M995" s="30"/>
      <c r="N995" s="98"/>
      <c r="O995" s="98"/>
      <c r="T995" s="30"/>
      <c r="Z995" s="96"/>
    </row>
    <row r="996">
      <c r="B996" s="30"/>
      <c r="D996" s="30"/>
      <c r="H996" s="30"/>
      <c r="M996" s="30"/>
      <c r="N996" s="98"/>
      <c r="O996" s="98"/>
      <c r="T996" s="30"/>
      <c r="Z996" s="96"/>
    </row>
    <row r="997">
      <c r="B997" s="30"/>
      <c r="D997" s="30"/>
      <c r="H997" s="30"/>
      <c r="M997" s="30"/>
      <c r="N997" s="98"/>
      <c r="O997" s="98"/>
      <c r="T997" s="30"/>
      <c r="Z997" s="96"/>
    </row>
    <row r="998">
      <c r="B998" s="30"/>
      <c r="D998" s="30"/>
      <c r="H998" s="30"/>
      <c r="M998" s="30"/>
      <c r="N998" s="98"/>
      <c r="O998" s="98"/>
      <c r="T998" s="30"/>
      <c r="Z998" s="96"/>
    </row>
    <row r="999">
      <c r="B999" s="30"/>
      <c r="D999" s="30"/>
      <c r="H999" s="30"/>
      <c r="M999" s="30"/>
      <c r="N999" s="98"/>
      <c r="O999" s="98"/>
      <c r="T999" s="30"/>
      <c r="Z999" s="96"/>
    </row>
    <row r="1000">
      <c r="B1000" s="30"/>
      <c r="D1000" s="30"/>
      <c r="H1000" s="30"/>
      <c r="M1000" s="30"/>
      <c r="N1000" s="98"/>
      <c r="O1000" s="98"/>
      <c r="T1000" s="30"/>
      <c r="Z1000" s="96"/>
    </row>
    <row r="1001">
      <c r="B1001" s="30"/>
      <c r="D1001" s="30"/>
      <c r="H1001" s="30"/>
      <c r="M1001" s="30"/>
      <c r="N1001" s="98"/>
      <c r="O1001" s="98"/>
      <c r="T1001" s="30"/>
      <c r="Z1001" s="96"/>
    </row>
    <row r="1002">
      <c r="B1002" s="30"/>
      <c r="D1002" s="30"/>
      <c r="H1002" s="30"/>
      <c r="M1002" s="30"/>
      <c r="N1002" s="98"/>
      <c r="O1002" s="98"/>
      <c r="T1002" s="30"/>
      <c r="Z1002" s="96"/>
    </row>
    <row r="1003">
      <c r="B1003" s="30"/>
      <c r="D1003" s="30"/>
      <c r="H1003" s="30"/>
      <c r="M1003" s="30"/>
      <c r="N1003" s="98"/>
      <c r="O1003" s="98"/>
      <c r="T1003" s="30"/>
      <c r="Z1003" s="96"/>
    </row>
    <row r="1004">
      <c r="B1004" s="30"/>
      <c r="D1004" s="30"/>
      <c r="H1004" s="30"/>
      <c r="M1004" s="30"/>
      <c r="N1004" s="98"/>
      <c r="O1004" s="98"/>
      <c r="T1004" s="30"/>
      <c r="Z1004" s="96"/>
    </row>
    <row r="1005">
      <c r="B1005" s="30"/>
      <c r="D1005" s="30"/>
      <c r="H1005" s="30"/>
      <c r="M1005" s="30"/>
      <c r="N1005" s="98"/>
      <c r="O1005" s="98"/>
      <c r="T1005" s="30"/>
      <c r="Z1005" s="96"/>
    </row>
    <row r="1006">
      <c r="B1006" s="30"/>
      <c r="D1006" s="30"/>
      <c r="H1006" s="30"/>
      <c r="M1006" s="30"/>
      <c r="N1006" s="98"/>
      <c r="O1006" s="98"/>
      <c r="T1006" s="30"/>
      <c r="Z1006" s="96"/>
    </row>
    <row r="1007">
      <c r="B1007" s="30"/>
      <c r="D1007" s="30"/>
      <c r="H1007" s="30"/>
      <c r="M1007" s="30"/>
      <c r="N1007" s="98"/>
      <c r="O1007" s="98"/>
      <c r="T1007" s="30"/>
      <c r="Z1007" s="96"/>
    </row>
    <row r="1008">
      <c r="B1008" s="30"/>
      <c r="D1008" s="30"/>
      <c r="H1008" s="30"/>
      <c r="M1008" s="30"/>
      <c r="N1008" s="98"/>
      <c r="O1008" s="98"/>
      <c r="T1008" s="30"/>
      <c r="Z1008" s="96"/>
    </row>
    <row r="1009">
      <c r="B1009" s="30"/>
      <c r="D1009" s="30"/>
      <c r="H1009" s="30"/>
      <c r="M1009" s="30"/>
      <c r="N1009" s="98"/>
      <c r="O1009" s="98"/>
      <c r="T1009" s="30"/>
      <c r="Z1009" s="96"/>
    </row>
    <row r="1010">
      <c r="B1010" s="30"/>
      <c r="D1010" s="30"/>
      <c r="H1010" s="30"/>
      <c r="M1010" s="30"/>
      <c r="N1010" s="98"/>
      <c r="O1010" s="98"/>
      <c r="T1010" s="30"/>
      <c r="Z1010" s="96"/>
    </row>
    <row r="1011">
      <c r="B1011" s="30"/>
      <c r="D1011" s="30"/>
      <c r="H1011" s="30"/>
      <c r="M1011" s="30"/>
      <c r="N1011" s="98"/>
      <c r="O1011" s="98"/>
      <c r="T1011" s="30"/>
      <c r="Z1011" s="96"/>
    </row>
    <row r="1012">
      <c r="B1012" s="30"/>
      <c r="D1012" s="30"/>
      <c r="H1012" s="30"/>
      <c r="M1012" s="30"/>
      <c r="N1012" s="98"/>
      <c r="O1012" s="98"/>
      <c r="T1012" s="30"/>
      <c r="Z1012" s="96"/>
    </row>
    <row r="1013">
      <c r="B1013" s="30"/>
      <c r="D1013" s="30"/>
      <c r="H1013" s="30"/>
      <c r="M1013" s="30"/>
      <c r="N1013" s="98"/>
      <c r="O1013" s="98"/>
      <c r="T1013" s="30"/>
      <c r="Z1013" s="96"/>
    </row>
    <row r="1014">
      <c r="B1014" s="30"/>
      <c r="D1014" s="30"/>
      <c r="H1014" s="30"/>
      <c r="M1014" s="30"/>
      <c r="N1014" s="98"/>
      <c r="O1014" s="98"/>
      <c r="T1014" s="30"/>
      <c r="Z1014" s="96"/>
    </row>
    <row r="1015">
      <c r="B1015" s="30"/>
      <c r="D1015" s="30"/>
      <c r="H1015" s="30"/>
      <c r="M1015" s="30"/>
      <c r="N1015" s="98"/>
      <c r="O1015" s="98"/>
      <c r="T1015" s="30"/>
      <c r="Z1015" s="96"/>
    </row>
    <row r="1016">
      <c r="B1016" s="30"/>
      <c r="D1016" s="30"/>
      <c r="H1016" s="30"/>
      <c r="M1016" s="30"/>
      <c r="N1016" s="98"/>
      <c r="O1016" s="98"/>
      <c r="T1016" s="30"/>
      <c r="Z1016" s="96"/>
    </row>
    <row r="1017">
      <c r="B1017" s="30"/>
      <c r="D1017" s="30"/>
      <c r="H1017" s="30"/>
      <c r="M1017" s="30"/>
      <c r="N1017" s="98"/>
      <c r="O1017" s="98"/>
      <c r="T1017" s="30"/>
      <c r="Z1017" s="96"/>
    </row>
    <row r="1018">
      <c r="B1018" s="30"/>
      <c r="D1018" s="30"/>
      <c r="H1018" s="30"/>
      <c r="M1018" s="30"/>
      <c r="N1018" s="98"/>
      <c r="O1018" s="98"/>
      <c r="T1018" s="30"/>
      <c r="Z1018" s="96"/>
    </row>
    <row r="1019">
      <c r="B1019" s="30"/>
      <c r="D1019" s="30"/>
      <c r="H1019" s="30"/>
      <c r="M1019" s="30"/>
      <c r="N1019" s="98"/>
      <c r="O1019" s="98"/>
      <c r="T1019" s="30"/>
      <c r="Z1019" s="96"/>
    </row>
    <row r="1020">
      <c r="B1020" s="30"/>
      <c r="D1020" s="30"/>
      <c r="H1020" s="30"/>
      <c r="M1020" s="30"/>
      <c r="N1020" s="98"/>
      <c r="O1020" s="98"/>
      <c r="T1020" s="30"/>
      <c r="Z1020" s="96"/>
    </row>
    <row r="1021">
      <c r="B1021" s="30"/>
      <c r="D1021" s="30"/>
      <c r="H1021" s="30"/>
      <c r="M1021" s="30"/>
      <c r="N1021" s="98"/>
      <c r="O1021" s="98"/>
      <c r="T1021" s="30"/>
      <c r="Z1021" s="96"/>
    </row>
    <row r="1022">
      <c r="B1022" s="30"/>
      <c r="D1022" s="30"/>
      <c r="H1022" s="30"/>
      <c r="M1022" s="30"/>
      <c r="N1022" s="98"/>
      <c r="O1022" s="98"/>
      <c r="T1022" s="30"/>
      <c r="Z1022" s="96"/>
    </row>
    <row r="1023">
      <c r="B1023" s="30"/>
      <c r="D1023" s="30"/>
      <c r="H1023" s="30"/>
      <c r="M1023" s="30"/>
      <c r="N1023" s="98"/>
      <c r="O1023" s="98"/>
      <c r="T1023" s="30"/>
      <c r="Z1023" s="96"/>
    </row>
    <row r="1024">
      <c r="B1024" s="30"/>
      <c r="D1024" s="30"/>
      <c r="H1024" s="30"/>
      <c r="M1024" s="30"/>
      <c r="N1024" s="98"/>
      <c r="O1024" s="98"/>
      <c r="T1024" s="30"/>
      <c r="Z1024" s="96"/>
    </row>
    <row r="1025">
      <c r="B1025" s="30"/>
      <c r="D1025" s="30"/>
      <c r="H1025" s="30"/>
      <c r="M1025" s="30"/>
      <c r="N1025" s="98"/>
      <c r="O1025" s="98"/>
      <c r="T1025" s="30"/>
      <c r="Z1025" s="96"/>
    </row>
    <row r="1026">
      <c r="B1026" s="30"/>
      <c r="D1026" s="30"/>
      <c r="H1026" s="30"/>
      <c r="M1026" s="30"/>
      <c r="N1026" s="98"/>
      <c r="O1026" s="98"/>
      <c r="T1026" s="30"/>
      <c r="Z1026" s="96"/>
    </row>
    <row r="1027">
      <c r="B1027" s="30"/>
      <c r="D1027" s="30"/>
      <c r="H1027" s="30"/>
      <c r="M1027" s="30"/>
      <c r="N1027" s="98"/>
      <c r="O1027" s="98"/>
      <c r="T1027" s="30"/>
      <c r="Z1027" s="96"/>
    </row>
    <row r="1028">
      <c r="B1028" s="30"/>
      <c r="D1028" s="30"/>
      <c r="H1028" s="30"/>
      <c r="M1028" s="30"/>
      <c r="N1028" s="98"/>
      <c r="O1028" s="98"/>
      <c r="T1028" s="30"/>
      <c r="Z1028" s="96"/>
    </row>
    <row r="1029">
      <c r="B1029" s="30"/>
      <c r="D1029" s="30"/>
      <c r="H1029" s="30"/>
      <c r="M1029" s="30"/>
      <c r="N1029" s="98"/>
      <c r="O1029" s="98"/>
      <c r="T1029" s="30"/>
      <c r="Z1029" s="96"/>
    </row>
    <row r="1030">
      <c r="B1030" s="30"/>
      <c r="D1030" s="30"/>
      <c r="H1030" s="30"/>
      <c r="M1030" s="30"/>
      <c r="N1030" s="98"/>
      <c r="O1030" s="98"/>
      <c r="T1030" s="30"/>
      <c r="Z1030" s="96"/>
    </row>
    <row r="1031">
      <c r="B1031" s="30"/>
      <c r="D1031" s="30"/>
      <c r="H1031" s="30"/>
      <c r="M1031" s="30"/>
      <c r="N1031" s="98"/>
      <c r="O1031" s="98"/>
      <c r="T1031" s="30"/>
      <c r="Z1031" s="96"/>
    </row>
    <row r="1032">
      <c r="B1032" s="30"/>
      <c r="D1032" s="30"/>
      <c r="H1032" s="30"/>
      <c r="M1032" s="30"/>
      <c r="N1032" s="98"/>
      <c r="O1032" s="98"/>
      <c r="T1032" s="30"/>
      <c r="Z1032" s="96"/>
    </row>
    <row r="1033">
      <c r="B1033" s="30"/>
      <c r="D1033" s="30"/>
      <c r="H1033" s="30"/>
      <c r="M1033" s="30"/>
      <c r="N1033" s="98"/>
      <c r="O1033" s="98"/>
      <c r="T1033" s="30"/>
      <c r="Z1033" s="96"/>
    </row>
    <row r="1034">
      <c r="B1034" s="30"/>
      <c r="D1034" s="30"/>
      <c r="H1034" s="30"/>
      <c r="M1034" s="30"/>
      <c r="N1034" s="98"/>
      <c r="O1034" s="98"/>
      <c r="T1034" s="30"/>
      <c r="Z1034" s="96"/>
    </row>
    <row r="1035">
      <c r="B1035" s="30"/>
      <c r="D1035" s="30"/>
      <c r="H1035" s="30"/>
      <c r="M1035" s="30"/>
      <c r="N1035" s="98"/>
      <c r="O1035" s="98"/>
      <c r="T1035" s="30"/>
      <c r="Z1035" s="96"/>
    </row>
    <row r="1036">
      <c r="B1036" s="30"/>
      <c r="D1036" s="30"/>
      <c r="H1036" s="30"/>
      <c r="M1036" s="30"/>
      <c r="N1036" s="98"/>
      <c r="O1036" s="98"/>
      <c r="T1036" s="30"/>
      <c r="Z1036" s="96"/>
    </row>
    <row r="1037">
      <c r="B1037" s="30"/>
      <c r="D1037" s="30"/>
      <c r="H1037" s="30"/>
      <c r="M1037" s="30"/>
      <c r="N1037" s="98"/>
      <c r="O1037" s="98"/>
      <c r="T1037" s="30"/>
      <c r="Z1037" s="96"/>
    </row>
    <row r="1038">
      <c r="B1038" s="30"/>
      <c r="D1038" s="30"/>
      <c r="H1038" s="30"/>
      <c r="M1038" s="30"/>
      <c r="N1038" s="98"/>
      <c r="O1038" s="98"/>
      <c r="T1038" s="30"/>
      <c r="Z1038" s="96"/>
    </row>
    <row r="1039">
      <c r="B1039" s="30"/>
      <c r="D1039" s="30"/>
      <c r="H1039" s="30"/>
      <c r="M1039" s="30"/>
      <c r="N1039" s="98"/>
      <c r="O1039" s="98"/>
      <c r="T1039" s="30"/>
      <c r="Z1039" s="96"/>
    </row>
    <row r="1040">
      <c r="B1040" s="30"/>
      <c r="D1040" s="30"/>
      <c r="H1040" s="30"/>
      <c r="M1040" s="30"/>
      <c r="N1040" s="98"/>
      <c r="O1040" s="98"/>
      <c r="T1040" s="30"/>
      <c r="Z1040" s="96"/>
    </row>
    <row r="1041">
      <c r="B1041" s="30"/>
      <c r="D1041" s="30"/>
      <c r="H1041" s="30"/>
      <c r="M1041" s="30"/>
      <c r="N1041" s="98"/>
      <c r="O1041" s="98"/>
      <c r="T1041" s="30"/>
      <c r="Z1041" s="96"/>
    </row>
    <row r="1042">
      <c r="B1042" s="30"/>
      <c r="D1042" s="30"/>
      <c r="H1042" s="30"/>
      <c r="M1042" s="30"/>
      <c r="N1042" s="98"/>
      <c r="O1042" s="98"/>
      <c r="T1042" s="30"/>
      <c r="Z1042" s="96"/>
    </row>
    <row r="1043">
      <c r="B1043" s="30"/>
      <c r="D1043" s="30"/>
      <c r="H1043" s="30"/>
      <c r="M1043" s="30"/>
      <c r="N1043" s="98"/>
      <c r="O1043" s="98"/>
      <c r="T1043" s="30"/>
      <c r="Z1043" s="96"/>
    </row>
    <row r="1044">
      <c r="B1044" s="30"/>
      <c r="D1044" s="30"/>
      <c r="H1044" s="30"/>
      <c r="M1044" s="30"/>
      <c r="N1044" s="98"/>
      <c r="O1044" s="98"/>
      <c r="T1044" s="30"/>
      <c r="Z1044" s="96"/>
    </row>
    <row r="1045">
      <c r="B1045" s="30"/>
      <c r="D1045" s="30"/>
      <c r="H1045" s="30"/>
      <c r="M1045" s="30"/>
      <c r="N1045" s="98"/>
      <c r="O1045" s="98"/>
      <c r="T1045" s="30"/>
      <c r="Z1045" s="96"/>
    </row>
    <row r="1046">
      <c r="B1046" s="30"/>
      <c r="D1046" s="30"/>
      <c r="H1046" s="30"/>
      <c r="M1046" s="30"/>
      <c r="N1046" s="98"/>
      <c r="O1046" s="98"/>
      <c r="T1046" s="30"/>
      <c r="Z1046" s="96"/>
    </row>
    <row r="1047">
      <c r="B1047" s="30"/>
      <c r="D1047" s="30"/>
      <c r="H1047" s="30"/>
      <c r="M1047" s="30"/>
      <c r="N1047" s="98"/>
      <c r="O1047" s="98"/>
      <c r="T1047" s="30"/>
      <c r="Z1047" s="96"/>
    </row>
    <row r="1048">
      <c r="B1048" s="30"/>
      <c r="D1048" s="30"/>
      <c r="H1048" s="30"/>
      <c r="M1048" s="30"/>
      <c r="N1048" s="98"/>
      <c r="O1048" s="98"/>
      <c r="T1048" s="30"/>
      <c r="Z1048" s="96"/>
    </row>
    <row r="1049">
      <c r="B1049" s="30"/>
      <c r="D1049" s="30"/>
      <c r="H1049" s="30"/>
      <c r="M1049" s="30"/>
      <c r="N1049" s="98"/>
      <c r="O1049" s="98"/>
      <c r="T1049" s="30"/>
      <c r="Z1049" s="96"/>
    </row>
    <row r="1050">
      <c r="B1050" s="30"/>
      <c r="D1050" s="30"/>
      <c r="H1050" s="30"/>
      <c r="M1050" s="30"/>
      <c r="N1050" s="98"/>
      <c r="O1050" s="98"/>
      <c r="T1050" s="30"/>
      <c r="Z1050" s="96"/>
    </row>
    <row r="1051">
      <c r="B1051" s="30"/>
      <c r="D1051" s="30"/>
      <c r="H1051" s="30"/>
      <c r="M1051" s="30"/>
      <c r="N1051" s="98"/>
      <c r="O1051" s="98"/>
      <c r="T1051" s="30"/>
      <c r="Z1051" s="96"/>
    </row>
    <row r="1052">
      <c r="B1052" s="30"/>
      <c r="D1052" s="30"/>
      <c r="H1052" s="30"/>
      <c r="M1052" s="30"/>
      <c r="N1052" s="98"/>
      <c r="O1052" s="98"/>
      <c r="T1052" s="30"/>
      <c r="Z1052" s="96"/>
    </row>
    <row r="1053">
      <c r="B1053" s="30"/>
      <c r="D1053" s="30"/>
      <c r="H1053" s="30"/>
      <c r="M1053" s="30"/>
      <c r="N1053" s="98"/>
      <c r="O1053" s="98"/>
      <c r="T1053" s="30"/>
      <c r="Z1053" s="96"/>
    </row>
    <row r="1054">
      <c r="B1054" s="30"/>
      <c r="D1054" s="30"/>
      <c r="H1054" s="30"/>
      <c r="M1054" s="30"/>
      <c r="N1054" s="98"/>
      <c r="O1054" s="98"/>
      <c r="T1054" s="30"/>
      <c r="Z1054" s="96"/>
    </row>
    <row r="1055">
      <c r="B1055" s="30"/>
      <c r="D1055" s="30"/>
      <c r="H1055" s="30"/>
      <c r="M1055" s="30"/>
      <c r="N1055" s="98"/>
      <c r="O1055" s="98"/>
      <c r="T1055" s="30"/>
      <c r="Z1055" s="96"/>
    </row>
    <row r="1056">
      <c r="B1056" s="30"/>
      <c r="D1056" s="30"/>
      <c r="H1056" s="30"/>
      <c r="M1056" s="30"/>
      <c r="N1056" s="98"/>
      <c r="O1056" s="98"/>
      <c r="T1056" s="30"/>
      <c r="Z1056" s="96"/>
    </row>
    <row r="1057">
      <c r="B1057" s="30"/>
      <c r="D1057" s="30"/>
      <c r="H1057" s="30"/>
      <c r="M1057" s="30"/>
      <c r="N1057" s="98"/>
      <c r="O1057" s="98"/>
      <c r="T1057" s="30"/>
      <c r="Z1057" s="96"/>
    </row>
    <row r="1058">
      <c r="B1058" s="30"/>
      <c r="D1058" s="30"/>
      <c r="H1058" s="30"/>
      <c r="M1058" s="30"/>
      <c r="N1058" s="98"/>
      <c r="O1058" s="98"/>
      <c r="T1058" s="30"/>
      <c r="Z1058" s="96"/>
    </row>
    <row r="1059">
      <c r="B1059" s="30"/>
      <c r="D1059" s="30"/>
      <c r="H1059" s="30"/>
      <c r="M1059" s="30"/>
      <c r="N1059" s="98"/>
      <c r="O1059" s="98"/>
      <c r="T1059" s="30"/>
      <c r="Z1059" s="96"/>
    </row>
    <row r="1060">
      <c r="B1060" s="30"/>
      <c r="D1060" s="30"/>
      <c r="H1060" s="30"/>
      <c r="M1060" s="30"/>
      <c r="N1060" s="98"/>
      <c r="O1060" s="98"/>
      <c r="T1060" s="30"/>
      <c r="Z1060" s="96"/>
    </row>
    <row r="1061">
      <c r="B1061" s="30"/>
      <c r="D1061" s="30"/>
      <c r="H1061" s="30"/>
      <c r="M1061" s="30"/>
      <c r="N1061" s="98"/>
      <c r="O1061" s="98"/>
      <c r="T1061" s="30"/>
      <c r="Z1061" s="96"/>
    </row>
    <row r="1062">
      <c r="B1062" s="30"/>
      <c r="D1062" s="30"/>
      <c r="H1062" s="30"/>
      <c r="M1062" s="30"/>
      <c r="N1062" s="98"/>
      <c r="O1062" s="98"/>
      <c r="T1062" s="30"/>
      <c r="Z1062" s="96"/>
    </row>
    <row r="1063">
      <c r="B1063" s="30"/>
      <c r="D1063" s="30"/>
      <c r="H1063" s="30"/>
      <c r="M1063" s="30"/>
      <c r="N1063" s="98"/>
      <c r="O1063" s="98"/>
      <c r="T1063" s="30"/>
      <c r="Z1063" s="96"/>
    </row>
    <row r="1064">
      <c r="B1064" s="30"/>
      <c r="D1064" s="30"/>
      <c r="H1064" s="30"/>
      <c r="M1064" s="30"/>
      <c r="N1064" s="98"/>
      <c r="O1064" s="98"/>
      <c r="T1064" s="30"/>
      <c r="Z1064" s="96"/>
    </row>
    <row r="1065">
      <c r="B1065" s="30"/>
      <c r="D1065" s="30"/>
      <c r="H1065" s="30"/>
      <c r="M1065" s="30"/>
      <c r="N1065" s="98"/>
      <c r="O1065" s="98"/>
      <c r="T1065" s="30"/>
      <c r="Z1065" s="96"/>
    </row>
    <row r="1066">
      <c r="B1066" s="30"/>
      <c r="D1066" s="30"/>
      <c r="H1066" s="30"/>
      <c r="M1066" s="30"/>
      <c r="N1066" s="98"/>
      <c r="O1066" s="98"/>
      <c r="T1066" s="30"/>
      <c r="Z1066" s="96"/>
    </row>
    <row r="1067">
      <c r="B1067" s="30"/>
      <c r="D1067" s="30"/>
      <c r="H1067" s="30"/>
      <c r="M1067" s="30"/>
      <c r="N1067" s="98"/>
      <c r="O1067" s="98"/>
      <c r="T1067" s="30"/>
      <c r="Z1067" s="96"/>
    </row>
    <row r="1068">
      <c r="B1068" s="30"/>
      <c r="D1068" s="30"/>
      <c r="H1068" s="30"/>
      <c r="M1068" s="30"/>
      <c r="N1068" s="98"/>
      <c r="O1068" s="98"/>
      <c r="T1068" s="30"/>
      <c r="Z1068" s="96"/>
    </row>
    <row r="1069">
      <c r="B1069" s="30"/>
      <c r="D1069" s="30"/>
      <c r="H1069" s="30"/>
      <c r="M1069" s="30"/>
      <c r="N1069" s="98"/>
      <c r="O1069" s="98"/>
      <c r="T1069" s="30"/>
      <c r="Z1069" s="96"/>
    </row>
    <row r="1070">
      <c r="B1070" s="30"/>
      <c r="D1070" s="30"/>
      <c r="H1070" s="30"/>
      <c r="M1070" s="30"/>
      <c r="N1070" s="98"/>
      <c r="O1070" s="98"/>
      <c r="T1070" s="30"/>
      <c r="Z1070" s="96"/>
    </row>
    <row r="1071">
      <c r="B1071" s="30"/>
      <c r="D1071" s="30"/>
      <c r="H1071" s="30"/>
      <c r="M1071" s="30"/>
      <c r="N1071" s="98"/>
      <c r="O1071" s="98"/>
      <c r="T1071" s="30"/>
      <c r="Z1071" s="96"/>
    </row>
    <row r="1072">
      <c r="B1072" s="30"/>
      <c r="D1072" s="30"/>
      <c r="H1072" s="30"/>
      <c r="M1072" s="30"/>
      <c r="N1072" s="98"/>
      <c r="O1072" s="98"/>
      <c r="T1072" s="30"/>
      <c r="Z1072" s="96"/>
    </row>
    <row r="1073">
      <c r="B1073" s="30"/>
      <c r="D1073" s="30"/>
      <c r="H1073" s="30"/>
      <c r="M1073" s="30"/>
      <c r="N1073" s="98"/>
      <c r="O1073" s="98"/>
      <c r="T1073" s="30"/>
      <c r="Z1073" s="96"/>
    </row>
    <row r="1074">
      <c r="B1074" s="30"/>
      <c r="D1074" s="30"/>
      <c r="H1074" s="30"/>
      <c r="M1074" s="30"/>
      <c r="N1074" s="98"/>
      <c r="O1074" s="98"/>
      <c r="T1074" s="30"/>
      <c r="Z1074" s="96"/>
    </row>
    <row r="1075">
      <c r="B1075" s="30"/>
      <c r="D1075" s="30"/>
      <c r="H1075" s="30"/>
      <c r="M1075" s="30"/>
      <c r="N1075" s="98"/>
      <c r="O1075" s="98"/>
      <c r="T1075" s="30"/>
      <c r="Z1075" s="96"/>
    </row>
    <row r="1076">
      <c r="B1076" s="30"/>
      <c r="D1076" s="30"/>
      <c r="H1076" s="30"/>
      <c r="M1076" s="30"/>
      <c r="N1076" s="98"/>
      <c r="O1076" s="98"/>
      <c r="T1076" s="30"/>
      <c r="Z1076" s="96"/>
    </row>
    <row r="1077">
      <c r="B1077" s="30"/>
      <c r="D1077" s="30"/>
      <c r="H1077" s="30"/>
      <c r="M1077" s="30"/>
      <c r="N1077" s="98"/>
      <c r="O1077" s="98"/>
      <c r="T1077" s="30"/>
      <c r="Z1077" s="96"/>
    </row>
    <row r="1078">
      <c r="B1078" s="30"/>
      <c r="D1078" s="30"/>
      <c r="H1078" s="30"/>
      <c r="M1078" s="30"/>
      <c r="N1078" s="98"/>
      <c r="O1078" s="98"/>
      <c r="T1078" s="30"/>
      <c r="Z1078" s="96"/>
    </row>
    <row r="1079">
      <c r="B1079" s="30"/>
      <c r="D1079" s="30"/>
      <c r="H1079" s="30"/>
      <c r="M1079" s="30"/>
      <c r="N1079" s="98"/>
      <c r="O1079" s="98"/>
      <c r="T1079" s="30"/>
      <c r="Z1079" s="96"/>
    </row>
    <row r="1080">
      <c r="B1080" s="30"/>
      <c r="D1080" s="30"/>
      <c r="H1080" s="30"/>
      <c r="M1080" s="30"/>
      <c r="N1080" s="98"/>
      <c r="O1080" s="98"/>
      <c r="T1080" s="30"/>
      <c r="Z1080" s="96"/>
    </row>
    <row r="1081">
      <c r="B1081" s="30"/>
      <c r="D1081" s="30"/>
      <c r="H1081" s="30"/>
      <c r="M1081" s="30"/>
      <c r="N1081" s="98"/>
      <c r="O1081" s="98"/>
      <c r="T1081" s="30"/>
      <c r="Z1081" s="96"/>
    </row>
    <row r="1082">
      <c r="B1082" s="30"/>
      <c r="D1082" s="30"/>
      <c r="H1082" s="30"/>
      <c r="M1082" s="30"/>
      <c r="N1082" s="98"/>
      <c r="O1082" s="98"/>
      <c r="T1082" s="30"/>
      <c r="Z1082" s="96"/>
    </row>
    <row r="1083">
      <c r="B1083" s="30"/>
      <c r="D1083" s="30"/>
      <c r="H1083" s="30"/>
      <c r="M1083" s="30"/>
      <c r="N1083" s="98"/>
      <c r="O1083" s="98"/>
      <c r="T1083" s="30"/>
      <c r="Z1083" s="96"/>
    </row>
    <row r="1084">
      <c r="B1084" s="30"/>
      <c r="D1084" s="30"/>
      <c r="H1084" s="30"/>
      <c r="M1084" s="30"/>
      <c r="N1084" s="98"/>
      <c r="O1084" s="98"/>
      <c r="T1084" s="30"/>
      <c r="Z1084" s="96"/>
    </row>
    <row r="1085">
      <c r="B1085" s="30"/>
      <c r="D1085" s="30"/>
      <c r="H1085" s="30"/>
      <c r="M1085" s="30"/>
      <c r="N1085" s="98"/>
      <c r="O1085" s="98"/>
      <c r="T1085" s="30"/>
      <c r="Z1085" s="96"/>
    </row>
    <row r="1086">
      <c r="B1086" s="30"/>
      <c r="D1086" s="30"/>
      <c r="H1086" s="30"/>
      <c r="M1086" s="30"/>
      <c r="N1086" s="98"/>
      <c r="O1086" s="98"/>
      <c r="T1086" s="30"/>
      <c r="Z1086" s="96"/>
    </row>
    <row r="1087">
      <c r="B1087" s="30"/>
      <c r="D1087" s="30"/>
      <c r="H1087" s="30"/>
      <c r="M1087" s="30"/>
      <c r="N1087" s="98"/>
      <c r="O1087" s="98"/>
      <c r="T1087" s="30"/>
      <c r="Z1087" s="96"/>
    </row>
    <row r="1088">
      <c r="B1088" s="30"/>
      <c r="D1088" s="30"/>
      <c r="H1088" s="30"/>
      <c r="M1088" s="30"/>
      <c r="N1088" s="98"/>
      <c r="O1088" s="98"/>
      <c r="T1088" s="30"/>
      <c r="Z1088" s="96"/>
    </row>
    <row r="1089">
      <c r="B1089" s="30"/>
      <c r="D1089" s="30"/>
      <c r="H1089" s="30"/>
      <c r="M1089" s="30"/>
      <c r="N1089" s="98"/>
      <c r="O1089" s="98"/>
      <c r="T1089" s="30"/>
      <c r="Z1089" s="96"/>
    </row>
    <row r="1090">
      <c r="B1090" s="30"/>
      <c r="D1090" s="30"/>
      <c r="H1090" s="30"/>
      <c r="M1090" s="30"/>
      <c r="N1090" s="98"/>
      <c r="O1090" s="98"/>
      <c r="T1090" s="30"/>
      <c r="Z1090" s="96"/>
    </row>
    <row r="1091">
      <c r="B1091" s="30"/>
      <c r="D1091" s="30"/>
      <c r="H1091" s="30"/>
      <c r="M1091" s="30"/>
      <c r="N1091" s="98"/>
      <c r="O1091" s="98"/>
      <c r="T1091" s="30"/>
      <c r="Z1091" s="96"/>
    </row>
    <row r="1092">
      <c r="B1092" s="30"/>
      <c r="D1092" s="30"/>
      <c r="H1092" s="30"/>
      <c r="M1092" s="30"/>
      <c r="N1092" s="98"/>
      <c r="O1092" s="98"/>
      <c r="T1092" s="30"/>
      <c r="Z1092" s="96"/>
    </row>
    <row r="1093">
      <c r="B1093" s="30"/>
      <c r="D1093" s="30"/>
      <c r="H1093" s="30"/>
      <c r="M1093" s="30"/>
      <c r="N1093" s="98"/>
      <c r="O1093" s="98"/>
      <c r="T1093" s="30"/>
      <c r="Z1093" s="96"/>
    </row>
    <row r="1094">
      <c r="B1094" s="30"/>
      <c r="D1094" s="30"/>
      <c r="H1094" s="30"/>
      <c r="M1094" s="30"/>
      <c r="N1094" s="98"/>
      <c r="O1094" s="98"/>
      <c r="T1094" s="30"/>
      <c r="Z1094" s="96"/>
    </row>
    <row r="1095">
      <c r="B1095" s="30"/>
      <c r="D1095" s="30"/>
      <c r="H1095" s="30"/>
      <c r="M1095" s="30"/>
      <c r="N1095" s="98"/>
      <c r="O1095" s="98"/>
      <c r="T1095" s="30"/>
      <c r="Z1095" s="96"/>
    </row>
    <row r="1096">
      <c r="B1096" s="30"/>
      <c r="D1096" s="30"/>
      <c r="H1096" s="30"/>
      <c r="M1096" s="30"/>
      <c r="N1096" s="98"/>
      <c r="O1096" s="98"/>
      <c r="T1096" s="30"/>
      <c r="Z1096" s="96"/>
    </row>
    <row r="1097">
      <c r="B1097" s="30"/>
      <c r="D1097" s="30"/>
      <c r="H1097" s="30"/>
      <c r="M1097" s="30"/>
      <c r="N1097" s="98"/>
      <c r="O1097" s="98"/>
      <c r="T1097" s="30"/>
      <c r="Z1097" s="96"/>
    </row>
    <row r="1098">
      <c r="B1098" s="30"/>
      <c r="D1098" s="30"/>
      <c r="H1098" s="30"/>
      <c r="M1098" s="30"/>
      <c r="N1098" s="98"/>
      <c r="O1098" s="98"/>
      <c r="T1098" s="30"/>
      <c r="Z1098" s="96"/>
    </row>
    <row r="1099">
      <c r="B1099" s="30"/>
      <c r="D1099" s="30"/>
      <c r="H1099" s="30"/>
      <c r="M1099" s="30"/>
      <c r="N1099" s="98"/>
      <c r="O1099" s="98"/>
      <c r="T1099" s="30"/>
      <c r="Z1099" s="96"/>
    </row>
    <row r="1100">
      <c r="B1100" s="30"/>
      <c r="D1100" s="30"/>
      <c r="H1100" s="30"/>
      <c r="M1100" s="30"/>
      <c r="N1100" s="98"/>
      <c r="O1100" s="98"/>
      <c r="T1100" s="30"/>
      <c r="Z1100" s="96"/>
    </row>
    <row r="1101">
      <c r="B1101" s="30"/>
      <c r="D1101" s="30"/>
      <c r="H1101" s="30"/>
      <c r="M1101" s="30"/>
      <c r="N1101" s="98"/>
      <c r="O1101" s="98"/>
      <c r="T1101" s="30"/>
      <c r="Z1101" s="96"/>
    </row>
    <row r="1102">
      <c r="B1102" s="30"/>
      <c r="D1102" s="30"/>
      <c r="H1102" s="30"/>
      <c r="M1102" s="30"/>
      <c r="N1102" s="98"/>
      <c r="O1102" s="98"/>
      <c r="T1102" s="30"/>
      <c r="Z1102" s="96"/>
    </row>
    <row r="1103">
      <c r="B1103" s="30"/>
      <c r="D1103" s="30"/>
      <c r="H1103" s="30"/>
      <c r="M1103" s="30"/>
      <c r="N1103" s="98"/>
      <c r="O1103" s="98"/>
      <c r="T1103" s="30"/>
      <c r="Z1103" s="96"/>
    </row>
    <row r="1104">
      <c r="B1104" s="30"/>
      <c r="D1104" s="30"/>
      <c r="H1104" s="30"/>
      <c r="M1104" s="30"/>
      <c r="N1104" s="98"/>
      <c r="O1104" s="98"/>
      <c r="T1104" s="30"/>
      <c r="Z1104" s="96"/>
    </row>
    <row r="1105">
      <c r="B1105" s="30"/>
      <c r="D1105" s="30"/>
      <c r="H1105" s="30"/>
      <c r="M1105" s="30"/>
      <c r="N1105" s="98"/>
      <c r="O1105" s="98"/>
      <c r="T1105" s="30"/>
      <c r="Z1105" s="96"/>
    </row>
    <row r="1106">
      <c r="B1106" s="30"/>
      <c r="D1106" s="30"/>
      <c r="H1106" s="30"/>
      <c r="M1106" s="30"/>
      <c r="N1106" s="98"/>
      <c r="O1106" s="98"/>
      <c r="T1106" s="30"/>
      <c r="Z1106" s="96"/>
    </row>
    <row r="1107">
      <c r="B1107" s="30"/>
      <c r="D1107" s="30"/>
      <c r="H1107" s="30"/>
      <c r="M1107" s="30"/>
      <c r="N1107" s="98"/>
      <c r="O1107" s="98"/>
      <c r="T1107" s="30"/>
      <c r="Z1107" s="96"/>
    </row>
    <row r="1108">
      <c r="B1108" s="30"/>
      <c r="D1108" s="30"/>
      <c r="H1108" s="30"/>
      <c r="M1108" s="30"/>
      <c r="N1108" s="98"/>
      <c r="O1108" s="98"/>
      <c r="T1108" s="30"/>
      <c r="Z1108" s="96"/>
    </row>
    <row r="1109">
      <c r="B1109" s="30"/>
      <c r="D1109" s="30"/>
      <c r="H1109" s="30"/>
      <c r="M1109" s="30"/>
      <c r="N1109" s="98"/>
      <c r="O1109" s="98"/>
      <c r="T1109" s="30"/>
      <c r="Z1109" s="96"/>
    </row>
    <row r="1110">
      <c r="B1110" s="30"/>
      <c r="D1110" s="30"/>
      <c r="H1110" s="30"/>
      <c r="M1110" s="30"/>
      <c r="N1110" s="98"/>
      <c r="O1110" s="98"/>
      <c r="T1110" s="30"/>
      <c r="Z1110" s="96"/>
    </row>
    <row r="1111">
      <c r="B1111" s="30"/>
      <c r="D1111" s="30"/>
      <c r="H1111" s="30"/>
      <c r="M1111" s="30"/>
      <c r="N1111" s="98"/>
      <c r="O1111" s="98"/>
      <c r="T1111" s="30"/>
      <c r="Z1111" s="96"/>
    </row>
    <row r="1112">
      <c r="B1112" s="30"/>
      <c r="D1112" s="30"/>
      <c r="H1112" s="30"/>
      <c r="M1112" s="30"/>
      <c r="N1112" s="98"/>
      <c r="O1112" s="98"/>
      <c r="T1112" s="30"/>
      <c r="Z1112" s="96"/>
    </row>
    <row r="1113">
      <c r="B1113" s="30"/>
      <c r="D1113" s="30"/>
      <c r="H1113" s="30"/>
      <c r="M1113" s="30"/>
      <c r="N1113" s="98"/>
      <c r="O1113" s="98"/>
      <c r="T1113" s="30"/>
      <c r="Z1113" s="96"/>
    </row>
    <row r="1114">
      <c r="B1114" s="30"/>
      <c r="D1114" s="30"/>
      <c r="H1114" s="30"/>
      <c r="M1114" s="30"/>
      <c r="N1114" s="98"/>
      <c r="O1114" s="98"/>
      <c r="T1114" s="30"/>
      <c r="Z1114" s="96"/>
    </row>
    <row r="1115">
      <c r="B1115" s="30"/>
      <c r="D1115" s="30"/>
      <c r="H1115" s="30"/>
      <c r="M1115" s="30"/>
      <c r="N1115" s="98"/>
      <c r="O1115" s="98"/>
      <c r="T1115" s="30"/>
      <c r="Z1115" s="96"/>
    </row>
    <row r="1116">
      <c r="B1116" s="30"/>
      <c r="D1116" s="30"/>
      <c r="H1116" s="30"/>
      <c r="M1116" s="30"/>
      <c r="N1116" s="98"/>
      <c r="O1116" s="98"/>
      <c r="T1116" s="30"/>
      <c r="Z1116" s="96"/>
    </row>
    <row r="1117">
      <c r="B1117" s="30"/>
      <c r="D1117" s="30"/>
      <c r="H1117" s="30"/>
      <c r="M1117" s="30"/>
      <c r="N1117" s="98"/>
      <c r="O1117" s="98"/>
      <c r="T1117" s="30"/>
      <c r="Z1117" s="96"/>
    </row>
    <row r="1118">
      <c r="B1118" s="30"/>
      <c r="D1118" s="30"/>
      <c r="H1118" s="30"/>
      <c r="M1118" s="30"/>
      <c r="N1118" s="98"/>
      <c r="O1118" s="98"/>
      <c r="T1118" s="30"/>
      <c r="Z1118" s="96"/>
    </row>
    <row r="1119">
      <c r="B1119" s="30"/>
      <c r="D1119" s="30"/>
      <c r="H1119" s="30"/>
      <c r="M1119" s="30"/>
      <c r="N1119" s="98"/>
      <c r="O1119" s="98"/>
      <c r="T1119" s="30"/>
      <c r="Z1119" s="96"/>
    </row>
    <row r="1120">
      <c r="B1120" s="30"/>
      <c r="D1120" s="30"/>
      <c r="H1120" s="30"/>
      <c r="M1120" s="30"/>
      <c r="N1120" s="98"/>
      <c r="O1120" s="98"/>
      <c r="T1120" s="30"/>
      <c r="Z1120" s="96"/>
    </row>
    <row r="1121">
      <c r="B1121" s="30"/>
      <c r="D1121" s="30"/>
      <c r="H1121" s="30"/>
      <c r="M1121" s="30"/>
      <c r="N1121" s="98"/>
      <c r="O1121" s="98"/>
      <c r="T1121" s="30"/>
      <c r="Z1121" s="96"/>
    </row>
    <row r="1122">
      <c r="B1122" s="30"/>
      <c r="D1122" s="30"/>
      <c r="H1122" s="30"/>
      <c r="M1122" s="30"/>
      <c r="N1122" s="98"/>
      <c r="O1122" s="98"/>
      <c r="T1122" s="30"/>
      <c r="Z1122" s="96"/>
    </row>
    <row r="1123">
      <c r="B1123" s="30"/>
      <c r="D1123" s="30"/>
      <c r="H1123" s="30"/>
      <c r="M1123" s="30"/>
      <c r="N1123" s="98"/>
      <c r="O1123" s="98"/>
      <c r="T1123" s="30"/>
      <c r="Z1123" s="96"/>
    </row>
    <row r="1124">
      <c r="B1124" s="30"/>
      <c r="D1124" s="30"/>
      <c r="H1124" s="30"/>
      <c r="M1124" s="30"/>
      <c r="N1124" s="98"/>
      <c r="O1124" s="98"/>
      <c r="T1124" s="30"/>
      <c r="Z1124" s="96"/>
    </row>
    <row r="1125">
      <c r="B1125" s="30"/>
      <c r="D1125" s="30"/>
      <c r="H1125" s="30"/>
      <c r="M1125" s="30"/>
      <c r="N1125" s="98"/>
      <c r="O1125" s="98"/>
      <c r="T1125" s="30"/>
      <c r="Z1125" s="96"/>
    </row>
    <row r="1126">
      <c r="B1126" s="30"/>
      <c r="D1126" s="30"/>
      <c r="H1126" s="30"/>
      <c r="M1126" s="30"/>
      <c r="N1126" s="98"/>
      <c r="O1126" s="98"/>
      <c r="T1126" s="30"/>
      <c r="Z1126" s="96"/>
    </row>
    <row r="1127">
      <c r="B1127" s="30"/>
      <c r="D1127" s="30"/>
      <c r="H1127" s="30"/>
      <c r="M1127" s="30"/>
      <c r="N1127" s="98"/>
      <c r="O1127" s="98"/>
      <c r="T1127" s="30"/>
      <c r="Z1127" s="96"/>
    </row>
    <row r="1128">
      <c r="B1128" s="30"/>
      <c r="D1128" s="30"/>
      <c r="H1128" s="30"/>
      <c r="M1128" s="30"/>
      <c r="N1128" s="98"/>
      <c r="O1128" s="98"/>
      <c r="T1128" s="30"/>
      <c r="Z1128" s="96"/>
    </row>
    <row r="1129">
      <c r="B1129" s="30"/>
      <c r="D1129" s="30"/>
      <c r="H1129" s="30"/>
      <c r="M1129" s="30"/>
      <c r="N1129" s="98"/>
      <c r="O1129" s="98"/>
      <c r="T1129" s="30"/>
      <c r="Z1129" s="96"/>
    </row>
    <row r="1130">
      <c r="B1130" s="30"/>
      <c r="D1130" s="30"/>
      <c r="H1130" s="30"/>
      <c r="M1130" s="30"/>
      <c r="N1130" s="98"/>
      <c r="O1130" s="98"/>
      <c r="T1130" s="30"/>
      <c r="Z1130" s="96"/>
    </row>
    <row r="1131">
      <c r="B1131" s="30"/>
      <c r="D1131" s="30"/>
      <c r="H1131" s="30"/>
      <c r="M1131" s="30"/>
      <c r="N1131" s="98"/>
      <c r="O1131" s="98"/>
      <c r="T1131" s="30"/>
      <c r="Z1131" s="96"/>
    </row>
    <row r="1132">
      <c r="B1132" s="30"/>
      <c r="D1132" s="30"/>
      <c r="H1132" s="30"/>
      <c r="M1132" s="30"/>
      <c r="N1132" s="98"/>
      <c r="O1132" s="98"/>
      <c r="T1132" s="30"/>
      <c r="Z1132" s="96"/>
    </row>
    <row r="1133">
      <c r="B1133" s="30"/>
      <c r="D1133" s="30"/>
      <c r="H1133" s="30"/>
      <c r="M1133" s="30"/>
      <c r="N1133" s="98"/>
      <c r="O1133" s="98"/>
      <c r="T1133" s="30"/>
      <c r="Z1133" s="96"/>
    </row>
    <row r="1134">
      <c r="B1134" s="30"/>
      <c r="D1134" s="30"/>
      <c r="H1134" s="30"/>
      <c r="M1134" s="30"/>
      <c r="N1134" s="98"/>
      <c r="O1134" s="98"/>
      <c r="T1134" s="30"/>
      <c r="Z1134" s="96"/>
    </row>
    <row r="1135">
      <c r="B1135" s="30"/>
      <c r="D1135" s="30"/>
      <c r="H1135" s="30"/>
      <c r="M1135" s="30"/>
      <c r="N1135" s="98"/>
      <c r="O1135" s="98"/>
      <c r="T1135" s="30"/>
      <c r="Z1135" s="96"/>
    </row>
    <row r="1136">
      <c r="B1136" s="30"/>
      <c r="D1136" s="30"/>
      <c r="H1136" s="30"/>
      <c r="M1136" s="30"/>
      <c r="N1136" s="98"/>
      <c r="O1136" s="98"/>
      <c r="T1136" s="30"/>
      <c r="Z1136" s="96"/>
    </row>
    <row r="1137">
      <c r="B1137" s="30"/>
      <c r="D1137" s="30"/>
      <c r="H1137" s="30"/>
      <c r="M1137" s="30"/>
      <c r="N1137" s="98"/>
      <c r="O1137" s="98"/>
      <c r="T1137" s="30"/>
      <c r="Z1137" s="96"/>
    </row>
    <row r="1138">
      <c r="B1138" s="30"/>
      <c r="D1138" s="30"/>
      <c r="H1138" s="30"/>
      <c r="M1138" s="30"/>
      <c r="N1138" s="98"/>
      <c r="O1138" s="98"/>
      <c r="T1138" s="30"/>
      <c r="Z1138" s="96"/>
    </row>
    <row r="1139">
      <c r="B1139" s="30"/>
      <c r="D1139" s="30"/>
      <c r="H1139" s="30"/>
      <c r="M1139" s="30"/>
      <c r="N1139" s="98"/>
      <c r="O1139" s="98"/>
      <c r="T1139" s="30"/>
      <c r="Z1139" s="96"/>
    </row>
    <row r="1140">
      <c r="B1140" s="30"/>
      <c r="D1140" s="30"/>
      <c r="H1140" s="30"/>
      <c r="M1140" s="30"/>
      <c r="N1140" s="98"/>
      <c r="O1140" s="98"/>
      <c r="T1140" s="30"/>
      <c r="Z1140" s="96"/>
    </row>
    <row r="1141">
      <c r="B1141" s="30"/>
      <c r="D1141" s="30"/>
      <c r="H1141" s="30"/>
      <c r="M1141" s="30"/>
      <c r="N1141" s="98"/>
      <c r="O1141" s="98"/>
      <c r="T1141" s="30"/>
      <c r="Z1141" s="96"/>
    </row>
    <row r="1142">
      <c r="B1142" s="30"/>
      <c r="D1142" s="30"/>
      <c r="H1142" s="30"/>
      <c r="M1142" s="30"/>
      <c r="N1142" s="98"/>
      <c r="O1142" s="98"/>
      <c r="T1142" s="30"/>
      <c r="Z1142" s="96"/>
    </row>
    <row r="1143">
      <c r="B1143" s="30"/>
      <c r="D1143" s="30"/>
      <c r="H1143" s="30"/>
      <c r="M1143" s="30"/>
      <c r="N1143" s="98"/>
      <c r="O1143" s="98"/>
      <c r="T1143" s="30"/>
      <c r="Z1143" s="96"/>
    </row>
    <row r="1144">
      <c r="B1144" s="30"/>
      <c r="D1144" s="30"/>
      <c r="H1144" s="30"/>
      <c r="M1144" s="30"/>
      <c r="N1144" s="98"/>
      <c r="O1144" s="98"/>
      <c r="T1144" s="30"/>
      <c r="Z1144" s="96"/>
    </row>
    <row r="1145">
      <c r="B1145" s="30"/>
      <c r="D1145" s="30"/>
      <c r="H1145" s="30"/>
      <c r="M1145" s="30"/>
      <c r="N1145" s="98"/>
      <c r="O1145" s="98"/>
      <c r="T1145" s="30"/>
      <c r="Z1145" s="96"/>
    </row>
    <row r="1146">
      <c r="B1146" s="30"/>
      <c r="D1146" s="30"/>
      <c r="H1146" s="30"/>
      <c r="M1146" s="30"/>
      <c r="N1146" s="98"/>
      <c r="O1146" s="98"/>
      <c r="T1146" s="30"/>
      <c r="Z1146" s="96"/>
    </row>
    <row r="1147">
      <c r="B1147" s="30"/>
      <c r="D1147" s="30"/>
      <c r="H1147" s="30"/>
      <c r="M1147" s="30"/>
      <c r="N1147" s="98"/>
      <c r="O1147" s="98"/>
      <c r="T1147" s="30"/>
      <c r="Z1147" s="96"/>
    </row>
    <row r="1148">
      <c r="B1148" s="30"/>
      <c r="D1148" s="30"/>
      <c r="H1148" s="30"/>
      <c r="M1148" s="30"/>
      <c r="N1148" s="98"/>
      <c r="O1148" s="98"/>
      <c r="T1148" s="30"/>
      <c r="Z1148" s="96"/>
    </row>
    <row r="1149">
      <c r="B1149" s="30"/>
      <c r="D1149" s="30"/>
      <c r="H1149" s="30"/>
      <c r="M1149" s="30"/>
      <c r="N1149" s="98"/>
      <c r="O1149" s="98"/>
      <c r="T1149" s="30"/>
      <c r="Z1149" s="96"/>
    </row>
    <row r="1150">
      <c r="B1150" s="30"/>
      <c r="D1150" s="30"/>
      <c r="H1150" s="30"/>
      <c r="M1150" s="30"/>
      <c r="N1150" s="98"/>
      <c r="O1150" s="98"/>
      <c r="T1150" s="30"/>
      <c r="Z1150" s="96"/>
    </row>
    <row r="1151">
      <c r="B1151" s="30"/>
      <c r="D1151" s="30"/>
      <c r="H1151" s="30"/>
      <c r="M1151" s="30"/>
      <c r="N1151" s="98"/>
      <c r="O1151" s="98"/>
      <c r="T1151" s="30"/>
      <c r="Z1151" s="96"/>
    </row>
    <row r="1152">
      <c r="B1152" s="30"/>
      <c r="D1152" s="30"/>
      <c r="H1152" s="30"/>
      <c r="M1152" s="30"/>
      <c r="N1152" s="98"/>
      <c r="O1152" s="98"/>
      <c r="T1152" s="30"/>
      <c r="Z1152" s="96"/>
    </row>
    <row r="1153">
      <c r="B1153" s="30"/>
      <c r="D1153" s="30"/>
      <c r="M1153" s="30"/>
      <c r="N1153" s="98"/>
      <c r="O1153" s="98"/>
      <c r="T1153" s="30"/>
      <c r="Z1153" s="96"/>
    </row>
    <row r="1154">
      <c r="B1154" s="30"/>
      <c r="D1154" s="30"/>
      <c r="M1154" s="30"/>
      <c r="N1154" s="98"/>
      <c r="O1154" s="98"/>
      <c r="T1154" s="30"/>
      <c r="Z1154" s="96"/>
    </row>
    <row r="1155">
      <c r="B1155" s="30"/>
      <c r="D1155" s="30"/>
      <c r="M1155" s="30"/>
      <c r="N1155" s="98"/>
      <c r="O1155" s="98"/>
      <c r="T1155" s="30"/>
      <c r="Z1155" s="96"/>
    </row>
    <row r="1156">
      <c r="B1156" s="30"/>
      <c r="D1156" s="30"/>
      <c r="M1156" s="30"/>
      <c r="N1156" s="98"/>
      <c r="O1156" s="98"/>
      <c r="T1156" s="30"/>
      <c r="Z1156" s="96"/>
    </row>
    <row r="1157">
      <c r="B1157" s="30"/>
      <c r="D1157" s="30"/>
      <c r="M1157" s="30"/>
      <c r="N1157" s="98"/>
      <c r="O1157" s="98"/>
      <c r="T1157" s="30"/>
      <c r="Z1157" s="96"/>
    </row>
    <row r="1158">
      <c r="B1158" s="30"/>
      <c r="D1158" s="30"/>
      <c r="M1158" s="30"/>
      <c r="N1158" s="98"/>
      <c r="O1158" s="98"/>
      <c r="T1158" s="30"/>
      <c r="Z1158" s="96"/>
    </row>
    <row r="1159">
      <c r="B1159" s="30"/>
      <c r="D1159" s="30"/>
      <c r="M1159" s="30"/>
      <c r="N1159" s="98"/>
      <c r="O1159" s="98"/>
      <c r="T1159" s="30"/>
      <c r="Z1159" s="96"/>
    </row>
    <row r="1160">
      <c r="B1160" s="30"/>
      <c r="D1160" s="30"/>
      <c r="M1160" s="30"/>
      <c r="N1160" s="98"/>
      <c r="O1160" s="98"/>
      <c r="T1160" s="30"/>
      <c r="Z1160" s="96"/>
    </row>
    <row r="1161">
      <c r="B1161" s="30"/>
      <c r="D1161" s="30"/>
      <c r="M1161" s="30"/>
      <c r="N1161" s="98"/>
      <c r="O1161" s="98"/>
      <c r="T1161" s="30"/>
      <c r="Z1161" s="96"/>
    </row>
    <row r="1162">
      <c r="B1162" s="30"/>
      <c r="D1162" s="30"/>
      <c r="M1162" s="30"/>
      <c r="N1162" s="98"/>
      <c r="O1162" s="98"/>
      <c r="T1162" s="30"/>
      <c r="Z1162" s="96"/>
    </row>
    <row r="1163">
      <c r="B1163" s="30"/>
      <c r="D1163" s="30"/>
      <c r="M1163" s="30"/>
      <c r="N1163" s="98"/>
      <c r="O1163" s="98"/>
      <c r="T1163" s="30"/>
      <c r="Z1163" s="96"/>
    </row>
    <row r="1164">
      <c r="B1164" s="30"/>
      <c r="D1164" s="30"/>
      <c r="M1164" s="30"/>
      <c r="N1164" s="98"/>
      <c r="O1164" s="98"/>
      <c r="T1164" s="30"/>
      <c r="Z1164" s="96"/>
    </row>
    <row r="1165">
      <c r="B1165" s="30"/>
      <c r="D1165" s="30"/>
      <c r="M1165" s="30"/>
      <c r="N1165" s="98"/>
      <c r="O1165" s="98"/>
      <c r="T1165" s="30"/>
      <c r="Z1165" s="96"/>
    </row>
    <row r="1166">
      <c r="B1166" s="30"/>
      <c r="D1166" s="30"/>
      <c r="M1166" s="30"/>
      <c r="N1166" s="98"/>
      <c r="O1166" s="98"/>
      <c r="T1166" s="30"/>
      <c r="Z1166" s="96"/>
    </row>
    <row r="1167">
      <c r="B1167" s="30"/>
      <c r="D1167" s="30"/>
      <c r="M1167" s="30"/>
      <c r="N1167" s="98"/>
      <c r="O1167" s="98"/>
      <c r="T1167" s="30"/>
      <c r="Z1167" s="96"/>
    </row>
    <row r="1168">
      <c r="B1168" s="30"/>
      <c r="D1168" s="30"/>
      <c r="M1168" s="30"/>
      <c r="N1168" s="98"/>
      <c r="O1168" s="98"/>
      <c r="T1168" s="30"/>
      <c r="Z1168" s="96"/>
    </row>
    <row r="1169">
      <c r="B1169" s="30"/>
      <c r="D1169" s="30"/>
      <c r="M1169" s="30"/>
      <c r="N1169" s="98"/>
      <c r="O1169" s="98"/>
      <c r="T1169" s="30"/>
      <c r="Z1169" s="96"/>
    </row>
    <row r="1170">
      <c r="B1170" s="30"/>
      <c r="D1170" s="30"/>
      <c r="M1170" s="30"/>
      <c r="N1170" s="98"/>
      <c r="O1170" s="98"/>
      <c r="T1170" s="30"/>
      <c r="Z1170" s="96"/>
    </row>
    <row r="1171">
      <c r="B1171" s="30"/>
      <c r="D1171" s="30"/>
      <c r="M1171" s="30"/>
      <c r="N1171" s="98"/>
      <c r="O1171" s="98"/>
      <c r="T1171" s="30"/>
      <c r="Z1171" s="96"/>
    </row>
    <row r="1172">
      <c r="B1172" s="30"/>
      <c r="D1172" s="30"/>
      <c r="M1172" s="30"/>
      <c r="N1172" s="98"/>
      <c r="O1172" s="98"/>
      <c r="T1172" s="30"/>
      <c r="Z1172" s="96"/>
    </row>
    <row r="1173">
      <c r="B1173" s="30"/>
      <c r="D1173" s="30"/>
      <c r="M1173" s="30"/>
      <c r="N1173" s="98"/>
      <c r="O1173" s="98"/>
      <c r="T1173" s="30"/>
      <c r="Z1173" s="96"/>
    </row>
    <row r="1174">
      <c r="B1174" s="30"/>
      <c r="D1174" s="30"/>
      <c r="M1174" s="30"/>
      <c r="N1174" s="98"/>
      <c r="O1174" s="98"/>
      <c r="T1174" s="30"/>
      <c r="Z1174" s="96"/>
    </row>
    <row r="1175">
      <c r="B1175" s="30"/>
      <c r="D1175" s="30"/>
      <c r="M1175" s="30"/>
      <c r="N1175" s="98"/>
      <c r="O1175" s="98"/>
      <c r="T1175" s="30"/>
      <c r="Z1175" s="96"/>
    </row>
    <row r="1176">
      <c r="B1176" s="30"/>
      <c r="D1176" s="30"/>
      <c r="M1176" s="30"/>
      <c r="N1176" s="98"/>
      <c r="O1176" s="98"/>
      <c r="T1176" s="30"/>
      <c r="Z1176" s="96"/>
    </row>
    <row r="1177">
      <c r="B1177" s="30"/>
      <c r="D1177" s="30"/>
      <c r="M1177" s="30"/>
      <c r="N1177" s="98"/>
      <c r="O1177" s="98"/>
      <c r="T1177" s="30"/>
      <c r="Z1177" s="96"/>
    </row>
    <row r="1178">
      <c r="B1178" s="30"/>
      <c r="D1178" s="30"/>
      <c r="M1178" s="30"/>
      <c r="N1178" s="98"/>
      <c r="O1178" s="98"/>
      <c r="T1178" s="30"/>
      <c r="Z1178" s="96"/>
    </row>
    <row r="1179">
      <c r="B1179" s="30"/>
      <c r="D1179" s="30"/>
      <c r="M1179" s="30"/>
      <c r="N1179" s="98"/>
      <c r="O1179" s="98"/>
      <c r="T1179" s="30"/>
      <c r="Z1179" s="96"/>
    </row>
    <row r="1180">
      <c r="B1180" s="30"/>
      <c r="D1180" s="30"/>
      <c r="M1180" s="30"/>
      <c r="N1180" s="98"/>
      <c r="O1180" s="98"/>
      <c r="T1180" s="30"/>
      <c r="Z1180" s="96"/>
    </row>
    <row r="1181">
      <c r="B1181" s="30"/>
      <c r="D1181" s="30"/>
      <c r="M1181" s="30"/>
      <c r="N1181" s="98"/>
      <c r="O1181" s="98"/>
      <c r="T1181" s="30"/>
      <c r="Z1181" s="96"/>
    </row>
    <row r="1182">
      <c r="B1182" s="30"/>
      <c r="D1182" s="30"/>
      <c r="M1182" s="30"/>
      <c r="N1182" s="98"/>
      <c r="O1182" s="98"/>
      <c r="T1182" s="30"/>
      <c r="Z1182" s="96"/>
    </row>
    <row r="1183">
      <c r="B1183" s="30"/>
      <c r="D1183" s="30"/>
      <c r="M1183" s="30"/>
      <c r="N1183" s="98"/>
      <c r="O1183" s="98"/>
      <c r="T1183" s="30"/>
      <c r="Z1183" s="96"/>
    </row>
    <row r="1184">
      <c r="B1184" s="30"/>
      <c r="D1184" s="30"/>
      <c r="M1184" s="30"/>
      <c r="N1184" s="98"/>
      <c r="O1184" s="98"/>
      <c r="T1184" s="30"/>
      <c r="Z1184" s="96"/>
    </row>
    <row r="1185">
      <c r="B1185" s="30"/>
      <c r="D1185" s="30"/>
      <c r="M1185" s="30"/>
      <c r="N1185" s="98"/>
      <c r="O1185" s="98"/>
      <c r="T1185" s="30"/>
      <c r="Z1185" s="96"/>
    </row>
    <row r="1186">
      <c r="B1186" s="30"/>
      <c r="D1186" s="30"/>
      <c r="M1186" s="30"/>
      <c r="N1186" s="98"/>
      <c r="O1186" s="98"/>
      <c r="T1186" s="30"/>
      <c r="Z1186" s="96"/>
    </row>
    <row r="1187">
      <c r="B1187" s="30"/>
      <c r="D1187" s="30"/>
      <c r="M1187" s="30"/>
      <c r="N1187" s="98"/>
      <c r="O1187" s="98"/>
      <c r="T1187" s="30"/>
      <c r="Z1187" s="96"/>
    </row>
    <row r="1188">
      <c r="B1188" s="30"/>
      <c r="D1188" s="30"/>
      <c r="M1188" s="30"/>
      <c r="N1188" s="98"/>
      <c r="O1188" s="98"/>
      <c r="T1188" s="30"/>
      <c r="Z1188" s="96"/>
    </row>
    <row r="1189">
      <c r="B1189" s="30"/>
      <c r="D1189" s="30"/>
      <c r="M1189" s="30"/>
      <c r="N1189" s="98"/>
      <c r="O1189" s="98"/>
      <c r="T1189" s="30"/>
      <c r="Z1189" s="96"/>
    </row>
    <row r="1190">
      <c r="B1190" s="30"/>
      <c r="D1190" s="30"/>
      <c r="M1190" s="30"/>
      <c r="N1190" s="98"/>
      <c r="O1190" s="98"/>
      <c r="T1190" s="30"/>
      <c r="Z1190" s="96"/>
    </row>
    <row r="1191">
      <c r="B1191" s="30"/>
      <c r="D1191" s="30"/>
      <c r="M1191" s="30"/>
      <c r="N1191" s="98"/>
      <c r="O1191" s="98"/>
      <c r="T1191" s="30"/>
      <c r="Z1191" s="96"/>
    </row>
    <row r="1192">
      <c r="B1192" s="30"/>
      <c r="D1192" s="30"/>
      <c r="M1192" s="30"/>
      <c r="N1192" s="98"/>
      <c r="O1192" s="98"/>
      <c r="T1192" s="30"/>
      <c r="Z1192" s="96"/>
    </row>
    <row r="1193">
      <c r="B1193" s="30"/>
      <c r="D1193" s="30"/>
      <c r="M1193" s="30"/>
      <c r="N1193" s="98"/>
      <c r="O1193" s="98"/>
      <c r="T1193" s="30"/>
      <c r="Z1193" s="96"/>
    </row>
    <row r="1194">
      <c r="B1194" s="30"/>
      <c r="D1194" s="30"/>
      <c r="M1194" s="30"/>
      <c r="N1194" s="98"/>
      <c r="O1194" s="98"/>
      <c r="T1194" s="30"/>
      <c r="Z1194" s="96"/>
    </row>
    <row r="1195">
      <c r="B1195" s="30"/>
      <c r="D1195" s="30"/>
      <c r="M1195" s="30"/>
      <c r="N1195" s="98"/>
      <c r="O1195" s="98"/>
      <c r="T1195" s="30"/>
      <c r="Z1195" s="96"/>
    </row>
    <row r="1196">
      <c r="B1196" s="30"/>
      <c r="D1196" s="30"/>
      <c r="M1196" s="30"/>
      <c r="N1196" s="98"/>
      <c r="O1196" s="98"/>
      <c r="T1196" s="30"/>
      <c r="Z1196" s="96"/>
    </row>
    <row r="1197">
      <c r="B1197" s="30"/>
      <c r="D1197" s="30"/>
      <c r="M1197" s="30"/>
      <c r="N1197" s="98"/>
      <c r="O1197" s="98"/>
      <c r="T1197" s="30"/>
      <c r="Z1197" s="96"/>
    </row>
    <row r="1198">
      <c r="B1198" s="30"/>
      <c r="D1198" s="30"/>
      <c r="M1198" s="30"/>
      <c r="N1198" s="98"/>
      <c r="O1198" s="98"/>
      <c r="T1198" s="30"/>
      <c r="Z1198" s="96"/>
    </row>
    <row r="1199">
      <c r="B1199" s="30"/>
      <c r="D1199" s="30"/>
      <c r="M1199" s="30"/>
      <c r="N1199" s="98"/>
      <c r="O1199" s="98"/>
      <c r="T1199" s="30"/>
      <c r="Z1199" s="96"/>
    </row>
    <row r="1200">
      <c r="B1200" s="30"/>
      <c r="D1200" s="30"/>
      <c r="M1200" s="30"/>
      <c r="N1200" s="98"/>
      <c r="O1200" s="98"/>
      <c r="T1200" s="30"/>
      <c r="Z1200" s="96"/>
    </row>
    <row r="1201">
      <c r="B1201" s="30"/>
      <c r="D1201" s="30"/>
      <c r="M1201" s="30"/>
      <c r="N1201" s="98"/>
      <c r="O1201" s="98"/>
      <c r="T1201" s="30"/>
      <c r="Z1201" s="96"/>
    </row>
    <row r="1202">
      <c r="B1202" s="30"/>
      <c r="D1202" s="30"/>
      <c r="M1202" s="30"/>
      <c r="N1202" s="98"/>
      <c r="O1202" s="98"/>
      <c r="T1202" s="30"/>
      <c r="Z1202" s="96"/>
    </row>
    <row r="1203">
      <c r="B1203" s="30"/>
      <c r="D1203" s="30"/>
      <c r="M1203" s="30"/>
      <c r="N1203" s="98"/>
      <c r="O1203" s="98"/>
      <c r="T1203" s="30"/>
      <c r="Z1203" s="96"/>
    </row>
    <row r="1204">
      <c r="B1204" s="30"/>
      <c r="D1204" s="30"/>
      <c r="M1204" s="30"/>
      <c r="N1204" s="98"/>
      <c r="O1204" s="98"/>
      <c r="T1204" s="30"/>
      <c r="Z1204" s="96"/>
    </row>
    <row r="1205">
      <c r="B1205" s="30"/>
      <c r="D1205" s="30"/>
      <c r="M1205" s="30"/>
      <c r="N1205" s="98"/>
      <c r="O1205" s="98"/>
      <c r="T1205" s="30"/>
      <c r="Z1205" s="96"/>
    </row>
    <row r="1206">
      <c r="B1206" s="30"/>
      <c r="D1206" s="30"/>
      <c r="M1206" s="30"/>
      <c r="N1206" s="98"/>
      <c r="O1206" s="98"/>
      <c r="T1206" s="30"/>
      <c r="Z1206" s="96"/>
    </row>
    <row r="1207">
      <c r="B1207" s="30"/>
      <c r="D1207" s="30"/>
      <c r="M1207" s="30"/>
      <c r="N1207" s="98"/>
      <c r="O1207" s="98"/>
      <c r="T1207" s="30"/>
      <c r="Z1207" s="96"/>
    </row>
    <row r="1208">
      <c r="B1208" s="30"/>
      <c r="D1208" s="30"/>
      <c r="M1208" s="30"/>
      <c r="N1208" s="98"/>
      <c r="O1208" s="98"/>
      <c r="T1208" s="30"/>
      <c r="Z1208" s="96"/>
    </row>
    <row r="1209">
      <c r="B1209" s="30"/>
      <c r="D1209" s="30"/>
      <c r="M1209" s="30"/>
      <c r="N1209" s="98"/>
      <c r="O1209" s="98"/>
      <c r="T1209" s="30"/>
      <c r="Z1209" s="96"/>
    </row>
    <row r="1210">
      <c r="B1210" s="30"/>
      <c r="D1210" s="30"/>
      <c r="M1210" s="30"/>
      <c r="N1210" s="98"/>
      <c r="O1210" s="98"/>
      <c r="T1210" s="30"/>
      <c r="Z1210" s="96"/>
    </row>
    <row r="1211">
      <c r="B1211" s="30"/>
      <c r="D1211" s="30"/>
      <c r="M1211" s="30"/>
      <c r="N1211" s="98"/>
      <c r="O1211" s="98"/>
      <c r="T1211" s="30"/>
      <c r="Z1211" s="96"/>
    </row>
    <row r="1212">
      <c r="B1212" s="30"/>
      <c r="D1212" s="30"/>
      <c r="M1212" s="30"/>
      <c r="N1212" s="98"/>
      <c r="O1212" s="98"/>
      <c r="T1212" s="30"/>
      <c r="Z1212" s="96"/>
    </row>
    <row r="1213">
      <c r="B1213" s="30"/>
      <c r="D1213" s="30"/>
      <c r="M1213" s="30"/>
      <c r="N1213" s="98"/>
      <c r="O1213" s="98"/>
      <c r="T1213" s="30"/>
      <c r="Z1213" s="96"/>
    </row>
    <row r="1214">
      <c r="B1214" s="30"/>
      <c r="D1214" s="30"/>
      <c r="M1214" s="30"/>
      <c r="N1214" s="98"/>
      <c r="O1214" s="98"/>
      <c r="T1214" s="30"/>
      <c r="Z1214" s="96"/>
    </row>
    <row r="1215">
      <c r="B1215" s="30"/>
      <c r="D1215" s="30"/>
      <c r="M1215" s="30"/>
      <c r="N1215" s="98"/>
      <c r="O1215" s="98"/>
      <c r="T1215" s="30"/>
      <c r="Z1215" s="96"/>
    </row>
    <row r="1216">
      <c r="B1216" s="30"/>
      <c r="D1216" s="30"/>
      <c r="M1216" s="30"/>
      <c r="N1216" s="98"/>
      <c r="O1216" s="98"/>
      <c r="T1216" s="30"/>
      <c r="Z1216" s="96"/>
    </row>
    <row r="1217">
      <c r="B1217" s="30"/>
      <c r="D1217" s="30"/>
      <c r="M1217" s="30"/>
      <c r="N1217" s="98"/>
      <c r="O1217" s="98"/>
      <c r="T1217" s="30"/>
      <c r="Z1217" s="96"/>
    </row>
    <row r="1218">
      <c r="B1218" s="30"/>
      <c r="D1218" s="30"/>
      <c r="M1218" s="30"/>
      <c r="N1218" s="98"/>
      <c r="O1218" s="98"/>
      <c r="T1218" s="30"/>
      <c r="Z1218" s="96"/>
    </row>
    <row r="1219">
      <c r="B1219" s="30"/>
      <c r="D1219" s="30"/>
      <c r="M1219" s="30"/>
      <c r="N1219" s="98"/>
      <c r="O1219" s="98"/>
      <c r="T1219" s="30"/>
      <c r="Z1219" s="96"/>
    </row>
    <row r="1220">
      <c r="B1220" s="30"/>
      <c r="D1220" s="30"/>
      <c r="M1220" s="30"/>
      <c r="N1220" s="98"/>
      <c r="O1220" s="98"/>
      <c r="T1220" s="30"/>
      <c r="Z1220" s="96"/>
    </row>
    <row r="1221">
      <c r="B1221" s="30"/>
      <c r="D1221" s="30"/>
      <c r="M1221" s="30"/>
      <c r="N1221" s="98"/>
      <c r="O1221" s="98"/>
      <c r="T1221" s="30"/>
      <c r="Z1221" s="96"/>
    </row>
    <row r="1222">
      <c r="B1222" s="30"/>
      <c r="D1222" s="30"/>
      <c r="M1222" s="30"/>
      <c r="N1222" s="98"/>
      <c r="O1222" s="98"/>
      <c r="T1222" s="30"/>
      <c r="Z1222" s="96"/>
    </row>
    <row r="1223">
      <c r="B1223" s="30"/>
      <c r="D1223" s="30"/>
      <c r="M1223" s="30"/>
      <c r="N1223" s="98"/>
      <c r="O1223" s="98"/>
      <c r="T1223" s="30"/>
      <c r="Z1223" s="96"/>
    </row>
    <row r="1224">
      <c r="B1224" s="30"/>
      <c r="D1224" s="30"/>
      <c r="M1224" s="30"/>
      <c r="N1224" s="98"/>
      <c r="O1224" s="98"/>
      <c r="T1224" s="30"/>
      <c r="Z1224" s="96"/>
    </row>
    <row r="1225">
      <c r="B1225" s="30"/>
      <c r="D1225" s="30"/>
      <c r="M1225" s="30"/>
      <c r="N1225" s="98"/>
      <c r="O1225" s="98"/>
      <c r="T1225" s="30"/>
      <c r="Z1225" s="96"/>
    </row>
    <row r="1226">
      <c r="B1226" s="30"/>
      <c r="D1226" s="30"/>
      <c r="M1226" s="30"/>
      <c r="N1226" s="98"/>
      <c r="O1226" s="98"/>
      <c r="T1226" s="30"/>
      <c r="Z1226" s="96"/>
    </row>
    <row r="1227">
      <c r="B1227" s="30"/>
      <c r="D1227" s="30"/>
      <c r="M1227" s="30"/>
      <c r="N1227" s="98"/>
      <c r="O1227" s="98"/>
      <c r="T1227" s="30"/>
      <c r="Z1227" s="96"/>
    </row>
    <row r="1228">
      <c r="B1228" s="30"/>
      <c r="D1228" s="30"/>
      <c r="M1228" s="30"/>
      <c r="N1228" s="98"/>
      <c r="O1228" s="98"/>
      <c r="T1228" s="30"/>
      <c r="Z1228" s="96"/>
    </row>
    <row r="1229">
      <c r="B1229" s="30"/>
      <c r="D1229" s="30"/>
      <c r="M1229" s="30"/>
      <c r="N1229" s="98"/>
      <c r="O1229" s="98"/>
      <c r="T1229" s="30"/>
      <c r="Z1229" s="96"/>
    </row>
    <row r="1230">
      <c r="B1230" s="30"/>
      <c r="D1230" s="30"/>
      <c r="M1230" s="30"/>
      <c r="N1230" s="98"/>
      <c r="O1230" s="98"/>
      <c r="T1230" s="30"/>
      <c r="Z1230" s="96"/>
    </row>
    <row r="1231">
      <c r="B1231" s="30"/>
      <c r="D1231" s="30"/>
      <c r="M1231" s="30"/>
      <c r="N1231" s="98"/>
      <c r="O1231" s="98"/>
      <c r="T1231" s="30"/>
      <c r="Z1231" s="96"/>
    </row>
    <row r="1232">
      <c r="B1232" s="30"/>
      <c r="D1232" s="30"/>
      <c r="M1232" s="30"/>
      <c r="N1232" s="98"/>
      <c r="O1232" s="98"/>
      <c r="T1232" s="30"/>
      <c r="Z1232" s="96"/>
    </row>
    <row r="1233">
      <c r="B1233" s="30"/>
      <c r="D1233" s="30"/>
      <c r="M1233" s="30"/>
      <c r="N1233" s="98"/>
      <c r="O1233" s="98"/>
      <c r="T1233" s="30"/>
      <c r="Z1233" s="96"/>
    </row>
    <row r="1234">
      <c r="B1234" s="30"/>
      <c r="D1234" s="30"/>
      <c r="M1234" s="30"/>
      <c r="N1234" s="98"/>
      <c r="O1234" s="98"/>
      <c r="T1234" s="30"/>
      <c r="Z1234" s="96"/>
    </row>
    <row r="1235">
      <c r="B1235" s="30"/>
      <c r="D1235" s="30"/>
      <c r="M1235" s="30"/>
      <c r="N1235" s="98"/>
      <c r="O1235" s="98"/>
      <c r="T1235" s="30"/>
      <c r="Z1235" s="96"/>
    </row>
    <row r="1236">
      <c r="B1236" s="30"/>
      <c r="D1236" s="30"/>
      <c r="M1236" s="30"/>
      <c r="N1236" s="98"/>
      <c r="O1236" s="98"/>
      <c r="T1236" s="30"/>
      <c r="Z1236" s="96"/>
    </row>
    <row r="1237">
      <c r="B1237" s="30"/>
      <c r="D1237" s="30"/>
      <c r="M1237" s="30"/>
      <c r="N1237" s="98"/>
      <c r="O1237" s="98"/>
      <c r="T1237" s="30"/>
      <c r="Z1237" s="96"/>
    </row>
    <row r="1238">
      <c r="B1238" s="30"/>
      <c r="D1238" s="30"/>
      <c r="M1238" s="30"/>
      <c r="N1238" s="98"/>
      <c r="O1238" s="98"/>
      <c r="T1238" s="30"/>
      <c r="Z1238" s="96"/>
    </row>
    <row r="1239">
      <c r="B1239" s="30"/>
      <c r="D1239" s="30"/>
      <c r="M1239" s="30"/>
      <c r="N1239" s="98"/>
      <c r="O1239" s="98"/>
      <c r="T1239" s="30"/>
      <c r="Z1239" s="96"/>
    </row>
    <row r="1240">
      <c r="B1240" s="30"/>
      <c r="D1240" s="30"/>
      <c r="M1240" s="30"/>
      <c r="N1240" s="98"/>
      <c r="O1240" s="98"/>
      <c r="T1240" s="30"/>
      <c r="Z1240" s="96"/>
    </row>
    <row r="1241">
      <c r="B1241" s="30"/>
      <c r="D1241" s="30"/>
      <c r="M1241" s="30"/>
      <c r="N1241" s="98"/>
      <c r="O1241" s="98"/>
      <c r="T1241" s="30"/>
      <c r="Z1241" s="96"/>
    </row>
    <row r="1242">
      <c r="B1242" s="30"/>
      <c r="D1242" s="30"/>
      <c r="M1242" s="30"/>
      <c r="N1242" s="98"/>
      <c r="O1242" s="98"/>
      <c r="T1242" s="30"/>
      <c r="Z1242" s="96"/>
    </row>
    <row r="1243">
      <c r="B1243" s="30"/>
      <c r="D1243" s="30"/>
      <c r="M1243" s="30"/>
      <c r="N1243" s="98"/>
      <c r="O1243" s="98"/>
      <c r="T1243" s="30"/>
      <c r="Z1243" s="96"/>
    </row>
    <row r="1244">
      <c r="B1244" s="30"/>
      <c r="D1244" s="30"/>
      <c r="M1244" s="30"/>
      <c r="N1244" s="98"/>
      <c r="O1244" s="98"/>
      <c r="T1244" s="30"/>
      <c r="Z1244" s="96"/>
    </row>
    <row r="1245">
      <c r="B1245" s="30"/>
      <c r="D1245" s="30"/>
      <c r="M1245" s="30"/>
      <c r="N1245" s="98"/>
      <c r="O1245" s="98"/>
      <c r="T1245" s="30"/>
      <c r="Z1245" s="96"/>
    </row>
    <row r="1246">
      <c r="B1246" s="30"/>
      <c r="D1246" s="30"/>
      <c r="M1246" s="30"/>
      <c r="N1246" s="98"/>
      <c r="O1246" s="98"/>
      <c r="T1246" s="30"/>
      <c r="Z1246" s="96"/>
    </row>
    <row r="1247">
      <c r="B1247" s="30"/>
      <c r="D1247" s="30"/>
      <c r="M1247" s="30"/>
      <c r="N1247" s="98"/>
      <c r="O1247" s="98"/>
      <c r="T1247" s="30"/>
      <c r="Z1247" s="96"/>
    </row>
    <row r="1248">
      <c r="B1248" s="30"/>
      <c r="D1248" s="30"/>
      <c r="M1248" s="30"/>
      <c r="N1248" s="98"/>
      <c r="O1248" s="98"/>
      <c r="T1248" s="30"/>
      <c r="Z1248" s="96"/>
    </row>
    <row r="1249">
      <c r="B1249" s="30"/>
      <c r="D1249" s="30"/>
      <c r="M1249" s="30"/>
      <c r="N1249" s="98"/>
      <c r="O1249" s="98"/>
      <c r="T1249" s="30"/>
      <c r="Z1249" s="96"/>
    </row>
    <row r="1250">
      <c r="B1250" s="30"/>
      <c r="D1250" s="30"/>
      <c r="M1250" s="30"/>
      <c r="N1250" s="98"/>
      <c r="O1250" s="98"/>
      <c r="T1250" s="30"/>
      <c r="Z1250" s="96"/>
    </row>
    <row r="1251">
      <c r="B1251" s="30"/>
      <c r="D1251" s="30"/>
      <c r="M1251" s="30"/>
      <c r="N1251" s="98"/>
      <c r="O1251" s="98"/>
      <c r="T1251" s="30"/>
      <c r="Z1251" s="96"/>
    </row>
    <row r="1252">
      <c r="B1252" s="30"/>
      <c r="D1252" s="30"/>
      <c r="M1252" s="30"/>
      <c r="N1252" s="98"/>
      <c r="O1252" s="98"/>
      <c r="T1252" s="30"/>
      <c r="Z1252" s="96"/>
    </row>
    <row r="1253">
      <c r="B1253" s="30"/>
      <c r="D1253" s="30"/>
      <c r="M1253" s="30"/>
      <c r="N1253" s="98"/>
      <c r="O1253" s="98"/>
      <c r="T1253" s="30"/>
      <c r="Z1253" s="96"/>
    </row>
    <row r="1254">
      <c r="B1254" s="30"/>
      <c r="D1254" s="30"/>
      <c r="M1254" s="30"/>
      <c r="N1254" s="98"/>
      <c r="O1254" s="98"/>
      <c r="T1254" s="30"/>
      <c r="Z1254" s="96"/>
    </row>
    <row r="1255">
      <c r="B1255" s="30"/>
      <c r="D1255" s="30"/>
      <c r="M1255" s="30"/>
      <c r="N1255" s="98"/>
      <c r="O1255" s="98"/>
      <c r="T1255" s="30"/>
      <c r="Z1255" s="96"/>
    </row>
    <row r="1256">
      <c r="B1256" s="30"/>
      <c r="D1256" s="30"/>
      <c r="M1256" s="30"/>
      <c r="N1256" s="98"/>
      <c r="O1256" s="98"/>
      <c r="T1256" s="30"/>
      <c r="Z1256" s="96"/>
    </row>
    <row r="1257">
      <c r="B1257" s="30"/>
      <c r="D1257" s="30"/>
      <c r="M1257" s="30"/>
      <c r="N1257" s="98"/>
      <c r="O1257" s="98"/>
      <c r="T1257" s="30"/>
      <c r="Z1257" s="96"/>
    </row>
    <row r="1258">
      <c r="B1258" s="30"/>
      <c r="D1258" s="30"/>
      <c r="M1258" s="30"/>
      <c r="N1258" s="98"/>
      <c r="O1258" s="98"/>
      <c r="T1258" s="30"/>
      <c r="Z1258" s="96"/>
    </row>
    <row r="1259">
      <c r="B1259" s="30"/>
      <c r="D1259" s="30"/>
      <c r="M1259" s="30"/>
      <c r="N1259" s="98"/>
      <c r="O1259" s="98"/>
      <c r="T1259" s="30"/>
      <c r="Z1259" s="96"/>
    </row>
    <row r="1260">
      <c r="B1260" s="30"/>
      <c r="D1260" s="30"/>
      <c r="M1260" s="30"/>
      <c r="N1260" s="98"/>
      <c r="O1260" s="98"/>
      <c r="T1260" s="30"/>
      <c r="Z1260" s="96"/>
    </row>
    <row r="1261">
      <c r="B1261" s="30"/>
      <c r="D1261" s="30"/>
      <c r="M1261" s="30"/>
      <c r="N1261" s="98"/>
      <c r="O1261" s="98"/>
      <c r="T1261" s="30"/>
      <c r="Z1261" s="96"/>
    </row>
    <row r="1262">
      <c r="B1262" s="30"/>
      <c r="D1262" s="30"/>
      <c r="M1262" s="30"/>
      <c r="N1262" s="98"/>
      <c r="O1262" s="98"/>
      <c r="T1262" s="30"/>
      <c r="Z1262" s="96"/>
    </row>
    <row r="1263">
      <c r="B1263" s="30"/>
      <c r="D1263" s="30"/>
      <c r="M1263" s="30"/>
      <c r="N1263" s="98"/>
      <c r="O1263" s="98"/>
      <c r="T1263" s="30"/>
      <c r="Z1263" s="96"/>
    </row>
    <row r="1264">
      <c r="B1264" s="30"/>
      <c r="D1264" s="30"/>
      <c r="M1264" s="30"/>
      <c r="N1264" s="98"/>
      <c r="O1264" s="98"/>
      <c r="T1264" s="30"/>
      <c r="Z1264" s="96"/>
    </row>
    <row r="1265">
      <c r="B1265" s="30"/>
      <c r="D1265" s="30"/>
      <c r="M1265" s="30"/>
      <c r="N1265" s="98"/>
      <c r="O1265" s="98"/>
      <c r="T1265" s="30"/>
      <c r="Z1265" s="96"/>
    </row>
    <row r="1266">
      <c r="B1266" s="30"/>
      <c r="D1266" s="30"/>
      <c r="M1266" s="30"/>
      <c r="N1266" s="98"/>
      <c r="O1266" s="98"/>
      <c r="T1266" s="30"/>
      <c r="Z1266" s="96"/>
    </row>
    <row r="1267">
      <c r="B1267" s="30"/>
      <c r="D1267" s="30"/>
      <c r="M1267" s="30"/>
      <c r="N1267" s="98"/>
      <c r="O1267" s="98"/>
      <c r="T1267" s="30"/>
      <c r="Z1267" s="96"/>
    </row>
    <row r="1268">
      <c r="B1268" s="30"/>
      <c r="D1268" s="30"/>
      <c r="M1268" s="30"/>
      <c r="N1268" s="98"/>
      <c r="O1268" s="98"/>
      <c r="T1268" s="30"/>
      <c r="Z1268" s="96"/>
    </row>
    <row r="1269">
      <c r="B1269" s="30"/>
      <c r="D1269" s="30"/>
      <c r="M1269" s="30"/>
      <c r="N1269" s="98"/>
      <c r="O1269" s="98"/>
      <c r="T1269" s="30"/>
      <c r="Z1269" s="96"/>
    </row>
    <row r="1270">
      <c r="B1270" s="30"/>
      <c r="D1270" s="30"/>
      <c r="M1270" s="30"/>
      <c r="N1270" s="98"/>
      <c r="O1270" s="98"/>
      <c r="T1270" s="30"/>
      <c r="Z1270" s="96"/>
    </row>
    <row r="1271">
      <c r="B1271" s="30"/>
      <c r="D1271" s="30"/>
      <c r="M1271" s="30"/>
      <c r="N1271" s="98"/>
      <c r="O1271" s="98"/>
      <c r="T1271" s="30"/>
      <c r="Z1271" s="96"/>
    </row>
    <row r="1272">
      <c r="B1272" s="30"/>
      <c r="D1272" s="30"/>
      <c r="M1272" s="30"/>
      <c r="N1272" s="98"/>
      <c r="O1272" s="98"/>
      <c r="T1272" s="30"/>
      <c r="Z1272" s="96"/>
    </row>
    <row r="1273">
      <c r="B1273" s="30"/>
      <c r="D1273" s="30"/>
      <c r="M1273" s="30"/>
      <c r="N1273" s="98"/>
      <c r="O1273" s="98"/>
      <c r="T1273" s="30"/>
      <c r="Z1273" s="96"/>
    </row>
    <row r="1274">
      <c r="B1274" s="30"/>
      <c r="D1274" s="30"/>
      <c r="M1274" s="30"/>
      <c r="N1274" s="98"/>
      <c r="O1274" s="98"/>
      <c r="T1274" s="30"/>
      <c r="Z1274" s="96"/>
    </row>
    <row r="1275">
      <c r="B1275" s="30"/>
      <c r="D1275" s="30"/>
      <c r="M1275" s="30"/>
      <c r="N1275" s="98"/>
      <c r="O1275" s="98"/>
      <c r="T1275" s="30"/>
      <c r="Z1275" s="96"/>
    </row>
    <row r="1276">
      <c r="B1276" s="30"/>
      <c r="D1276" s="30"/>
      <c r="M1276" s="30"/>
      <c r="N1276" s="98"/>
      <c r="O1276" s="98"/>
      <c r="T1276" s="30"/>
      <c r="Z1276" s="96"/>
    </row>
    <row r="1277">
      <c r="B1277" s="30"/>
      <c r="D1277" s="30"/>
      <c r="M1277" s="30"/>
      <c r="N1277" s="98"/>
      <c r="O1277" s="98"/>
      <c r="T1277" s="30"/>
      <c r="Z1277" s="96"/>
    </row>
    <row r="1278">
      <c r="B1278" s="30"/>
      <c r="D1278" s="30"/>
      <c r="M1278" s="30"/>
      <c r="N1278" s="98"/>
      <c r="O1278" s="98"/>
      <c r="T1278" s="30"/>
      <c r="Z1278" s="96"/>
    </row>
    <row r="1279">
      <c r="B1279" s="30"/>
      <c r="D1279" s="30"/>
      <c r="M1279" s="30"/>
      <c r="N1279" s="98"/>
      <c r="O1279" s="98"/>
      <c r="T1279" s="30"/>
      <c r="Z1279" s="96"/>
    </row>
    <row r="1280">
      <c r="B1280" s="30"/>
      <c r="D1280" s="30"/>
      <c r="M1280" s="30"/>
      <c r="N1280" s="98"/>
      <c r="O1280" s="98"/>
      <c r="T1280" s="30"/>
      <c r="Z1280" s="96"/>
    </row>
    <row r="1281">
      <c r="B1281" s="30"/>
      <c r="D1281" s="30"/>
      <c r="M1281" s="30"/>
      <c r="N1281" s="98"/>
      <c r="O1281" s="98"/>
      <c r="T1281" s="30"/>
      <c r="Z1281" s="96"/>
    </row>
    <row r="1282">
      <c r="B1282" s="30"/>
      <c r="D1282" s="30"/>
      <c r="M1282" s="30"/>
      <c r="N1282" s="98"/>
      <c r="O1282" s="98"/>
      <c r="T1282" s="30"/>
      <c r="Z1282" s="96"/>
    </row>
    <row r="1283">
      <c r="B1283" s="30"/>
      <c r="D1283" s="30"/>
      <c r="M1283" s="30"/>
      <c r="N1283" s="98"/>
      <c r="O1283" s="98"/>
      <c r="T1283" s="30"/>
      <c r="Z1283" s="96"/>
    </row>
    <row r="1284">
      <c r="B1284" s="30"/>
      <c r="D1284" s="30"/>
      <c r="M1284" s="30"/>
      <c r="N1284" s="98"/>
      <c r="O1284" s="98"/>
      <c r="T1284" s="30"/>
      <c r="Z1284" s="96"/>
    </row>
    <row r="1285">
      <c r="B1285" s="30"/>
      <c r="D1285" s="30"/>
      <c r="M1285" s="30"/>
      <c r="N1285" s="98"/>
      <c r="O1285" s="98"/>
      <c r="T1285" s="30"/>
      <c r="Z1285" s="96"/>
    </row>
    <row r="1286">
      <c r="B1286" s="30"/>
      <c r="D1286" s="30"/>
      <c r="M1286" s="30"/>
      <c r="N1286" s="98"/>
      <c r="O1286" s="98"/>
      <c r="T1286" s="30"/>
      <c r="Z1286" s="96"/>
    </row>
    <row r="1287">
      <c r="B1287" s="30"/>
      <c r="D1287" s="30"/>
      <c r="M1287" s="30"/>
      <c r="N1287" s="98"/>
      <c r="O1287" s="98"/>
      <c r="T1287" s="30"/>
      <c r="Z1287" s="96"/>
    </row>
    <row r="1288">
      <c r="B1288" s="30"/>
      <c r="D1288" s="30"/>
      <c r="M1288" s="30"/>
      <c r="N1288" s="98"/>
      <c r="O1288" s="98"/>
      <c r="T1288" s="30"/>
      <c r="Z1288" s="96"/>
    </row>
    <row r="1289">
      <c r="B1289" s="30"/>
      <c r="D1289" s="30"/>
      <c r="M1289" s="30"/>
      <c r="N1289" s="98"/>
      <c r="O1289" s="98"/>
      <c r="T1289" s="30"/>
      <c r="Z1289" s="96"/>
    </row>
    <row r="1290">
      <c r="B1290" s="30"/>
      <c r="D1290" s="30"/>
      <c r="M1290" s="30"/>
      <c r="N1290" s="98"/>
      <c r="O1290" s="98"/>
      <c r="T1290" s="30"/>
      <c r="Z1290" s="96"/>
    </row>
    <row r="1291">
      <c r="B1291" s="30"/>
      <c r="D1291" s="30"/>
      <c r="M1291" s="30"/>
      <c r="N1291" s="98"/>
      <c r="O1291" s="98"/>
      <c r="T1291" s="30"/>
      <c r="Z1291" s="96"/>
    </row>
    <row r="1292">
      <c r="B1292" s="30"/>
      <c r="D1292" s="30"/>
      <c r="M1292" s="30"/>
      <c r="N1292" s="98"/>
      <c r="O1292" s="98"/>
      <c r="T1292" s="30"/>
      <c r="Z1292" s="96"/>
    </row>
    <row r="1293">
      <c r="B1293" s="30"/>
      <c r="D1293" s="30"/>
      <c r="M1293" s="30"/>
      <c r="N1293" s="98"/>
      <c r="O1293" s="98"/>
      <c r="T1293" s="30"/>
      <c r="Z1293" s="96"/>
    </row>
    <row r="1294">
      <c r="B1294" s="30"/>
      <c r="D1294" s="30"/>
      <c r="M1294" s="30"/>
      <c r="N1294" s="98"/>
      <c r="O1294" s="98"/>
      <c r="T1294" s="30"/>
      <c r="Z1294" s="96"/>
    </row>
    <row r="1295">
      <c r="B1295" s="30"/>
      <c r="D1295" s="30"/>
      <c r="M1295" s="30"/>
      <c r="N1295" s="98"/>
      <c r="O1295" s="98"/>
      <c r="T1295" s="30"/>
      <c r="Z1295" s="96"/>
    </row>
    <row r="1296">
      <c r="B1296" s="30"/>
      <c r="D1296" s="30"/>
      <c r="M1296" s="30"/>
      <c r="N1296" s="98"/>
      <c r="O1296" s="98"/>
      <c r="T1296" s="30"/>
      <c r="Z1296" s="96"/>
    </row>
    <row r="1297">
      <c r="B1297" s="30"/>
      <c r="D1297" s="30"/>
      <c r="M1297" s="30"/>
      <c r="N1297" s="98"/>
      <c r="O1297" s="98"/>
      <c r="T1297" s="30"/>
      <c r="Z1297" s="96"/>
    </row>
    <row r="1298">
      <c r="B1298" s="30"/>
      <c r="D1298" s="30"/>
      <c r="M1298" s="30"/>
      <c r="N1298" s="98"/>
      <c r="O1298" s="98"/>
      <c r="T1298" s="30"/>
      <c r="Z1298" s="96"/>
    </row>
    <row r="1299">
      <c r="B1299" s="30"/>
      <c r="D1299" s="30"/>
      <c r="M1299" s="30"/>
      <c r="N1299" s="98"/>
      <c r="O1299" s="98"/>
      <c r="T1299" s="30"/>
      <c r="Z1299" s="96"/>
    </row>
    <row r="1300">
      <c r="B1300" s="30"/>
      <c r="D1300" s="30"/>
      <c r="M1300" s="30"/>
      <c r="N1300" s="98"/>
      <c r="O1300" s="98"/>
      <c r="T1300" s="30"/>
      <c r="Z1300" s="96"/>
    </row>
    <row r="1301">
      <c r="B1301" s="30"/>
      <c r="D1301" s="30"/>
      <c r="M1301" s="30"/>
      <c r="N1301" s="98"/>
      <c r="O1301" s="98"/>
      <c r="T1301" s="30"/>
      <c r="Z1301" s="96"/>
    </row>
    <row r="1302">
      <c r="B1302" s="30"/>
      <c r="D1302" s="30"/>
      <c r="M1302" s="30"/>
      <c r="N1302" s="98"/>
      <c r="O1302" s="98"/>
      <c r="T1302" s="30"/>
      <c r="Z1302" s="96"/>
    </row>
    <row r="1303">
      <c r="B1303" s="30"/>
      <c r="D1303" s="30"/>
      <c r="M1303" s="30"/>
      <c r="N1303" s="98"/>
      <c r="O1303" s="98"/>
      <c r="T1303" s="30"/>
      <c r="Z1303" s="96"/>
    </row>
    <row r="1304">
      <c r="B1304" s="30"/>
      <c r="D1304" s="30"/>
      <c r="M1304" s="30"/>
      <c r="N1304" s="98"/>
      <c r="O1304" s="98"/>
      <c r="T1304" s="30"/>
      <c r="Z1304" s="96"/>
    </row>
    <row r="1305">
      <c r="B1305" s="30"/>
      <c r="D1305" s="30"/>
      <c r="M1305" s="30"/>
      <c r="N1305" s="98"/>
      <c r="O1305" s="98"/>
      <c r="T1305" s="30"/>
      <c r="Z1305" s="96"/>
    </row>
    <row r="1306">
      <c r="B1306" s="30"/>
      <c r="D1306" s="30"/>
      <c r="M1306" s="30"/>
      <c r="N1306" s="98"/>
      <c r="O1306" s="98"/>
      <c r="T1306" s="30"/>
      <c r="Z1306" s="96"/>
    </row>
    <row r="1307">
      <c r="B1307" s="30"/>
      <c r="D1307" s="30"/>
      <c r="M1307" s="30"/>
      <c r="N1307" s="98"/>
      <c r="O1307" s="98"/>
      <c r="T1307" s="30"/>
      <c r="Z1307" s="96"/>
    </row>
    <row r="1308">
      <c r="B1308" s="30"/>
      <c r="D1308" s="30"/>
      <c r="M1308" s="30"/>
      <c r="N1308" s="98"/>
      <c r="O1308" s="98"/>
      <c r="T1308" s="30"/>
      <c r="Z1308" s="96"/>
    </row>
    <row r="1309">
      <c r="B1309" s="30"/>
      <c r="D1309" s="30"/>
      <c r="M1309" s="30"/>
      <c r="N1309" s="98"/>
      <c r="O1309" s="98"/>
      <c r="T1309" s="30"/>
      <c r="Z1309" s="96"/>
    </row>
    <row r="1310">
      <c r="B1310" s="30"/>
      <c r="D1310" s="30"/>
      <c r="M1310" s="30"/>
      <c r="N1310" s="98"/>
      <c r="O1310" s="98"/>
      <c r="T1310" s="30"/>
      <c r="Z1310" s="96"/>
    </row>
    <row r="1311">
      <c r="B1311" s="30"/>
      <c r="D1311" s="30"/>
      <c r="M1311" s="30"/>
      <c r="N1311" s="98"/>
      <c r="O1311" s="98"/>
      <c r="T1311" s="30"/>
      <c r="Z1311" s="96"/>
    </row>
    <row r="1312">
      <c r="B1312" s="30"/>
      <c r="D1312" s="30"/>
      <c r="M1312" s="30"/>
      <c r="N1312" s="98"/>
      <c r="O1312" s="98"/>
      <c r="T1312" s="30"/>
      <c r="Z1312" s="96"/>
    </row>
    <row r="1313">
      <c r="B1313" s="30"/>
      <c r="D1313" s="30"/>
      <c r="M1313" s="30"/>
      <c r="N1313" s="98"/>
      <c r="O1313" s="98"/>
      <c r="T1313" s="30"/>
      <c r="Z1313" s="96"/>
    </row>
    <row r="1314">
      <c r="B1314" s="30"/>
      <c r="D1314" s="30"/>
      <c r="M1314" s="30"/>
      <c r="N1314" s="98"/>
      <c r="O1314" s="98"/>
      <c r="T1314" s="30"/>
      <c r="Z1314" s="96"/>
    </row>
    <row r="1315">
      <c r="B1315" s="30"/>
      <c r="D1315" s="30"/>
      <c r="M1315" s="30"/>
      <c r="N1315" s="98"/>
      <c r="O1315" s="98"/>
      <c r="T1315" s="30"/>
      <c r="Z1315" s="96"/>
    </row>
    <row r="1316">
      <c r="B1316" s="30"/>
      <c r="D1316" s="30"/>
      <c r="M1316" s="30"/>
      <c r="N1316" s="98"/>
      <c r="O1316" s="98"/>
      <c r="T1316" s="30"/>
      <c r="Z1316" s="96"/>
    </row>
    <row r="1317">
      <c r="B1317" s="30"/>
      <c r="D1317" s="30"/>
      <c r="M1317" s="30"/>
      <c r="N1317" s="98"/>
      <c r="O1317" s="98"/>
      <c r="T1317" s="30"/>
      <c r="Z1317" s="96"/>
    </row>
    <row r="1318">
      <c r="B1318" s="30"/>
      <c r="D1318" s="30"/>
      <c r="M1318" s="30"/>
      <c r="N1318" s="98"/>
      <c r="O1318" s="98"/>
      <c r="T1318" s="30"/>
      <c r="Z1318" s="96"/>
    </row>
    <row r="1319">
      <c r="B1319" s="30"/>
      <c r="D1319" s="30"/>
      <c r="M1319" s="30"/>
      <c r="N1319" s="98"/>
      <c r="O1319" s="98"/>
      <c r="T1319" s="30"/>
      <c r="Z1319" s="96"/>
    </row>
    <row r="1320">
      <c r="B1320" s="30"/>
      <c r="D1320" s="30"/>
      <c r="M1320" s="30"/>
      <c r="N1320" s="98"/>
      <c r="O1320" s="98"/>
      <c r="T1320" s="30"/>
      <c r="Z1320" s="96"/>
    </row>
    <row r="1321">
      <c r="B1321" s="30"/>
      <c r="D1321" s="30"/>
      <c r="M1321" s="30"/>
      <c r="N1321" s="98"/>
      <c r="O1321" s="98"/>
      <c r="T1321" s="30"/>
      <c r="Z1321" s="96"/>
    </row>
    <row r="1322">
      <c r="B1322" s="30"/>
      <c r="D1322" s="30"/>
      <c r="M1322" s="30"/>
      <c r="N1322" s="98"/>
      <c r="O1322" s="98"/>
      <c r="T1322" s="30"/>
      <c r="Z1322" s="96"/>
    </row>
    <row r="1323">
      <c r="B1323" s="30"/>
      <c r="D1323" s="30"/>
      <c r="M1323" s="30"/>
      <c r="N1323" s="98"/>
      <c r="O1323" s="98"/>
      <c r="T1323" s="30"/>
      <c r="Z1323" s="96"/>
    </row>
    <row r="1324">
      <c r="B1324" s="30"/>
      <c r="D1324" s="30"/>
      <c r="M1324" s="30"/>
      <c r="N1324" s="98"/>
      <c r="O1324" s="98"/>
      <c r="T1324" s="30"/>
      <c r="Z1324" s="96"/>
    </row>
    <row r="1325">
      <c r="B1325" s="30"/>
      <c r="D1325" s="30"/>
      <c r="M1325" s="30"/>
      <c r="N1325" s="98"/>
      <c r="O1325" s="98"/>
      <c r="T1325" s="30"/>
      <c r="Z1325" s="96"/>
    </row>
    <row r="1326">
      <c r="B1326" s="30"/>
      <c r="D1326" s="30"/>
      <c r="M1326" s="30"/>
      <c r="N1326" s="98"/>
      <c r="O1326" s="98"/>
      <c r="T1326" s="30"/>
      <c r="Z1326" s="96"/>
    </row>
    <row r="1327">
      <c r="B1327" s="30"/>
      <c r="D1327" s="30"/>
      <c r="M1327" s="30"/>
      <c r="N1327" s="98"/>
      <c r="O1327" s="98"/>
      <c r="T1327" s="30"/>
      <c r="Z1327" s="96"/>
    </row>
    <row r="1328">
      <c r="B1328" s="30"/>
      <c r="D1328" s="30"/>
      <c r="M1328" s="30"/>
      <c r="N1328" s="98"/>
      <c r="O1328" s="98"/>
      <c r="T1328" s="30"/>
      <c r="Z1328" s="96"/>
    </row>
    <row r="1329">
      <c r="B1329" s="30"/>
      <c r="D1329" s="30"/>
      <c r="M1329" s="30"/>
      <c r="N1329" s="98"/>
      <c r="O1329" s="98"/>
      <c r="T1329" s="30"/>
      <c r="Z1329" s="96"/>
    </row>
    <row r="1330">
      <c r="B1330" s="30"/>
      <c r="D1330" s="30"/>
      <c r="M1330" s="30"/>
      <c r="N1330" s="98"/>
      <c r="O1330" s="98"/>
      <c r="T1330" s="30"/>
      <c r="Z1330" s="96"/>
    </row>
    <row r="1331">
      <c r="B1331" s="30"/>
      <c r="D1331" s="30"/>
      <c r="M1331" s="30"/>
      <c r="N1331" s="98"/>
      <c r="O1331" s="98"/>
      <c r="T1331" s="30"/>
      <c r="Z1331" s="96"/>
    </row>
    <row r="1332">
      <c r="B1332" s="30"/>
      <c r="D1332" s="30"/>
      <c r="M1332" s="30"/>
      <c r="N1332" s="98"/>
      <c r="O1332" s="98"/>
      <c r="T1332" s="30"/>
      <c r="Z1332" s="96"/>
    </row>
    <row r="1333">
      <c r="B1333" s="30"/>
      <c r="D1333" s="30"/>
      <c r="M1333" s="30"/>
      <c r="N1333" s="98"/>
      <c r="O1333" s="98"/>
      <c r="T1333" s="30"/>
      <c r="Z1333" s="96"/>
    </row>
    <row r="1334">
      <c r="B1334" s="30"/>
      <c r="D1334" s="30"/>
      <c r="M1334" s="30"/>
      <c r="N1334" s="98"/>
      <c r="O1334" s="98"/>
      <c r="T1334" s="30"/>
      <c r="Z1334" s="96"/>
    </row>
    <row r="1335">
      <c r="B1335" s="30"/>
      <c r="D1335" s="30"/>
      <c r="M1335" s="30"/>
      <c r="N1335" s="98"/>
      <c r="O1335" s="98"/>
      <c r="T1335" s="30"/>
      <c r="Z1335" s="96"/>
    </row>
    <row r="1336">
      <c r="B1336" s="30"/>
      <c r="D1336" s="30"/>
      <c r="M1336" s="30"/>
      <c r="N1336" s="98"/>
      <c r="O1336" s="98"/>
      <c r="T1336" s="30"/>
      <c r="Z1336" s="96"/>
    </row>
    <row r="1337">
      <c r="B1337" s="30"/>
      <c r="D1337" s="30"/>
      <c r="M1337" s="30"/>
      <c r="N1337" s="98"/>
      <c r="O1337" s="98"/>
      <c r="T1337" s="30"/>
      <c r="Z1337" s="96"/>
    </row>
    <row r="1338">
      <c r="B1338" s="30"/>
      <c r="D1338" s="30"/>
      <c r="M1338" s="30"/>
      <c r="N1338" s="98"/>
      <c r="O1338" s="98"/>
      <c r="T1338" s="30"/>
      <c r="Z1338" s="96"/>
    </row>
    <row r="1339">
      <c r="B1339" s="30"/>
      <c r="D1339" s="30"/>
      <c r="M1339" s="30"/>
      <c r="N1339" s="98"/>
      <c r="O1339" s="98"/>
      <c r="T1339" s="30"/>
      <c r="Z1339" s="96"/>
    </row>
    <row r="1340">
      <c r="B1340" s="30"/>
      <c r="D1340" s="30"/>
      <c r="M1340" s="30"/>
      <c r="N1340" s="98"/>
      <c r="O1340" s="98"/>
      <c r="T1340" s="30"/>
      <c r="Z1340" s="96"/>
    </row>
    <row r="1341">
      <c r="B1341" s="30"/>
      <c r="D1341" s="30"/>
      <c r="M1341" s="30"/>
      <c r="N1341" s="98"/>
      <c r="O1341" s="98"/>
      <c r="T1341" s="30"/>
      <c r="Z1341" s="96"/>
    </row>
    <row r="1342">
      <c r="B1342" s="30"/>
      <c r="D1342" s="30"/>
      <c r="M1342" s="30"/>
      <c r="N1342" s="98"/>
      <c r="O1342" s="98"/>
      <c r="T1342" s="30"/>
      <c r="Z1342" s="96"/>
    </row>
    <row r="1343">
      <c r="B1343" s="30"/>
      <c r="D1343" s="30"/>
      <c r="M1343" s="30"/>
      <c r="N1343" s="98"/>
      <c r="O1343" s="98"/>
      <c r="T1343" s="30"/>
      <c r="Z1343" s="96"/>
    </row>
    <row r="1344">
      <c r="B1344" s="30"/>
      <c r="D1344" s="30"/>
      <c r="M1344" s="30"/>
      <c r="N1344" s="98"/>
      <c r="O1344" s="98"/>
      <c r="T1344" s="30"/>
      <c r="Z1344" s="96"/>
    </row>
    <row r="1345">
      <c r="B1345" s="30"/>
      <c r="D1345" s="30"/>
      <c r="M1345" s="30"/>
      <c r="N1345" s="98"/>
      <c r="O1345" s="98"/>
      <c r="T1345" s="30"/>
      <c r="Z1345" s="96"/>
    </row>
    <row r="1346">
      <c r="B1346" s="30"/>
      <c r="D1346" s="30"/>
      <c r="M1346" s="30"/>
      <c r="N1346" s="98"/>
      <c r="O1346" s="98"/>
      <c r="T1346" s="30"/>
      <c r="Z1346" s="96"/>
    </row>
    <row r="1347">
      <c r="B1347" s="30"/>
      <c r="D1347" s="30"/>
      <c r="M1347" s="30"/>
      <c r="N1347" s="98"/>
      <c r="O1347" s="98"/>
      <c r="T1347" s="30"/>
      <c r="Z1347" s="96"/>
    </row>
    <row r="1348">
      <c r="B1348" s="30"/>
      <c r="D1348" s="30"/>
      <c r="M1348" s="30"/>
      <c r="N1348" s="98"/>
      <c r="O1348" s="98"/>
      <c r="T1348" s="30"/>
      <c r="Z1348" s="96"/>
    </row>
    <row r="1349">
      <c r="B1349" s="30"/>
      <c r="D1349" s="30"/>
      <c r="M1349" s="30"/>
      <c r="N1349" s="98"/>
      <c r="O1349" s="98"/>
      <c r="T1349" s="30"/>
      <c r="Z1349" s="96"/>
    </row>
    <row r="1350">
      <c r="B1350" s="30"/>
      <c r="D1350" s="30"/>
      <c r="M1350" s="30"/>
      <c r="N1350" s="98"/>
      <c r="O1350" s="98"/>
      <c r="T1350" s="30"/>
      <c r="Z1350" s="96"/>
    </row>
    <row r="1351">
      <c r="B1351" s="30"/>
      <c r="D1351" s="30"/>
      <c r="M1351" s="30"/>
      <c r="N1351" s="98"/>
      <c r="O1351" s="98"/>
      <c r="T1351" s="30"/>
      <c r="Z1351" s="96"/>
    </row>
    <row r="1352">
      <c r="B1352" s="30"/>
      <c r="D1352" s="30"/>
      <c r="M1352" s="30"/>
      <c r="N1352" s="98"/>
      <c r="O1352" s="98"/>
      <c r="T1352" s="30"/>
      <c r="Z1352" s="96"/>
    </row>
    <row r="1353">
      <c r="B1353" s="30"/>
      <c r="D1353" s="30"/>
      <c r="M1353" s="30"/>
      <c r="N1353" s="98"/>
      <c r="O1353" s="98"/>
      <c r="T1353" s="30"/>
      <c r="Z1353" s="96"/>
    </row>
    <row r="1354">
      <c r="B1354" s="30"/>
      <c r="D1354" s="30"/>
      <c r="M1354" s="30"/>
      <c r="N1354" s="98"/>
      <c r="O1354" s="98"/>
      <c r="T1354" s="30"/>
      <c r="Z1354" s="96"/>
    </row>
    <row r="1355">
      <c r="B1355" s="30"/>
      <c r="D1355" s="30"/>
      <c r="M1355" s="30"/>
      <c r="N1355" s="98"/>
      <c r="O1355" s="98"/>
      <c r="T1355" s="30"/>
      <c r="Z1355" s="96"/>
    </row>
    <row r="1356">
      <c r="B1356" s="30"/>
      <c r="D1356" s="30"/>
      <c r="M1356" s="30"/>
      <c r="N1356" s="98"/>
      <c r="O1356" s="98"/>
      <c r="T1356" s="30"/>
      <c r="Z1356" s="96"/>
    </row>
    <row r="1357">
      <c r="B1357" s="30"/>
      <c r="D1357" s="30"/>
      <c r="M1357" s="30"/>
      <c r="N1357" s="98"/>
      <c r="O1357" s="98"/>
      <c r="T1357" s="30"/>
      <c r="Z1357" s="96"/>
    </row>
    <row r="1358">
      <c r="B1358" s="30"/>
      <c r="D1358" s="30"/>
      <c r="M1358" s="30"/>
      <c r="N1358" s="98"/>
      <c r="O1358" s="98"/>
      <c r="T1358" s="30"/>
      <c r="Z1358" s="96"/>
    </row>
    <row r="1359">
      <c r="B1359" s="30"/>
      <c r="D1359" s="30"/>
      <c r="M1359" s="30"/>
      <c r="N1359" s="98"/>
      <c r="O1359" s="98"/>
      <c r="T1359" s="30"/>
      <c r="Z1359" s="96"/>
    </row>
    <row r="1360">
      <c r="B1360" s="30"/>
      <c r="D1360" s="30"/>
      <c r="M1360" s="30"/>
      <c r="N1360" s="98"/>
      <c r="O1360" s="98"/>
      <c r="T1360" s="30"/>
      <c r="Z1360" s="96"/>
    </row>
    <row r="1361">
      <c r="B1361" s="30"/>
      <c r="D1361" s="30"/>
      <c r="M1361" s="30"/>
      <c r="N1361" s="98"/>
      <c r="O1361" s="98"/>
      <c r="T1361" s="30"/>
      <c r="Z1361" s="96"/>
    </row>
    <row r="1362">
      <c r="B1362" s="30"/>
      <c r="D1362" s="30"/>
      <c r="M1362" s="11"/>
      <c r="N1362" s="98"/>
      <c r="O1362" s="98"/>
      <c r="T1362" s="30"/>
      <c r="Z1362" s="96"/>
    </row>
    <row r="1363">
      <c r="B1363" s="30"/>
      <c r="D1363" s="30"/>
      <c r="M1363" s="11"/>
      <c r="N1363" s="98"/>
      <c r="O1363" s="98"/>
      <c r="T1363" s="30"/>
      <c r="Z1363" s="96"/>
    </row>
    <row r="1364">
      <c r="B1364" s="30"/>
      <c r="D1364" s="30"/>
      <c r="M1364" s="11"/>
      <c r="N1364" s="98"/>
      <c r="O1364" s="98"/>
      <c r="T1364" s="30"/>
      <c r="Z1364" s="96"/>
    </row>
    <row r="1365">
      <c r="B1365" s="30"/>
      <c r="D1365" s="30"/>
      <c r="M1365" s="11"/>
      <c r="N1365" s="98"/>
      <c r="O1365" s="98"/>
      <c r="T1365" s="30"/>
      <c r="Z1365" s="96"/>
    </row>
    <row r="1366">
      <c r="B1366" s="30"/>
      <c r="D1366" s="30"/>
      <c r="M1366" s="11"/>
      <c r="N1366" s="98"/>
      <c r="O1366" s="98"/>
      <c r="T1366" s="30"/>
      <c r="Z1366" s="96"/>
    </row>
    <row r="1367">
      <c r="B1367" s="30"/>
      <c r="D1367" s="30"/>
      <c r="M1367" s="11"/>
      <c r="N1367" s="98"/>
      <c r="O1367" s="98"/>
      <c r="T1367" s="30"/>
      <c r="Z1367" s="96"/>
    </row>
    <row r="1368">
      <c r="B1368" s="30"/>
      <c r="D1368" s="30"/>
      <c r="M1368" s="11"/>
      <c r="N1368" s="98"/>
      <c r="O1368" s="98"/>
      <c r="T1368" s="30"/>
      <c r="Z1368" s="96"/>
    </row>
    <row r="1369">
      <c r="B1369" s="30"/>
      <c r="D1369" s="30"/>
      <c r="M1369" s="11"/>
      <c r="N1369" s="98"/>
      <c r="O1369" s="98"/>
      <c r="T1369" s="30"/>
      <c r="Z1369" s="96"/>
    </row>
    <row r="1370">
      <c r="B1370" s="30"/>
      <c r="D1370" s="30"/>
      <c r="M1370" s="11"/>
      <c r="N1370" s="98"/>
      <c r="O1370" s="98"/>
      <c r="T1370" s="30"/>
      <c r="Z1370" s="96"/>
    </row>
    <row r="1371">
      <c r="B1371" s="30"/>
      <c r="D1371" s="30"/>
      <c r="M1371" s="11"/>
      <c r="N1371" s="98"/>
      <c r="O1371" s="98"/>
      <c r="T1371" s="30"/>
      <c r="Z1371" s="96"/>
    </row>
    <row r="1372">
      <c r="B1372" s="30"/>
      <c r="D1372" s="30"/>
      <c r="M1372" s="11"/>
      <c r="N1372" s="98"/>
      <c r="O1372" s="98"/>
      <c r="T1372" s="30"/>
      <c r="Z1372" s="96"/>
    </row>
    <row r="1373">
      <c r="B1373" s="30"/>
      <c r="D1373" s="30"/>
      <c r="M1373" s="11"/>
      <c r="N1373" s="98"/>
      <c r="O1373" s="98"/>
      <c r="T1373" s="30"/>
      <c r="Z1373" s="96"/>
    </row>
    <row r="1374">
      <c r="B1374" s="30"/>
      <c r="D1374" s="30"/>
      <c r="M1374" s="11"/>
      <c r="N1374" s="98"/>
      <c r="O1374" s="98"/>
      <c r="T1374" s="30"/>
      <c r="Z1374" s="96"/>
    </row>
    <row r="1375">
      <c r="B1375" s="30"/>
      <c r="D1375" s="30"/>
      <c r="M1375" s="11"/>
      <c r="N1375" s="98"/>
      <c r="O1375" s="98"/>
      <c r="T1375" s="30"/>
      <c r="Z1375" s="96"/>
    </row>
    <row r="1376">
      <c r="B1376" s="30"/>
      <c r="D1376" s="30"/>
      <c r="M1376" s="11"/>
      <c r="N1376" s="98"/>
      <c r="O1376" s="98"/>
      <c r="T1376" s="30"/>
      <c r="Z1376" s="96"/>
    </row>
    <row r="1377">
      <c r="B1377" s="30"/>
      <c r="D1377" s="30"/>
      <c r="M1377" s="11"/>
      <c r="N1377" s="98"/>
      <c r="O1377" s="98"/>
      <c r="T1377" s="30"/>
      <c r="Z1377" s="96"/>
    </row>
    <row r="1378">
      <c r="B1378" s="30"/>
      <c r="D1378" s="30"/>
      <c r="M1378" s="11"/>
      <c r="N1378" s="98"/>
      <c r="O1378" s="98"/>
      <c r="T1378" s="30"/>
      <c r="Z1378" s="96"/>
    </row>
    <row r="1379">
      <c r="B1379" s="30"/>
      <c r="D1379" s="30"/>
      <c r="M1379" s="11"/>
      <c r="N1379" s="98"/>
      <c r="O1379" s="98"/>
      <c r="T1379" s="30"/>
      <c r="Z1379" s="96"/>
    </row>
    <row r="1380">
      <c r="B1380" s="30"/>
      <c r="D1380" s="30"/>
      <c r="M1380" s="11"/>
      <c r="N1380" s="98"/>
      <c r="O1380" s="98"/>
      <c r="T1380" s="30"/>
      <c r="Z1380" s="96"/>
    </row>
    <row r="1381">
      <c r="B1381" s="30"/>
      <c r="D1381" s="30"/>
      <c r="M1381" s="11"/>
      <c r="N1381" s="98"/>
      <c r="O1381" s="98"/>
      <c r="T1381" s="30"/>
      <c r="Z1381" s="96"/>
    </row>
    <row r="1382">
      <c r="B1382" s="30"/>
      <c r="D1382" s="30"/>
      <c r="M1382" s="11"/>
      <c r="N1382" s="98"/>
      <c r="O1382" s="98"/>
      <c r="T1382" s="30"/>
      <c r="Z1382" s="96"/>
    </row>
    <row r="1383">
      <c r="B1383" s="30"/>
      <c r="D1383" s="30"/>
      <c r="M1383" s="11"/>
      <c r="N1383" s="98"/>
      <c r="O1383" s="98"/>
      <c r="T1383" s="30"/>
      <c r="Z1383" s="96"/>
    </row>
    <row r="1384">
      <c r="B1384" s="30"/>
      <c r="D1384" s="30"/>
      <c r="M1384" s="11"/>
      <c r="N1384" s="98"/>
      <c r="O1384" s="98"/>
      <c r="T1384" s="30"/>
      <c r="Z1384" s="96"/>
    </row>
    <row r="1385">
      <c r="B1385" s="30"/>
      <c r="D1385" s="30"/>
      <c r="M1385" s="11"/>
      <c r="N1385" s="98"/>
      <c r="O1385" s="98"/>
      <c r="T1385" s="30"/>
      <c r="Z1385" s="96"/>
    </row>
    <row r="1386">
      <c r="B1386" s="30"/>
      <c r="D1386" s="30"/>
      <c r="M1386" s="11"/>
      <c r="N1386" s="98"/>
      <c r="O1386" s="98"/>
      <c r="T1386" s="30"/>
      <c r="Z1386" s="96"/>
    </row>
    <row r="1387">
      <c r="B1387" s="30"/>
      <c r="D1387" s="30"/>
      <c r="M1387" s="11"/>
      <c r="N1387" s="98"/>
      <c r="O1387" s="98"/>
      <c r="T1387" s="30"/>
      <c r="Z1387" s="96"/>
    </row>
    <row r="1388">
      <c r="B1388" s="30"/>
      <c r="D1388" s="30"/>
      <c r="M1388" s="11"/>
      <c r="N1388" s="98"/>
      <c r="O1388" s="98"/>
      <c r="T1388" s="30"/>
      <c r="Z1388" s="96"/>
    </row>
    <row r="1389">
      <c r="B1389" s="30"/>
      <c r="D1389" s="30"/>
      <c r="M1389" s="11"/>
      <c r="N1389" s="98"/>
      <c r="O1389" s="98"/>
      <c r="T1389" s="30"/>
      <c r="Z1389" s="96"/>
    </row>
    <row r="1390">
      <c r="B1390" s="30"/>
      <c r="D1390" s="30"/>
      <c r="M1390" s="11"/>
      <c r="N1390" s="98"/>
      <c r="O1390" s="98"/>
      <c r="T1390" s="30"/>
      <c r="Z1390" s="96"/>
    </row>
    <row r="1391">
      <c r="B1391" s="30"/>
      <c r="D1391" s="30"/>
      <c r="M1391" s="11"/>
      <c r="N1391" s="98"/>
      <c r="O1391" s="98"/>
      <c r="T1391" s="30"/>
      <c r="Z1391" s="96"/>
    </row>
    <row r="1392">
      <c r="B1392" s="30"/>
      <c r="D1392" s="30"/>
      <c r="M1392" s="11"/>
      <c r="N1392" s="98"/>
      <c r="O1392" s="98"/>
      <c r="T1392" s="30"/>
      <c r="Z1392" s="96"/>
    </row>
    <row r="1393">
      <c r="B1393" s="30"/>
      <c r="D1393" s="30"/>
      <c r="M1393" s="11"/>
      <c r="N1393" s="98"/>
      <c r="O1393" s="98"/>
      <c r="T1393" s="30"/>
      <c r="Z1393" s="96"/>
    </row>
    <row r="1394">
      <c r="B1394" s="30"/>
      <c r="D1394" s="30"/>
      <c r="M1394" s="11"/>
      <c r="N1394" s="98"/>
      <c r="O1394" s="98"/>
      <c r="T1394" s="30"/>
      <c r="Z1394" s="96"/>
    </row>
    <row r="1395">
      <c r="B1395" s="30"/>
      <c r="D1395" s="30"/>
      <c r="M1395" s="11"/>
      <c r="N1395" s="98"/>
      <c r="O1395" s="98"/>
      <c r="T1395" s="30"/>
      <c r="Z1395" s="96"/>
    </row>
    <row r="1396">
      <c r="B1396" s="30"/>
      <c r="D1396" s="30"/>
      <c r="M1396" s="11"/>
      <c r="N1396" s="98"/>
      <c r="O1396" s="98"/>
      <c r="T1396" s="30"/>
      <c r="Z1396" s="96"/>
    </row>
    <row r="1397">
      <c r="B1397" s="30"/>
      <c r="D1397" s="30"/>
      <c r="M1397" s="11"/>
      <c r="N1397" s="98"/>
      <c r="O1397" s="98"/>
      <c r="T1397" s="30"/>
      <c r="Z1397" s="96"/>
    </row>
    <row r="1398">
      <c r="B1398" s="30"/>
      <c r="D1398" s="30"/>
      <c r="M1398" s="11"/>
      <c r="N1398" s="98"/>
      <c r="O1398" s="98"/>
      <c r="T1398" s="30"/>
      <c r="Z1398" s="96"/>
    </row>
    <row r="1399">
      <c r="B1399" s="30"/>
      <c r="D1399" s="30"/>
      <c r="M1399" s="11"/>
      <c r="N1399" s="98"/>
      <c r="O1399" s="98"/>
      <c r="T1399" s="30"/>
      <c r="Z1399" s="96"/>
    </row>
    <row r="1400">
      <c r="B1400" s="30"/>
      <c r="D1400" s="30"/>
      <c r="M1400" s="11"/>
      <c r="N1400" s="98"/>
      <c r="O1400" s="98"/>
      <c r="T1400" s="30"/>
      <c r="Z1400" s="96"/>
    </row>
    <row r="1401">
      <c r="B1401" s="30"/>
      <c r="D1401" s="30"/>
      <c r="M1401" s="11"/>
      <c r="N1401" s="98"/>
      <c r="O1401" s="98"/>
      <c r="T1401" s="30"/>
      <c r="Z1401" s="96"/>
    </row>
    <row r="1402">
      <c r="B1402" s="30"/>
      <c r="D1402" s="30"/>
      <c r="M1402" s="11"/>
      <c r="N1402" s="98"/>
      <c r="O1402" s="98"/>
      <c r="T1402" s="30"/>
      <c r="Z1402" s="96"/>
    </row>
    <row r="1403">
      <c r="B1403" s="30"/>
      <c r="D1403" s="30"/>
      <c r="M1403" s="11"/>
      <c r="N1403" s="98"/>
      <c r="O1403" s="98"/>
      <c r="T1403" s="30"/>
      <c r="Z1403" s="96"/>
    </row>
    <row r="1404">
      <c r="B1404" s="30"/>
      <c r="D1404" s="30"/>
      <c r="M1404" s="11"/>
      <c r="N1404" s="98"/>
      <c r="O1404" s="98"/>
      <c r="T1404" s="30"/>
      <c r="Z1404" s="96"/>
    </row>
    <row r="1405">
      <c r="B1405" s="30"/>
      <c r="D1405" s="30"/>
      <c r="M1405" s="11"/>
      <c r="N1405" s="98"/>
      <c r="O1405" s="98"/>
      <c r="T1405" s="30"/>
      <c r="Z1405" s="96"/>
    </row>
    <row r="1406">
      <c r="B1406" s="30"/>
      <c r="D1406" s="30"/>
      <c r="M1406" s="11"/>
      <c r="N1406" s="98"/>
      <c r="O1406" s="98"/>
      <c r="T1406" s="30"/>
      <c r="Z1406" s="96"/>
    </row>
    <row r="1407">
      <c r="B1407" s="30"/>
      <c r="D1407" s="30"/>
      <c r="M1407" s="11"/>
      <c r="N1407" s="98"/>
      <c r="O1407" s="98"/>
      <c r="T1407" s="30"/>
      <c r="Z1407" s="96"/>
    </row>
    <row r="1408">
      <c r="B1408" s="30"/>
      <c r="D1408" s="30"/>
      <c r="M1408" s="11"/>
      <c r="N1408" s="98"/>
      <c r="O1408" s="98"/>
      <c r="T1408" s="30"/>
      <c r="Z1408" s="96"/>
    </row>
    <row r="1409">
      <c r="B1409" s="30"/>
      <c r="D1409" s="30"/>
      <c r="M1409" s="11"/>
      <c r="N1409" s="98"/>
      <c r="O1409" s="98"/>
      <c r="T1409" s="30"/>
      <c r="Z1409" s="96"/>
    </row>
    <row r="1410">
      <c r="B1410" s="30"/>
      <c r="D1410" s="30"/>
      <c r="M1410" s="11"/>
      <c r="N1410" s="98"/>
      <c r="O1410" s="98"/>
      <c r="T1410" s="30"/>
      <c r="Z1410" s="96"/>
    </row>
    <row r="1411">
      <c r="B1411" s="30"/>
      <c r="D1411" s="30"/>
      <c r="M1411" s="11"/>
      <c r="N1411" s="98"/>
      <c r="O1411" s="98"/>
      <c r="T1411" s="30"/>
      <c r="Z1411" s="96"/>
    </row>
    <row r="1412">
      <c r="B1412" s="30"/>
      <c r="D1412" s="30"/>
      <c r="M1412" s="11"/>
      <c r="N1412" s="98"/>
      <c r="O1412" s="98"/>
      <c r="T1412" s="30"/>
      <c r="Z1412" s="96"/>
    </row>
    <row r="1413">
      <c r="B1413" s="30"/>
      <c r="D1413" s="30"/>
      <c r="M1413" s="11"/>
      <c r="N1413" s="98"/>
      <c r="O1413" s="98"/>
      <c r="T1413" s="30"/>
      <c r="Z1413" s="96"/>
    </row>
    <row r="1414">
      <c r="B1414" s="30"/>
      <c r="D1414" s="30"/>
      <c r="M1414" s="11"/>
      <c r="N1414" s="98"/>
      <c r="O1414" s="98"/>
      <c r="T1414" s="30"/>
      <c r="Z1414" s="96"/>
    </row>
    <row r="1415">
      <c r="B1415" s="30"/>
      <c r="D1415" s="30"/>
      <c r="M1415" s="11"/>
      <c r="N1415" s="98"/>
      <c r="O1415" s="98"/>
      <c r="T1415" s="30"/>
      <c r="Z1415" s="96"/>
    </row>
    <row r="1416">
      <c r="B1416" s="30"/>
      <c r="D1416" s="30"/>
      <c r="M1416" s="11"/>
      <c r="N1416" s="98"/>
      <c r="O1416" s="98"/>
      <c r="T1416" s="30"/>
      <c r="Z1416" s="96"/>
    </row>
    <row r="1417">
      <c r="B1417" s="30"/>
      <c r="D1417" s="30"/>
      <c r="M1417" s="11"/>
      <c r="N1417" s="98"/>
      <c r="O1417" s="98"/>
      <c r="T1417" s="30"/>
      <c r="Z1417" s="96"/>
    </row>
    <row r="1418">
      <c r="B1418" s="30"/>
      <c r="D1418" s="30"/>
      <c r="M1418" s="11"/>
      <c r="N1418" s="98"/>
      <c r="O1418" s="98"/>
      <c r="T1418" s="30"/>
      <c r="Z1418" s="96"/>
    </row>
    <row r="1419">
      <c r="B1419" s="30"/>
      <c r="D1419" s="30"/>
      <c r="M1419" s="11"/>
      <c r="N1419" s="98"/>
      <c r="O1419" s="98"/>
      <c r="T1419" s="30"/>
      <c r="Z1419" s="96"/>
    </row>
    <row r="1420">
      <c r="B1420" s="30"/>
      <c r="D1420" s="30"/>
      <c r="M1420" s="11"/>
      <c r="N1420" s="98"/>
      <c r="O1420" s="98"/>
      <c r="T1420" s="30"/>
      <c r="Z1420" s="96"/>
    </row>
    <row r="1421">
      <c r="B1421" s="30"/>
      <c r="D1421" s="30"/>
      <c r="M1421" s="11"/>
      <c r="N1421" s="98"/>
      <c r="O1421" s="98"/>
      <c r="T1421" s="30"/>
      <c r="Z1421" s="96"/>
    </row>
    <row r="1422">
      <c r="B1422" s="30"/>
      <c r="D1422" s="30"/>
      <c r="M1422" s="11"/>
      <c r="N1422" s="98"/>
      <c r="O1422" s="98"/>
      <c r="T1422" s="30"/>
      <c r="Z1422" s="96"/>
    </row>
    <row r="1423">
      <c r="B1423" s="30"/>
      <c r="D1423" s="30"/>
      <c r="M1423" s="11"/>
      <c r="N1423" s="98"/>
      <c r="O1423" s="98"/>
      <c r="T1423" s="30"/>
      <c r="Z1423" s="96"/>
    </row>
    <row r="1424">
      <c r="B1424" s="30"/>
      <c r="D1424" s="30"/>
      <c r="M1424" s="11"/>
      <c r="N1424" s="98"/>
      <c r="O1424" s="98"/>
      <c r="T1424" s="30"/>
      <c r="Z1424" s="96"/>
    </row>
    <row r="1425">
      <c r="B1425" s="30"/>
      <c r="D1425" s="30"/>
      <c r="M1425" s="11"/>
      <c r="N1425" s="98"/>
      <c r="O1425" s="98"/>
      <c r="T1425" s="30"/>
      <c r="Z1425" s="96"/>
    </row>
    <row r="1426">
      <c r="B1426" s="30"/>
      <c r="D1426" s="30"/>
      <c r="M1426" s="11"/>
      <c r="N1426" s="98"/>
      <c r="O1426" s="98"/>
      <c r="T1426" s="30"/>
      <c r="Z1426" s="96"/>
    </row>
    <row r="1427">
      <c r="B1427" s="30"/>
      <c r="D1427" s="30"/>
      <c r="M1427" s="11"/>
      <c r="N1427" s="98"/>
      <c r="O1427" s="98"/>
      <c r="T1427" s="30"/>
      <c r="Z1427" s="96"/>
    </row>
    <row r="1428">
      <c r="B1428" s="30"/>
      <c r="D1428" s="30"/>
      <c r="M1428" s="11"/>
      <c r="N1428" s="98"/>
      <c r="O1428" s="98"/>
      <c r="T1428" s="30"/>
      <c r="Z1428" s="96"/>
    </row>
    <row r="1429">
      <c r="B1429" s="30"/>
      <c r="D1429" s="30"/>
      <c r="M1429" s="11"/>
      <c r="N1429" s="98"/>
      <c r="O1429" s="98"/>
      <c r="T1429" s="30"/>
      <c r="Z1429" s="96"/>
    </row>
    <row r="1430">
      <c r="B1430" s="30"/>
      <c r="D1430" s="30"/>
      <c r="M1430" s="11"/>
      <c r="N1430" s="98"/>
      <c r="O1430" s="98"/>
      <c r="T1430" s="30"/>
      <c r="Z1430" s="96"/>
    </row>
    <row r="1431">
      <c r="B1431" s="30"/>
      <c r="D1431" s="30"/>
      <c r="M1431" s="11"/>
      <c r="N1431" s="98"/>
      <c r="O1431" s="98"/>
      <c r="T1431" s="30"/>
      <c r="Z1431" s="96"/>
    </row>
    <row r="1432">
      <c r="B1432" s="30"/>
      <c r="D1432" s="30"/>
      <c r="M1432" s="11"/>
      <c r="N1432" s="98"/>
      <c r="O1432" s="98"/>
      <c r="T1432" s="30"/>
      <c r="Z1432" s="96"/>
    </row>
    <row r="1433">
      <c r="B1433" s="30"/>
      <c r="D1433" s="30"/>
      <c r="M1433" s="11"/>
      <c r="N1433" s="98"/>
      <c r="O1433" s="98"/>
      <c r="T1433" s="30"/>
      <c r="Z1433" s="96"/>
    </row>
    <row r="1434">
      <c r="B1434" s="30"/>
      <c r="D1434" s="30"/>
      <c r="M1434" s="11"/>
      <c r="N1434" s="98"/>
      <c r="O1434" s="98"/>
      <c r="T1434" s="30"/>
      <c r="Z1434" s="96"/>
    </row>
    <row r="1435">
      <c r="B1435" s="30"/>
      <c r="D1435" s="30"/>
      <c r="M1435" s="11"/>
      <c r="N1435" s="98"/>
      <c r="O1435" s="98"/>
      <c r="T1435" s="30"/>
      <c r="Z1435" s="96"/>
    </row>
    <row r="1436">
      <c r="B1436" s="30"/>
      <c r="D1436" s="30"/>
      <c r="M1436" s="11"/>
      <c r="N1436" s="98"/>
      <c r="O1436" s="98"/>
      <c r="T1436" s="30"/>
      <c r="Z1436" s="96"/>
    </row>
    <row r="1437">
      <c r="B1437" s="30"/>
      <c r="D1437" s="30"/>
      <c r="M1437" s="11"/>
      <c r="N1437" s="98"/>
      <c r="O1437" s="98"/>
      <c r="T1437" s="30"/>
      <c r="Z1437" s="96"/>
    </row>
    <row r="1438">
      <c r="B1438" s="30"/>
      <c r="D1438" s="30"/>
      <c r="M1438" s="11"/>
      <c r="N1438" s="98"/>
      <c r="O1438" s="98"/>
      <c r="T1438" s="30"/>
      <c r="Z1438" s="96"/>
    </row>
    <row r="1439">
      <c r="B1439" s="30"/>
      <c r="D1439" s="30"/>
      <c r="M1439" s="11"/>
      <c r="N1439" s="98"/>
      <c r="O1439" s="98"/>
      <c r="T1439" s="30"/>
      <c r="Z1439" s="96"/>
    </row>
    <row r="1440">
      <c r="B1440" s="30"/>
      <c r="D1440" s="30"/>
      <c r="M1440" s="11"/>
      <c r="N1440" s="98"/>
      <c r="O1440" s="98"/>
      <c r="T1440" s="30"/>
      <c r="Z1440" s="96"/>
    </row>
    <row r="1441">
      <c r="B1441" s="30"/>
      <c r="D1441" s="30"/>
      <c r="M1441" s="11"/>
      <c r="N1441" s="98"/>
      <c r="O1441" s="98"/>
      <c r="T1441" s="30"/>
      <c r="Z1441" s="96"/>
    </row>
    <row r="1442">
      <c r="B1442" s="30"/>
      <c r="D1442" s="30"/>
      <c r="M1442" s="11"/>
      <c r="N1442" s="98"/>
      <c r="O1442" s="98"/>
      <c r="T1442" s="30"/>
      <c r="Z1442" s="96"/>
    </row>
    <row r="1443">
      <c r="B1443" s="30"/>
      <c r="D1443" s="30"/>
      <c r="M1443" s="11"/>
      <c r="N1443" s="98"/>
      <c r="O1443" s="98"/>
      <c r="T1443" s="30"/>
      <c r="Z1443" s="96"/>
    </row>
    <row r="1444">
      <c r="B1444" s="30"/>
      <c r="D1444" s="30"/>
      <c r="M1444" s="11"/>
      <c r="N1444" s="98"/>
      <c r="O1444" s="98"/>
      <c r="T1444" s="30"/>
      <c r="Z1444" s="96"/>
    </row>
    <row r="1445">
      <c r="B1445" s="30"/>
      <c r="D1445" s="30"/>
      <c r="M1445" s="11"/>
      <c r="N1445" s="98"/>
      <c r="O1445" s="98"/>
      <c r="T1445" s="30"/>
      <c r="Z1445" s="96"/>
    </row>
    <row r="1446">
      <c r="B1446" s="30"/>
      <c r="D1446" s="30"/>
      <c r="M1446" s="11"/>
      <c r="N1446" s="98"/>
      <c r="O1446" s="98"/>
      <c r="T1446" s="30"/>
      <c r="Z1446" s="96"/>
    </row>
    <row r="1447">
      <c r="B1447" s="30"/>
      <c r="D1447" s="30"/>
      <c r="M1447" s="11"/>
      <c r="N1447" s="98"/>
      <c r="O1447" s="98"/>
      <c r="T1447" s="30"/>
      <c r="Z1447" s="96"/>
    </row>
    <row r="1448">
      <c r="B1448" s="30"/>
      <c r="D1448" s="30"/>
      <c r="M1448" s="11"/>
      <c r="N1448" s="98"/>
      <c r="O1448" s="98"/>
      <c r="T1448" s="30"/>
      <c r="Z1448" s="96"/>
    </row>
    <row r="1449">
      <c r="B1449" s="30"/>
      <c r="D1449" s="30"/>
      <c r="M1449" s="11"/>
      <c r="N1449" s="98"/>
      <c r="O1449" s="98"/>
      <c r="T1449" s="30"/>
      <c r="Z1449" s="96"/>
    </row>
    <row r="1450">
      <c r="B1450" s="30"/>
      <c r="D1450" s="30"/>
      <c r="M1450" s="11"/>
      <c r="N1450" s="98"/>
      <c r="O1450" s="98"/>
      <c r="T1450" s="30"/>
      <c r="Z1450" s="96"/>
    </row>
    <row r="1451">
      <c r="B1451" s="30"/>
      <c r="D1451" s="30"/>
      <c r="M1451" s="11"/>
      <c r="N1451" s="98"/>
      <c r="O1451" s="98"/>
      <c r="T1451" s="30"/>
      <c r="Z1451" s="96"/>
    </row>
    <row r="1452">
      <c r="B1452" s="30"/>
      <c r="D1452" s="30"/>
      <c r="M1452" s="11"/>
      <c r="N1452" s="98"/>
      <c r="O1452" s="98"/>
      <c r="T1452" s="30"/>
      <c r="Z1452" s="96"/>
    </row>
    <row r="1453">
      <c r="B1453" s="30"/>
      <c r="D1453" s="30"/>
      <c r="M1453" s="11"/>
      <c r="N1453" s="98"/>
      <c r="O1453" s="98"/>
      <c r="T1453" s="30"/>
      <c r="Z1453" s="96"/>
    </row>
    <row r="1454">
      <c r="B1454" s="30"/>
      <c r="D1454" s="30"/>
      <c r="M1454" s="11"/>
      <c r="N1454" s="98"/>
      <c r="O1454" s="98"/>
      <c r="T1454" s="30"/>
      <c r="Z1454" s="96"/>
    </row>
    <row r="1455">
      <c r="B1455" s="30"/>
      <c r="D1455" s="30"/>
      <c r="M1455" s="11"/>
      <c r="N1455" s="98"/>
      <c r="O1455" s="98"/>
      <c r="T1455" s="30"/>
      <c r="Z1455" s="96"/>
    </row>
    <row r="1456">
      <c r="B1456" s="30"/>
      <c r="D1456" s="30"/>
      <c r="M1456" s="11"/>
      <c r="N1456" s="98"/>
      <c r="O1456" s="98"/>
      <c r="T1456" s="30"/>
      <c r="Z1456" s="96"/>
    </row>
    <row r="1457">
      <c r="B1457" s="30"/>
      <c r="D1457" s="30"/>
      <c r="M1457" s="11"/>
      <c r="N1457" s="98"/>
      <c r="O1457" s="98"/>
      <c r="T1457" s="30"/>
      <c r="Z1457" s="96"/>
    </row>
    <row r="1458">
      <c r="B1458" s="30"/>
      <c r="D1458" s="30"/>
      <c r="M1458" s="11"/>
      <c r="N1458" s="98"/>
      <c r="O1458" s="98"/>
      <c r="T1458" s="30"/>
      <c r="Z1458" s="96"/>
    </row>
    <row r="1459">
      <c r="B1459" s="30"/>
      <c r="D1459" s="30"/>
      <c r="M1459" s="11"/>
      <c r="N1459" s="98"/>
      <c r="O1459" s="98"/>
      <c r="T1459" s="30"/>
      <c r="Z1459" s="96"/>
    </row>
    <row r="1460">
      <c r="B1460" s="30"/>
      <c r="D1460" s="30"/>
      <c r="M1460" s="11"/>
      <c r="N1460" s="98"/>
      <c r="O1460" s="98"/>
      <c r="T1460" s="30"/>
      <c r="Z1460" s="96"/>
    </row>
    <row r="1461">
      <c r="B1461" s="30"/>
      <c r="D1461" s="30"/>
      <c r="M1461" s="11"/>
      <c r="N1461" s="98"/>
      <c r="O1461" s="98"/>
      <c r="T1461" s="30"/>
      <c r="Z1461" s="96"/>
    </row>
    <row r="1462">
      <c r="B1462" s="30"/>
      <c r="D1462" s="30"/>
      <c r="M1462" s="11"/>
      <c r="N1462" s="98"/>
      <c r="O1462" s="98"/>
      <c r="T1462" s="30"/>
      <c r="Z1462" s="96"/>
    </row>
    <row r="1463">
      <c r="B1463" s="30"/>
      <c r="D1463" s="30"/>
      <c r="M1463" s="11"/>
      <c r="N1463" s="98"/>
      <c r="O1463" s="98"/>
      <c r="T1463" s="30"/>
      <c r="Z1463" s="96"/>
    </row>
    <row r="1464">
      <c r="B1464" s="30"/>
      <c r="D1464" s="30"/>
      <c r="M1464" s="11"/>
      <c r="N1464" s="98"/>
      <c r="O1464" s="98"/>
      <c r="T1464" s="30"/>
      <c r="Z1464" s="96"/>
    </row>
    <row r="1465">
      <c r="B1465" s="30"/>
      <c r="D1465" s="30"/>
      <c r="M1465" s="11"/>
      <c r="N1465" s="98"/>
      <c r="O1465" s="98"/>
      <c r="T1465" s="30"/>
      <c r="Z1465" s="96"/>
    </row>
    <row r="1466">
      <c r="B1466" s="30"/>
      <c r="D1466" s="30"/>
      <c r="M1466" s="11"/>
      <c r="N1466" s="98"/>
      <c r="O1466" s="98"/>
      <c r="T1466" s="30"/>
      <c r="Z1466" s="96"/>
    </row>
    <row r="1467">
      <c r="B1467" s="30"/>
      <c r="D1467" s="30"/>
      <c r="M1467" s="11"/>
      <c r="N1467" s="98"/>
      <c r="O1467" s="98"/>
      <c r="T1467" s="30"/>
      <c r="Z1467" s="96"/>
    </row>
    <row r="1468">
      <c r="B1468" s="30"/>
      <c r="D1468" s="30"/>
      <c r="M1468" s="11"/>
      <c r="N1468" s="98"/>
      <c r="O1468" s="98"/>
      <c r="T1468" s="30"/>
      <c r="Z1468" s="96"/>
    </row>
    <row r="1469">
      <c r="B1469" s="30"/>
      <c r="D1469" s="30"/>
      <c r="M1469" s="11"/>
      <c r="N1469" s="98"/>
      <c r="O1469" s="98"/>
      <c r="T1469" s="30"/>
      <c r="Z1469" s="96"/>
    </row>
    <row r="1470">
      <c r="B1470" s="30"/>
      <c r="D1470" s="30"/>
      <c r="M1470" s="11"/>
      <c r="N1470" s="98"/>
      <c r="O1470" s="98"/>
      <c r="T1470" s="30"/>
      <c r="Z1470" s="96"/>
    </row>
    <row r="1471">
      <c r="B1471" s="30"/>
      <c r="D1471" s="30"/>
      <c r="M1471" s="11"/>
      <c r="N1471" s="98"/>
      <c r="O1471" s="98"/>
      <c r="T1471" s="30"/>
      <c r="Z1471" s="96"/>
    </row>
    <row r="1472">
      <c r="B1472" s="30"/>
      <c r="D1472" s="30"/>
      <c r="M1472" s="11"/>
      <c r="N1472" s="98"/>
      <c r="O1472" s="98"/>
      <c r="T1472" s="30"/>
      <c r="Z1472" s="96"/>
    </row>
    <row r="1473">
      <c r="B1473" s="30"/>
      <c r="D1473" s="30"/>
      <c r="M1473" s="11"/>
      <c r="N1473" s="98"/>
      <c r="O1473" s="98"/>
      <c r="T1473" s="30"/>
      <c r="Z1473" s="96"/>
    </row>
    <row r="1474">
      <c r="B1474" s="30"/>
      <c r="D1474" s="30"/>
      <c r="M1474" s="11"/>
      <c r="N1474" s="98"/>
      <c r="O1474" s="98"/>
      <c r="T1474" s="30"/>
      <c r="Z1474" s="96"/>
    </row>
    <row r="1475">
      <c r="B1475" s="30"/>
      <c r="D1475" s="30"/>
      <c r="M1475" s="11"/>
      <c r="N1475" s="98"/>
      <c r="O1475" s="98"/>
      <c r="T1475" s="30"/>
      <c r="Z1475" s="96"/>
    </row>
    <row r="1476">
      <c r="B1476" s="30"/>
      <c r="D1476" s="30"/>
      <c r="M1476" s="11"/>
      <c r="N1476" s="98"/>
      <c r="O1476" s="98"/>
      <c r="T1476" s="30"/>
      <c r="Z1476" s="96"/>
    </row>
    <row r="1477">
      <c r="B1477" s="30"/>
      <c r="D1477" s="30"/>
      <c r="M1477" s="11"/>
      <c r="N1477" s="98"/>
      <c r="O1477" s="98"/>
      <c r="T1477" s="30"/>
      <c r="Z1477" s="96"/>
    </row>
    <row r="1478">
      <c r="B1478" s="30"/>
      <c r="D1478" s="30"/>
      <c r="M1478" s="11"/>
      <c r="N1478" s="98"/>
      <c r="O1478" s="98"/>
      <c r="T1478" s="30"/>
      <c r="Z1478" s="96"/>
    </row>
    <row r="1479">
      <c r="B1479" s="30"/>
      <c r="D1479" s="30"/>
      <c r="M1479" s="11"/>
      <c r="N1479" s="98"/>
      <c r="O1479" s="98"/>
      <c r="T1479" s="30"/>
      <c r="Z1479" s="96"/>
    </row>
    <row r="1480">
      <c r="B1480" s="30"/>
      <c r="D1480" s="30"/>
      <c r="M1480" s="11"/>
      <c r="N1480" s="98"/>
      <c r="O1480" s="98"/>
      <c r="T1480" s="30"/>
      <c r="Z1480" s="96"/>
    </row>
    <row r="1481">
      <c r="B1481" s="30"/>
      <c r="D1481" s="30"/>
      <c r="M1481" s="11"/>
      <c r="N1481" s="98"/>
      <c r="O1481" s="98"/>
      <c r="T1481" s="30"/>
      <c r="Z1481" s="96"/>
    </row>
    <row r="1482">
      <c r="B1482" s="30"/>
      <c r="D1482" s="30"/>
      <c r="M1482" s="11"/>
      <c r="N1482" s="98"/>
      <c r="O1482" s="98"/>
      <c r="T1482" s="30"/>
      <c r="Z1482" s="96"/>
    </row>
    <row r="1483">
      <c r="B1483" s="30"/>
      <c r="D1483" s="30"/>
      <c r="M1483" s="11"/>
      <c r="N1483" s="98"/>
      <c r="O1483" s="98"/>
      <c r="T1483" s="30"/>
      <c r="Z1483" s="96"/>
    </row>
    <row r="1484">
      <c r="B1484" s="30"/>
      <c r="D1484" s="30"/>
      <c r="M1484" s="11"/>
      <c r="N1484" s="98"/>
      <c r="O1484" s="98"/>
      <c r="T1484" s="30"/>
      <c r="Z1484" s="96"/>
    </row>
    <row r="1485">
      <c r="B1485" s="30"/>
      <c r="D1485" s="30"/>
      <c r="M1485" s="11"/>
      <c r="N1485" s="98"/>
      <c r="O1485" s="98"/>
      <c r="T1485" s="30"/>
      <c r="Z1485" s="96"/>
    </row>
    <row r="1486">
      <c r="B1486" s="30"/>
      <c r="D1486" s="30"/>
      <c r="M1486" s="11"/>
      <c r="N1486" s="98"/>
      <c r="O1486" s="98"/>
      <c r="T1486" s="30"/>
      <c r="Z1486" s="96"/>
    </row>
    <row r="1487">
      <c r="B1487" s="30"/>
      <c r="D1487" s="30"/>
      <c r="M1487" s="11"/>
      <c r="N1487" s="98"/>
      <c r="O1487" s="98"/>
      <c r="T1487" s="30"/>
      <c r="Z1487" s="96"/>
    </row>
    <row r="1488">
      <c r="B1488" s="30"/>
      <c r="D1488" s="30"/>
      <c r="M1488" s="11"/>
      <c r="N1488" s="98"/>
      <c r="O1488" s="98"/>
      <c r="T1488" s="30"/>
      <c r="Z1488" s="96"/>
    </row>
    <row r="1489">
      <c r="B1489" s="30"/>
      <c r="D1489" s="30"/>
      <c r="M1489" s="11"/>
      <c r="N1489" s="98"/>
      <c r="O1489" s="98"/>
      <c r="T1489" s="30"/>
      <c r="Z1489" s="96"/>
    </row>
    <row r="1490">
      <c r="B1490" s="30"/>
      <c r="D1490" s="30"/>
      <c r="M1490" s="11"/>
      <c r="N1490" s="98"/>
      <c r="O1490" s="98"/>
      <c r="T1490" s="30"/>
      <c r="Z1490" s="96"/>
    </row>
    <row r="1491">
      <c r="B1491" s="30"/>
      <c r="D1491" s="30"/>
      <c r="M1491" s="11"/>
      <c r="N1491" s="98"/>
      <c r="O1491" s="98"/>
      <c r="T1491" s="30"/>
      <c r="Z1491" s="96"/>
    </row>
    <row r="1492">
      <c r="B1492" s="30"/>
      <c r="D1492" s="30"/>
      <c r="M1492" s="11"/>
      <c r="N1492" s="98"/>
      <c r="O1492" s="98"/>
      <c r="T1492" s="30"/>
      <c r="Z1492" s="96"/>
    </row>
    <row r="1493">
      <c r="B1493" s="30"/>
      <c r="D1493" s="30"/>
      <c r="M1493" s="11"/>
      <c r="N1493" s="98"/>
      <c r="O1493" s="98"/>
      <c r="T1493" s="30"/>
      <c r="Z1493" s="96"/>
    </row>
    <row r="1494">
      <c r="B1494" s="30"/>
      <c r="D1494" s="30"/>
      <c r="M1494" s="11"/>
      <c r="N1494" s="98"/>
      <c r="O1494" s="98"/>
      <c r="T1494" s="30"/>
      <c r="Z1494" s="96"/>
    </row>
    <row r="1495">
      <c r="B1495" s="30"/>
      <c r="D1495" s="30"/>
      <c r="M1495" s="11"/>
      <c r="N1495" s="98"/>
      <c r="O1495" s="98"/>
      <c r="T1495" s="30"/>
      <c r="Z1495" s="96"/>
    </row>
    <row r="1496">
      <c r="B1496" s="30"/>
      <c r="D1496" s="30"/>
      <c r="M1496" s="11"/>
      <c r="N1496" s="98"/>
      <c r="O1496" s="98"/>
      <c r="T1496" s="30"/>
      <c r="Z1496" s="96"/>
    </row>
    <row r="1497">
      <c r="B1497" s="30"/>
      <c r="D1497" s="30"/>
      <c r="M1497" s="11"/>
      <c r="N1497" s="98"/>
      <c r="O1497" s="98"/>
      <c r="T1497" s="30"/>
      <c r="Z1497" s="96"/>
    </row>
    <row r="1498">
      <c r="B1498" s="30"/>
      <c r="D1498" s="30"/>
      <c r="M1498" s="11"/>
      <c r="N1498" s="98"/>
      <c r="O1498" s="98"/>
      <c r="T1498" s="30"/>
      <c r="Z1498" s="96"/>
    </row>
    <row r="1499">
      <c r="B1499" s="30"/>
      <c r="D1499" s="30"/>
      <c r="M1499" s="11"/>
      <c r="N1499" s="98"/>
      <c r="O1499" s="98"/>
      <c r="T1499" s="30"/>
      <c r="Z1499" s="96"/>
    </row>
    <row r="1500">
      <c r="B1500" s="30"/>
      <c r="D1500" s="30"/>
      <c r="M1500" s="11"/>
      <c r="N1500" s="98"/>
      <c r="O1500" s="98"/>
      <c r="T1500" s="30"/>
      <c r="Z1500" s="96"/>
    </row>
    <row r="1501">
      <c r="B1501" s="30"/>
      <c r="D1501" s="30"/>
      <c r="M1501" s="11"/>
      <c r="N1501" s="98"/>
      <c r="O1501" s="98"/>
      <c r="T1501" s="30"/>
      <c r="Z1501" s="96"/>
    </row>
    <row r="1502">
      <c r="B1502" s="30"/>
      <c r="D1502" s="30"/>
      <c r="M1502" s="11"/>
      <c r="N1502" s="98"/>
      <c r="O1502" s="98"/>
      <c r="T1502" s="30"/>
      <c r="Z1502" s="96"/>
    </row>
    <row r="1503">
      <c r="B1503" s="30"/>
      <c r="D1503" s="30"/>
      <c r="M1503" s="11"/>
      <c r="N1503" s="98"/>
      <c r="O1503" s="98"/>
      <c r="T1503" s="30"/>
      <c r="Z1503" s="96"/>
    </row>
    <row r="1504">
      <c r="B1504" s="30"/>
      <c r="D1504" s="30"/>
      <c r="M1504" s="11"/>
      <c r="N1504" s="98"/>
      <c r="O1504" s="98"/>
      <c r="T1504" s="30"/>
      <c r="Z1504" s="96"/>
    </row>
    <row r="1505">
      <c r="B1505" s="30"/>
      <c r="D1505" s="30"/>
      <c r="M1505" s="11"/>
      <c r="N1505" s="98"/>
      <c r="O1505" s="98"/>
      <c r="T1505" s="30"/>
      <c r="Z1505" s="96"/>
    </row>
    <row r="1506">
      <c r="B1506" s="30"/>
      <c r="D1506" s="30"/>
      <c r="M1506" s="11"/>
      <c r="N1506" s="98"/>
      <c r="O1506" s="98"/>
      <c r="T1506" s="30"/>
      <c r="Z1506" s="96"/>
    </row>
    <row r="1507">
      <c r="B1507" s="30"/>
      <c r="D1507" s="30"/>
      <c r="M1507" s="11"/>
      <c r="N1507" s="98"/>
      <c r="O1507" s="98"/>
      <c r="T1507" s="30"/>
      <c r="Z1507" s="96"/>
    </row>
    <row r="1508">
      <c r="B1508" s="30"/>
      <c r="D1508" s="30"/>
      <c r="M1508" s="11"/>
      <c r="N1508" s="98"/>
      <c r="O1508" s="98"/>
      <c r="T1508" s="30"/>
      <c r="Z1508" s="96"/>
    </row>
    <row r="1509">
      <c r="B1509" s="30"/>
      <c r="D1509" s="30"/>
      <c r="M1509" s="11"/>
      <c r="N1509" s="98"/>
      <c r="O1509" s="98"/>
      <c r="T1509" s="30"/>
      <c r="Z1509" s="96"/>
    </row>
    <row r="1510">
      <c r="B1510" s="30"/>
      <c r="D1510" s="30"/>
      <c r="M1510" s="11"/>
      <c r="N1510" s="98"/>
      <c r="O1510" s="98"/>
      <c r="T1510" s="30"/>
      <c r="Z1510" s="96"/>
    </row>
    <row r="1511">
      <c r="B1511" s="30"/>
      <c r="D1511" s="30"/>
      <c r="M1511" s="11"/>
      <c r="N1511" s="98"/>
      <c r="O1511" s="98"/>
      <c r="T1511" s="30"/>
      <c r="Z1511" s="96"/>
    </row>
    <row r="1512">
      <c r="B1512" s="30"/>
      <c r="D1512" s="30"/>
      <c r="M1512" s="11"/>
      <c r="N1512" s="98"/>
      <c r="O1512" s="98"/>
      <c r="T1512" s="30"/>
      <c r="Z1512" s="96"/>
    </row>
    <row r="1513">
      <c r="B1513" s="30"/>
      <c r="D1513" s="30"/>
      <c r="M1513" s="11"/>
      <c r="N1513" s="98"/>
      <c r="O1513" s="98"/>
      <c r="T1513" s="30"/>
      <c r="Z1513" s="96"/>
    </row>
    <row r="1514">
      <c r="B1514" s="30"/>
      <c r="D1514" s="30"/>
      <c r="M1514" s="11"/>
      <c r="N1514" s="98"/>
      <c r="O1514" s="98"/>
      <c r="T1514" s="30"/>
      <c r="Z1514" s="96"/>
    </row>
    <row r="1515">
      <c r="B1515" s="30"/>
      <c r="D1515" s="30"/>
      <c r="M1515" s="11"/>
      <c r="N1515" s="98"/>
      <c r="O1515" s="98"/>
      <c r="T1515" s="30"/>
      <c r="Z1515" s="96"/>
    </row>
    <row r="1516">
      <c r="B1516" s="30"/>
      <c r="D1516" s="30"/>
      <c r="M1516" s="11"/>
      <c r="N1516" s="98"/>
      <c r="O1516" s="98"/>
      <c r="T1516" s="30"/>
      <c r="Z1516" s="96"/>
    </row>
    <row r="1517">
      <c r="B1517" s="30"/>
      <c r="D1517" s="30"/>
      <c r="M1517" s="11"/>
      <c r="N1517" s="98"/>
      <c r="O1517" s="98"/>
      <c r="T1517" s="30"/>
      <c r="Z1517" s="96"/>
    </row>
    <row r="1518">
      <c r="B1518" s="30"/>
      <c r="D1518" s="30"/>
      <c r="M1518" s="11"/>
      <c r="N1518" s="98"/>
      <c r="O1518" s="98"/>
      <c r="T1518" s="30"/>
      <c r="Z1518" s="96"/>
    </row>
    <row r="1519">
      <c r="B1519" s="30"/>
      <c r="D1519" s="30"/>
      <c r="M1519" s="11"/>
      <c r="N1519" s="98"/>
      <c r="O1519" s="98"/>
      <c r="T1519" s="30"/>
      <c r="Z1519" s="96"/>
    </row>
    <row r="1520">
      <c r="B1520" s="30"/>
      <c r="D1520" s="30"/>
      <c r="M1520" s="11"/>
      <c r="N1520" s="98"/>
      <c r="O1520" s="98"/>
      <c r="T1520" s="30"/>
      <c r="Z1520" s="96"/>
    </row>
    <row r="1521">
      <c r="B1521" s="30"/>
      <c r="D1521" s="30"/>
      <c r="M1521" s="11"/>
      <c r="N1521" s="98"/>
      <c r="O1521" s="98"/>
      <c r="T1521" s="30"/>
      <c r="Z1521" s="96"/>
    </row>
    <row r="1522">
      <c r="B1522" s="30"/>
      <c r="D1522" s="30"/>
      <c r="M1522" s="11"/>
      <c r="N1522" s="98"/>
      <c r="O1522" s="98"/>
      <c r="T1522" s="30"/>
      <c r="Z1522" s="96"/>
    </row>
    <row r="1523">
      <c r="B1523" s="30"/>
      <c r="D1523" s="30"/>
      <c r="M1523" s="11"/>
      <c r="N1523" s="98"/>
      <c r="O1523" s="98"/>
      <c r="T1523" s="30"/>
      <c r="Z1523" s="96"/>
    </row>
    <row r="1524">
      <c r="B1524" s="30"/>
      <c r="D1524" s="30"/>
      <c r="M1524" s="11"/>
      <c r="N1524" s="98"/>
      <c r="O1524" s="98"/>
      <c r="T1524" s="30"/>
      <c r="Z1524" s="96"/>
    </row>
    <row r="1525">
      <c r="B1525" s="30"/>
      <c r="D1525" s="30"/>
      <c r="M1525" s="11"/>
      <c r="N1525" s="98"/>
      <c r="O1525" s="98"/>
      <c r="T1525" s="30"/>
      <c r="Z1525" s="96"/>
    </row>
    <row r="1526">
      <c r="B1526" s="30"/>
      <c r="D1526" s="30"/>
      <c r="M1526" s="11"/>
      <c r="N1526" s="98"/>
      <c r="O1526" s="98"/>
      <c r="T1526" s="30"/>
      <c r="Z1526" s="96"/>
    </row>
    <row r="1527">
      <c r="B1527" s="30"/>
      <c r="D1527" s="30"/>
      <c r="M1527" s="11"/>
      <c r="N1527" s="98"/>
      <c r="O1527" s="98"/>
      <c r="T1527" s="30"/>
      <c r="Z1527" s="96"/>
    </row>
    <row r="1528">
      <c r="B1528" s="30"/>
      <c r="D1528" s="30"/>
      <c r="M1528" s="11"/>
      <c r="N1528" s="98"/>
      <c r="O1528" s="98"/>
      <c r="T1528" s="30"/>
      <c r="Z1528" s="96"/>
    </row>
    <row r="1529">
      <c r="B1529" s="30"/>
      <c r="D1529" s="30"/>
      <c r="M1529" s="11"/>
      <c r="N1529" s="98"/>
      <c r="O1529" s="98"/>
      <c r="T1529" s="30"/>
      <c r="Z1529" s="96"/>
    </row>
    <row r="1530">
      <c r="B1530" s="30"/>
      <c r="D1530" s="30"/>
      <c r="M1530" s="11"/>
      <c r="N1530" s="98"/>
      <c r="O1530" s="98"/>
      <c r="T1530" s="30"/>
      <c r="Z1530" s="96"/>
    </row>
    <row r="1531">
      <c r="B1531" s="30"/>
      <c r="D1531" s="30"/>
      <c r="M1531" s="11"/>
      <c r="N1531" s="98"/>
      <c r="O1531" s="98"/>
      <c r="T1531" s="30"/>
      <c r="Z1531" s="96"/>
    </row>
    <row r="1532">
      <c r="B1532" s="30"/>
      <c r="D1532" s="30"/>
      <c r="M1532" s="11"/>
      <c r="N1532" s="98"/>
      <c r="O1532" s="98"/>
      <c r="T1532" s="30"/>
      <c r="Z1532" s="96"/>
    </row>
    <row r="1533">
      <c r="B1533" s="30"/>
      <c r="D1533" s="30"/>
      <c r="M1533" s="11"/>
      <c r="N1533" s="98"/>
      <c r="O1533" s="98"/>
      <c r="T1533" s="30"/>
      <c r="Z1533" s="96"/>
    </row>
    <row r="1534">
      <c r="B1534" s="30"/>
      <c r="D1534" s="30"/>
      <c r="M1534" s="11"/>
      <c r="N1534" s="98"/>
      <c r="O1534" s="98"/>
      <c r="T1534" s="30"/>
      <c r="Z1534" s="96"/>
    </row>
    <row r="1535">
      <c r="B1535" s="30"/>
      <c r="D1535" s="30"/>
      <c r="M1535" s="11"/>
      <c r="N1535" s="98"/>
      <c r="O1535" s="98"/>
      <c r="T1535" s="30"/>
      <c r="Z1535" s="96"/>
    </row>
    <row r="1536">
      <c r="B1536" s="30"/>
      <c r="D1536" s="30"/>
      <c r="M1536" s="11"/>
      <c r="N1536" s="98"/>
      <c r="O1536" s="98"/>
      <c r="T1536" s="30"/>
      <c r="Z1536" s="96"/>
    </row>
    <row r="1537">
      <c r="B1537" s="30"/>
      <c r="D1537" s="30"/>
      <c r="M1537" s="11"/>
      <c r="N1537" s="98"/>
      <c r="O1537" s="98"/>
      <c r="T1537" s="30"/>
      <c r="Z1537" s="96"/>
    </row>
    <row r="1538">
      <c r="B1538" s="30"/>
      <c r="D1538" s="30"/>
      <c r="M1538" s="11"/>
      <c r="N1538" s="98"/>
      <c r="O1538" s="98"/>
      <c r="T1538" s="30"/>
      <c r="Z1538" s="96"/>
    </row>
    <row r="1539">
      <c r="B1539" s="30"/>
      <c r="D1539" s="30"/>
      <c r="M1539" s="11"/>
      <c r="N1539" s="98"/>
      <c r="O1539" s="98"/>
      <c r="T1539" s="30"/>
      <c r="Z1539" s="96"/>
    </row>
    <row r="1540">
      <c r="B1540" s="30"/>
      <c r="D1540" s="30"/>
      <c r="M1540" s="11"/>
      <c r="N1540" s="98"/>
      <c r="O1540" s="98"/>
      <c r="T1540" s="30"/>
      <c r="Z1540" s="96"/>
    </row>
    <row r="1541">
      <c r="B1541" s="30"/>
      <c r="D1541" s="30"/>
      <c r="M1541" s="11"/>
      <c r="N1541" s="98"/>
      <c r="O1541" s="98"/>
      <c r="T1541" s="30"/>
      <c r="Z1541" s="96"/>
    </row>
    <row r="1542">
      <c r="B1542" s="30"/>
      <c r="D1542" s="30"/>
      <c r="M1542" s="11"/>
      <c r="N1542" s="98"/>
      <c r="O1542" s="98"/>
      <c r="T1542" s="30"/>
      <c r="Z1542" s="96"/>
    </row>
    <row r="1543">
      <c r="B1543" s="30"/>
      <c r="D1543" s="30"/>
      <c r="M1543" s="11"/>
      <c r="N1543" s="98"/>
      <c r="O1543" s="98"/>
      <c r="T1543" s="30"/>
      <c r="Z1543" s="96"/>
    </row>
    <row r="1544">
      <c r="B1544" s="30"/>
      <c r="D1544" s="30"/>
      <c r="M1544" s="11"/>
      <c r="N1544" s="98"/>
      <c r="O1544" s="98"/>
      <c r="T1544" s="30"/>
      <c r="Z1544" s="96"/>
    </row>
    <row r="1545">
      <c r="B1545" s="30"/>
      <c r="D1545" s="30"/>
      <c r="M1545" s="11"/>
      <c r="N1545" s="98"/>
      <c r="O1545" s="98"/>
      <c r="T1545" s="30"/>
      <c r="Z1545" s="96"/>
    </row>
    <row r="1546">
      <c r="B1546" s="30"/>
      <c r="D1546" s="30"/>
      <c r="M1546" s="11"/>
      <c r="N1546" s="98"/>
      <c r="O1546" s="98"/>
      <c r="T1546" s="30"/>
      <c r="Z1546" s="96"/>
    </row>
    <row r="1547">
      <c r="B1547" s="30"/>
      <c r="D1547" s="30"/>
      <c r="M1547" s="11"/>
      <c r="N1547" s="98"/>
      <c r="O1547" s="98"/>
      <c r="T1547" s="30"/>
      <c r="Z1547" s="96"/>
    </row>
    <row r="1548">
      <c r="B1548" s="30"/>
      <c r="D1548" s="30"/>
      <c r="M1548" s="11"/>
      <c r="N1548" s="98"/>
      <c r="O1548" s="98"/>
      <c r="T1548" s="30"/>
      <c r="Z1548" s="96"/>
    </row>
    <row r="1549">
      <c r="B1549" s="30"/>
      <c r="D1549" s="30"/>
      <c r="M1549" s="11"/>
      <c r="N1549" s="98"/>
      <c r="O1549" s="98"/>
      <c r="T1549" s="30"/>
      <c r="Z1549" s="96"/>
    </row>
    <row r="1550">
      <c r="B1550" s="30"/>
      <c r="D1550" s="30"/>
      <c r="M1550" s="11"/>
      <c r="N1550" s="98"/>
      <c r="O1550" s="98"/>
      <c r="T1550" s="30"/>
      <c r="Z1550" s="96"/>
    </row>
    <row r="1551">
      <c r="B1551" s="30"/>
      <c r="D1551" s="30"/>
      <c r="M1551" s="11"/>
      <c r="N1551" s="98"/>
      <c r="O1551" s="98"/>
      <c r="T1551" s="30"/>
      <c r="Z1551" s="96"/>
    </row>
    <row r="1552">
      <c r="B1552" s="30"/>
      <c r="D1552" s="30"/>
      <c r="M1552" s="11"/>
      <c r="N1552" s="98"/>
      <c r="O1552" s="98"/>
      <c r="T1552" s="30"/>
      <c r="Z1552" s="96"/>
    </row>
    <row r="1553">
      <c r="B1553" s="30"/>
      <c r="D1553" s="30"/>
      <c r="M1553" s="11"/>
      <c r="N1553" s="98"/>
      <c r="O1553" s="98"/>
      <c r="T1553" s="30"/>
      <c r="Z1553" s="96"/>
    </row>
    <row r="1554">
      <c r="B1554" s="30"/>
      <c r="D1554" s="30"/>
      <c r="M1554" s="11"/>
      <c r="N1554" s="98"/>
      <c r="O1554" s="98"/>
      <c r="T1554" s="30"/>
      <c r="Z1554" s="96"/>
    </row>
    <row r="1555">
      <c r="B1555" s="30"/>
      <c r="D1555" s="30"/>
      <c r="M1555" s="11"/>
      <c r="N1555" s="98"/>
      <c r="O1555" s="98"/>
      <c r="T1555" s="30"/>
      <c r="Z1555" s="96"/>
    </row>
    <row r="1556">
      <c r="B1556" s="30"/>
      <c r="D1556" s="30"/>
      <c r="M1556" s="11"/>
      <c r="N1556" s="98"/>
      <c r="O1556" s="98"/>
      <c r="T1556" s="30"/>
      <c r="Z1556" s="96"/>
    </row>
    <row r="1557">
      <c r="B1557" s="30"/>
      <c r="D1557" s="30"/>
      <c r="M1557" s="11"/>
      <c r="N1557" s="98"/>
      <c r="O1557" s="98"/>
      <c r="T1557" s="30"/>
      <c r="Z1557" s="96"/>
    </row>
    <row r="1558">
      <c r="B1558" s="30"/>
      <c r="D1558" s="30"/>
      <c r="M1558" s="11"/>
      <c r="N1558" s="98"/>
      <c r="O1558" s="98"/>
      <c r="T1558" s="30"/>
      <c r="Z1558" s="96"/>
    </row>
    <row r="1559">
      <c r="B1559" s="30"/>
      <c r="D1559" s="30"/>
      <c r="M1559" s="11"/>
      <c r="N1559" s="98"/>
      <c r="O1559" s="98"/>
      <c r="T1559" s="30"/>
      <c r="Z1559" s="96"/>
    </row>
    <row r="1560">
      <c r="B1560" s="30"/>
      <c r="D1560" s="30"/>
      <c r="M1560" s="11"/>
      <c r="N1560" s="98"/>
      <c r="O1560" s="98"/>
      <c r="T1560" s="30"/>
      <c r="Z1560" s="96"/>
    </row>
    <row r="1561">
      <c r="B1561" s="30"/>
      <c r="D1561" s="30"/>
      <c r="M1561" s="11"/>
      <c r="N1561" s="98"/>
      <c r="O1561" s="98"/>
      <c r="T1561" s="30"/>
      <c r="Z1561" s="96"/>
    </row>
    <row r="1562">
      <c r="B1562" s="30"/>
      <c r="D1562" s="30"/>
      <c r="M1562" s="11"/>
      <c r="N1562" s="98"/>
      <c r="O1562" s="98"/>
      <c r="T1562" s="30"/>
      <c r="Z1562" s="96"/>
    </row>
    <row r="1563">
      <c r="B1563" s="30"/>
      <c r="D1563" s="30"/>
      <c r="M1563" s="11"/>
      <c r="N1563" s="98"/>
      <c r="O1563" s="98"/>
      <c r="T1563" s="30"/>
      <c r="Z1563" s="96"/>
    </row>
    <row r="1564">
      <c r="B1564" s="30"/>
      <c r="D1564" s="30"/>
      <c r="M1564" s="11"/>
      <c r="N1564" s="98"/>
      <c r="O1564" s="98"/>
      <c r="T1564" s="30"/>
      <c r="Z1564" s="96"/>
    </row>
    <row r="1565">
      <c r="B1565" s="30"/>
      <c r="D1565" s="30"/>
      <c r="M1565" s="11"/>
      <c r="N1565" s="98"/>
      <c r="O1565" s="98"/>
      <c r="T1565" s="30"/>
      <c r="Z1565" s="96"/>
    </row>
    <row r="1566">
      <c r="B1566" s="30"/>
      <c r="D1566" s="30"/>
      <c r="M1566" s="11"/>
      <c r="N1566" s="98"/>
      <c r="O1566" s="98"/>
      <c r="T1566" s="30"/>
      <c r="Z1566" s="96"/>
    </row>
    <row r="1567">
      <c r="B1567" s="30"/>
      <c r="D1567" s="30"/>
      <c r="M1567" s="11"/>
      <c r="N1567" s="98"/>
      <c r="O1567" s="98"/>
      <c r="T1567" s="30"/>
      <c r="Z1567" s="96"/>
    </row>
    <row r="1568">
      <c r="B1568" s="30"/>
      <c r="D1568" s="30"/>
      <c r="M1568" s="11"/>
      <c r="N1568" s="98"/>
      <c r="O1568" s="98"/>
      <c r="T1568" s="30"/>
      <c r="Z1568" s="96"/>
    </row>
    <row r="1569">
      <c r="B1569" s="30"/>
      <c r="D1569" s="30"/>
      <c r="M1569" s="11"/>
      <c r="N1569" s="98"/>
      <c r="O1569" s="98"/>
      <c r="T1569" s="30"/>
      <c r="Z1569" s="96"/>
    </row>
    <row r="1570">
      <c r="B1570" s="30"/>
      <c r="D1570" s="30"/>
      <c r="M1570" s="11"/>
      <c r="N1570" s="98"/>
      <c r="O1570" s="98"/>
      <c r="T1570" s="30"/>
      <c r="Z1570" s="96"/>
    </row>
    <row r="1571">
      <c r="B1571" s="30"/>
      <c r="D1571" s="30"/>
      <c r="M1571" s="11"/>
      <c r="N1571" s="98"/>
      <c r="O1571" s="98"/>
      <c r="T1571" s="30"/>
      <c r="Z1571" s="96"/>
    </row>
    <row r="1572">
      <c r="B1572" s="30"/>
      <c r="D1572" s="30"/>
      <c r="M1572" s="11"/>
      <c r="N1572" s="98"/>
      <c r="O1572" s="98"/>
      <c r="T1572" s="30"/>
      <c r="Z1572" s="96"/>
    </row>
    <row r="1573">
      <c r="B1573" s="30"/>
      <c r="D1573" s="30"/>
      <c r="M1573" s="11"/>
      <c r="N1573" s="98"/>
      <c r="O1573" s="98"/>
      <c r="T1573" s="30"/>
      <c r="Z1573" s="96"/>
    </row>
    <row r="1574">
      <c r="B1574" s="30"/>
      <c r="D1574" s="30"/>
      <c r="M1574" s="11"/>
      <c r="N1574" s="98"/>
      <c r="O1574" s="98"/>
      <c r="T1574" s="30"/>
      <c r="Z1574" s="96"/>
    </row>
    <row r="1575">
      <c r="B1575" s="30"/>
      <c r="D1575" s="30"/>
      <c r="M1575" s="11"/>
      <c r="N1575" s="98"/>
      <c r="O1575" s="98"/>
      <c r="T1575" s="30"/>
      <c r="Z1575" s="96"/>
    </row>
    <row r="1576">
      <c r="B1576" s="30"/>
      <c r="D1576" s="30"/>
      <c r="M1576" s="11"/>
      <c r="N1576" s="98"/>
      <c r="O1576" s="98"/>
      <c r="T1576" s="30"/>
      <c r="Z1576" s="96"/>
    </row>
    <row r="1577">
      <c r="B1577" s="30"/>
      <c r="D1577" s="30"/>
      <c r="M1577" s="11"/>
      <c r="N1577" s="98"/>
      <c r="O1577" s="98"/>
      <c r="T1577" s="30"/>
      <c r="Z1577" s="96"/>
    </row>
    <row r="1578">
      <c r="B1578" s="30"/>
      <c r="D1578" s="30"/>
      <c r="M1578" s="11"/>
      <c r="N1578" s="98"/>
      <c r="O1578" s="98"/>
      <c r="T1578" s="30"/>
      <c r="Z1578" s="96"/>
    </row>
    <row r="1579">
      <c r="B1579" s="30"/>
      <c r="D1579" s="30"/>
      <c r="M1579" s="11"/>
      <c r="N1579" s="98"/>
      <c r="O1579" s="98"/>
      <c r="T1579" s="30"/>
      <c r="Z1579" s="96"/>
    </row>
    <row r="1580">
      <c r="B1580" s="30"/>
      <c r="D1580" s="30"/>
      <c r="M1580" s="11"/>
      <c r="N1580" s="98"/>
      <c r="O1580" s="98"/>
      <c r="T1580" s="30"/>
      <c r="Z1580" s="96"/>
    </row>
    <row r="1581">
      <c r="B1581" s="30"/>
      <c r="D1581" s="30"/>
      <c r="M1581" s="11"/>
      <c r="N1581" s="98"/>
      <c r="O1581" s="98"/>
      <c r="T1581" s="30"/>
      <c r="Z1581" s="96"/>
    </row>
    <row r="1582">
      <c r="B1582" s="30"/>
      <c r="D1582" s="30"/>
      <c r="M1582" s="11"/>
      <c r="N1582" s="98"/>
      <c r="O1582" s="98"/>
      <c r="T1582" s="30"/>
      <c r="Z1582" s="96"/>
    </row>
    <row r="1583">
      <c r="B1583" s="30"/>
      <c r="D1583" s="30"/>
      <c r="M1583" s="11"/>
      <c r="N1583" s="86"/>
      <c r="O1583" s="98"/>
      <c r="T1583" s="30"/>
      <c r="Z1583" s="96"/>
    </row>
    <row r="1584">
      <c r="B1584" s="30"/>
      <c r="D1584" s="30"/>
      <c r="M1584" s="11"/>
      <c r="N1584" s="86"/>
      <c r="O1584" s="98"/>
      <c r="T1584" s="30"/>
      <c r="Z1584" s="96"/>
    </row>
    <row r="1585">
      <c r="B1585" s="30"/>
      <c r="D1585" s="30"/>
      <c r="M1585" s="11"/>
      <c r="N1585" s="86"/>
      <c r="O1585" s="98"/>
      <c r="T1585" s="30"/>
      <c r="Z1585" s="96"/>
    </row>
    <row r="1586">
      <c r="B1586" s="30"/>
      <c r="D1586" s="30"/>
      <c r="M1586" s="11"/>
      <c r="N1586" s="86"/>
      <c r="O1586" s="98"/>
      <c r="T1586" s="30"/>
      <c r="Z1586" s="96"/>
    </row>
    <row r="1587">
      <c r="B1587" s="30"/>
      <c r="D1587" s="30"/>
      <c r="M1587" s="11"/>
      <c r="N1587" s="86"/>
      <c r="O1587" s="98"/>
      <c r="T1587" s="30"/>
      <c r="Z1587" s="96"/>
    </row>
    <row r="1588">
      <c r="B1588" s="30"/>
      <c r="D1588" s="30"/>
      <c r="M1588" s="11"/>
      <c r="N1588" s="86"/>
      <c r="O1588" s="98"/>
      <c r="T1588" s="30"/>
      <c r="Z1588" s="96"/>
    </row>
    <row r="1589">
      <c r="B1589" s="30"/>
      <c r="D1589" s="30"/>
      <c r="M1589" s="11"/>
      <c r="N1589" s="86"/>
      <c r="O1589" s="98"/>
      <c r="T1589" s="30"/>
      <c r="Z1589" s="96"/>
    </row>
    <row r="1590">
      <c r="B1590" s="30"/>
      <c r="D1590" s="30"/>
      <c r="M1590" s="11"/>
      <c r="N1590" s="86"/>
      <c r="O1590" s="98"/>
      <c r="T1590" s="30"/>
      <c r="Z1590" s="96"/>
    </row>
    <row r="1591">
      <c r="B1591" s="30"/>
      <c r="D1591" s="30"/>
      <c r="M1591" s="11"/>
      <c r="N1591" s="86"/>
      <c r="O1591" s="98"/>
      <c r="T1591" s="30"/>
      <c r="Z1591" s="96"/>
    </row>
    <row r="1592">
      <c r="B1592" s="30"/>
      <c r="D1592" s="30"/>
      <c r="M1592" s="11"/>
      <c r="N1592" s="86"/>
      <c r="O1592" s="98"/>
      <c r="T1592" s="30"/>
      <c r="Z1592" s="96"/>
    </row>
    <row r="1593">
      <c r="B1593" s="30"/>
      <c r="D1593" s="30"/>
      <c r="M1593" s="11"/>
      <c r="N1593" s="86"/>
      <c r="O1593" s="98"/>
      <c r="T1593" s="30"/>
      <c r="Z1593" s="96"/>
    </row>
    <row r="1594">
      <c r="B1594" s="30"/>
      <c r="D1594" s="30"/>
      <c r="M1594" s="11"/>
      <c r="N1594" s="86"/>
      <c r="O1594" s="98"/>
      <c r="T1594" s="30"/>
      <c r="Z1594" s="96"/>
    </row>
    <row r="1595">
      <c r="B1595" s="30"/>
      <c r="D1595" s="30"/>
      <c r="M1595" s="11"/>
      <c r="N1595" s="86"/>
      <c r="O1595" s="98"/>
      <c r="T1595" s="30"/>
      <c r="Z1595" s="96"/>
    </row>
    <row r="1596">
      <c r="B1596" s="30"/>
      <c r="D1596" s="30"/>
      <c r="M1596" s="11"/>
      <c r="N1596" s="86"/>
      <c r="O1596" s="98"/>
      <c r="T1596" s="30"/>
      <c r="Z1596" s="96"/>
    </row>
    <row r="1597">
      <c r="B1597" s="30"/>
      <c r="D1597" s="30"/>
      <c r="M1597" s="11"/>
      <c r="N1597" s="86"/>
      <c r="O1597" s="98"/>
      <c r="T1597" s="30"/>
      <c r="Z1597" s="96"/>
    </row>
    <row r="1598">
      <c r="B1598" s="30"/>
      <c r="D1598" s="30"/>
      <c r="M1598" s="11"/>
      <c r="N1598" s="86"/>
      <c r="O1598" s="98"/>
      <c r="T1598" s="30"/>
      <c r="Z1598" s="96"/>
    </row>
    <row r="1599">
      <c r="B1599" s="30"/>
      <c r="D1599" s="30"/>
      <c r="M1599" s="11"/>
      <c r="N1599" s="86"/>
      <c r="O1599" s="98"/>
      <c r="T1599" s="30"/>
      <c r="Z1599" s="96"/>
    </row>
    <row r="1600">
      <c r="B1600" s="30"/>
      <c r="D1600" s="30"/>
      <c r="M1600" s="11"/>
      <c r="N1600" s="86"/>
      <c r="O1600" s="98"/>
      <c r="T1600" s="30"/>
      <c r="Z1600" s="96"/>
    </row>
    <row r="1601">
      <c r="B1601" s="30"/>
      <c r="D1601" s="30"/>
      <c r="M1601" s="11"/>
      <c r="N1601" s="86"/>
      <c r="O1601" s="98"/>
      <c r="T1601" s="30"/>
      <c r="Z1601" s="96"/>
    </row>
    <row r="1602">
      <c r="B1602" s="30"/>
      <c r="D1602" s="30"/>
      <c r="M1602" s="11"/>
      <c r="N1602" s="86"/>
      <c r="O1602" s="98"/>
      <c r="T1602" s="30"/>
      <c r="Z1602" s="96"/>
    </row>
    <row r="1603">
      <c r="B1603" s="30"/>
      <c r="D1603" s="30"/>
      <c r="M1603" s="11"/>
      <c r="N1603" s="86"/>
      <c r="O1603" s="98"/>
      <c r="T1603" s="30"/>
      <c r="Z1603" s="96"/>
    </row>
    <row r="1604">
      <c r="B1604" s="30"/>
      <c r="D1604" s="30"/>
      <c r="M1604" s="11"/>
      <c r="N1604" s="86"/>
      <c r="O1604" s="98"/>
      <c r="T1604" s="30"/>
      <c r="Z1604" s="96"/>
    </row>
    <row r="1605">
      <c r="B1605" s="30"/>
      <c r="D1605" s="30"/>
      <c r="M1605" s="11"/>
      <c r="N1605" s="86"/>
      <c r="O1605" s="98"/>
      <c r="T1605" s="30"/>
      <c r="Z1605" s="96"/>
    </row>
    <row r="1606">
      <c r="B1606" s="30"/>
      <c r="D1606" s="30"/>
      <c r="M1606" s="11"/>
      <c r="N1606" s="86"/>
      <c r="O1606" s="98"/>
      <c r="T1606" s="30"/>
      <c r="Z1606" s="96"/>
    </row>
    <row r="1607">
      <c r="B1607" s="30"/>
      <c r="D1607" s="30"/>
      <c r="M1607" s="11"/>
      <c r="N1607" s="86"/>
      <c r="O1607" s="98"/>
      <c r="T1607" s="30"/>
      <c r="Z1607" s="96"/>
    </row>
    <row r="1608">
      <c r="B1608" s="30"/>
      <c r="D1608" s="30"/>
      <c r="M1608" s="11"/>
      <c r="N1608" s="86"/>
      <c r="O1608" s="98"/>
      <c r="T1608" s="30"/>
      <c r="Z1608" s="96"/>
    </row>
    <row r="1609">
      <c r="B1609" s="30"/>
      <c r="D1609" s="30"/>
      <c r="M1609" s="11"/>
      <c r="N1609" s="86"/>
      <c r="O1609" s="98"/>
      <c r="T1609" s="30"/>
      <c r="Z1609" s="96"/>
    </row>
    <row r="1610">
      <c r="B1610" s="30"/>
      <c r="D1610" s="30"/>
      <c r="M1610" s="11"/>
      <c r="N1610" s="86"/>
      <c r="O1610" s="98"/>
      <c r="T1610" s="30"/>
      <c r="Z1610" s="96"/>
    </row>
    <row r="1611">
      <c r="B1611" s="30"/>
      <c r="D1611" s="30"/>
      <c r="M1611" s="11"/>
      <c r="N1611" s="86"/>
      <c r="O1611" s="98"/>
      <c r="T1611" s="30"/>
      <c r="Z1611" s="96"/>
    </row>
    <row r="1612">
      <c r="B1612" s="30"/>
      <c r="D1612" s="30"/>
      <c r="M1612" s="11"/>
      <c r="N1612" s="86"/>
      <c r="O1612" s="98"/>
      <c r="T1612" s="30"/>
      <c r="Z1612" s="96"/>
    </row>
    <row r="1613">
      <c r="B1613" s="30"/>
      <c r="D1613" s="30"/>
      <c r="M1613" s="11"/>
      <c r="N1613" s="86"/>
      <c r="O1613" s="98"/>
      <c r="T1613" s="30"/>
      <c r="Z1613" s="96"/>
    </row>
    <row r="1614">
      <c r="B1614" s="30"/>
      <c r="D1614" s="30"/>
      <c r="M1614" s="11"/>
      <c r="N1614" s="86"/>
      <c r="O1614" s="98"/>
      <c r="T1614" s="30"/>
      <c r="Z1614" s="96"/>
    </row>
    <row r="1615">
      <c r="B1615" s="30"/>
      <c r="D1615" s="30"/>
      <c r="M1615" s="11"/>
      <c r="N1615" s="86"/>
      <c r="O1615" s="98"/>
      <c r="T1615" s="30"/>
      <c r="Z1615" s="96"/>
    </row>
    <row r="1616">
      <c r="B1616" s="30"/>
      <c r="D1616" s="30"/>
      <c r="M1616" s="11"/>
      <c r="N1616" s="86"/>
      <c r="O1616" s="98"/>
      <c r="T1616" s="30"/>
      <c r="Z1616" s="96"/>
    </row>
    <row r="1617">
      <c r="B1617" s="30"/>
      <c r="D1617" s="30"/>
      <c r="M1617" s="11"/>
      <c r="N1617" s="86"/>
      <c r="O1617" s="98"/>
      <c r="T1617" s="30"/>
      <c r="Z1617" s="96"/>
    </row>
    <row r="1618">
      <c r="B1618" s="30"/>
      <c r="D1618" s="30"/>
      <c r="M1618" s="11"/>
      <c r="N1618" s="86"/>
      <c r="O1618" s="98"/>
      <c r="T1618" s="30"/>
      <c r="Z1618" s="96"/>
    </row>
    <row r="1619">
      <c r="B1619" s="30"/>
      <c r="D1619" s="30"/>
      <c r="M1619" s="11"/>
      <c r="N1619" s="86"/>
      <c r="O1619" s="98"/>
      <c r="T1619" s="30"/>
      <c r="Z1619" s="96"/>
    </row>
    <row r="1620">
      <c r="B1620" s="30"/>
      <c r="D1620" s="30"/>
      <c r="M1620" s="11"/>
      <c r="N1620" s="86"/>
      <c r="O1620" s="98"/>
      <c r="T1620" s="30"/>
      <c r="Z1620" s="96"/>
    </row>
    <row r="1621">
      <c r="B1621" s="30"/>
      <c r="D1621" s="30"/>
      <c r="M1621" s="11"/>
      <c r="N1621" s="86"/>
      <c r="O1621" s="98"/>
      <c r="T1621" s="30"/>
      <c r="Z1621" s="96"/>
    </row>
    <row r="1622">
      <c r="B1622" s="30"/>
      <c r="D1622" s="30"/>
      <c r="M1622" s="11"/>
      <c r="N1622" s="86"/>
      <c r="O1622" s="98"/>
      <c r="T1622" s="30"/>
      <c r="Z1622" s="96"/>
    </row>
    <row r="1623">
      <c r="B1623" s="30"/>
      <c r="D1623" s="30"/>
      <c r="M1623" s="11"/>
      <c r="N1623" s="86"/>
      <c r="O1623" s="98"/>
      <c r="T1623" s="30"/>
      <c r="Z1623" s="96"/>
    </row>
    <row r="1624">
      <c r="B1624" s="30"/>
      <c r="D1624" s="30"/>
      <c r="M1624" s="11"/>
      <c r="N1624" s="86"/>
      <c r="O1624" s="98"/>
      <c r="T1624" s="30"/>
      <c r="Z1624" s="96"/>
    </row>
    <row r="1625">
      <c r="B1625" s="30"/>
      <c r="D1625" s="30"/>
      <c r="M1625" s="11"/>
      <c r="N1625" s="86"/>
      <c r="O1625" s="98"/>
      <c r="T1625" s="30"/>
      <c r="Z1625" s="96"/>
    </row>
    <row r="1626">
      <c r="M1626" s="11"/>
      <c r="N1626" s="86"/>
      <c r="O1626" s="98"/>
      <c r="T1626" s="30"/>
      <c r="Z1626" s="96"/>
    </row>
    <row r="1627">
      <c r="M1627" s="11"/>
      <c r="N1627" s="86"/>
      <c r="O1627" s="98"/>
      <c r="T1627" s="30"/>
      <c r="Z1627" s="96"/>
    </row>
    <row r="1628">
      <c r="M1628" s="11"/>
      <c r="N1628" s="86"/>
      <c r="O1628" s="98"/>
      <c r="T1628" s="30"/>
      <c r="Z1628" s="96"/>
    </row>
    <row r="1629">
      <c r="M1629" s="11"/>
      <c r="N1629" s="86"/>
      <c r="O1629" s="98"/>
      <c r="T1629" s="30"/>
      <c r="Z1629" s="96"/>
    </row>
    <row r="1630">
      <c r="M1630" s="11"/>
      <c r="N1630" s="86"/>
      <c r="O1630" s="98"/>
      <c r="T1630" s="30"/>
      <c r="Z1630" s="96"/>
    </row>
    <row r="1631">
      <c r="M1631" s="11"/>
      <c r="N1631" s="86"/>
      <c r="O1631" s="98"/>
      <c r="T1631" s="30"/>
      <c r="Z1631" s="96"/>
    </row>
    <row r="1632">
      <c r="M1632" s="11"/>
      <c r="N1632" s="86"/>
      <c r="O1632" s="98"/>
      <c r="T1632" s="30"/>
      <c r="Z1632" s="96"/>
    </row>
    <row r="1633">
      <c r="M1633" s="11"/>
      <c r="N1633" s="86"/>
      <c r="O1633" s="98"/>
      <c r="T1633" s="30"/>
      <c r="Z1633" s="96"/>
    </row>
    <row r="1634">
      <c r="M1634" s="11"/>
      <c r="N1634" s="86"/>
      <c r="O1634" s="98"/>
      <c r="T1634" s="30"/>
      <c r="Z1634" s="96"/>
    </row>
    <row r="1635">
      <c r="M1635" s="11"/>
      <c r="N1635" s="86"/>
      <c r="O1635" s="98"/>
      <c r="T1635" s="30"/>
      <c r="Z1635" s="96"/>
    </row>
    <row r="1636">
      <c r="M1636" s="11"/>
      <c r="N1636" s="86"/>
      <c r="O1636" s="98"/>
      <c r="T1636" s="30"/>
      <c r="Z1636" s="96"/>
    </row>
    <row r="1637">
      <c r="M1637" s="11"/>
      <c r="N1637" s="86"/>
      <c r="O1637" s="98"/>
      <c r="T1637" s="30"/>
      <c r="Z1637" s="96"/>
    </row>
    <row r="1638">
      <c r="M1638" s="11"/>
      <c r="N1638" s="86"/>
      <c r="O1638" s="98"/>
      <c r="T1638" s="30"/>
      <c r="Z1638" s="96"/>
    </row>
    <row r="1639">
      <c r="M1639" s="11"/>
      <c r="N1639" s="86"/>
      <c r="O1639" s="98"/>
      <c r="T1639" s="30"/>
      <c r="Z1639" s="96"/>
    </row>
    <row r="1640">
      <c r="M1640" s="11"/>
      <c r="N1640" s="86"/>
      <c r="O1640" s="98"/>
      <c r="T1640" s="30"/>
      <c r="Z1640" s="96"/>
    </row>
    <row r="1641">
      <c r="M1641" s="11"/>
      <c r="N1641" s="86"/>
      <c r="O1641" s="98"/>
      <c r="T1641" s="30"/>
      <c r="Z1641" s="96"/>
    </row>
    <row r="1642">
      <c r="M1642" s="11"/>
      <c r="N1642" s="86"/>
      <c r="O1642" s="98"/>
      <c r="T1642" s="30"/>
      <c r="Z1642" s="96"/>
    </row>
    <row r="1643">
      <c r="M1643" s="11"/>
      <c r="N1643" s="86"/>
      <c r="O1643" s="98"/>
      <c r="T1643" s="30"/>
      <c r="Z1643" s="96"/>
    </row>
    <row r="1644">
      <c r="M1644" s="11"/>
      <c r="N1644" s="86"/>
      <c r="O1644" s="98"/>
      <c r="T1644" s="30"/>
      <c r="Z1644" s="96"/>
    </row>
    <row r="1645">
      <c r="M1645" s="11"/>
      <c r="N1645" s="86"/>
      <c r="O1645" s="98"/>
      <c r="T1645" s="30"/>
      <c r="Z1645" s="96"/>
    </row>
    <row r="1646">
      <c r="M1646" s="11"/>
      <c r="N1646" s="86"/>
      <c r="O1646" s="98"/>
      <c r="T1646" s="30"/>
      <c r="Z1646" s="96"/>
    </row>
    <row r="1647">
      <c r="M1647" s="11"/>
      <c r="N1647" s="86"/>
      <c r="O1647" s="98"/>
      <c r="T1647" s="30"/>
      <c r="Z1647" s="96"/>
    </row>
    <row r="1648">
      <c r="M1648" s="11"/>
      <c r="N1648" s="86"/>
      <c r="O1648" s="98"/>
      <c r="T1648" s="30"/>
      <c r="Z1648" s="96"/>
    </row>
    <row r="1649">
      <c r="M1649" s="11"/>
      <c r="N1649" s="86"/>
      <c r="O1649" s="98"/>
      <c r="T1649" s="30"/>
      <c r="Z1649" s="96"/>
    </row>
    <row r="1650">
      <c r="M1650" s="11"/>
      <c r="N1650" s="86"/>
      <c r="O1650" s="98"/>
      <c r="T1650" s="30"/>
      <c r="Z1650" s="96"/>
    </row>
    <row r="1651">
      <c r="M1651" s="11"/>
      <c r="N1651" s="86"/>
      <c r="O1651" s="98"/>
      <c r="T1651" s="30"/>
      <c r="Z1651" s="96"/>
    </row>
    <row r="1652">
      <c r="M1652" s="11"/>
      <c r="N1652" s="86"/>
      <c r="O1652" s="98"/>
      <c r="T1652" s="30"/>
      <c r="Z1652" s="96"/>
    </row>
    <row r="1653">
      <c r="M1653" s="11"/>
      <c r="N1653" s="86"/>
      <c r="O1653" s="98"/>
      <c r="T1653" s="30"/>
      <c r="Z1653" s="96"/>
    </row>
    <row r="1654">
      <c r="M1654" s="11"/>
      <c r="N1654" s="86"/>
      <c r="O1654" s="98"/>
      <c r="T1654" s="30"/>
      <c r="Z1654" s="96"/>
    </row>
    <row r="1655">
      <c r="M1655" s="11"/>
      <c r="N1655" s="86"/>
      <c r="O1655" s="98"/>
      <c r="T1655" s="30"/>
      <c r="Z1655" s="96"/>
    </row>
    <row r="1656">
      <c r="M1656" s="11"/>
      <c r="N1656" s="86"/>
      <c r="O1656" s="98"/>
      <c r="T1656" s="30"/>
      <c r="Z1656" s="96"/>
    </row>
    <row r="1657">
      <c r="M1657" s="11"/>
      <c r="N1657" s="86"/>
      <c r="O1657" s="98"/>
      <c r="T1657" s="30"/>
      <c r="Z1657" s="96"/>
    </row>
    <row r="1658">
      <c r="M1658" s="11"/>
      <c r="N1658" s="86"/>
      <c r="O1658" s="98"/>
      <c r="T1658" s="30"/>
      <c r="Z1658" s="96"/>
    </row>
    <row r="1659">
      <c r="M1659" s="11"/>
      <c r="N1659" s="86"/>
      <c r="O1659" s="98"/>
      <c r="T1659" s="30"/>
      <c r="Z1659" s="96"/>
    </row>
    <row r="1660">
      <c r="M1660" s="11"/>
      <c r="N1660" s="86"/>
      <c r="O1660" s="98"/>
      <c r="T1660" s="30"/>
      <c r="Z1660" s="96"/>
    </row>
    <row r="1661">
      <c r="M1661" s="11"/>
      <c r="N1661" s="86"/>
      <c r="O1661" s="98"/>
      <c r="T1661" s="30"/>
      <c r="Z1661" s="96"/>
    </row>
    <row r="1662">
      <c r="M1662" s="11"/>
      <c r="N1662" s="86"/>
      <c r="O1662" s="98"/>
      <c r="T1662" s="30"/>
      <c r="Z1662" s="96"/>
    </row>
    <row r="1663">
      <c r="M1663" s="11"/>
      <c r="N1663" s="86"/>
      <c r="O1663" s="98"/>
      <c r="T1663" s="30"/>
      <c r="Z1663" s="96"/>
    </row>
    <row r="1664">
      <c r="M1664" s="11"/>
      <c r="N1664" s="86"/>
      <c r="O1664" s="98"/>
      <c r="T1664" s="30"/>
      <c r="Z1664" s="96"/>
    </row>
    <row r="1665">
      <c r="M1665" s="11"/>
      <c r="N1665" s="86"/>
      <c r="O1665" s="98"/>
      <c r="T1665" s="30"/>
      <c r="Z1665" s="96"/>
    </row>
    <row r="1666">
      <c r="M1666" s="11"/>
      <c r="N1666" s="86"/>
      <c r="O1666" s="98"/>
      <c r="T1666" s="30"/>
      <c r="Z1666" s="96"/>
    </row>
    <row r="1667">
      <c r="M1667" s="11"/>
      <c r="N1667" s="86"/>
      <c r="O1667" s="98"/>
      <c r="T1667" s="30"/>
      <c r="Z1667" s="96"/>
    </row>
    <row r="1668">
      <c r="M1668" s="11"/>
      <c r="N1668" s="86"/>
      <c r="O1668" s="98"/>
      <c r="T1668" s="30"/>
      <c r="Z1668" s="96"/>
    </row>
    <row r="1669">
      <c r="M1669" s="11"/>
      <c r="N1669" s="86"/>
      <c r="O1669" s="98"/>
      <c r="T1669" s="30"/>
      <c r="Z1669" s="96"/>
    </row>
    <row r="1670">
      <c r="M1670" s="11"/>
      <c r="N1670" s="86"/>
      <c r="O1670" s="98"/>
      <c r="T1670" s="30"/>
      <c r="Z1670" s="96"/>
    </row>
    <row r="1671">
      <c r="M1671" s="11"/>
      <c r="N1671" s="86"/>
      <c r="O1671" s="98"/>
      <c r="T1671" s="30"/>
      <c r="Z1671" s="96"/>
    </row>
    <row r="1672">
      <c r="M1672" s="11"/>
      <c r="N1672" s="86"/>
      <c r="O1672" s="98"/>
      <c r="T1672" s="30"/>
      <c r="Z1672" s="96"/>
    </row>
    <row r="1673">
      <c r="M1673" s="11"/>
      <c r="N1673" s="86"/>
      <c r="O1673" s="98"/>
      <c r="T1673" s="30"/>
      <c r="Z1673" s="96"/>
    </row>
    <row r="1674">
      <c r="M1674" s="11"/>
      <c r="N1674" s="86"/>
      <c r="O1674" s="98"/>
      <c r="T1674" s="30"/>
      <c r="Z1674" s="96"/>
    </row>
    <row r="1675">
      <c r="M1675" s="11"/>
      <c r="N1675" s="86"/>
      <c r="O1675" s="98"/>
      <c r="T1675" s="30"/>
      <c r="Z1675" s="96"/>
    </row>
    <row r="1676">
      <c r="M1676" s="11"/>
      <c r="N1676" s="86"/>
      <c r="O1676" s="98"/>
      <c r="T1676" s="30"/>
      <c r="Z1676" s="96"/>
    </row>
    <row r="1677">
      <c r="M1677" s="11"/>
      <c r="N1677" s="86"/>
      <c r="O1677" s="98"/>
      <c r="T1677" s="30"/>
      <c r="Z1677" s="96"/>
    </row>
    <row r="1678">
      <c r="M1678" s="11"/>
      <c r="N1678" s="86"/>
      <c r="O1678" s="98"/>
      <c r="T1678" s="30"/>
      <c r="Z1678" s="96"/>
    </row>
    <row r="1679">
      <c r="M1679" s="11"/>
      <c r="N1679" s="86"/>
      <c r="O1679" s="98"/>
      <c r="T1679" s="30"/>
      <c r="Z1679" s="96"/>
    </row>
    <row r="1680">
      <c r="M1680" s="11"/>
      <c r="N1680" s="86"/>
      <c r="O1680" s="98"/>
      <c r="T1680" s="30"/>
      <c r="Z1680" s="96"/>
    </row>
    <row r="1681">
      <c r="M1681" s="11"/>
      <c r="N1681" s="86"/>
      <c r="O1681" s="98"/>
      <c r="T1681" s="30"/>
      <c r="Z1681" s="96"/>
    </row>
    <row r="1682">
      <c r="M1682" s="11"/>
      <c r="N1682" s="86"/>
      <c r="O1682" s="98"/>
      <c r="T1682" s="30"/>
      <c r="Z1682" s="96"/>
    </row>
    <row r="1683">
      <c r="M1683" s="11"/>
      <c r="N1683" s="86"/>
      <c r="O1683" s="98"/>
      <c r="T1683" s="30"/>
      <c r="Z1683" s="96"/>
    </row>
    <row r="1684">
      <c r="M1684" s="11"/>
      <c r="N1684" s="86"/>
      <c r="O1684" s="98"/>
      <c r="T1684" s="30"/>
      <c r="Z1684" s="96"/>
    </row>
    <row r="1685">
      <c r="M1685" s="11"/>
      <c r="N1685" s="86"/>
      <c r="O1685" s="98"/>
      <c r="T1685" s="30"/>
      <c r="Z1685" s="96"/>
    </row>
    <row r="1686">
      <c r="M1686" s="11"/>
      <c r="N1686" s="86"/>
      <c r="O1686" s="98"/>
      <c r="T1686" s="30"/>
      <c r="Z1686" s="96"/>
    </row>
    <row r="1687">
      <c r="M1687" s="11"/>
      <c r="N1687" s="86"/>
      <c r="O1687" s="98"/>
      <c r="T1687" s="30"/>
      <c r="Z1687" s="96"/>
    </row>
    <row r="1688">
      <c r="M1688" s="11"/>
      <c r="N1688" s="86"/>
      <c r="O1688" s="98"/>
      <c r="T1688" s="30"/>
      <c r="Z1688" s="96"/>
    </row>
    <row r="1689">
      <c r="M1689" s="11"/>
      <c r="N1689" s="86"/>
      <c r="O1689" s="98"/>
      <c r="T1689" s="30"/>
      <c r="Z1689" s="96"/>
    </row>
    <row r="1690">
      <c r="M1690" s="11"/>
      <c r="N1690" s="86"/>
      <c r="O1690" s="98"/>
      <c r="T1690" s="30"/>
      <c r="Z1690" s="96"/>
    </row>
    <row r="1691">
      <c r="M1691" s="11"/>
      <c r="N1691" s="86"/>
      <c r="O1691" s="98"/>
      <c r="T1691" s="30"/>
      <c r="Z1691" s="96"/>
    </row>
    <row r="1692">
      <c r="M1692" s="11"/>
      <c r="N1692" s="86"/>
      <c r="O1692" s="98"/>
      <c r="T1692" s="30"/>
      <c r="Z1692" s="96"/>
    </row>
    <row r="1693">
      <c r="M1693" s="11"/>
      <c r="N1693" s="86"/>
      <c r="O1693" s="98"/>
      <c r="T1693" s="30"/>
      <c r="Z1693" s="96"/>
    </row>
    <row r="1694">
      <c r="M1694" s="11"/>
      <c r="N1694" s="86"/>
      <c r="O1694" s="98"/>
      <c r="T1694" s="30"/>
      <c r="Z1694" s="96"/>
    </row>
    <row r="1695">
      <c r="M1695" s="11"/>
      <c r="N1695" s="86"/>
      <c r="O1695" s="98"/>
      <c r="T1695" s="30"/>
      <c r="Z1695" s="96"/>
    </row>
    <row r="1696">
      <c r="M1696" s="11"/>
      <c r="N1696" s="86"/>
      <c r="O1696" s="98"/>
      <c r="T1696" s="30"/>
      <c r="Z1696" s="96"/>
    </row>
    <row r="1697">
      <c r="M1697" s="11"/>
      <c r="N1697" s="86"/>
      <c r="O1697" s="98"/>
      <c r="T1697" s="30"/>
      <c r="Z1697" s="96"/>
    </row>
    <row r="1698">
      <c r="M1698" s="11"/>
      <c r="N1698" s="86"/>
      <c r="O1698" s="98"/>
      <c r="T1698" s="30"/>
      <c r="Z1698" s="96"/>
    </row>
    <row r="1699">
      <c r="M1699" s="11"/>
      <c r="N1699" s="86"/>
      <c r="O1699" s="98"/>
      <c r="T1699" s="30"/>
      <c r="Z1699" s="96"/>
    </row>
    <row r="1700">
      <c r="M1700" s="11"/>
      <c r="N1700" s="86"/>
      <c r="O1700" s="98"/>
      <c r="T1700" s="30"/>
      <c r="Z1700" s="96"/>
    </row>
    <row r="1701">
      <c r="M1701" s="11"/>
      <c r="N1701" s="86"/>
      <c r="O1701" s="98"/>
      <c r="T1701" s="30"/>
      <c r="Z1701" s="96"/>
    </row>
    <row r="1702">
      <c r="M1702" s="11"/>
      <c r="N1702" s="86"/>
      <c r="O1702" s="98"/>
      <c r="T1702" s="30"/>
      <c r="Z1702" s="96"/>
    </row>
    <row r="1703">
      <c r="M1703" s="11"/>
      <c r="N1703" s="86"/>
      <c r="O1703" s="98"/>
      <c r="T1703" s="30"/>
      <c r="Z1703" s="96"/>
    </row>
    <row r="1704">
      <c r="M1704" s="11"/>
      <c r="N1704" s="86"/>
      <c r="O1704" s="98"/>
      <c r="T1704" s="30"/>
      <c r="Z1704" s="96"/>
    </row>
    <row r="1705">
      <c r="M1705" s="11"/>
      <c r="N1705" s="86"/>
      <c r="O1705" s="98"/>
      <c r="T1705" s="30"/>
      <c r="Z1705" s="96"/>
    </row>
    <row r="1706">
      <c r="M1706" s="11"/>
      <c r="N1706" s="86"/>
      <c r="O1706" s="98"/>
      <c r="T1706" s="30"/>
      <c r="Z1706" s="96"/>
    </row>
    <row r="1707">
      <c r="M1707" s="11"/>
      <c r="N1707" s="86"/>
      <c r="O1707" s="98"/>
      <c r="T1707" s="30"/>
      <c r="Z1707" s="96"/>
    </row>
    <row r="1708">
      <c r="M1708" s="11"/>
      <c r="N1708" s="86"/>
      <c r="O1708" s="98"/>
      <c r="T1708" s="30"/>
      <c r="Z1708" s="96"/>
    </row>
    <row r="1709">
      <c r="M1709" s="11"/>
      <c r="N1709" s="86"/>
      <c r="O1709" s="98"/>
      <c r="T1709" s="30"/>
      <c r="Z1709" s="96"/>
    </row>
    <row r="1710">
      <c r="T1710" s="30"/>
      <c r="Z1710" s="96"/>
    </row>
    <row r="1711">
      <c r="T1711" s="30"/>
      <c r="Z1711" s="96"/>
    </row>
    <row r="1712">
      <c r="T1712" s="30"/>
      <c r="Z1712" s="96"/>
    </row>
    <row r="1713">
      <c r="T1713" s="30"/>
      <c r="Z1713" s="96"/>
    </row>
    <row r="1714">
      <c r="T1714" s="30"/>
      <c r="Z1714" s="96"/>
    </row>
    <row r="1715">
      <c r="T1715" s="30"/>
      <c r="Z1715" s="96"/>
    </row>
    <row r="1716">
      <c r="T1716" s="30"/>
      <c r="Z1716" s="96"/>
    </row>
    <row r="1717">
      <c r="T1717" s="30"/>
      <c r="Z1717" s="96"/>
    </row>
    <row r="1718">
      <c r="T1718" s="30"/>
      <c r="Z1718" s="96"/>
    </row>
    <row r="1719">
      <c r="T1719" s="30"/>
      <c r="Z1719" s="96"/>
    </row>
    <row r="1720">
      <c r="T1720" s="30"/>
      <c r="Z1720" s="96"/>
    </row>
    <row r="1721">
      <c r="T1721" s="30"/>
      <c r="Z1721" s="96"/>
    </row>
    <row r="1722">
      <c r="T1722" s="30"/>
      <c r="Z1722" s="96"/>
    </row>
    <row r="1723">
      <c r="T1723" s="30"/>
      <c r="Z1723" s="96"/>
    </row>
    <row r="1724">
      <c r="T1724" s="30"/>
      <c r="Z1724" s="96"/>
    </row>
    <row r="1725">
      <c r="T1725" s="30"/>
      <c r="Z1725" s="96"/>
    </row>
    <row r="1726">
      <c r="T1726" s="30"/>
      <c r="Z1726" s="96"/>
    </row>
    <row r="1727">
      <c r="T1727" s="30"/>
      <c r="Z1727" s="96"/>
    </row>
    <row r="1728">
      <c r="T1728" s="30"/>
      <c r="Z1728" s="96"/>
    </row>
    <row r="1729">
      <c r="T1729" s="30"/>
      <c r="Z1729" s="96"/>
    </row>
    <row r="1730">
      <c r="T1730" s="30"/>
      <c r="Z1730" s="96"/>
    </row>
    <row r="1731">
      <c r="T1731" s="30"/>
      <c r="Z1731" s="96"/>
    </row>
    <row r="1732">
      <c r="T1732" s="30"/>
      <c r="Z1732" s="96"/>
    </row>
    <row r="1733">
      <c r="T1733" s="30"/>
      <c r="Z1733" s="96"/>
    </row>
    <row r="1734">
      <c r="T1734" s="30"/>
      <c r="Z1734" s="96"/>
    </row>
    <row r="1735">
      <c r="T1735" s="30"/>
      <c r="Z1735" s="96"/>
    </row>
    <row r="1736">
      <c r="T1736" s="30"/>
      <c r="Z1736" s="96"/>
    </row>
    <row r="1737">
      <c r="T1737" s="30"/>
      <c r="Z1737" s="96"/>
    </row>
    <row r="1738">
      <c r="T1738" s="30"/>
      <c r="Z1738" s="96"/>
    </row>
    <row r="1739">
      <c r="T1739" s="30"/>
      <c r="Z1739" s="96"/>
    </row>
    <row r="1740">
      <c r="T1740" s="30"/>
      <c r="Z1740" s="96"/>
    </row>
    <row r="1741">
      <c r="T1741" s="30"/>
      <c r="Z1741" s="96"/>
    </row>
    <row r="1742">
      <c r="T1742" s="30"/>
      <c r="Z1742" s="96"/>
    </row>
    <row r="1743">
      <c r="T1743" s="30"/>
      <c r="Z1743" s="96"/>
    </row>
    <row r="1744">
      <c r="T1744" s="30"/>
      <c r="Z1744" s="96"/>
    </row>
    <row r="1745">
      <c r="T1745" s="30"/>
      <c r="Z1745" s="96"/>
    </row>
    <row r="1746">
      <c r="T1746" s="30"/>
      <c r="Z1746" s="96"/>
    </row>
    <row r="1747">
      <c r="T1747" s="30"/>
      <c r="Z1747" s="96"/>
    </row>
    <row r="1748">
      <c r="T1748" s="30"/>
      <c r="Z1748" s="96"/>
    </row>
    <row r="1749">
      <c r="T1749" s="30"/>
      <c r="Z1749" s="96"/>
    </row>
    <row r="1750">
      <c r="T1750" s="30"/>
      <c r="Z1750" s="96"/>
    </row>
    <row r="1751">
      <c r="Z1751" s="96"/>
    </row>
    <row r="1752">
      <c r="Z1752" s="96"/>
    </row>
  </sheetData>
  <mergeCells count="1">
    <mergeCell ref="A1:E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88"/>
    <col customWidth="1" min="3" max="3" width="172.5"/>
    <col customWidth="1" min="4" max="4" width="20.5"/>
    <col customWidth="1" min="5" max="5" width="33.63"/>
  </cols>
  <sheetData>
    <row r="1">
      <c r="A1" s="81" t="s">
        <v>5271</v>
      </c>
    </row>
    <row r="2">
      <c r="A2" s="85" t="s">
        <v>4</v>
      </c>
      <c r="B2" s="81" t="s">
        <v>4680</v>
      </c>
      <c r="C2" s="85" t="s">
        <v>4681</v>
      </c>
      <c r="D2" s="81" t="s">
        <v>4682</v>
      </c>
      <c r="E2" s="85" t="s">
        <v>4683</v>
      </c>
    </row>
    <row r="3">
      <c r="A3" s="11" t="s">
        <v>126</v>
      </c>
      <c r="B3" s="30">
        <v>15.0</v>
      </c>
      <c r="C3" t="s">
        <v>5272</v>
      </c>
      <c r="D3" s="30">
        <v>3.0</v>
      </c>
      <c r="E3" t="s">
        <v>5273</v>
      </c>
    </row>
    <row r="4">
      <c r="A4" s="11" t="s">
        <v>162</v>
      </c>
      <c r="B4" s="30">
        <v>14.0</v>
      </c>
      <c r="C4" t="s">
        <v>5274</v>
      </c>
      <c r="D4" s="30">
        <v>1.0</v>
      </c>
      <c r="E4" t="s">
        <v>785</v>
      </c>
    </row>
    <row r="5">
      <c r="A5" s="11" t="s">
        <v>108</v>
      </c>
      <c r="B5" s="30">
        <v>14.0</v>
      </c>
      <c r="C5" t="s">
        <v>5275</v>
      </c>
      <c r="D5" s="30">
        <v>3.0</v>
      </c>
      <c r="E5" t="s">
        <v>5276</v>
      </c>
    </row>
    <row r="6">
      <c r="A6" s="11" t="s">
        <v>143</v>
      </c>
      <c r="B6" s="30">
        <v>13.0</v>
      </c>
      <c r="C6" t="s">
        <v>5277</v>
      </c>
      <c r="D6" s="30">
        <v>1.0</v>
      </c>
      <c r="E6" t="s">
        <v>630</v>
      </c>
    </row>
    <row r="7">
      <c r="A7" s="11" t="s">
        <v>111</v>
      </c>
      <c r="B7" s="30">
        <v>13.0</v>
      </c>
      <c r="C7" t="s">
        <v>5278</v>
      </c>
      <c r="D7" s="30">
        <v>2.0</v>
      </c>
      <c r="E7" t="s">
        <v>5279</v>
      </c>
    </row>
    <row r="8">
      <c r="A8" s="11" t="s">
        <v>4757</v>
      </c>
      <c r="B8" s="30">
        <v>13.0</v>
      </c>
      <c r="C8" t="s">
        <v>5280</v>
      </c>
      <c r="D8" s="30">
        <v>1.0</v>
      </c>
      <c r="E8" t="s">
        <v>743</v>
      </c>
    </row>
    <row r="9">
      <c r="A9" s="11" t="s">
        <v>186</v>
      </c>
      <c r="B9" s="30">
        <v>13.0</v>
      </c>
      <c r="C9" t="s">
        <v>5281</v>
      </c>
      <c r="D9" s="30">
        <v>0.0</v>
      </c>
      <c r="E9" t="s">
        <v>5282</v>
      </c>
    </row>
    <row r="10">
      <c r="A10" s="11" t="s">
        <v>72</v>
      </c>
      <c r="B10" s="30">
        <v>12.0</v>
      </c>
      <c r="C10" t="s">
        <v>5283</v>
      </c>
      <c r="D10" s="30">
        <v>1.0</v>
      </c>
      <c r="E10" t="s">
        <v>557</v>
      </c>
    </row>
    <row r="11">
      <c r="A11" s="11" t="s">
        <v>346</v>
      </c>
      <c r="B11" s="30">
        <v>12.0</v>
      </c>
      <c r="C11" t="s">
        <v>5284</v>
      </c>
      <c r="D11" s="30">
        <v>0.0</v>
      </c>
      <c r="E11" t="s">
        <v>5282</v>
      </c>
    </row>
    <row r="12">
      <c r="A12" s="11" t="s">
        <v>4734</v>
      </c>
      <c r="B12" s="30">
        <v>12.0</v>
      </c>
      <c r="C12" t="s">
        <v>5285</v>
      </c>
      <c r="D12" s="30">
        <v>0.0</v>
      </c>
      <c r="E12" t="s">
        <v>5282</v>
      </c>
    </row>
    <row r="13">
      <c r="A13" s="11" t="s">
        <v>101</v>
      </c>
      <c r="B13" s="30">
        <v>11.0</v>
      </c>
      <c r="C13" t="s">
        <v>5286</v>
      </c>
      <c r="D13" s="30">
        <v>2.0</v>
      </c>
      <c r="E13" t="s">
        <v>5287</v>
      </c>
    </row>
    <row r="14">
      <c r="A14" s="11" t="s">
        <v>167</v>
      </c>
      <c r="B14" s="30">
        <v>11.0</v>
      </c>
      <c r="C14" t="s">
        <v>5288</v>
      </c>
      <c r="D14" s="30">
        <v>2.0</v>
      </c>
      <c r="E14" t="s">
        <v>5289</v>
      </c>
    </row>
    <row r="15">
      <c r="A15" s="11" t="s">
        <v>192</v>
      </c>
      <c r="B15" s="30">
        <v>11.0</v>
      </c>
      <c r="C15" t="s">
        <v>5290</v>
      </c>
      <c r="D15" s="30">
        <v>1.0</v>
      </c>
      <c r="E15" t="s">
        <v>651</v>
      </c>
    </row>
    <row r="16">
      <c r="A16" s="11" t="s">
        <v>37</v>
      </c>
      <c r="B16" s="30">
        <v>11.0</v>
      </c>
      <c r="C16" t="s">
        <v>5291</v>
      </c>
      <c r="D16" s="30">
        <v>3.0</v>
      </c>
      <c r="E16" t="s">
        <v>5292</v>
      </c>
    </row>
    <row r="17">
      <c r="A17" s="11" t="s">
        <v>49</v>
      </c>
      <c r="B17" s="30">
        <v>11.0</v>
      </c>
      <c r="C17" t="s">
        <v>5293</v>
      </c>
      <c r="D17" s="30">
        <v>1.0</v>
      </c>
      <c r="E17" t="s">
        <v>260</v>
      </c>
    </row>
    <row r="18">
      <c r="A18" s="11" t="s">
        <v>83</v>
      </c>
      <c r="B18" s="30">
        <v>11.0</v>
      </c>
      <c r="C18" t="s">
        <v>5294</v>
      </c>
      <c r="D18" s="30">
        <v>0.0</v>
      </c>
      <c r="E18" t="s">
        <v>5282</v>
      </c>
    </row>
    <row r="19">
      <c r="A19" s="11" t="s">
        <v>230</v>
      </c>
      <c r="B19" s="30">
        <v>10.0</v>
      </c>
      <c r="C19" t="s">
        <v>5295</v>
      </c>
      <c r="D19" s="30">
        <v>0.0</v>
      </c>
      <c r="E19" t="s">
        <v>5282</v>
      </c>
    </row>
    <row r="20">
      <c r="A20" s="11" t="s">
        <v>4769</v>
      </c>
      <c r="B20" s="30">
        <v>10.0</v>
      </c>
      <c r="C20" t="s">
        <v>5296</v>
      </c>
      <c r="D20" s="30">
        <v>0.0</v>
      </c>
      <c r="E20" t="s">
        <v>5282</v>
      </c>
    </row>
    <row r="21">
      <c r="A21" s="11" t="s">
        <v>116</v>
      </c>
      <c r="B21" s="30">
        <v>9.0</v>
      </c>
      <c r="C21" t="s">
        <v>5297</v>
      </c>
      <c r="D21" s="30">
        <v>2.0</v>
      </c>
      <c r="E21" t="s">
        <v>5298</v>
      </c>
    </row>
    <row r="22">
      <c r="A22" s="11" t="s">
        <v>55</v>
      </c>
      <c r="B22" s="30">
        <v>9.0</v>
      </c>
      <c r="C22" t="s">
        <v>5299</v>
      </c>
      <c r="D22" s="30">
        <v>1.0</v>
      </c>
      <c r="E22" t="s">
        <v>806</v>
      </c>
    </row>
    <row r="23">
      <c r="A23" s="11" t="s">
        <v>362</v>
      </c>
      <c r="B23" s="30">
        <v>9.0</v>
      </c>
      <c r="C23" t="s">
        <v>5300</v>
      </c>
      <c r="D23" s="30">
        <v>1.0</v>
      </c>
      <c r="E23" t="s">
        <v>624</v>
      </c>
    </row>
    <row r="24">
      <c r="A24" s="11" t="s">
        <v>235</v>
      </c>
      <c r="B24" s="30">
        <v>9.0</v>
      </c>
      <c r="C24" t="s">
        <v>5301</v>
      </c>
      <c r="D24" s="30">
        <v>0.0</v>
      </c>
      <c r="E24" t="s">
        <v>5282</v>
      </c>
    </row>
    <row r="25">
      <c r="A25" s="11" t="s">
        <v>4722</v>
      </c>
      <c r="B25" s="30">
        <v>8.0</v>
      </c>
      <c r="C25" t="s">
        <v>5302</v>
      </c>
      <c r="D25" s="30">
        <v>1.0</v>
      </c>
      <c r="E25" t="s">
        <v>2034</v>
      </c>
    </row>
    <row r="26">
      <c r="A26" s="11" t="s">
        <v>138</v>
      </c>
      <c r="B26" s="30">
        <v>7.0</v>
      </c>
      <c r="C26" t="s">
        <v>5303</v>
      </c>
      <c r="D26" s="30">
        <v>0.0</v>
      </c>
      <c r="E26" t="s">
        <v>5282</v>
      </c>
    </row>
    <row r="27">
      <c r="A27" s="11" t="s">
        <v>44</v>
      </c>
      <c r="B27" s="30">
        <v>7.0</v>
      </c>
      <c r="C27" t="s">
        <v>5304</v>
      </c>
      <c r="D27" s="30">
        <v>0.0</v>
      </c>
      <c r="E27" t="s">
        <v>5282</v>
      </c>
    </row>
    <row r="28">
      <c r="A28" s="11" t="s">
        <v>103</v>
      </c>
      <c r="B28" s="30">
        <v>7.0</v>
      </c>
      <c r="C28" t="s">
        <v>5305</v>
      </c>
      <c r="D28" s="30">
        <v>0.0</v>
      </c>
      <c r="E28" t="s">
        <v>5282</v>
      </c>
    </row>
    <row r="29">
      <c r="A29" s="11" t="s">
        <v>274</v>
      </c>
      <c r="B29" s="30">
        <v>7.0</v>
      </c>
      <c r="C29" t="s">
        <v>5306</v>
      </c>
      <c r="D29" s="30">
        <v>0.0</v>
      </c>
      <c r="E29" t="s">
        <v>5282</v>
      </c>
    </row>
    <row r="30">
      <c r="A30" s="11" t="s">
        <v>52</v>
      </c>
      <c r="B30" s="30">
        <v>6.0</v>
      </c>
      <c r="C30" t="s">
        <v>5307</v>
      </c>
      <c r="D30" s="30">
        <v>1.0</v>
      </c>
      <c r="E30" t="s">
        <v>1726</v>
      </c>
    </row>
    <row r="31">
      <c r="A31" s="11" t="s">
        <v>4728</v>
      </c>
      <c r="B31" s="30">
        <v>6.0</v>
      </c>
      <c r="C31" t="s">
        <v>5308</v>
      </c>
      <c r="D31" s="30">
        <v>1.0</v>
      </c>
      <c r="E31" t="s">
        <v>780</v>
      </c>
    </row>
    <row r="32">
      <c r="A32" s="11" t="s">
        <v>150</v>
      </c>
      <c r="B32" s="30">
        <v>6.0</v>
      </c>
      <c r="C32" t="s">
        <v>5309</v>
      </c>
      <c r="D32" s="30">
        <v>0.0</v>
      </c>
      <c r="E32" t="s">
        <v>5282</v>
      </c>
    </row>
    <row r="33">
      <c r="A33" s="85" t="s">
        <v>4774</v>
      </c>
      <c r="B33" s="91">
        <v>275.0</v>
      </c>
      <c r="C33" s="92"/>
      <c r="D33" s="91">
        <v>28.0</v>
      </c>
      <c r="E33" s="92"/>
    </row>
    <row r="34">
      <c r="A34" s="85" t="s">
        <v>4778</v>
      </c>
      <c r="B34" s="93">
        <v>0.3424657534246575</v>
      </c>
      <c r="C34" s="92"/>
      <c r="D34" s="93">
        <v>0.6222222222222222</v>
      </c>
      <c r="E34" s="92"/>
    </row>
    <row r="35">
      <c r="A35" s="85" t="s">
        <v>4783</v>
      </c>
      <c r="B35" s="95">
        <v>45200.0</v>
      </c>
      <c r="C35" s="92"/>
      <c r="D35" s="95">
        <v>45200.0</v>
      </c>
      <c r="E35" s="92"/>
    </row>
    <row r="36">
      <c r="B36" s="30"/>
      <c r="D36" s="30"/>
    </row>
    <row r="37">
      <c r="A37" s="85" t="s">
        <v>4789</v>
      </c>
      <c r="B37" s="93">
        <v>0.357311320754717</v>
      </c>
      <c r="D37" s="30"/>
    </row>
    <row r="38">
      <c r="A38" s="85" t="s">
        <v>4783</v>
      </c>
      <c r="B38" s="95" t="s">
        <v>5310</v>
      </c>
      <c r="D38" s="30"/>
    </row>
  </sheetData>
  <mergeCells count="1">
    <mergeCell ref="A1:E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88"/>
    <col customWidth="1" min="3" max="3" width="192.25"/>
    <col customWidth="1" min="4" max="4" width="20.5"/>
    <col customWidth="1" min="5" max="5" width="34.88"/>
  </cols>
  <sheetData>
    <row r="1">
      <c r="A1" s="81" t="s">
        <v>5311</v>
      </c>
    </row>
    <row r="2">
      <c r="A2" s="85" t="s">
        <v>4</v>
      </c>
      <c r="B2" s="81" t="s">
        <v>4680</v>
      </c>
      <c r="C2" s="85" t="s">
        <v>4681</v>
      </c>
      <c r="D2" s="81" t="s">
        <v>4682</v>
      </c>
      <c r="E2" s="85" t="s">
        <v>4683</v>
      </c>
    </row>
    <row r="3">
      <c r="A3" s="11" t="s">
        <v>108</v>
      </c>
      <c r="B3" s="30">
        <v>16.0</v>
      </c>
      <c r="C3" t="s">
        <v>5312</v>
      </c>
      <c r="D3" s="30">
        <v>0.0</v>
      </c>
      <c r="E3" t="s">
        <v>5282</v>
      </c>
    </row>
    <row r="4">
      <c r="A4" s="11" t="s">
        <v>111</v>
      </c>
      <c r="B4" s="30">
        <v>15.0</v>
      </c>
      <c r="C4" t="s">
        <v>5313</v>
      </c>
      <c r="D4" s="30">
        <v>1.0</v>
      </c>
      <c r="E4" t="s">
        <v>1057</v>
      </c>
    </row>
    <row r="5">
      <c r="A5" s="11" t="s">
        <v>167</v>
      </c>
      <c r="B5" s="30">
        <v>14.0</v>
      </c>
      <c r="C5" t="s">
        <v>5314</v>
      </c>
      <c r="D5" s="30">
        <v>1.0</v>
      </c>
      <c r="E5" t="s">
        <v>882</v>
      </c>
    </row>
    <row r="6">
      <c r="A6" s="11" t="s">
        <v>126</v>
      </c>
      <c r="B6" s="30">
        <v>14.0</v>
      </c>
      <c r="C6" t="s">
        <v>5315</v>
      </c>
      <c r="D6" s="30">
        <v>0.0</v>
      </c>
      <c r="E6" t="s">
        <v>5282</v>
      </c>
    </row>
    <row r="7">
      <c r="A7" s="11" t="s">
        <v>55</v>
      </c>
      <c r="B7" s="30">
        <v>14.0</v>
      </c>
      <c r="C7" t="s">
        <v>5316</v>
      </c>
      <c r="D7" s="30">
        <v>0.0</v>
      </c>
      <c r="E7" t="s">
        <v>5282</v>
      </c>
    </row>
    <row r="8">
      <c r="A8" s="11" t="s">
        <v>37</v>
      </c>
      <c r="B8" s="30">
        <v>13.0</v>
      </c>
      <c r="C8" t="s">
        <v>5317</v>
      </c>
      <c r="D8" s="30">
        <v>0.0</v>
      </c>
      <c r="E8" t="s">
        <v>5282</v>
      </c>
    </row>
    <row r="9">
      <c r="A9" s="11" t="s">
        <v>235</v>
      </c>
      <c r="B9" s="30">
        <v>13.0</v>
      </c>
      <c r="C9" t="s">
        <v>5318</v>
      </c>
      <c r="D9" s="30">
        <v>0.0</v>
      </c>
      <c r="E9" t="s">
        <v>5282</v>
      </c>
    </row>
    <row r="10">
      <c r="A10" s="11" t="s">
        <v>162</v>
      </c>
      <c r="B10" s="30">
        <v>12.0</v>
      </c>
      <c r="C10" t="s">
        <v>5319</v>
      </c>
      <c r="D10" s="30">
        <v>1.0</v>
      </c>
      <c r="E10" t="s">
        <v>1035</v>
      </c>
    </row>
    <row r="11">
      <c r="A11" s="11" t="s">
        <v>49</v>
      </c>
      <c r="B11" s="30">
        <v>12.0</v>
      </c>
      <c r="C11" t="s">
        <v>5320</v>
      </c>
      <c r="D11" s="30">
        <v>3.0</v>
      </c>
      <c r="E11" t="s">
        <v>5321</v>
      </c>
    </row>
    <row r="12">
      <c r="A12" s="11" t="s">
        <v>4722</v>
      </c>
      <c r="B12" s="30">
        <v>12.0</v>
      </c>
      <c r="C12" t="s">
        <v>5322</v>
      </c>
      <c r="D12" s="30">
        <v>0.0</v>
      </c>
      <c r="E12" t="s">
        <v>5282</v>
      </c>
    </row>
    <row r="13">
      <c r="A13" s="11" t="s">
        <v>83</v>
      </c>
      <c r="B13" s="30">
        <v>12.0</v>
      </c>
      <c r="C13" t="s">
        <v>5323</v>
      </c>
      <c r="D13" s="30">
        <v>0.0</v>
      </c>
      <c r="E13" t="s">
        <v>5282</v>
      </c>
    </row>
    <row r="14">
      <c r="A14" s="11" t="s">
        <v>150</v>
      </c>
      <c r="B14" s="30">
        <v>11.0</v>
      </c>
      <c r="C14" t="s">
        <v>5324</v>
      </c>
      <c r="D14" s="30">
        <v>0.0</v>
      </c>
      <c r="E14" t="s">
        <v>5282</v>
      </c>
    </row>
    <row r="15">
      <c r="A15" s="11" t="s">
        <v>4757</v>
      </c>
      <c r="B15" s="30">
        <v>11.0</v>
      </c>
      <c r="C15" t="s">
        <v>5325</v>
      </c>
      <c r="D15" s="30">
        <v>0.0</v>
      </c>
      <c r="E15" t="s">
        <v>5282</v>
      </c>
    </row>
    <row r="16">
      <c r="A16" s="11" t="s">
        <v>186</v>
      </c>
      <c r="B16" s="30">
        <v>11.0</v>
      </c>
      <c r="C16" t="s">
        <v>5326</v>
      </c>
      <c r="D16" s="30">
        <v>0.0</v>
      </c>
      <c r="E16" t="s">
        <v>5282</v>
      </c>
    </row>
    <row r="17">
      <c r="A17" s="11" t="s">
        <v>4769</v>
      </c>
      <c r="B17" s="30">
        <v>11.0</v>
      </c>
      <c r="C17" t="s">
        <v>5327</v>
      </c>
      <c r="D17" s="30">
        <v>0.0</v>
      </c>
      <c r="E17" t="s">
        <v>5282</v>
      </c>
    </row>
    <row r="18">
      <c r="A18" s="11" t="s">
        <v>116</v>
      </c>
      <c r="B18" s="30">
        <v>10.0</v>
      </c>
      <c r="C18" t="s">
        <v>5328</v>
      </c>
      <c r="D18" s="30">
        <v>0.0</v>
      </c>
      <c r="E18" t="s">
        <v>5282</v>
      </c>
    </row>
    <row r="19">
      <c r="A19" s="11" t="s">
        <v>143</v>
      </c>
      <c r="B19" s="30">
        <v>10.0</v>
      </c>
      <c r="C19" t="s">
        <v>5329</v>
      </c>
      <c r="D19" s="30">
        <v>1.0</v>
      </c>
      <c r="E19" t="s">
        <v>858</v>
      </c>
    </row>
    <row r="20">
      <c r="A20" s="11" t="s">
        <v>103</v>
      </c>
      <c r="B20" s="30">
        <v>10.0</v>
      </c>
      <c r="C20" t="s">
        <v>5330</v>
      </c>
      <c r="D20" s="30">
        <v>1.0</v>
      </c>
      <c r="E20" t="s">
        <v>1034</v>
      </c>
    </row>
    <row r="21">
      <c r="A21" s="11" t="s">
        <v>362</v>
      </c>
      <c r="B21" s="30">
        <v>10.0</v>
      </c>
      <c r="C21" t="s">
        <v>5331</v>
      </c>
      <c r="D21" s="30">
        <v>0.0</v>
      </c>
      <c r="E21" t="s">
        <v>5282</v>
      </c>
    </row>
    <row r="22">
      <c r="A22" s="11" t="s">
        <v>101</v>
      </c>
      <c r="B22" s="30">
        <v>9.0</v>
      </c>
      <c r="C22" t="s">
        <v>5332</v>
      </c>
      <c r="D22" s="30">
        <v>0.0</v>
      </c>
      <c r="E22" t="s">
        <v>5282</v>
      </c>
    </row>
    <row r="23">
      <c r="A23" s="11" t="s">
        <v>4734</v>
      </c>
      <c r="B23" s="30">
        <v>9.0</v>
      </c>
      <c r="C23" t="s">
        <v>5333</v>
      </c>
      <c r="D23" s="30">
        <v>0.0</v>
      </c>
      <c r="E23" t="s">
        <v>5282</v>
      </c>
    </row>
    <row r="24">
      <c r="A24" s="11" t="s">
        <v>72</v>
      </c>
      <c r="B24" s="30">
        <v>8.0</v>
      </c>
      <c r="C24" t="s">
        <v>5334</v>
      </c>
      <c r="D24" s="30">
        <v>1.0</v>
      </c>
      <c r="E24" t="s">
        <v>1170</v>
      </c>
    </row>
    <row r="25">
      <c r="A25" s="11" t="s">
        <v>274</v>
      </c>
      <c r="B25" s="30">
        <v>8.0</v>
      </c>
      <c r="C25" t="s">
        <v>5335</v>
      </c>
      <c r="D25" s="30">
        <v>0.0</v>
      </c>
      <c r="E25" t="s">
        <v>5282</v>
      </c>
    </row>
    <row r="26">
      <c r="A26" s="11" t="s">
        <v>230</v>
      </c>
      <c r="B26" s="30">
        <v>8.0</v>
      </c>
      <c r="C26" t="s">
        <v>5336</v>
      </c>
      <c r="D26" s="30">
        <v>0.0</v>
      </c>
      <c r="E26" t="s">
        <v>5282</v>
      </c>
    </row>
    <row r="27">
      <c r="A27" s="11" t="s">
        <v>44</v>
      </c>
      <c r="B27" s="30">
        <v>6.0</v>
      </c>
      <c r="C27" t="s">
        <v>5337</v>
      </c>
      <c r="D27" s="30">
        <v>0.0</v>
      </c>
      <c r="E27" t="s">
        <v>5282</v>
      </c>
    </row>
    <row r="28">
      <c r="A28" s="11" t="s">
        <v>52</v>
      </c>
      <c r="B28" s="30">
        <v>6.0</v>
      </c>
      <c r="C28" t="s">
        <v>5338</v>
      </c>
      <c r="D28" s="30">
        <v>0.0</v>
      </c>
      <c r="E28" t="s">
        <v>5282</v>
      </c>
    </row>
    <row r="29">
      <c r="A29" s="11" t="s">
        <v>4728</v>
      </c>
      <c r="B29" s="30">
        <v>6.0</v>
      </c>
      <c r="C29" t="s">
        <v>5339</v>
      </c>
      <c r="D29" s="30">
        <v>0.0</v>
      </c>
      <c r="E29" t="s">
        <v>5282</v>
      </c>
    </row>
    <row r="30">
      <c r="A30" s="11" t="s">
        <v>192</v>
      </c>
      <c r="B30" s="30">
        <v>5.0</v>
      </c>
      <c r="C30" t="s">
        <v>5340</v>
      </c>
      <c r="D30" s="30">
        <v>0.0</v>
      </c>
      <c r="E30" t="s">
        <v>5282</v>
      </c>
    </row>
    <row r="31">
      <c r="A31" s="11" t="s">
        <v>346</v>
      </c>
      <c r="B31" s="30">
        <v>5.0</v>
      </c>
      <c r="C31" t="s">
        <v>5341</v>
      </c>
      <c r="D31" s="30">
        <v>0.0</v>
      </c>
      <c r="E31" t="s">
        <v>5282</v>
      </c>
    </row>
    <row r="32">
      <c r="A32" s="11" t="s">
        <v>138</v>
      </c>
      <c r="B32" s="30">
        <v>4.0</v>
      </c>
      <c r="C32" t="s">
        <v>5342</v>
      </c>
      <c r="D32" s="30">
        <v>0.0</v>
      </c>
      <c r="E32" t="s">
        <v>5282</v>
      </c>
    </row>
    <row r="33">
      <c r="A33" s="85" t="s">
        <v>4774</v>
      </c>
      <c r="B33" s="81">
        <v>274.0</v>
      </c>
      <c r="C33" s="92"/>
      <c r="D33" s="81">
        <v>9.0</v>
      </c>
      <c r="E33" s="92"/>
    </row>
    <row r="34">
      <c r="A34" s="85" t="s">
        <v>4778</v>
      </c>
      <c r="B34" s="99">
        <v>0.34</v>
      </c>
      <c r="C34" s="92"/>
      <c r="D34" s="99">
        <v>0.529</v>
      </c>
      <c r="E34" s="92"/>
    </row>
    <row r="35">
      <c r="A35" s="85" t="s">
        <v>4783</v>
      </c>
      <c r="B35" s="95">
        <v>44839.0</v>
      </c>
      <c r="C35" s="92"/>
      <c r="D35" s="95">
        <v>44839.0</v>
      </c>
      <c r="E35" s="92"/>
    </row>
    <row r="36">
      <c r="B36" s="30"/>
      <c r="D36" s="30"/>
    </row>
    <row r="37">
      <c r="A37" s="85" t="s">
        <v>4789</v>
      </c>
      <c r="B37" s="99">
        <v>0.344</v>
      </c>
      <c r="D37" s="30"/>
    </row>
    <row r="38">
      <c r="A38" s="85" t="s">
        <v>4783</v>
      </c>
      <c r="B38" s="95">
        <v>44839.0</v>
      </c>
      <c r="D38" s="30"/>
    </row>
  </sheetData>
  <mergeCells count="1">
    <mergeCell ref="A1:E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88"/>
    <col customWidth="1" min="3" max="3" width="193.75"/>
    <col customWidth="1" min="4" max="4" width="20.5"/>
    <col customWidth="1" min="5" max="5" width="44.5"/>
  </cols>
  <sheetData>
    <row r="1">
      <c r="A1" s="81" t="s">
        <v>5343</v>
      </c>
    </row>
    <row r="2">
      <c r="A2" s="85" t="s">
        <v>4</v>
      </c>
      <c r="B2" s="81" t="s">
        <v>4680</v>
      </c>
      <c r="C2" s="85" t="s">
        <v>4681</v>
      </c>
      <c r="D2" s="81" t="s">
        <v>4682</v>
      </c>
      <c r="E2" s="85" t="s">
        <v>4683</v>
      </c>
    </row>
    <row r="3">
      <c r="A3" s="11" t="s">
        <v>235</v>
      </c>
      <c r="B3" s="30">
        <v>17.0</v>
      </c>
      <c r="C3" t="s">
        <v>5344</v>
      </c>
      <c r="D3" s="30">
        <v>1.0</v>
      </c>
      <c r="E3" t="s">
        <v>1193</v>
      </c>
    </row>
    <row r="4">
      <c r="A4" s="11" t="s">
        <v>4769</v>
      </c>
      <c r="B4" s="30">
        <v>16.0</v>
      </c>
      <c r="C4" t="s">
        <v>5345</v>
      </c>
      <c r="D4" s="30">
        <v>0.0</v>
      </c>
      <c r="E4" t="s">
        <v>5282</v>
      </c>
    </row>
    <row r="5">
      <c r="A5" s="11" t="s">
        <v>55</v>
      </c>
      <c r="B5" s="30">
        <v>14.0</v>
      </c>
      <c r="C5" t="s">
        <v>5346</v>
      </c>
      <c r="D5" s="30">
        <v>0.0</v>
      </c>
      <c r="E5" t="s">
        <v>5282</v>
      </c>
    </row>
    <row r="6">
      <c r="A6" s="11" t="s">
        <v>116</v>
      </c>
      <c r="B6" s="30">
        <v>13.0</v>
      </c>
      <c r="C6" t="s">
        <v>5347</v>
      </c>
      <c r="D6" s="30">
        <v>0.0</v>
      </c>
      <c r="E6" t="s">
        <v>5282</v>
      </c>
    </row>
    <row r="7">
      <c r="A7" s="11" t="s">
        <v>4734</v>
      </c>
      <c r="B7" s="30">
        <v>13.0</v>
      </c>
      <c r="C7" t="s">
        <v>5348</v>
      </c>
      <c r="D7" s="30">
        <v>4.0</v>
      </c>
      <c r="E7" t="s">
        <v>5349</v>
      </c>
    </row>
    <row r="8">
      <c r="A8" s="11" t="s">
        <v>230</v>
      </c>
      <c r="B8" s="30">
        <v>13.0</v>
      </c>
      <c r="C8" t="s">
        <v>5350</v>
      </c>
      <c r="D8" s="30">
        <v>1.0</v>
      </c>
      <c r="E8" t="s">
        <v>1348</v>
      </c>
    </row>
    <row r="9">
      <c r="A9" s="11" t="s">
        <v>167</v>
      </c>
      <c r="B9" s="30">
        <v>12.0</v>
      </c>
      <c r="C9" t="s">
        <v>5351</v>
      </c>
      <c r="D9" s="30">
        <v>0.0</v>
      </c>
      <c r="E9" t="s">
        <v>5282</v>
      </c>
    </row>
    <row r="10">
      <c r="A10" s="11" t="s">
        <v>126</v>
      </c>
      <c r="B10" s="30">
        <v>12.0</v>
      </c>
      <c r="C10" t="s">
        <v>5352</v>
      </c>
      <c r="D10" s="30">
        <v>2.0</v>
      </c>
      <c r="E10" t="s">
        <v>5353</v>
      </c>
    </row>
    <row r="11">
      <c r="A11" s="11" t="s">
        <v>72</v>
      </c>
      <c r="B11" s="30">
        <v>11.0</v>
      </c>
      <c r="C11" t="s">
        <v>5354</v>
      </c>
      <c r="D11" s="30">
        <v>0.0</v>
      </c>
      <c r="E11" t="s">
        <v>5282</v>
      </c>
    </row>
    <row r="12">
      <c r="A12" s="11" t="s">
        <v>49</v>
      </c>
      <c r="B12" s="30">
        <v>11.0</v>
      </c>
      <c r="C12" t="s">
        <v>5355</v>
      </c>
      <c r="D12" s="30">
        <v>0.0</v>
      </c>
      <c r="E12" t="s">
        <v>5282</v>
      </c>
    </row>
    <row r="13">
      <c r="A13" s="11" t="s">
        <v>108</v>
      </c>
      <c r="B13" s="30">
        <v>11.0</v>
      </c>
      <c r="C13" t="s">
        <v>5356</v>
      </c>
      <c r="D13" s="30">
        <v>0.0</v>
      </c>
      <c r="E13" t="s">
        <v>5282</v>
      </c>
    </row>
    <row r="14">
      <c r="A14" s="11" t="s">
        <v>4757</v>
      </c>
      <c r="B14" s="30">
        <v>11.0</v>
      </c>
      <c r="C14" t="s">
        <v>5357</v>
      </c>
      <c r="D14" s="30">
        <v>3.0</v>
      </c>
      <c r="E14" t="s">
        <v>5358</v>
      </c>
    </row>
    <row r="15">
      <c r="A15" s="11" t="s">
        <v>143</v>
      </c>
      <c r="B15" s="30">
        <v>10.0</v>
      </c>
      <c r="C15" t="s">
        <v>5359</v>
      </c>
      <c r="D15" s="30">
        <v>1.0</v>
      </c>
      <c r="E15" t="s">
        <v>1198</v>
      </c>
    </row>
    <row r="16">
      <c r="A16" s="11" t="s">
        <v>274</v>
      </c>
      <c r="B16" s="30">
        <v>10.0</v>
      </c>
      <c r="C16" t="s">
        <v>5360</v>
      </c>
      <c r="D16" s="30">
        <v>1.0</v>
      </c>
      <c r="E16" t="s">
        <v>587</v>
      </c>
    </row>
    <row r="17">
      <c r="A17" s="11" t="s">
        <v>150</v>
      </c>
      <c r="B17" s="30">
        <v>10.0</v>
      </c>
      <c r="C17" t="s">
        <v>5361</v>
      </c>
      <c r="D17" s="30">
        <v>0.0</v>
      </c>
      <c r="E17" t="s">
        <v>5282</v>
      </c>
    </row>
    <row r="18">
      <c r="A18" s="11" t="s">
        <v>4722</v>
      </c>
      <c r="B18" s="30">
        <v>10.0</v>
      </c>
      <c r="C18" t="s">
        <v>5362</v>
      </c>
      <c r="D18" s="30">
        <v>2.0</v>
      </c>
      <c r="E18" t="s">
        <v>5363</v>
      </c>
    </row>
    <row r="19">
      <c r="A19" s="11" t="s">
        <v>83</v>
      </c>
      <c r="B19" s="30">
        <v>10.0</v>
      </c>
      <c r="C19" t="s">
        <v>5364</v>
      </c>
      <c r="D19" s="30">
        <v>0.0</v>
      </c>
      <c r="E19" t="s">
        <v>5282</v>
      </c>
    </row>
    <row r="20">
      <c r="A20" s="11" t="s">
        <v>111</v>
      </c>
      <c r="B20" s="30">
        <v>9.0</v>
      </c>
      <c r="C20" t="s">
        <v>5365</v>
      </c>
      <c r="D20" s="30">
        <v>1.0</v>
      </c>
      <c r="E20" t="s">
        <v>1347</v>
      </c>
    </row>
    <row r="21">
      <c r="A21" s="11" t="s">
        <v>37</v>
      </c>
      <c r="B21" s="30">
        <v>9.0</v>
      </c>
      <c r="C21" t="s">
        <v>5366</v>
      </c>
      <c r="D21" s="30">
        <v>1.0</v>
      </c>
      <c r="E21" t="s">
        <v>3349</v>
      </c>
    </row>
    <row r="22">
      <c r="A22" s="11" t="s">
        <v>186</v>
      </c>
      <c r="B22" s="30">
        <v>9.0</v>
      </c>
      <c r="C22" t="s">
        <v>5367</v>
      </c>
      <c r="D22" s="30">
        <v>1.0</v>
      </c>
      <c r="E22" t="s">
        <v>1189</v>
      </c>
    </row>
    <row r="23">
      <c r="A23" s="11" t="s">
        <v>52</v>
      </c>
      <c r="B23" s="30">
        <v>8.0</v>
      </c>
      <c r="C23" t="s">
        <v>5368</v>
      </c>
      <c r="D23" s="30">
        <v>0.0</v>
      </c>
      <c r="E23" t="s">
        <v>5282</v>
      </c>
    </row>
    <row r="24">
      <c r="A24" s="11" t="s">
        <v>362</v>
      </c>
      <c r="B24" s="30">
        <v>8.0</v>
      </c>
      <c r="C24" t="s">
        <v>5369</v>
      </c>
      <c r="D24" s="30">
        <v>2.0</v>
      </c>
      <c r="E24" t="s">
        <v>5370</v>
      </c>
    </row>
    <row r="25">
      <c r="A25" s="11" t="s">
        <v>138</v>
      </c>
      <c r="B25" s="30">
        <v>7.0</v>
      </c>
      <c r="C25" t="s">
        <v>5371</v>
      </c>
      <c r="D25" s="30">
        <v>0.0</v>
      </c>
      <c r="E25" t="s">
        <v>5282</v>
      </c>
    </row>
    <row r="26">
      <c r="A26" s="11" t="s">
        <v>4728</v>
      </c>
      <c r="B26" s="30">
        <v>7.0</v>
      </c>
      <c r="C26" t="s">
        <v>5372</v>
      </c>
      <c r="D26" s="30">
        <v>0.0</v>
      </c>
      <c r="E26" t="s">
        <v>5282</v>
      </c>
    </row>
    <row r="27">
      <c r="A27" s="11" t="s">
        <v>346</v>
      </c>
      <c r="B27" s="30">
        <v>7.0</v>
      </c>
      <c r="C27" t="s">
        <v>5373</v>
      </c>
      <c r="D27" s="30">
        <v>0.0</v>
      </c>
      <c r="E27" t="s">
        <v>5282</v>
      </c>
    </row>
    <row r="28">
      <c r="A28" s="11" t="s">
        <v>101</v>
      </c>
      <c r="B28" s="30">
        <v>6.0</v>
      </c>
      <c r="C28" t="s">
        <v>5374</v>
      </c>
      <c r="D28" s="30">
        <v>0.0</v>
      </c>
      <c r="E28" t="s">
        <v>5282</v>
      </c>
    </row>
    <row r="29">
      <c r="A29" s="11" t="s">
        <v>162</v>
      </c>
      <c r="B29" s="30">
        <v>6.0</v>
      </c>
      <c r="C29" t="s">
        <v>5375</v>
      </c>
      <c r="D29" s="30">
        <v>1.0</v>
      </c>
      <c r="E29" t="s">
        <v>1223</v>
      </c>
    </row>
    <row r="30">
      <c r="A30" s="11" t="s">
        <v>103</v>
      </c>
      <c r="B30" s="30">
        <v>6.0</v>
      </c>
      <c r="C30" t="s">
        <v>5376</v>
      </c>
      <c r="D30" s="30">
        <v>0.0</v>
      </c>
      <c r="E30" t="s">
        <v>5282</v>
      </c>
    </row>
    <row r="31">
      <c r="A31" s="11" t="s">
        <v>44</v>
      </c>
      <c r="B31" s="30">
        <v>4.0</v>
      </c>
      <c r="C31" t="s">
        <v>5377</v>
      </c>
      <c r="D31" s="30">
        <v>0.0</v>
      </c>
      <c r="E31" t="s">
        <v>5282</v>
      </c>
    </row>
    <row r="32">
      <c r="A32" s="11" t="s">
        <v>192</v>
      </c>
      <c r="B32" s="30">
        <v>4.0</v>
      </c>
      <c r="C32" t="s">
        <v>5378</v>
      </c>
      <c r="D32" s="30">
        <v>1.0</v>
      </c>
      <c r="E32" t="s">
        <v>3551</v>
      </c>
    </row>
    <row r="33">
      <c r="A33" s="85" t="s">
        <v>4774</v>
      </c>
      <c r="B33" s="91">
        <v>260.0</v>
      </c>
      <c r="C33" s="92"/>
      <c r="D33" s="91">
        <v>22.0</v>
      </c>
      <c r="E33" s="92"/>
    </row>
    <row r="34">
      <c r="A34" s="85" t="s">
        <v>4778</v>
      </c>
      <c r="B34" s="93">
        <v>0.3048065650644783</v>
      </c>
      <c r="C34" s="92"/>
      <c r="D34" s="93">
        <v>0.7857142857142857</v>
      </c>
      <c r="E34" s="92"/>
    </row>
    <row r="35">
      <c r="A35" s="85" t="s">
        <v>4783</v>
      </c>
      <c r="B35" s="95">
        <v>44472.0</v>
      </c>
      <c r="C35" s="92"/>
      <c r="D35" s="95">
        <v>44472.0</v>
      </c>
      <c r="E35" s="92"/>
    </row>
    <row r="36">
      <c r="B36" s="30"/>
      <c r="D36" s="30"/>
    </row>
    <row r="37">
      <c r="A37" s="85" t="s">
        <v>4789</v>
      </c>
      <c r="B37" s="93">
        <v>0.32009080590238365</v>
      </c>
      <c r="D37" s="30"/>
    </row>
    <row r="38">
      <c r="A38" s="85" t="s">
        <v>4783</v>
      </c>
      <c r="B38" s="95">
        <v>44472.0</v>
      </c>
      <c r="D38" s="30"/>
    </row>
  </sheetData>
  <mergeCells count="1">
    <mergeCell ref="A1:E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1.88"/>
    <col customWidth="1" min="3" max="3" width="144.75"/>
    <col customWidth="1" min="4" max="4" width="20.5"/>
    <col customWidth="1" min="5" max="5" width="31.75"/>
  </cols>
  <sheetData>
    <row r="1">
      <c r="A1" s="81" t="s">
        <v>5379</v>
      </c>
    </row>
    <row r="2">
      <c r="A2" s="85" t="s">
        <v>4</v>
      </c>
      <c r="B2" s="81" t="s">
        <v>4680</v>
      </c>
      <c r="C2" s="85" t="s">
        <v>4681</v>
      </c>
      <c r="D2" s="81" t="s">
        <v>4682</v>
      </c>
      <c r="E2" s="85" t="s">
        <v>4683</v>
      </c>
    </row>
    <row r="3">
      <c r="A3" s="13" t="s">
        <v>5380</v>
      </c>
      <c r="B3" s="30">
        <v>13.0</v>
      </c>
      <c r="C3" t="s">
        <v>5381</v>
      </c>
      <c r="D3" s="30">
        <v>0.0</v>
      </c>
      <c r="E3" t="s">
        <v>5282</v>
      </c>
    </row>
    <row r="4">
      <c r="A4" s="13" t="s">
        <v>5382</v>
      </c>
      <c r="B4" s="30">
        <v>12.0</v>
      </c>
      <c r="C4" t="s">
        <v>5383</v>
      </c>
      <c r="D4" s="30">
        <v>0.0</v>
      </c>
      <c r="E4" t="s">
        <v>5282</v>
      </c>
    </row>
    <row r="5">
      <c r="A5" s="13" t="s">
        <v>5384</v>
      </c>
      <c r="B5" s="30">
        <v>11.0</v>
      </c>
      <c r="C5" t="s">
        <v>5385</v>
      </c>
      <c r="D5" s="30">
        <v>0.0</v>
      </c>
      <c r="E5" t="s">
        <v>5282</v>
      </c>
    </row>
    <row r="6">
      <c r="A6" s="13" t="s">
        <v>5386</v>
      </c>
      <c r="B6" s="30">
        <v>10.0</v>
      </c>
      <c r="C6" t="s">
        <v>5387</v>
      </c>
      <c r="D6" s="30">
        <v>0.0</v>
      </c>
      <c r="E6" t="s">
        <v>5282</v>
      </c>
    </row>
    <row r="7">
      <c r="A7" s="13" t="s">
        <v>5388</v>
      </c>
      <c r="B7" s="30">
        <v>10.0</v>
      </c>
      <c r="C7" t="s">
        <v>5389</v>
      </c>
      <c r="D7" s="30">
        <v>0.0</v>
      </c>
      <c r="E7" t="s">
        <v>5282</v>
      </c>
    </row>
    <row r="8">
      <c r="A8" s="13" t="s">
        <v>5390</v>
      </c>
      <c r="B8" s="30">
        <v>10.0</v>
      </c>
      <c r="C8" t="s">
        <v>5391</v>
      </c>
      <c r="D8" s="30">
        <v>2.0</v>
      </c>
      <c r="E8" t="s">
        <v>5392</v>
      </c>
    </row>
    <row r="9">
      <c r="A9" s="13" t="s">
        <v>5393</v>
      </c>
      <c r="B9" s="30">
        <v>9.0</v>
      </c>
      <c r="C9" t="s">
        <v>5394</v>
      </c>
      <c r="D9" s="30">
        <v>0.0</v>
      </c>
      <c r="E9" t="s">
        <v>5282</v>
      </c>
    </row>
    <row r="10">
      <c r="A10" s="13" t="s">
        <v>5395</v>
      </c>
      <c r="B10" s="30">
        <v>9.0</v>
      </c>
      <c r="C10" t="s">
        <v>5396</v>
      </c>
      <c r="D10" s="30">
        <v>1.0</v>
      </c>
      <c r="E10" t="s">
        <v>3219</v>
      </c>
    </row>
    <row r="11">
      <c r="A11" s="13" t="s">
        <v>5397</v>
      </c>
      <c r="B11" s="30">
        <v>9.0</v>
      </c>
      <c r="C11" t="s">
        <v>5398</v>
      </c>
      <c r="D11" s="30">
        <v>0.0</v>
      </c>
      <c r="E11" t="s">
        <v>5282</v>
      </c>
    </row>
    <row r="12">
      <c r="A12" s="13" t="s">
        <v>5399</v>
      </c>
      <c r="B12" s="30">
        <v>9.0</v>
      </c>
      <c r="C12" t="s">
        <v>5400</v>
      </c>
      <c r="D12" s="30">
        <v>1.0</v>
      </c>
      <c r="E12" t="s">
        <v>1405</v>
      </c>
    </row>
    <row r="13">
      <c r="A13" s="13" t="s">
        <v>5401</v>
      </c>
      <c r="B13" s="30">
        <v>9.0</v>
      </c>
      <c r="C13" t="s">
        <v>5402</v>
      </c>
      <c r="D13" s="30">
        <v>0.0</v>
      </c>
      <c r="E13" t="s">
        <v>5282</v>
      </c>
    </row>
    <row r="14">
      <c r="A14" s="13" t="s">
        <v>5403</v>
      </c>
      <c r="B14" s="30">
        <v>8.0</v>
      </c>
      <c r="C14" t="s">
        <v>5404</v>
      </c>
      <c r="D14" s="30">
        <v>2.0</v>
      </c>
      <c r="E14" t="s">
        <v>5405</v>
      </c>
    </row>
    <row r="15">
      <c r="A15" s="13" t="s">
        <v>5406</v>
      </c>
      <c r="B15" s="30">
        <v>8.0</v>
      </c>
      <c r="C15" t="s">
        <v>5407</v>
      </c>
      <c r="D15" s="30">
        <v>0.0</v>
      </c>
      <c r="E15" t="s">
        <v>5282</v>
      </c>
    </row>
    <row r="16">
      <c r="A16" s="13" t="s">
        <v>5408</v>
      </c>
      <c r="B16" s="30">
        <v>8.0</v>
      </c>
      <c r="C16" t="s">
        <v>5409</v>
      </c>
      <c r="D16" s="30">
        <v>1.0</v>
      </c>
      <c r="E16" t="s">
        <v>1516</v>
      </c>
    </row>
    <row r="17">
      <c r="A17" s="13" t="s">
        <v>5410</v>
      </c>
      <c r="B17" s="30">
        <v>8.0</v>
      </c>
      <c r="C17" t="s">
        <v>5411</v>
      </c>
      <c r="D17" s="30">
        <v>1.0</v>
      </c>
      <c r="E17" t="s">
        <v>1383</v>
      </c>
    </row>
    <row r="18">
      <c r="A18" s="13" t="s">
        <v>5412</v>
      </c>
      <c r="B18" s="30">
        <v>8.0</v>
      </c>
      <c r="C18" t="s">
        <v>5413</v>
      </c>
      <c r="D18" s="30">
        <v>1.0</v>
      </c>
      <c r="E18" t="s">
        <v>1430</v>
      </c>
    </row>
    <row r="19">
      <c r="A19" s="13" t="s">
        <v>5414</v>
      </c>
      <c r="B19" s="30">
        <v>7.0</v>
      </c>
      <c r="C19" t="s">
        <v>5415</v>
      </c>
      <c r="D19" s="30">
        <v>0.0</v>
      </c>
      <c r="E19" t="s">
        <v>5282</v>
      </c>
    </row>
    <row r="20">
      <c r="A20" s="13" t="s">
        <v>5416</v>
      </c>
      <c r="B20" s="30">
        <v>7.0</v>
      </c>
      <c r="C20" t="s">
        <v>5417</v>
      </c>
      <c r="D20" s="30">
        <v>1.0</v>
      </c>
      <c r="E20" t="s">
        <v>1866</v>
      </c>
    </row>
    <row r="21">
      <c r="A21" s="13" t="s">
        <v>5418</v>
      </c>
      <c r="B21" s="30">
        <v>7.0</v>
      </c>
      <c r="C21" t="s">
        <v>5419</v>
      </c>
      <c r="D21" s="30">
        <v>1.0</v>
      </c>
      <c r="E21" t="s">
        <v>1536</v>
      </c>
    </row>
    <row r="22">
      <c r="A22" s="13" t="s">
        <v>5420</v>
      </c>
      <c r="B22" s="30">
        <v>7.0</v>
      </c>
      <c r="C22" t="s">
        <v>5421</v>
      </c>
      <c r="D22" s="30">
        <v>1.0</v>
      </c>
      <c r="E22" t="s">
        <v>1415</v>
      </c>
    </row>
    <row r="23">
      <c r="A23" s="13" t="s">
        <v>5422</v>
      </c>
      <c r="B23" s="30">
        <v>7.0</v>
      </c>
      <c r="C23" t="s">
        <v>5423</v>
      </c>
      <c r="D23" s="30">
        <v>0.0</v>
      </c>
      <c r="E23" t="s">
        <v>5282</v>
      </c>
    </row>
    <row r="24">
      <c r="A24" s="13" t="s">
        <v>5424</v>
      </c>
      <c r="B24" s="30">
        <v>7.0</v>
      </c>
      <c r="C24" t="s">
        <v>5425</v>
      </c>
      <c r="D24" s="30">
        <v>0.0</v>
      </c>
      <c r="E24" t="s">
        <v>5282</v>
      </c>
    </row>
    <row r="25">
      <c r="A25" s="13" t="s">
        <v>5426</v>
      </c>
      <c r="B25" s="30">
        <v>6.0</v>
      </c>
      <c r="C25" t="s">
        <v>5427</v>
      </c>
      <c r="D25" s="30">
        <v>1.0</v>
      </c>
      <c r="E25" t="s">
        <v>1388</v>
      </c>
    </row>
    <row r="26">
      <c r="A26" s="13" t="s">
        <v>5428</v>
      </c>
      <c r="B26" s="30">
        <v>6.0</v>
      </c>
      <c r="C26" t="s">
        <v>5429</v>
      </c>
      <c r="D26" s="30">
        <v>2.0</v>
      </c>
      <c r="E26" t="s">
        <v>5430</v>
      </c>
    </row>
    <row r="27">
      <c r="A27" s="13" t="s">
        <v>5431</v>
      </c>
      <c r="B27" s="30">
        <v>5.0</v>
      </c>
      <c r="C27" t="s">
        <v>5432</v>
      </c>
      <c r="D27" s="30">
        <v>2.0</v>
      </c>
      <c r="E27" t="s">
        <v>5433</v>
      </c>
    </row>
    <row r="28">
      <c r="A28" s="13" t="s">
        <v>5434</v>
      </c>
      <c r="B28" s="30">
        <v>5.0</v>
      </c>
      <c r="C28" t="s">
        <v>5435</v>
      </c>
      <c r="D28" s="30">
        <v>0.0</v>
      </c>
      <c r="E28" t="s">
        <v>5282</v>
      </c>
    </row>
    <row r="29">
      <c r="A29" s="13" t="s">
        <v>5436</v>
      </c>
      <c r="B29" s="30">
        <v>5.0</v>
      </c>
      <c r="C29" t="s">
        <v>5437</v>
      </c>
      <c r="D29" s="30">
        <v>1.0</v>
      </c>
      <c r="E29" t="s">
        <v>1406</v>
      </c>
    </row>
    <row r="30">
      <c r="A30" s="13" t="s">
        <v>5438</v>
      </c>
      <c r="B30" s="30">
        <v>5.0</v>
      </c>
      <c r="C30" t="s">
        <v>5439</v>
      </c>
      <c r="D30" s="30">
        <v>0.0</v>
      </c>
      <c r="E30" t="s">
        <v>5282</v>
      </c>
    </row>
    <row r="31">
      <c r="A31" s="13" t="s">
        <v>5440</v>
      </c>
      <c r="B31" s="30">
        <v>5.0</v>
      </c>
      <c r="C31" t="s">
        <v>5441</v>
      </c>
      <c r="D31" s="30">
        <v>2.0</v>
      </c>
      <c r="E31" t="s">
        <v>5442</v>
      </c>
    </row>
    <row r="32">
      <c r="A32" s="13" t="s">
        <v>5443</v>
      </c>
      <c r="B32" s="30">
        <v>5.0</v>
      </c>
      <c r="C32" t="s">
        <v>5444</v>
      </c>
      <c r="D32" s="30">
        <v>1.0</v>
      </c>
      <c r="E32" t="s">
        <v>1355</v>
      </c>
    </row>
    <row r="33">
      <c r="A33" s="85" t="s">
        <v>4774</v>
      </c>
      <c r="B33" s="91">
        <v>220.0</v>
      </c>
      <c r="C33" s="92"/>
      <c r="D33" s="91">
        <v>21.0</v>
      </c>
      <c r="E33" s="92"/>
    </row>
    <row r="34">
      <c r="A34" s="85" t="s">
        <v>4778</v>
      </c>
      <c r="B34" s="93">
        <v>0.3081232492997199</v>
      </c>
      <c r="C34" s="92"/>
      <c r="D34" s="93">
        <v>0.5384615384615384</v>
      </c>
      <c r="E34" s="92"/>
    </row>
    <row r="35">
      <c r="A35" s="85" t="s">
        <v>4783</v>
      </c>
      <c r="B35" s="95">
        <v>44101.0</v>
      </c>
      <c r="C35" s="92"/>
      <c r="D35" s="95">
        <v>44101.0</v>
      </c>
      <c r="E35" s="92"/>
    </row>
    <row r="36">
      <c r="B36" s="30"/>
      <c r="D36" s="30"/>
    </row>
    <row r="37">
      <c r="A37" s="85" t="s">
        <v>4789</v>
      </c>
      <c r="B37" s="93">
        <v>0.3200531208499336</v>
      </c>
      <c r="D37" s="30"/>
    </row>
    <row r="38">
      <c r="A38" s="85" t="s">
        <v>4783</v>
      </c>
      <c r="B38" s="95">
        <v>44101.0</v>
      </c>
      <c r="D38" s="30"/>
    </row>
  </sheetData>
  <mergeCells count="1">
    <mergeCell ref="A1:E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1.88"/>
    <col customWidth="1" min="3" max="3" width="172.63"/>
    <col customWidth="1" min="4" max="4" width="19.75"/>
    <col customWidth="1" min="5" max="5" width="20.38"/>
  </cols>
  <sheetData>
    <row r="1">
      <c r="A1" s="81" t="s">
        <v>5445</v>
      </c>
    </row>
    <row r="2">
      <c r="A2" s="85" t="s">
        <v>4</v>
      </c>
      <c r="B2" s="81" t="s">
        <v>4680</v>
      </c>
      <c r="C2" s="85" t="s">
        <v>4681</v>
      </c>
      <c r="D2" s="81" t="s">
        <v>4682</v>
      </c>
      <c r="E2" s="85" t="s">
        <v>4683</v>
      </c>
    </row>
    <row r="3">
      <c r="A3" s="13" t="s">
        <v>5382</v>
      </c>
      <c r="B3" s="30">
        <v>15.0</v>
      </c>
      <c r="C3" t="s">
        <v>5446</v>
      </c>
      <c r="D3" s="30">
        <v>1.0</v>
      </c>
      <c r="E3" t="s">
        <v>3580</v>
      </c>
    </row>
    <row r="4">
      <c r="A4" s="13" t="s">
        <v>5426</v>
      </c>
      <c r="B4" s="30">
        <v>14.0</v>
      </c>
      <c r="C4" t="s">
        <v>5447</v>
      </c>
      <c r="D4" s="30">
        <v>0.0</v>
      </c>
      <c r="E4" t="s">
        <v>5282</v>
      </c>
    </row>
    <row r="5">
      <c r="A5" s="13" t="s">
        <v>5380</v>
      </c>
      <c r="B5" s="30">
        <v>12.0</v>
      </c>
      <c r="C5" t="s">
        <v>5448</v>
      </c>
      <c r="D5" s="30">
        <v>0.0</v>
      </c>
      <c r="E5" t="s">
        <v>5282</v>
      </c>
    </row>
    <row r="6">
      <c r="A6" s="13" t="s">
        <v>5397</v>
      </c>
      <c r="B6" s="30">
        <v>12.0</v>
      </c>
      <c r="C6" t="s">
        <v>5449</v>
      </c>
      <c r="D6" s="30">
        <v>0.0</v>
      </c>
      <c r="E6" t="s">
        <v>5282</v>
      </c>
    </row>
    <row r="7">
      <c r="A7" s="13" t="s">
        <v>5386</v>
      </c>
      <c r="B7" s="30">
        <v>11.0</v>
      </c>
      <c r="C7" t="s">
        <v>5450</v>
      </c>
      <c r="D7" s="30">
        <v>0.0</v>
      </c>
      <c r="E7" t="s">
        <v>5282</v>
      </c>
    </row>
    <row r="8">
      <c r="A8" s="13" t="s">
        <v>5431</v>
      </c>
      <c r="B8" s="30">
        <v>11.0</v>
      </c>
      <c r="C8" t="s">
        <v>5451</v>
      </c>
      <c r="D8" s="30">
        <v>0.0</v>
      </c>
      <c r="E8" t="s">
        <v>5282</v>
      </c>
    </row>
    <row r="9">
      <c r="A9" s="13" t="s">
        <v>5401</v>
      </c>
      <c r="B9" s="30">
        <v>11.0</v>
      </c>
      <c r="C9" t="s">
        <v>5452</v>
      </c>
      <c r="D9" s="30">
        <v>1.0</v>
      </c>
      <c r="E9" t="s">
        <v>1738</v>
      </c>
    </row>
    <row r="10">
      <c r="A10" s="13" t="s">
        <v>5416</v>
      </c>
      <c r="B10" s="30">
        <v>10.0</v>
      </c>
      <c r="C10" t="s">
        <v>5453</v>
      </c>
      <c r="D10" s="30">
        <v>1.0</v>
      </c>
      <c r="E10" t="s">
        <v>1762</v>
      </c>
    </row>
    <row r="11">
      <c r="A11" s="13" t="s">
        <v>5420</v>
      </c>
      <c r="B11" s="30">
        <v>10.0</v>
      </c>
      <c r="C11" t="s">
        <v>5454</v>
      </c>
      <c r="D11" s="30">
        <v>0.0</v>
      </c>
      <c r="E11" t="s">
        <v>5282</v>
      </c>
    </row>
    <row r="12">
      <c r="A12" s="13" t="s">
        <v>5390</v>
      </c>
      <c r="B12" s="30">
        <v>10.0</v>
      </c>
      <c r="C12" t="s">
        <v>5455</v>
      </c>
      <c r="D12" s="30">
        <v>0.0</v>
      </c>
      <c r="E12" t="s">
        <v>5282</v>
      </c>
    </row>
    <row r="13">
      <c r="A13" s="13" t="s">
        <v>5406</v>
      </c>
      <c r="B13" s="30">
        <v>9.0</v>
      </c>
      <c r="C13" t="s">
        <v>5456</v>
      </c>
      <c r="D13" s="30">
        <v>0.0</v>
      </c>
      <c r="E13" t="s">
        <v>5282</v>
      </c>
    </row>
    <row r="14">
      <c r="A14" s="13" t="s">
        <v>5436</v>
      </c>
      <c r="B14" s="30">
        <v>9.0</v>
      </c>
      <c r="C14" t="s">
        <v>5457</v>
      </c>
      <c r="D14" s="30">
        <v>1.0</v>
      </c>
      <c r="E14" t="s">
        <v>293</v>
      </c>
    </row>
    <row r="15">
      <c r="A15" s="13" t="s">
        <v>5428</v>
      </c>
      <c r="B15" s="30">
        <v>9.0</v>
      </c>
      <c r="C15" t="s">
        <v>5458</v>
      </c>
      <c r="D15" s="30">
        <v>0.0</v>
      </c>
      <c r="E15" t="s">
        <v>5282</v>
      </c>
    </row>
    <row r="16">
      <c r="A16" s="13" t="s">
        <v>5422</v>
      </c>
      <c r="B16" s="30">
        <v>9.0</v>
      </c>
      <c r="C16" t="s">
        <v>5459</v>
      </c>
      <c r="D16" s="30">
        <v>1.0</v>
      </c>
      <c r="E16" t="s">
        <v>1636</v>
      </c>
    </row>
    <row r="17">
      <c r="A17" s="13" t="s">
        <v>5424</v>
      </c>
      <c r="B17" s="30">
        <v>9.0</v>
      </c>
      <c r="C17" t="s">
        <v>5460</v>
      </c>
      <c r="D17" s="30">
        <v>0.0</v>
      </c>
      <c r="E17" t="s">
        <v>5282</v>
      </c>
    </row>
    <row r="18">
      <c r="A18" s="13" t="s">
        <v>5393</v>
      </c>
      <c r="B18" s="30">
        <v>8.0</v>
      </c>
      <c r="C18" t="s">
        <v>5461</v>
      </c>
      <c r="D18" s="30">
        <v>1.0</v>
      </c>
      <c r="E18" t="s">
        <v>1618</v>
      </c>
    </row>
    <row r="19">
      <c r="A19" s="13" t="s">
        <v>5410</v>
      </c>
      <c r="B19" s="30">
        <v>8.0</v>
      </c>
      <c r="C19" t="s">
        <v>5462</v>
      </c>
      <c r="D19" s="30">
        <v>0.0</v>
      </c>
      <c r="E19" t="s">
        <v>5282</v>
      </c>
    </row>
    <row r="20">
      <c r="A20" s="13" t="s">
        <v>5384</v>
      </c>
      <c r="B20" s="30">
        <v>8.0</v>
      </c>
      <c r="C20" t="s">
        <v>5463</v>
      </c>
      <c r="D20" s="30">
        <v>1.0</v>
      </c>
      <c r="E20" t="s">
        <v>3442</v>
      </c>
    </row>
    <row r="21">
      <c r="A21" s="13" t="s">
        <v>5412</v>
      </c>
      <c r="B21" s="30">
        <v>8.0</v>
      </c>
      <c r="C21" t="s">
        <v>5464</v>
      </c>
      <c r="D21" s="30">
        <v>0.0</v>
      </c>
      <c r="E21" t="s">
        <v>5282</v>
      </c>
    </row>
    <row r="22">
      <c r="A22" s="13" t="s">
        <v>5414</v>
      </c>
      <c r="B22" s="30">
        <v>7.0</v>
      </c>
      <c r="C22" t="s">
        <v>5465</v>
      </c>
      <c r="D22" s="30">
        <v>1.0</v>
      </c>
      <c r="E22" t="s">
        <v>1726</v>
      </c>
    </row>
    <row r="23">
      <c r="A23" s="13" t="s">
        <v>5388</v>
      </c>
      <c r="B23" s="30">
        <v>7.0</v>
      </c>
      <c r="C23" t="s">
        <v>5466</v>
      </c>
      <c r="D23" s="30">
        <v>1.0</v>
      </c>
      <c r="E23" t="s">
        <v>1764</v>
      </c>
    </row>
    <row r="24">
      <c r="A24" s="13" t="s">
        <v>5434</v>
      </c>
      <c r="B24" s="30">
        <v>7.0</v>
      </c>
      <c r="C24" t="s">
        <v>5467</v>
      </c>
      <c r="D24" s="30">
        <v>0.0</v>
      </c>
      <c r="E24" t="s">
        <v>5282</v>
      </c>
    </row>
    <row r="25">
      <c r="A25" s="13" t="s">
        <v>5438</v>
      </c>
      <c r="B25" s="30">
        <v>7.0</v>
      </c>
      <c r="C25" t="s">
        <v>5468</v>
      </c>
      <c r="D25" s="30">
        <v>0.0</v>
      </c>
      <c r="E25" t="s">
        <v>5282</v>
      </c>
    </row>
    <row r="26">
      <c r="A26" s="13" t="s">
        <v>5440</v>
      </c>
      <c r="B26" s="30">
        <v>7.0</v>
      </c>
      <c r="C26" t="s">
        <v>5469</v>
      </c>
      <c r="D26" s="30">
        <v>0.0</v>
      </c>
      <c r="E26" t="s">
        <v>5282</v>
      </c>
    </row>
    <row r="27">
      <c r="A27" s="13" t="s">
        <v>5408</v>
      </c>
      <c r="B27" s="30">
        <v>7.0</v>
      </c>
      <c r="C27" t="s">
        <v>5470</v>
      </c>
      <c r="D27" s="30">
        <v>2.0</v>
      </c>
      <c r="E27" t="s">
        <v>5471</v>
      </c>
    </row>
    <row r="28">
      <c r="A28" s="13" t="s">
        <v>5395</v>
      </c>
      <c r="B28" s="30">
        <v>6.0</v>
      </c>
      <c r="C28" t="s">
        <v>5472</v>
      </c>
      <c r="D28" s="30">
        <v>1.0</v>
      </c>
      <c r="E28" t="s">
        <v>1869</v>
      </c>
    </row>
    <row r="29">
      <c r="A29" s="13" t="s">
        <v>5399</v>
      </c>
      <c r="B29" s="30">
        <v>6.0</v>
      </c>
      <c r="C29" t="s">
        <v>5473</v>
      </c>
      <c r="D29" s="30">
        <v>0.0</v>
      </c>
      <c r="E29" t="s">
        <v>5282</v>
      </c>
    </row>
    <row r="30">
      <c r="A30" s="13" t="s">
        <v>5403</v>
      </c>
      <c r="B30" s="30">
        <v>5.0</v>
      </c>
      <c r="C30" t="s">
        <v>5474</v>
      </c>
      <c r="D30" s="30">
        <v>0.0</v>
      </c>
      <c r="E30" t="s">
        <v>5282</v>
      </c>
    </row>
    <row r="31">
      <c r="A31" s="13" t="s">
        <v>5418</v>
      </c>
      <c r="B31" s="30">
        <v>4.0</v>
      </c>
      <c r="C31" t="s">
        <v>5475</v>
      </c>
      <c r="D31" s="30">
        <v>1.0</v>
      </c>
      <c r="E31" t="s">
        <v>1643</v>
      </c>
    </row>
    <row r="32">
      <c r="A32" s="13" t="s">
        <v>5443</v>
      </c>
      <c r="B32" s="30">
        <v>3.0</v>
      </c>
      <c r="C32" t="s">
        <v>5476</v>
      </c>
      <c r="D32" s="30">
        <v>0.0</v>
      </c>
      <c r="E32" t="s">
        <v>5282</v>
      </c>
    </row>
    <row r="33">
      <c r="A33" s="85" t="s">
        <v>4774</v>
      </c>
      <c r="B33" s="91">
        <v>230.0</v>
      </c>
      <c r="C33" s="92"/>
      <c r="D33" s="91">
        <v>13.0</v>
      </c>
      <c r="E33" s="92"/>
    </row>
    <row r="34">
      <c r="A34" s="85" t="s">
        <v>4778</v>
      </c>
      <c r="B34" s="93">
        <v>0.29831387808041504</v>
      </c>
      <c r="C34" s="92"/>
      <c r="D34" s="93">
        <v>0.6842105263157895</v>
      </c>
      <c r="E34" s="92"/>
    </row>
    <row r="35">
      <c r="A35" s="85" t="s">
        <v>4783</v>
      </c>
      <c r="B35" s="100">
        <v>43737.0</v>
      </c>
      <c r="C35" s="92"/>
      <c r="D35" s="100">
        <v>43737.0</v>
      </c>
      <c r="E35" s="92"/>
    </row>
    <row r="36">
      <c r="B36" s="30"/>
      <c r="D36" s="30"/>
    </row>
    <row r="37">
      <c r="A37" s="85" t="s">
        <v>4789</v>
      </c>
      <c r="B37" s="93">
        <v>0.30759493670886073</v>
      </c>
      <c r="D37" s="30"/>
    </row>
    <row r="38">
      <c r="A38" s="85" t="s">
        <v>4783</v>
      </c>
      <c r="B38" s="100">
        <v>43737.0</v>
      </c>
      <c r="D38" s="30"/>
    </row>
  </sheetData>
  <mergeCells count="1">
    <mergeCell ref="A1:E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1.88"/>
    <col customWidth="1" min="3" max="3" width="149.88"/>
    <col customWidth="1" min="4" max="4" width="20.5"/>
    <col customWidth="1" min="5" max="5" width="23.75"/>
    <col customWidth="1" hidden="1" min="6" max="6" width="16.88"/>
    <col customWidth="1" hidden="1" min="7" max="7" width="5.13"/>
    <col customWidth="1" hidden="1" min="8" max="8" width="7.25"/>
    <col customWidth="1" hidden="1" min="9" max="9" width="9.13"/>
  </cols>
  <sheetData>
    <row r="1">
      <c r="A1" s="81" t="s">
        <v>5477</v>
      </c>
      <c r="F1" s="6" t="s">
        <v>5478</v>
      </c>
      <c r="G1" s="6" t="s">
        <v>4</v>
      </c>
      <c r="H1" s="6" t="s">
        <v>4674</v>
      </c>
      <c r="I1" s="84" t="s">
        <v>4675</v>
      </c>
    </row>
    <row r="2">
      <c r="A2" s="85" t="s">
        <v>4</v>
      </c>
      <c r="B2" s="81" t="s">
        <v>4680</v>
      </c>
      <c r="C2" s="85" t="s">
        <v>4681</v>
      </c>
      <c r="D2" s="81" t="s">
        <v>5479</v>
      </c>
      <c r="E2" s="85" t="s">
        <v>5480</v>
      </c>
      <c r="F2" s="13" t="s">
        <v>3591</v>
      </c>
      <c r="G2" s="13" t="s">
        <v>4685</v>
      </c>
      <c r="H2" s="13">
        <v>5257.0</v>
      </c>
      <c r="I2" s="89">
        <v>40452.0</v>
      </c>
    </row>
    <row r="3">
      <c r="A3" s="13" t="s">
        <v>5406</v>
      </c>
      <c r="B3" s="30">
        <v>14.0</v>
      </c>
      <c r="C3" t="s">
        <v>5481</v>
      </c>
      <c r="D3" s="30">
        <v>0.0</v>
      </c>
      <c r="E3" t="s">
        <v>5282</v>
      </c>
      <c r="F3" s="101" t="s">
        <v>3719</v>
      </c>
      <c r="G3" s="101" t="s">
        <v>4685</v>
      </c>
      <c r="H3" s="101">
        <v>9486.0</v>
      </c>
      <c r="I3" s="89">
        <v>40001.0</v>
      </c>
    </row>
    <row r="4">
      <c r="A4" s="13" t="s">
        <v>5416</v>
      </c>
      <c r="B4" s="30">
        <v>12.0</v>
      </c>
      <c r="C4" t="s">
        <v>5482</v>
      </c>
      <c r="D4" s="30">
        <v>1.0</v>
      </c>
      <c r="E4" t="s">
        <v>1890</v>
      </c>
      <c r="F4" s="101" t="s">
        <v>3013</v>
      </c>
      <c r="G4" s="101" t="s">
        <v>4685</v>
      </c>
      <c r="H4" s="101">
        <v>7947.0</v>
      </c>
      <c r="I4" s="89">
        <v>41745.0</v>
      </c>
    </row>
    <row r="5">
      <c r="A5" s="13" t="s">
        <v>5386</v>
      </c>
      <c r="B5" s="30">
        <v>12.0</v>
      </c>
      <c r="C5" t="s">
        <v>5483</v>
      </c>
      <c r="D5" s="30">
        <v>2.0</v>
      </c>
      <c r="E5" t="s">
        <v>5484</v>
      </c>
      <c r="F5" s="13" t="s">
        <v>5485</v>
      </c>
      <c r="G5" s="13" t="s">
        <v>4685</v>
      </c>
      <c r="H5" s="13">
        <v>18719.0</v>
      </c>
      <c r="I5" s="89">
        <v>36892.0</v>
      </c>
    </row>
    <row r="6">
      <c r="A6" s="13" t="s">
        <v>5426</v>
      </c>
      <c r="B6" s="30">
        <v>11.0</v>
      </c>
      <c r="C6" t="s">
        <v>5486</v>
      </c>
      <c r="D6" s="30">
        <v>0.0</v>
      </c>
      <c r="E6" t="s">
        <v>5282</v>
      </c>
      <c r="F6" s="13" t="s">
        <v>1032</v>
      </c>
      <c r="G6" s="13" t="s">
        <v>4685</v>
      </c>
      <c r="H6" s="13">
        <v>9059.0</v>
      </c>
      <c r="I6" s="96">
        <v>37930.0</v>
      </c>
    </row>
    <row r="7">
      <c r="A7" s="13" t="s">
        <v>5431</v>
      </c>
      <c r="B7" s="30">
        <v>11.0</v>
      </c>
      <c r="C7" t="s">
        <v>5487</v>
      </c>
      <c r="D7" s="30">
        <v>1.0</v>
      </c>
      <c r="E7" t="s">
        <v>1869</v>
      </c>
      <c r="F7" s="13" t="s">
        <v>4142</v>
      </c>
      <c r="G7" s="13" t="s">
        <v>4685</v>
      </c>
      <c r="H7" s="13">
        <v>494.0</v>
      </c>
      <c r="I7" s="96">
        <v>38106.0</v>
      </c>
    </row>
    <row r="8">
      <c r="A8" s="13" t="s">
        <v>5382</v>
      </c>
      <c r="B8" s="30">
        <v>10.0</v>
      </c>
      <c r="C8" t="s">
        <v>5488</v>
      </c>
      <c r="D8" s="30">
        <v>0.0</v>
      </c>
      <c r="E8" t="s">
        <v>5282</v>
      </c>
      <c r="F8" s="13" t="s">
        <v>3980</v>
      </c>
      <c r="G8" s="13" t="s">
        <v>4685</v>
      </c>
      <c r="H8" s="13">
        <v>11712.0</v>
      </c>
      <c r="I8" s="96">
        <v>39083.0</v>
      </c>
    </row>
    <row r="9">
      <c r="A9" s="13" t="s">
        <v>5380</v>
      </c>
      <c r="B9" s="30">
        <v>9.0</v>
      </c>
      <c r="C9" t="s">
        <v>5489</v>
      </c>
      <c r="D9" s="30">
        <v>0.0</v>
      </c>
      <c r="E9" t="s">
        <v>5282</v>
      </c>
      <c r="F9" s="13" t="s">
        <v>3877</v>
      </c>
      <c r="G9" s="13" t="s">
        <v>4685</v>
      </c>
      <c r="H9" s="13">
        <v>14974.0</v>
      </c>
      <c r="I9" s="96">
        <v>39448.0</v>
      </c>
    </row>
    <row r="10">
      <c r="A10" s="13" t="s">
        <v>5408</v>
      </c>
      <c r="B10" s="30">
        <v>9.0</v>
      </c>
      <c r="C10" t="s">
        <v>5490</v>
      </c>
      <c r="D10" s="30">
        <v>1.0</v>
      </c>
      <c r="E10" t="s">
        <v>1958</v>
      </c>
      <c r="F10" s="88" t="s">
        <v>3820</v>
      </c>
      <c r="G10" s="88" t="s">
        <v>4685</v>
      </c>
      <c r="H10" s="88">
        <v>8137.0</v>
      </c>
      <c r="I10" s="96">
        <v>39699.0</v>
      </c>
    </row>
    <row r="11">
      <c r="A11" s="13" t="s">
        <v>5401</v>
      </c>
      <c r="B11" s="30">
        <v>9.0</v>
      </c>
      <c r="C11" t="s">
        <v>5491</v>
      </c>
      <c r="D11" s="30">
        <v>0.0</v>
      </c>
      <c r="E11" t="s">
        <v>5282</v>
      </c>
      <c r="F11" s="13" t="s">
        <v>3719</v>
      </c>
      <c r="G11" s="13" t="s">
        <v>4685</v>
      </c>
      <c r="H11" s="13">
        <v>9486.0</v>
      </c>
      <c r="I11" s="96">
        <v>40001.0</v>
      </c>
    </row>
    <row r="12">
      <c r="A12" s="13" t="s">
        <v>5395</v>
      </c>
      <c r="B12" s="30">
        <v>8.0</v>
      </c>
      <c r="C12" t="s">
        <v>5492</v>
      </c>
      <c r="D12" s="30">
        <v>0.0</v>
      </c>
      <c r="E12" t="s">
        <v>5282</v>
      </c>
      <c r="F12" s="13" t="s">
        <v>3639</v>
      </c>
      <c r="G12" s="13" t="s">
        <v>4685</v>
      </c>
      <c r="H12" s="13">
        <v>4079.0</v>
      </c>
      <c r="I12" s="96">
        <v>40274.0</v>
      </c>
    </row>
    <row r="13">
      <c r="A13" s="13" t="s">
        <v>5436</v>
      </c>
      <c r="B13" s="30">
        <v>8.0</v>
      </c>
      <c r="C13" t="s">
        <v>5493</v>
      </c>
      <c r="D13" s="30">
        <v>1.0</v>
      </c>
      <c r="E13" t="s">
        <v>1888</v>
      </c>
      <c r="F13" s="13" t="s">
        <v>3599</v>
      </c>
      <c r="G13" s="13" t="s">
        <v>4685</v>
      </c>
      <c r="H13" s="13">
        <v>7773.0</v>
      </c>
      <c r="I13" s="96">
        <v>40422.0</v>
      </c>
    </row>
    <row r="14">
      <c r="A14" s="13" t="s">
        <v>5397</v>
      </c>
      <c r="B14" s="30">
        <v>8.0</v>
      </c>
      <c r="C14" t="s">
        <v>5494</v>
      </c>
      <c r="D14" s="30">
        <v>1.0</v>
      </c>
      <c r="E14" t="s">
        <v>1862</v>
      </c>
      <c r="F14" s="13" t="s">
        <v>3591</v>
      </c>
      <c r="G14" s="13" t="s">
        <v>4685</v>
      </c>
      <c r="H14" s="13">
        <v>5257.0</v>
      </c>
      <c r="I14" s="96">
        <v>40452.0</v>
      </c>
    </row>
    <row r="15">
      <c r="A15" s="13" t="s">
        <v>5422</v>
      </c>
      <c r="B15" s="30">
        <v>8.0</v>
      </c>
      <c r="C15" t="s">
        <v>5495</v>
      </c>
      <c r="D15" s="30">
        <v>0.0</v>
      </c>
      <c r="E15" t="s">
        <v>5282</v>
      </c>
      <c r="F15" s="13" t="s">
        <v>3505</v>
      </c>
      <c r="G15" s="13" t="s">
        <v>4685</v>
      </c>
      <c r="H15" s="13">
        <v>2047.0</v>
      </c>
      <c r="I15" s="96">
        <v>40697.0</v>
      </c>
    </row>
    <row r="16">
      <c r="A16" s="13" t="s">
        <v>5424</v>
      </c>
      <c r="B16" s="30">
        <v>8.0</v>
      </c>
      <c r="C16" t="s">
        <v>5496</v>
      </c>
      <c r="D16" s="30">
        <v>1.0</v>
      </c>
      <c r="E16" t="s">
        <v>2035</v>
      </c>
      <c r="F16" s="13" t="s">
        <v>3409</v>
      </c>
      <c r="G16" s="13" t="s">
        <v>4685</v>
      </c>
      <c r="H16" s="13">
        <v>6941.0</v>
      </c>
      <c r="I16" s="96">
        <v>41001.0</v>
      </c>
    </row>
    <row r="17">
      <c r="A17" s="13" t="s">
        <v>5393</v>
      </c>
      <c r="B17" s="30">
        <v>7.0</v>
      </c>
      <c r="C17" t="s">
        <v>5497</v>
      </c>
      <c r="D17" s="30">
        <v>0.0</v>
      </c>
      <c r="E17" t="s">
        <v>5282</v>
      </c>
      <c r="F17" s="13" t="s">
        <v>3406</v>
      </c>
      <c r="G17" s="13" t="s">
        <v>4685</v>
      </c>
      <c r="H17" s="13">
        <v>1852.0</v>
      </c>
      <c r="I17" s="96">
        <v>41010.0</v>
      </c>
    </row>
    <row r="18">
      <c r="A18" s="13" t="s">
        <v>5388</v>
      </c>
      <c r="B18" s="30">
        <v>7.0</v>
      </c>
      <c r="C18" t="s">
        <v>5498</v>
      </c>
      <c r="D18" s="30">
        <v>1.0</v>
      </c>
      <c r="E18" t="s">
        <v>2038</v>
      </c>
      <c r="F18" s="13" t="s">
        <v>3329</v>
      </c>
      <c r="G18" s="13" t="s">
        <v>4685</v>
      </c>
      <c r="H18" s="13">
        <v>10732.0</v>
      </c>
      <c r="I18" s="96">
        <v>41130.0</v>
      </c>
    </row>
    <row r="19">
      <c r="A19" s="13" t="s">
        <v>5434</v>
      </c>
      <c r="B19" s="30">
        <v>7.0</v>
      </c>
      <c r="C19" t="s">
        <v>5499</v>
      </c>
      <c r="D19" s="30">
        <v>2.0</v>
      </c>
      <c r="E19" t="s">
        <v>5500</v>
      </c>
      <c r="F19" s="13" t="s">
        <v>3164</v>
      </c>
      <c r="G19" s="13" t="s">
        <v>4685</v>
      </c>
      <c r="H19" s="13">
        <v>13764.0</v>
      </c>
      <c r="I19" s="96">
        <v>41485.0</v>
      </c>
    </row>
    <row r="20">
      <c r="A20" s="13" t="s">
        <v>5428</v>
      </c>
      <c r="B20" s="30">
        <v>7.0</v>
      </c>
      <c r="C20" t="s">
        <v>5501</v>
      </c>
      <c r="D20" s="30">
        <v>0.0</v>
      </c>
      <c r="E20" t="s">
        <v>5282</v>
      </c>
      <c r="F20" s="88" t="s">
        <v>3129</v>
      </c>
      <c r="G20" s="88" t="s">
        <v>4685</v>
      </c>
      <c r="H20" s="88">
        <v>11713.0</v>
      </c>
      <c r="I20" s="96">
        <v>41569.0</v>
      </c>
    </row>
    <row r="21">
      <c r="A21" s="13" t="s">
        <v>5414</v>
      </c>
      <c r="B21" s="30">
        <v>7.0</v>
      </c>
      <c r="C21" t="s">
        <v>5502</v>
      </c>
      <c r="D21" s="30">
        <v>1.0</v>
      </c>
      <c r="E21" t="s">
        <v>2058</v>
      </c>
      <c r="F21" s="88" t="s">
        <v>3013</v>
      </c>
      <c r="G21" s="88" t="s">
        <v>4685</v>
      </c>
      <c r="H21" s="88">
        <v>7947.0</v>
      </c>
      <c r="I21" s="96">
        <v>41745.0</v>
      </c>
    </row>
    <row r="22">
      <c r="A22" s="13" t="s">
        <v>5403</v>
      </c>
      <c r="B22" s="30">
        <v>6.0</v>
      </c>
      <c r="C22" t="s">
        <v>5503</v>
      </c>
      <c r="D22" s="30">
        <v>0.0</v>
      </c>
      <c r="E22" t="s">
        <v>5282</v>
      </c>
      <c r="F22" s="88" t="s">
        <v>2887</v>
      </c>
      <c r="G22" s="88" t="s">
        <v>4685</v>
      </c>
      <c r="H22" s="88">
        <v>7175.0</v>
      </c>
      <c r="I22" s="96">
        <v>41899.0</v>
      </c>
    </row>
    <row r="23">
      <c r="A23" s="13" t="s">
        <v>5418</v>
      </c>
      <c r="B23" s="30">
        <v>6.0</v>
      </c>
      <c r="C23" t="s">
        <v>5504</v>
      </c>
      <c r="D23" s="30">
        <v>0.0</v>
      </c>
      <c r="E23" t="s">
        <v>5282</v>
      </c>
      <c r="F23" s="88" t="s">
        <v>2569</v>
      </c>
      <c r="G23" s="13" t="s">
        <v>4685</v>
      </c>
      <c r="H23" s="88">
        <v>7196.0</v>
      </c>
      <c r="I23" s="96">
        <v>42279.0</v>
      </c>
    </row>
    <row r="24">
      <c r="A24" s="13" t="s">
        <v>5384</v>
      </c>
      <c r="B24" s="30">
        <v>6.0</v>
      </c>
      <c r="C24" t="s">
        <v>5505</v>
      </c>
      <c r="D24" s="30">
        <v>1.0</v>
      </c>
      <c r="E24" t="s">
        <v>3690</v>
      </c>
      <c r="F24" s="13" t="s">
        <v>2556</v>
      </c>
      <c r="G24" s="13" t="s">
        <v>4685</v>
      </c>
      <c r="H24" s="13">
        <v>2520.0</v>
      </c>
      <c r="I24" s="96">
        <v>42318.0</v>
      </c>
    </row>
    <row r="25">
      <c r="A25" s="13" t="s">
        <v>5412</v>
      </c>
      <c r="B25" s="30">
        <v>6.0</v>
      </c>
      <c r="C25" t="s">
        <v>5506</v>
      </c>
      <c r="D25" s="30">
        <v>1.0</v>
      </c>
      <c r="E25" t="s">
        <v>1867</v>
      </c>
      <c r="F25" s="13" t="s">
        <v>2302</v>
      </c>
      <c r="G25" s="13" t="s">
        <v>4685</v>
      </c>
      <c r="H25" s="13">
        <v>9132.0</v>
      </c>
      <c r="I25" s="96">
        <v>42601.0</v>
      </c>
    </row>
    <row r="26">
      <c r="A26" s="13" t="s">
        <v>5420</v>
      </c>
      <c r="B26" s="30">
        <v>5.0</v>
      </c>
      <c r="C26" t="s">
        <v>5507</v>
      </c>
      <c r="D26" s="30">
        <v>1.0</v>
      </c>
      <c r="E26" t="s">
        <v>1889</v>
      </c>
      <c r="F26" s="88" t="s">
        <v>2282</v>
      </c>
      <c r="G26" s="13" t="s">
        <v>4685</v>
      </c>
      <c r="H26" s="88">
        <v>3840.0</v>
      </c>
      <c r="I26" s="96">
        <v>42650.0</v>
      </c>
    </row>
    <row r="27">
      <c r="A27" s="13" t="s">
        <v>5390</v>
      </c>
      <c r="B27" s="30">
        <v>5.0</v>
      </c>
      <c r="C27" t="s">
        <v>5508</v>
      </c>
      <c r="D27" s="30">
        <v>1.0</v>
      </c>
      <c r="E27" t="s">
        <v>1852</v>
      </c>
      <c r="F27" s="88" t="s">
        <v>3562</v>
      </c>
      <c r="G27" s="88" t="s">
        <v>4685</v>
      </c>
      <c r="H27" s="88">
        <v>14986.0</v>
      </c>
      <c r="I27" s="96">
        <v>40544.0</v>
      </c>
    </row>
    <row r="28">
      <c r="A28" s="13" t="s">
        <v>5410</v>
      </c>
      <c r="B28" s="30">
        <v>5.0</v>
      </c>
      <c r="C28" t="s">
        <v>5509</v>
      </c>
      <c r="D28" s="30">
        <v>2.0</v>
      </c>
      <c r="E28" t="s">
        <v>5510</v>
      </c>
      <c r="I28" s="96"/>
    </row>
    <row r="29">
      <c r="A29" s="13" t="s">
        <v>5399</v>
      </c>
      <c r="B29" s="30">
        <v>5.0</v>
      </c>
      <c r="C29" t="s">
        <v>5511</v>
      </c>
      <c r="D29" s="30">
        <v>0.0</v>
      </c>
      <c r="E29" t="s">
        <v>5282</v>
      </c>
      <c r="I29" s="96"/>
    </row>
    <row r="30">
      <c r="A30" s="13" t="s">
        <v>5438</v>
      </c>
      <c r="B30" s="30">
        <v>4.0</v>
      </c>
      <c r="C30" t="s">
        <v>5512</v>
      </c>
      <c r="D30" s="30">
        <v>0.0</v>
      </c>
      <c r="E30" t="s">
        <v>5282</v>
      </c>
      <c r="I30" s="96"/>
    </row>
    <row r="31">
      <c r="A31" s="13" t="s">
        <v>5440</v>
      </c>
      <c r="B31" s="30">
        <v>4.0</v>
      </c>
      <c r="C31" t="s">
        <v>5513</v>
      </c>
      <c r="D31" s="30">
        <v>0.0</v>
      </c>
      <c r="E31" t="s">
        <v>5282</v>
      </c>
      <c r="I31" s="96"/>
    </row>
    <row r="32">
      <c r="A32" s="13" t="s">
        <v>5443</v>
      </c>
      <c r="B32" s="30">
        <v>4.0</v>
      </c>
      <c r="C32" t="s">
        <v>5514</v>
      </c>
      <c r="D32" s="30">
        <v>0.0</v>
      </c>
      <c r="E32" t="s">
        <v>5282</v>
      </c>
      <c r="I32" s="96"/>
    </row>
    <row r="33">
      <c r="A33" s="85" t="s">
        <v>4774</v>
      </c>
      <c r="B33" s="91">
        <v>202.0</v>
      </c>
      <c r="C33" s="92"/>
      <c r="D33" s="91">
        <v>18.0</v>
      </c>
      <c r="E33" s="92"/>
      <c r="I33" s="96"/>
    </row>
    <row r="34">
      <c r="A34" s="85" t="s">
        <v>4778</v>
      </c>
      <c r="B34" s="93">
        <v>0.27114093959731544</v>
      </c>
      <c r="C34" s="92"/>
      <c r="D34" s="93">
        <v>0.6923076923076923</v>
      </c>
      <c r="E34" s="92"/>
      <c r="I34" s="96"/>
    </row>
    <row r="35">
      <c r="A35" s="85" t="s">
        <v>4783</v>
      </c>
      <c r="B35" s="100">
        <v>43374.0</v>
      </c>
      <c r="C35" s="92"/>
      <c r="D35" s="100">
        <v>43374.0</v>
      </c>
      <c r="E35" s="92"/>
      <c r="I35" s="96"/>
    </row>
    <row r="36">
      <c r="B36" s="30"/>
      <c r="D36" s="30"/>
      <c r="I36" s="96"/>
    </row>
    <row r="37">
      <c r="A37" s="85" t="s">
        <v>4789</v>
      </c>
      <c r="B37" s="93">
        <v>0.2853437094682231</v>
      </c>
      <c r="D37" s="30"/>
      <c r="I37" s="96"/>
    </row>
    <row r="38">
      <c r="A38" s="85" t="s">
        <v>4783</v>
      </c>
      <c r="B38" s="100">
        <v>43374.0</v>
      </c>
      <c r="D38" s="30"/>
      <c r="I38" s="96"/>
    </row>
  </sheetData>
  <mergeCells count="1">
    <mergeCell ref="A1:E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1.88"/>
    <col customWidth="1" min="3" max="3" width="113.0"/>
    <col customWidth="1" min="4" max="4" width="20.5"/>
    <col customWidth="1" min="5" max="5" width="36.38"/>
    <col customWidth="1" hidden="1" min="6" max="6" width="16.88"/>
    <col customWidth="1" hidden="1" min="7" max="7" width="5.13"/>
    <col customWidth="1" hidden="1" min="8" max="8" width="7.25"/>
    <col customWidth="1" hidden="1" min="9" max="9" width="8.88"/>
  </cols>
  <sheetData>
    <row r="1">
      <c r="A1" s="81" t="s">
        <v>5515</v>
      </c>
      <c r="F1" s="6" t="s">
        <v>5516</v>
      </c>
      <c r="G1" s="6" t="s">
        <v>4</v>
      </c>
      <c r="H1" s="6" t="s">
        <v>4674</v>
      </c>
      <c r="I1" s="84" t="s">
        <v>4675</v>
      </c>
    </row>
    <row r="2">
      <c r="A2" s="85" t="s">
        <v>4</v>
      </c>
      <c r="B2" s="81" t="s">
        <v>4680</v>
      </c>
      <c r="C2" s="85" t="s">
        <v>4681</v>
      </c>
      <c r="D2" s="81" t="s">
        <v>5479</v>
      </c>
      <c r="E2" s="85" t="s">
        <v>5480</v>
      </c>
      <c r="F2" s="13" t="s">
        <v>4278</v>
      </c>
      <c r="G2" s="13" t="s">
        <v>4685</v>
      </c>
      <c r="H2" s="13">
        <v>521.0</v>
      </c>
      <c r="I2" s="89">
        <v>37257.0</v>
      </c>
    </row>
    <row r="3">
      <c r="A3" s="88" t="s">
        <v>5406</v>
      </c>
      <c r="B3" s="30">
        <v>10.0</v>
      </c>
      <c r="C3" t="s">
        <v>5517</v>
      </c>
      <c r="D3" s="30">
        <v>1.0</v>
      </c>
      <c r="E3" t="s">
        <v>2273</v>
      </c>
      <c r="F3" s="13" t="s">
        <v>1193</v>
      </c>
      <c r="G3" s="13" t="s">
        <v>4685</v>
      </c>
      <c r="H3" s="13">
        <v>9073.0</v>
      </c>
      <c r="I3" s="96">
        <v>38718.0</v>
      </c>
    </row>
    <row r="4">
      <c r="A4" s="88" t="s">
        <v>5431</v>
      </c>
      <c r="B4" s="30">
        <v>10.0</v>
      </c>
      <c r="C4" t="s">
        <v>5518</v>
      </c>
      <c r="D4" s="30">
        <v>1.0</v>
      </c>
      <c r="E4" t="s">
        <v>2153</v>
      </c>
      <c r="F4" s="13" t="s">
        <v>3991</v>
      </c>
      <c r="G4" s="13" t="s">
        <v>4685</v>
      </c>
      <c r="H4" s="13">
        <v>3201.0</v>
      </c>
      <c r="I4" s="96">
        <v>39027.0</v>
      </c>
    </row>
    <row r="5">
      <c r="A5" s="88" t="s">
        <v>5422</v>
      </c>
      <c r="B5" s="30">
        <v>10.0</v>
      </c>
      <c r="C5" t="s">
        <v>5519</v>
      </c>
      <c r="D5" s="30">
        <v>0.0</v>
      </c>
      <c r="E5" t="s">
        <v>5282</v>
      </c>
      <c r="F5" s="13" t="s">
        <v>3877</v>
      </c>
      <c r="G5" s="13" t="s">
        <v>4685</v>
      </c>
      <c r="H5" s="13">
        <v>14974.0</v>
      </c>
      <c r="I5" s="96">
        <v>39448.0</v>
      </c>
    </row>
    <row r="6">
      <c r="A6" s="88" t="s">
        <v>5386</v>
      </c>
      <c r="B6" s="30">
        <v>9.0</v>
      </c>
      <c r="C6" t="s">
        <v>5520</v>
      </c>
      <c r="D6" s="30">
        <v>1.0</v>
      </c>
      <c r="E6" t="s">
        <v>1887</v>
      </c>
      <c r="F6" s="13" t="s">
        <v>3854</v>
      </c>
      <c r="G6" s="13" t="s">
        <v>4685</v>
      </c>
      <c r="H6" s="13">
        <v>8350.0</v>
      </c>
      <c r="I6" s="96">
        <v>39568.0</v>
      </c>
    </row>
    <row r="7">
      <c r="A7" s="88" t="s">
        <v>5395</v>
      </c>
      <c r="B7" s="30">
        <v>9.0</v>
      </c>
      <c r="C7" t="s">
        <v>5521</v>
      </c>
      <c r="D7" s="30">
        <v>0.0</v>
      </c>
      <c r="E7" t="s">
        <v>5282</v>
      </c>
      <c r="F7" s="13" t="s">
        <v>3820</v>
      </c>
      <c r="G7" s="13" t="s">
        <v>4685</v>
      </c>
      <c r="H7" s="13">
        <v>8137.0</v>
      </c>
      <c r="I7" s="96">
        <v>39699.0</v>
      </c>
    </row>
    <row r="8">
      <c r="A8" s="88" t="s">
        <v>5401</v>
      </c>
      <c r="B8" s="30">
        <v>9.0</v>
      </c>
      <c r="C8" t="s">
        <v>5522</v>
      </c>
      <c r="D8" s="30">
        <v>0.0</v>
      </c>
      <c r="E8" t="s">
        <v>5282</v>
      </c>
      <c r="F8" s="13" t="s">
        <v>3811</v>
      </c>
      <c r="G8" s="13" t="s">
        <v>4685</v>
      </c>
      <c r="H8" s="13">
        <v>4682.0</v>
      </c>
      <c r="I8" s="96">
        <v>39763.0</v>
      </c>
    </row>
    <row r="9">
      <c r="A9" s="88" t="s">
        <v>5426</v>
      </c>
      <c r="B9" s="30">
        <v>8.0</v>
      </c>
      <c r="C9" t="s">
        <v>5523</v>
      </c>
      <c r="D9" s="30">
        <v>1.0</v>
      </c>
      <c r="E9" t="s">
        <v>2304</v>
      </c>
      <c r="F9" s="13" t="s">
        <v>3719</v>
      </c>
      <c r="G9" s="13" t="s">
        <v>4685</v>
      </c>
      <c r="H9" s="13">
        <v>9486.0</v>
      </c>
      <c r="I9" s="96">
        <v>40001.0</v>
      </c>
    </row>
    <row r="10">
      <c r="A10" s="88" t="s">
        <v>5416</v>
      </c>
      <c r="B10" s="30">
        <v>8.0</v>
      </c>
      <c r="C10" t="s">
        <v>5524</v>
      </c>
      <c r="D10" s="30">
        <v>0.0</v>
      </c>
      <c r="E10" t="s">
        <v>5282</v>
      </c>
      <c r="F10" s="13" t="s">
        <v>3586</v>
      </c>
      <c r="G10" s="13" t="s">
        <v>4685</v>
      </c>
      <c r="H10" s="13">
        <v>11710.0</v>
      </c>
      <c r="I10" s="96">
        <v>40483.0</v>
      </c>
    </row>
    <row r="11">
      <c r="A11" s="88" t="s">
        <v>5403</v>
      </c>
      <c r="B11" s="30">
        <v>8.0</v>
      </c>
      <c r="C11" t="s">
        <v>5525</v>
      </c>
      <c r="D11" s="30">
        <v>1.0</v>
      </c>
      <c r="E11" t="s">
        <v>2181</v>
      </c>
      <c r="F11" s="13" t="s">
        <v>3494</v>
      </c>
      <c r="G11" s="13" t="s">
        <v>4685</v>
      </c>
      <c r="H11" s="13">
        <v>8223.0</v>
      </c>
      <c r="I11" s="102">
        <v>40738.0</v>
      </c>
    </row>
    <row r="12">
      <c r="A12" s="88" t="s">
        <v>5436</v>
      </c>
      <c r="B12" s="30">
        <v>8.0</v>
      </c>
      <c r="C12" t="s">
        <v>5526</v>
      </c>
      <c r="D12" s="30">
        <v>0.0</v>
      </c>
      <c r="E12" t="s">
        <v>5282</v>
      </c>
      <c r="F12" s="13" t="s">
        <v>3406</v>
      </c>
      <c r="G12" s="13" t="s">
        <v>4685</v>
      </c>
      <c r="H12" s="13">
        <v>1852.0</v>
      </c>
      <c r="I12" s="96">
        <v>41010.0</v>
      </c>
    </row>
    <row r="13">
      <c r="A13" s="88" t="s">
        <v>5397</v>
      </c>
      <c r="B13" s="30">
        <v>8.0</v>
      </c>
      <c r="C13" t="s">
        <v>5527</v>
      </c>
      <c r="D13" s="30">
        <v>1.0</v>
      </c>
      <c r="E13" t="s">
        <v>2029</v>
      </c>
      <c r="F13" s="13" t="s">
        <v>1819</v>
      </c>
      <c r="G13" s="13" t="s">
        <v>4685</v>
      </c>
      <c r="H13" s="13">
        <v>1345.0</v>
      </c>
      <c r="I13" s="96">
        <v>41054.0</v>
      </c>
    </row>
    <row r="14">
      <c r="A14" s="88" t="s">
        <v>5428</v>
      </c>
      <c r="B14" s="30">
        <v>8.0</v>
      </c>
      <c r="C14" t="s">
        <v>5528</v>
      </c>
      <c r="D14" s="30">
        <v>0.0</v>
      </c>
      <c r="E14" t="s">
        <v>5282</v>
      </c>
      <c r="F14" s="13" t="s">
        <v>3334</v>
      </c>
      <c r="G14" s="13" t="s">
        <v>4685</v>
      </c>
      <c r="H14" s="13">
        <v>18.0</v>
      </c>
      <c r="I14" s="96">
        <v>41122.0</v>
      </c>
    </row>
    <row r="15">
      <c r="A15" s="88" t="s">
        <v>5384</v>
      </c>
      <c r="B15" s="30">
        <v>8.0</v>
      </c>
      <c r="C15" t="s">
        <v>5529</v>
      </c>
      <c r="D15" s="30">
        <v>0.0</v>
      </c>
      <c r="E15" t="s">
        <v>5282</v>
      </c>
      <c r="F15" s="13" t="s">
        <v>3178</v>
      </c>
      <c r="G15" s="13" t="s">
        <v>4685</v>
      </c>
      <c r="H15" s="13">
        <v>15627.0</v>
      </c>
      <c r="I15" s="96">
        <v>41456.0</v>
      </c>
    </row>
    <row r="16">
      <c r="A16" s="88" t="s">
        <v>5414</v>
      </c>
      <c r="B16" s="30">
        <v>7.0</v>
      </c>
      <c r="C16" t="s">
        <v>5530</v>
      </c>
      <c r="D16" s="30">
        <v>1.0</v>
      </c>
      <c r="E16" t="s">
        <v>2104</v>
      </c>
      <c r="F16" s="88" t="s">
        <v>3035</v>
      </c>
      <c r="G16" s="88" t="s">
        <v>4685</v>
      </c>
      <c r="H16" s="88">
        <v>4259.0</v>
      </c>
      <c r="I16" s="96">
        <v>41730.0</v>
      </c>
    </row>
    <row r="17">
      <c r="A17" s="88" t="s">
        <v>5380</v>
      </c>
      <c r="B17" s="30">
        <v>7.0</v>
      </c>
      <c r="C17" t="s">
        <v>5531</v>
      </c>
      <c r="D17" s="30">
        <v>1.0</v>
      </c>
      <c r="E17" t="s">
        <v>2152</v>
      </c>
      <c r="F17" s="88" t="s">
        <v>2781</v>
      </c>
      <c r="G17" s="88" t="s">
        <v>4685</v>
      </c>
      <c r="H17" s="88">
        <v>13074.0</v>
      </c>
      <c r="I17" s="96">
        <v>42080.0</v>
      </c>
    </row>
    <row r="18">
      <c r="A18" s="88" t="s">
        <v>5418</v>
      </c>
      <c r="B18" s="30">
        <v>7.0</v>
      </c>
      <c r="C18" t="s">
        <v>5532</v>
      </c>
      <c r="D18" s="30">
        <v>0.0</v>
      </c>
      <c r="E18" t="s">
        <v>5282</v>
      </c>
      <c r="F18" s="88" t="s">
        <v>2410</v>
      </c>
      <c r="G18" s="88" t="s">
        <v>4685</v>
      </c>
      <c r="H18" s="88">
        <v>15467.0</v>
      </c>
      <c r="I18" s="96">
        <v>42475.0</v>
      </c>
    </row>
    <row r="19">
      <c r="A19" s="88" t="s">
        <v>5434</v>
      </c>
      <c r="B19" s="30">
        <v>7.0</v>
      </c>
      <c r="C19" t="s">
        <v>5533</v>
      </c>
      <c r="D19" s="30">
        <v>2.0</v>
      </c>
      <c r="E19" t="s">
        <v>5534</v>
      </c>
      <c r="F19" s="88" t="s">
        <v>2619</v>
      </c>
      <c r="G19" s="13" t="s">
        <v>4685</v>
      </c>
      <c r="H19" s="88">
        <v>12562.0</v>
      </c>
      <c r="I19" s="96">
        <v>42215.0</v>
      </c>
    </row>
    <row r="20">
      <c r="A20" s="88" t="s">
        <v>5382</v>
      </c>
      <c r="B20" s="30">
        <v>7.0</v>
      </c>
      <c r="C20" t="s">
        <v>5535</v>
      </c>
      <c r="D20" s="30">
        <v>0.0</v>
      </c>
      <c r="E20" t="s">
        <v>5282</v>
      </c>
      <c r="F20" s="13" t="s">
        <v>3763</v>
      </c>
      <c r="G20" s="13" t="s">
        <v>4685</v>
      </c>
      <c r="H20" s="13">
        <v>7024.0</v>
      </c>
      <c r="I20" s="102">
        <v>39880.0</v>
      </c>
    </row>
    <row r="21">
      <c r="A21" s="88" t="s">
        <v>5424</v>
      </c>
      <c r="B21" s="30">
        <v>7.0</v>
      </c>
      <c r="C21" t="s">
        <v>5536</v>
      </c>
      <c r="D21" s="30">
        <v>3.0</v>
      </c>
      <c r="E21" t="s">
        <v>5537</v>
      </c>
      <c r="F21" s="13" t="s">
        <v>4094</v>
      </c>
      <c r="G21" s="13" t="s">
        <v>4685</v>
      </c>
      <c r="H21" s="13">
        <v>6324.0</v>
      </c>
      <c r="I21" s="102">
        <v>38353.0</v>
      </c>
    </row>
    <row r="22">
      <c r="A22" s="88" t="s">
        <v>5393</v>
      </c>
      <c r="B22" s="30">
        <v>6.0</v>
      </c>
      <c r="C22" t="s">
        <v>5538</v>
      </c>
      <c r="D22" s="30">
        <v>0.0</v>
      </c>
      <c r="E22" t="s">
        <v>5282</v>
      </c>
      <c r="F22" s="88" t="s">
        <v>3315</v>
      </c>
      <c r="G22" s="13" t="s">
        <v>4685</v>
      </c>
      <c r="H22" s="88">
        <v>9149.0</v>
      </c>
      <c r="I22" s="96">
        <v>41183.0</v>
      </c>
    </row>
    <row r="23">
      <c r="A23" s="88" t="s">
        <v>5408</v>
      </c>
      <c r="B23" s="30">
        <v>6.0</v>
      </c>
      <c r="C23" t="s">
        <v>5539</v>
      </c>
      <c r="D23" s="30">
        <v>0.0</v>
      </c>
      <c r="E23" t="s">
        <v>5282</v>
      </c>
      <c r="F23" s="13" t="s">
        <v>3820</v>
      </c>
      <c r="G23" s="13" t="s">
        <v>4685</v>
      </c>
      <c r="H23" s="13">
        <v>8137.0</v>
      </c>
      <c r="I23" s="96">
        <v>39699.0</v>
      </c>
    </row>
    <row r="24">
      <c r="A24" s="88" t="s">
        <v>5443</v>
      </c>
      <c r="B24" s="30">
        <v>6.0</v>
      </c>
      <c r="C24" t="s">
        <v>5540</v>
      </c>
      <c r="D24" s="30">
        <v>0.0</v>
      </c>
      <c r="E24" t="s">
        <v>5282</v>
      </c>
    </row>
    <row r="25">
      <c r="A25" s="88" t="s">
        <v>5388</v>
      </c>
      <c r="B25" s="30">
        <v>5.0</v>
      </c>
      <c r="C25" t="s">
        <v>5541</v>
      </c>
      <c r="D25" s="30">
        <v>0.0</v>
      </c>
      <c r="E25" t="s">
        <v>5282</v>
      </c>
      <c r="I25" s="96"/>
    </row>
    <row r="26">
      <c r="A26" s="88" t="s">
        <v>5420</v>
      </c>
      <c r="B26" s="30">
        <v>5.0</v>
      </c>
      <c r="C26" t="s">
        <v>5542</v>
      </c>
      <c r="D26" s="30">
        <v>1.0</v>
      </c>
      <c r="E26" t="s">
        <v>2038</v>
      </c>
      <c r="I26" s="96"/>
    </row>
    <row r="27">
      <c r="A27" s="88" t="s">
        <v>5440</v>
      </c>
      <c r="B27" s="30">
        <v>5.0</v>
      </c>
      <c r="C27" t="s">
        <v>5543</v>
      </c>
      <c r="D27" s="30">
        <v>0.0</v>
      </c>
      <c r="E27" t="s">
        <v>5282</v>
      </c>
      <c r="I27" s="96"/>
    </row>
    <row r="28">
      <c r="A28" s="88" t="s">
        <v>5412</v>
      </c>
      <c r="B28" s="30">
        <v>5.0</v>
      </c>
      <c r="C28" t="s">
        <v>5544</v>
      </c>
      <c r="D28" s="30">
        <v>0.0</v>
      </c>
      <c r="E28" t="s">
        <v>5282</v>
      </c>
      <c r="I28" s="96"/>
    </row>
    <row r="29">
      <c r="A29" s="88" t="s">
        <v>5390</v>
      </c>
      <c r="B29" s="30">
        <v>4.0</v>
      </c>
      <c r="C29" t="s">
        <v>5545</v>
      </c>
      <c r="D29" s="30">
        <v>2.0</v>
      </c>
      <c r="E29" t="s">
        <v>5546</v>
      </c>
      <c r="I29" s="96"/>
    </row>
    <row r="30">
      <c r="A30" s="88" t="s">
        <v>5410</v>
      </c>
      <c r="B30" s="30">
        <v>4.0</v>
      </c>
      <c r="C30" t="s">
        <v>5547</v>
      </c>
      <c r="D30" s="30">
        <v>3.0</v>
      </c>
      <c r="E30" t="s">
        <v>5548</v>
      </c>
      <c r="I30" s="96"/>
    </row>
    <row r="31">
      <c r="A31" s="88" t="s">
        <v>5438</v>
      </c>
      <c r="B31" s="30">
        <v>2.0</v>
      </c>
      <c r="C31" t="s">
        <v>5549</v>
      </c>
      <c r="D31" s="30">
        <v>0.0</v>
      </c>
      <c r="E31" t="s">
        <v>5282</v>
      </c>
      <c r="I31" s="96"/>
    </row>
    <row r="32">
      <c r="A32" s="88" t="s">
        <v>5399</v>
      </c>
      <c r="B32" s="30">
        <v>2.0</v>
      </c>
      <c r="C32" t="s">
        <v>5550</v>
      </c>
      <c r="D32" s="30">
        <v>0.0</v>
      </c>
      <c r="E32" t="s">
        <v>5282</v>
      </c>
      <c r="I32" s="96"/>
    </row>
    <row r="33">
      <c r="A33" s="85" t="s">
        <v>4774</v>
      </c>
      <c r="B33" s="81">
        <v>183.0</v>
      </c>
      <c r="C33" s="92"/>
      <c r="D33" s="81">
        <v>19.0</v>
      </c>
      <c r="E33" s="92"/>
      <c r="I33" s="96"/>
    </row>
    <row r="34">
      <c r="A34" s="85" t="s">
        <v>4778</v>
      </c>
      <c r="B34" s="99">
        <v>0.25</v>
      </c>
      <c r="C34" s="92"/>
      <c r="D34" s="99">
        <v>0.704</v>
      </c>
      <c r="E34" s="92"/>
      <c r="I34" s="96"/>
    </row>
    <row r="35">
      <c r="A35" s="85" t="s">
        <v>4783</v>
      </c>
      <c r="B35" s="100">
        <v>43009.0</v>
      </c>
      <c r="C35" s="92"/>
      <c r="D35" s="100">
        <v>43009.0</v>
      </c>
      <c r="E35" s="92"/>
      <c r="I35" s="96"/>
    </row>
    <row r="36">
      <c r="B36" s="30"/>
      <c r="D36" s="30"/>
      <c r="I36" s="96"/>
    </row>
    <row r="37">
      <c r="A37" s="85" t="s">
        <v>4789</v>
      </c>
      <c r="B37" s="99">
        <v>0.259</v>
      </c>
      <c r="D37" s="30"/>
      <c r="I37" s="96"/>
    </row>
    <row r="38">
      <c r="A38" s="85" t="s">
        <v>4783</v>
      </c>
      <c r="B38" s="100">
        <v>43009.0</v>
      </c>
      <c r="D38" s="30"/>
      <c r="I38" s="96"/>
    </row>
  </sheetData>
  <mergeCells count="1">
    <mergeCell ref="A1:E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11.88"/>
    <col customWidth="1" min="3" max="3" width="130.13"/>
    <col customWidth="1" min="4" max="4" width="20.5"/>
    <col customWidth="1" min="5" max="5" width="37.25"/>
  </cols>
  <sheetData>
    <row r="1">
      <c r="A1" s="81" t="s">
        <v>5551</v>
      </c>
    </row>
    <row r="2">
      <c r="A2" s="85" t="s">
        <v>4</v>
      </c>
      <c r="B2" s="81" t="s">
        <v>4680</v>
      </c>
      <c r="C2" s="85" t="s">
        <v>4681</v>
      </c>
      <c r="D2" s="81" t="s">
        <v>5479</v>
      </c>
      <c r="E2" s="85" t="s">
        <v>5480</v>
      </c>
    </row>
    <row r="3">
      <c r="A3" s="13" t="s">
        <v>5443</v>
      </c>
      <c r="B3" s="30">
        <v>13.0</v>
      </c>
      <c r="C3" t="s">
        <v>5552</v>
      </c>
      <c r="D3" s="30">
        <v>0.0</v>
      </c>
      <c r="E3" t="s">
        <v>5282</v>
      </c>
    </row>
    <row r="4">
      <c r="A4" s="13" t="s">
        <v>5416</v>
      </c>
      <c r="B4" s="30">
        <v>11.0</v>
      </c>
      <c r="C4" t="s">
        <v>5553</v>
      </c>
      <c r="D4" s="30">
        <v>2.0</v>
      </c>
      <c r="E4" t="s">
        <v>5554</v>
      </c>
    </row>
    <row r="5">
      <c r="A5" s="13" t="s">
        <v>5384</v>
      </c>
      <c r="B5" s="30">
        <v>10.0</v>
      </c>
      <c r="C5" t="s">
        <v>5555</v>
      </c>
      <c r="D5" s="30">
        <v>1.0</v>
      </c>
      <c r="E5" t="s">
        <v>2409</v>
      </c>
    </row>
    <row r="6">
      <c r="A6" s="13" t="s">
        <v>5422</v>
      </c>
      <c r="B6" s="30">
        <v>10.0</v>
      </c>
      <c r="C6" t="s">
        <v>5556</v>
      </c>
      <c r="D6" s="30">
        <v>0.0</v>
      </c>
      <c r="E6" t="s">
        <v>5282</v>
      </c>
    </row>
    <row r="7">
      <c r="A7" s="13" t="s">
        <v>5380</v>
      </c>
      <c r="B7" s="30">
        <v>9.0</v>
      </c>
      <c r="C7" t="s">
        <v>5557</v>
      </c>
      <c r="D7" s="30">
        <v>0.0</v>
      </c>
      <c r="E7" t="s">
        <v>5282</v>
      </c>
    </row>
    <row r="8">
      <c r="A8" s="13" t="s">
        <v>5386</v>
      </c>
      <c r="B8" s="30">
        <v>9.0</v>
      </c>
      <c r="C8" t="s">
        <v>5558</v>
      </c>
      <c r="D8" s="30">
        <v>3.0</v>
      </c>
      <c r="E8" t="s">
        <v>5559</v>
      </c>
    </row>
    <row r="9">
      <c r="A9" s="13" t="s">
        <v>5431</v>
      </c>
      <c r="B9" s="30">
        <v>9.0</v>
      </c>
      <c r="C9" t="s">
        <v>5560</v>
      </c>
      <c r="D9" s="30">
        <v>1.0</v>
      </c>
      <c r="E9" t="s">
        <v>5561</v>
      </c>
    </row>
    <row r="10">
      <c r="A10" s="13" t="s">
        <v>5434</v>
      </c>
      <c r="B10" s="30">
        <v>9.0</v>
      </c>
      <c r="C10" t="s">
        <v>5562</v>
      </c>
      <c r="D10" s="30">
        <v>0.0</v>
      </c>
      <c r="E10" t="s">
        <v>5282</v>
      </c>
    </row>
    <row r="11">
      <c r="A11" s="13" t="s">
        <v>5395</v>
      </c>
      <c r="B11" s="30">
        <v>9.0</v>
      </c>
      <c r="C11" t="s">
        <v>5563</v>
      </c>
      <c r="D11" s="30">
        <v>0.0</v>
      </c>
      <c r="E11" t="s">
        <v>5282</v>
      </c>
    </row>
    <row r="12">
      <c r="A12" s="13" t="s">
        <v>5408</v>
      </c>
      <c r="B12" s="30">
        <v>9.0</v>
      </c>
      <c r="C12" t="s">
        <v>5564</v>
      </c>
      <c r="D12" s="30">
        <v>0.0</v>
      </c>
      <c r="E12" t="s">
        <v>5282</v>
      </c>
    </row>
    <row r="13">
      <c r="A13" s="13" t="s">
        <v>5406</v>
      </c>
      <c r="B13" s="30">
        <v>8.0</v>
      </c>
      <c r="C13" t="s">
        <v>5565</v>
      </c>
      <c r="D13" s="30">
        <v>0.0</v>
      </c>
      <c r="E13" t="s">
        <v>5282</v>
      </c>
    </row>
    <row r="14">
      <c r="A14" s="13" t="s">
        <v>5428</v>
      </c>
      <c r="B14" s="30">
        <v>8.0</v>
      </c>
      <c r="C14" t="s">
        <v>5566</v>
      </c>
      <c r="D14" s="30">
        <v>1.0</v>
      </c>
      <c r="E14" t="s">
        <v>2446</v>
      </c>
    </row>
    <row r="15">
      <c r="A15" s="13" t="s">
        <v>5426</v>
      </c>
      <c r="B15" s="30">
        <v>7.0</v>
      </c>
      <c r="C15" t="s">
        <v>5567</v>
      </c>
      <c r="D15" s="30">
        <v>1.0</v>
      </c>
      <c r="E15" t="s">
        <v>4197</v>
      </c>
    </row>
    <row r="16">
      <c r="A16" s="13" t="s">
        <v>5418</v>
      </c>
      <c r="B16" s="30">
        <v>7.0</v>
      </c>
      <c r="C16" t="s">
        <v>5568</v>
      </c>
      <c r="D16" s="30">
        <v>0.0</v>
      </c>
      <c r="E16" t="s">
        <v>5282</v>
      </c>
    </row>
    <row r="17">
      <c r="A17" s="13" t="s">
        <v>5382</v>
      </c>
      <c r="B17" s="30">
        <v>7.0</v>
      </c>
      <c r="C17" t="s">
        <v>5569</v>
      </c>
      <c r="D17" s="30">
        <v>1.0</v>
      </c>
      <c r="E17" t="s">
        <v>2579</v>
      </c>
    </row>
    <row r="18">
      <c r="A18" s="13" t="s">
        <v>5440</v>
      </c>
      <c r="B18" s="30">
        <v>7.0</v>
      </c>
      <c r="C18" t="s">
        <v>5570</v>
      </c>
      <c r="D18" s="30">
        <v>0.0</v>
      </c>
      <c r="E18" t="s">
        <v>5282</v>
      </c>
    </row>
    <row r="19">
      <c r="A19" s="13" t="s">
        <v>5397</v>
      </c>
      <c r="B19" s="30">
        <v>7.0</v>
      </c>
      <c r="C19" t="s">
        <v>5571</v>
      </c>
      <c r="D19" s="30">
        <v>0.0</v>
      </c>
      <c r="E19" t="s">
        <v>5282</v>
      </c>
    </row>
    <row r="20">
      <c r="A20" s="13" t="s">
        <v>5414</v>
      </c>
      <c r="B20" s="30">
        <v>6.0</v>
      </c>
      <c r="C20" t="s">
        <v>5572</v>
      </c>
      <c r="D20" s="30">
        <v>0.0</v>
      </c>
      <c r="E20" t="s">
        <v>5282</v>
      </c>
    </row>
    <row r="21">
      <c r="A21" s="13" t="s">
        <v>5401</v>
      </c>
      <c r="B21" s="30">
        <v>6.0</v>
      </c>
      <c r="C21" t="s">
        <v>5573</v>
      </c>
      <c r="D21" s="30">
        <v>0.0</v>
      </c>
      <c r="E21" t="s">
        <v>5282</v>
      </c>
    </row>
    <row r="22">
      <c r="A22" s="13" t="s">
        <v>5412</v>
      </c>
      <c r="B22" s="30">
        <v>6.0</v>
      </c>
      <c r="C22" t="s">
        <v>5574</v>
      </c>
      <c r="D22" s="30">
        <v>1.0</v>
      </c>
      <c r="E22" t="s">
        <v>2408</v>
      </c>
    </row>
    <row r="23">
      <c r="A23" s="13" t="s">
        <v>5436</v>
      </c>
      <c r="B23" s="30">
        <v>5.0</v>
      </c>
      <c r="C23" t="s">
        <v>5575</v>
      </c>
      <c r="D23" s="30">
        <v>1.0</v>
      </c>
      <c r="E23" t="s">
        <v>2772</v>
      </c>
    </row>
    <row r="24">
      <c r="A24" s="13" t="s">
        <v>5390</v>
      </c>
      <c r="B24" s="30">
        <v>5.0</v>
      </c>
      <c r="C24" t="s">
        <v>5576</v>
      </c>
      <c r="D24" s="30">
        <v>1.0</v>
      </c>
      <c r="E24" t="s">
        <v>2450</v>
      </c>
    </row>
    <row r="25">
      <c r="A25" s="13" t="s">
        <v>5410</v>
      </c>
      <c r="B25" s="30">
        <v>5.0</v>
      </c>
      <c r="C25" t="s">
        <v>5577</v>
      </c>
      <c r="D25" s="30">
        <v>0.0</v>
      </c>
      <c r="E25" t="s">
        <v>5282</v>
      </c>
    </row>
    <row r="26">
      <c r="A26" s="13" t="s">
        <v>5403</v>
      </c>
      <c r="B26" s="30">
        <v>4.0</v>
      </c>
      <c r="C26" t="s">
        <v>5578</v>
      </c>
      <c r="D26" s="30">
        <v>1.0</v>
      </c>
      <c r="E26" t="s">
        <v>2556</v>
      </c>
    </row>
    <row r="27">
      <c r="A27" s="13" t="s">
        <v>5424</v>
      </c>
      <c r="B27" s="30">
        <v>4.0</v>
      </c>
      <c r="C27" t="s">
        <v>5579</v>
      </c>
      <c r="D27" s="30">
        <v>0.0</v>
      </c>
      <c r="E27" t="s">
        <v>5282</v>
      </c>
    </row>
    <row r="28">
      <c r="A28" s="13" t="s">
        <v>5393</v>
      </c>
      <c r="B28" s="30">
        <v>3.0</v>
      </c>
      <c r="C28" t="s">
        <v>5580</v>
      </c>
      <c r="D28" s="30">
        <v>1.0</v>
      </c>
      <c r="E28" t="s">
        <v>2318</v>
      </c>
    </row>
    <row r="29">
      <c r="A29" s="13" t="s">
        <v>5388</v>
      </c>
      <c r="B29" s="30">
        <v>3.0</v>
      </c>
      <c r="C29" t="s">
        <v>5581</v>
      </c>
      <c r="D29" s="30">
        <v>1.0</v>
      </c>
      <c r="E29" t="s">
        <v>3740</v>
      </c>
    </row>
    <row r="30">
      <c r="A30" s="13" t="s">
        <v>5420</v>
      </c>
      <c r="B30" s="30">
        <v>3.0</v>
      </c>
      <c r="C30" t="s">
        <v>5582</v>
      </c>
      <c r="D30" s="30">
        <v>2.0</v>
      </c>
      <c r="E30" t="s">
        <v>5583</v>
      </c>
    </row>
    <row r="31">
      <c r="A31" s="13" t="s">
        <v>5438</v>
      </c>
      <c r="B31" s="30">
        <v>2.0</v>
      </c>
      <c r="C31" t="s">
        <v>5584</v>
      </c>
      <c r="D31" s="30">
        <v>0.0</v>
      </c>
      <c r="E31" t="s">
        <v>5282</v>
      </c>
    </row>
    <row r="32">
      <c r="A32" s="13" t="s">
        <v>5399</v>
      </c>
      <c r="B32" s="30">
        <v>2.0</v>
      </c>
      <c r="C32" t="s">
        <v>5585</v>
      </c>
      <c r="D32" s="30">
        <v>1.0</v>
      </c>
      <c r="E32" t="s">
        <v>2672</v>
      </c>
    </row>
    <row r="33">
      <c r="A33" s="85" t="s">
        <v>4774</v>
      </c>
      <c r="B33" s="91">
        <v>190.0</v>
      </c>
      <c r="C33" s="92"/>
      <c r="D33" s="91">
        <v>19.0</v>
      </c>
      <c r="E33" s="92"/>
    </row>
    <row r="34">
      <c r="A34" s="85" t="s">
        <v>4778</v>
      </c>
      <c r="B34" s="93">
        <v>0.2638888888888889</v>
      </c>
      <c r="C34" s="92"/>
      <c r="D34" s="93">
        <v>0.6551724137931034</v>
      </c>
      <c r="E34" s="92"/>
    </row>
    <row r="35">
      <c r="A35" s="85" t="s">
        <v>4783</v>
      </c>
      <c r="B35" s="100">
        <v>42645.0</v>
      </c>
      <c r="C35" s="92"/>
      <c r="D35" s="100">
        <v>42645.0</v>
      </c>
      <c r="E35" s="92"/>
    </row>
    <row r="36">
      <c r="B36" s="30"/>
      <c r="D36" s="30"/>
    </row>
    <row r="37">
      <c r="A37" s="85" t="s">
        <v>4789</v>
      </c>
      <c r="B37" s="93">
        <v>0.2742782152230971</v>
      </c>
      <c r="D37" s="30"/>
    </row>
    <row r="38">
      <c r="A38" s="85" t="s">
        <v>4783</v>
      </c>
      <c r="B38" s="100">
        <v>42645.0</v>
      </c>
      <c r="D38" s="30"/>
    </row>
  </sheetData>
  <mergeCells count="1">
    <mergeCell ref="A1:E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3.38"/>
    <col customWidth="1" min="3" max="3" width="16.25"/>
    <col customWidth="1" min="4" max="4" width="5.13"/>
    <col customWidth="1" min="5" max="5" width="7.5"/>
    <col customWidth="1" min="6" max="6" width="6.75"/>
    <col customWidth="1" min="9" max="9" width="18.0"/>
    <col customWidth="1" hidden="1" min="10" max="10" width="5.88"/>
  </cols>
  <sheetData>
    <row r="1">
      <c r="A1" s="6" t="s">
        <v>2</v>
      </c>
      <c r="B1" s="6" t="s">
        <v>3</v>
      </c>
      <c r="C1" s="5" t="s">
        <v>4</v>
      </c>
      <c r="D1" s="5" t="s">
        <v>5</v>
      </c>
      <c r="E1" s="5" t="s">
        <v>6</v>
      </c>
      <c r="F1" s="5" t="s">
        <v>7</v>
      </c>
      <c r="G1" s="3" t="s">
        <v>12</v>
      </c>
      <c r="H1" s="3" t="s">
        <v>13</v>
      </c>
      <c r="I1" s="6" t="s">
        <v>16</v>
      </c>
      <c r="J1" s="5" t="s">
        <v>5586</v>
      </c>
    </row>
    <row r="2">
      <c r="A2" s="13" t="s">
        <v>92</v>
      </c>
      <c r="B2" s="10">
        <v>45839.0</v>
      </c>
      <c r="C2" s="11" t="s">
        <v>391</v>
      </c>
      <c r="D2" s="11" t="s">
        <v>5587</v>
      </c>
      <c r="E2" s="11" t="s">
        <v>39</v>
      </c>
      <c r="F2" s="11" t="s">
        <v>40</v>
      </c>
      <c r="G2" s="30"/>
      <c r="H2" s="30"/>
      <c r="I2" s="38"/>
      <c r="J2" s="30"/>
    </row>
    <row r="3">
      <c r="A3" s="13" t="s">
        <v>158</v>
      </c>
      <c r="B3" s="10">
        <v>45778.0</v>
      </c>
      <c r="C3" s="11" t="s">
        <v>5588</v>
      </c>
      <c r="D3" s="11" t="s">
        <v>5589</v>
      </c>
      <c r="E3" s="11" t="s">
        <v>39</v>
      </c>
      <c r="F3" s="11" t="s">
        <v>40</v>
      </c>
      <c r="G3" s="30"/>
      <c r="H3" s="30"/>
      <c r="I3" s="38"/>
      <c r="J3" s="30"/>
    </row>
    <row r="4">
      <c r="A4" s="13" t="s">
        <v>5590</v>
      </c>
      <c r="B4" s="10">
        <v>45778.0</v>
      </c>
      <c r="C4" s="11" t="s">
        <v>566</v>
      </c>
      <c r="D4" s="11" t="s">
        <v>5587</v>
      </c>
      <c r="E4" s="11" t="s">
        <v>39</v>
      </c>
      <c r="F4" s="11" t="s">
        <v>64</v>
      </c>
      <c r="G4" s="30"/>
      <c r="H4" s="30"/>
      <c r="I4" s="38" t="s">
        <v>494</v>
      </c>
      <c r="J4" s="30"/>
    </row>
    <row r="5">
      <c r="A5" s="13" t="s">
        <v>161</v>
      </c>
      <c r="B5" s="10">
        <v>45770.0</v>
      </c>
      <c r="C5" s="11" t="s">
        <v>164</v>
      </c>
      <c r="D5" s="11" t="s">
        <v>5589</v>
      </c>
      <c r="E5" s="11" t="s">
        <v>39</v>
      </c>
      <c r="F5" s="11" t="s">
        <v>40</v>
      </c>
      <c r="G5" s="30"/>
      <c r="H5" s="30"/>
      <c r="I5" s="19"/>
      <c r="J5" s="30"/>
    </row>
    <row r="6">
      <c r="A6" s="13" t="s">
        <v>185</v>
      </c>
      <c r="B6" s="10">
        <v>45748.0</v>
      </c>
      <c r="C6" s="11" t="s">
        <v>133</v>
      </c>
      <c r="D6" s="11" t="s">
        <v>5589</v>
      </c>
      <c r="E6" s="11" t="s">
        <v>39</v>
      </c>
      <c r="F6" s="11" t="s">
        <v>40</v>
      </c>
      <c r="G6" s="39"/>
      <c r="H6" s="30"/>
      <c r="I6" s="19"/>
      <c r="J6" s="30"/>
    </row>
    <row r="7">
      <c r="A7" s="13" t="s">
        <v>5591</v>
      </c>
      <c r="B7" s="10">
        <v>45689.0</v>
      </c>
      <c r="C7" s="11" t="s">
        <v>864</v>
      </c>
      <c r="D7" s="11" t="s">
        <v>5592</v>
      </c>
      <c r="E7" s="11" t="s">
        <v>39</v>
      </c>
      <c r="F7" s="11" t="s">
        <v>40</v>
      </c>
      <c r="G7" s="30"/>
      <c r="H7" s="30"/>
      <c r="I7" s="19"/>
      <c r="J7" s="30"/>
    </row>
    <row r="8">
      <c r="A8" s="13" t="s">
        <v>321</v>
      </c>
      <c r="B8" s="10">
        <v>45454.0</v>
      </c>
      <c r="C8" s="11" t="s">
        <v>262</v>
      </c>
      <c r="D8" s="11" t="s">
        <v>5587</v>
      </c>
      <c r="E8" s="11" t="s">
        <v>39</v>
      </c>
      <c r="F8" s="11" t="s">
        <v>40</v>
      </c>
      <c r="G8" s="39">
        <v>45713.0</v>
      </c>
      <c r="H8" s="30">
        <f>ROUND(((G8-B8)/365)*12,0)</f>
        <v>9</v>
      </c>
      <c r="I8" s="19"/>
      <c r="J8" s="30"/>
    </row>
    <row r="9">
      <c r="A9" s="13" t="s">
        <v>357</v>
      </c>
      <c r="B9" s="10">
        <v>45413.0</v>
      </c>
      <c r="C9" s="11" t="s">
        <v>5593</v>
      </c>
      <c r="D9" s="11" t="s">
        <v>5587</v>
      </c>
      <c r="E9" s="11" t="s">
        <v>39</v>
      </c>
      <c r="F9" s="11" t="s">
        <v>40</v>
      </c>
      <c r="G9" s="30"/>
      <c r="H9" s="30"/>
      <c r="I9" s="19"/>
      <c r="J9" s="30"/>
    </row>
    <row r="10">
      <c r="A10" s="13" t="s">
        <v>5594</v>
      </c>
      <c r="B10" s="10">
        <v>45383.0</v>
      </c>
      <c r="C10" s="11" t="s">
        <v>119</v>
      </c>
      <c r="D10" s="11" t="s">
        <v>5589</v>
      </c>
      <c r="E10" s="11" t="s">
        <v>39</v>
      </c>
      <c r="F10" s="11" t="s">
        <v>40</v>
      </c>
      <c r="G10" s="39">
        <v>45704.0</v>
      </c>
      <c r="H10" s="30">
        <f t="shared" ref="H10:H11" si="1">ROUND(((G10-B10)/365)*12,0)</f>
        <v>11</v>
      </c>
      <c r="I10" s="19"/>
      <c r="J10" s="30"/>
    </row>
    <row r="11">
      <c r="A11" s="13" t="s">
        <v>416</v>
      </c>
      <c r="B11" s="10">
        <v>45356.0</v>
      </c>
      <c r="C11" s="11" t="s">
        <v>669</v>
      </c>
      <c r="D11" s="11" t="s">
        <v>5587</v>
      </c>
      <c r="E11" s="11" t="s">
        <v>39</v>
      </c>
      <c r="F11" s="11" t="s">
        <v>40</v>
      </c>
      <c r="G11" s="39">
        <v>45702.0</v>
      </c>
      <c r="H11" s="30">
        <f t="shared" si="1"/>
        <v>11</v>
      </c>
      <c r="I11" s="19"/>
      <c r="J11" s="30"/>
    </row>
    <row r="12">
      <c r="A12" s="13" t="s">
        <v>5595</v>
      </c>
      <c r="B12" s="10">
        <v>45356.0</v>
      </c>
      <c r="C12" s="11" t="s">
        <v>46</v>
      </c>
      <c r="D12" s="11" t="s">
        <v>5587</v>
      </c>
      <c r="E12" s="11" t="s">
        <v>39</v>
      </c>
      <c r="F12" s="11" t="s">
        <v>64</v>
      </c>
      <c r="G12" s="30"/>
      <c r="H12" s="30"/>
      <c r="I12" s="19"/>
      <c r="J12" s="30"/>
    </row>
    <row r="13">
      <c r="A13" s="13" t="s">
        <v>5596</v>
      </c>
      <c r="B13" s="10">
        <v>45352.0</v>
      </c>
      <c r="C13" s="11" t="s">
        <v>359</v>
      </c>
      <c r="D13" s="11" t="s">
        <v>5597</v>
      </c>
      <c r="E13" s="11" t="s">
        <v>39</v>
      </c>
      <c r="F13" s="11" t="s">
        <v>40</v>
      </c>
      <c r="G13" s="30"/>
      <c r="H13" s="30"/>
      <c r="I13" s="19"/>
      <c r="J13" s="30"/>
    </row>
    <row r="14">
      <c r="A14" s="13" t="s">
        <v>425</v>
      </c>
      <c r="B14" s="10">
        <v>45352.0</v>
      </c>
      <c r="C14" s="11" t="s">
        <v>391</v>
      </c>
      <c r="D14" s="11" t="s">
        <v>5589</v>
      </c>
      <c r="E14" s="11" t="s">
        <v>39</v>
      </c>
      <c r="F14" s="11" t="s">
        <v>40</v>
      </c>
      <c r="G14" s="30"/>
      <c r="H14" s="30"/>
      <c r="I14" s="19"/>
      <c r="J14" s="30"/>
    </row>
    <row r="15">
      <c r="A15" s="13" t="s">
        <v>432</v>
      </c>
      <c r="B15" s="10">
        <v>45342.0</v>
      </c>
      <c r="C15" s="11" t="s">
        <v>243</v>
      </c>
      <c r="D15" s="11" t="s">
        <v>5587</v>
      </c>
      <c r="E15" s="11" t="s">
        <v>39</v>
      </c>
      <c r="F15" s="11" t="s">
        <v>40</v>
      </c>
      <c r="G15" s="30"/>
      <c r="H15" s="30"/>
      <c r="I15" s="19"/>
      <c r="J15" s="30"/>
    </row>
    <row r="16">
      <c r="A16" s="13" t="s">
        <v>436</v>
      </c>
      <c r="B16" s="10">
        <v>45323.0</v>
      </c>
      <c r="C16" s="11" t="s">
        <v>1712</v>
      </c>
      <c r="D16" s="11" t="s">
        <v>5589</v>
      </c>
      <c r="E16" s="11" t="s">
        <v>39</v>
      </c>
      <c r="F16" s="11" t="s">
        <v>40</v>
      </c>
      <c r="G16" s="30"/>
      <c r="H16" s="30"/>
      <c r="I16" s="19"/>
      <c r="J16" s="30"/>
    </row>
    <row r="17">
      <c r="A17" s="13" t="s">
        <v>444</v>
      </c>
      <c r="B17" s="10">
        <v>45323.0</v>
      </c>
      <c r="C17" s="11" t="s">
        <v>5588</v>
      </c>
      <c r="D17" s="11" t="s">
        <v>5597</v>
      </c>
      <c r="E17" s="11" t="s">
        <v>39</v>
      </c>
      <c r="F17" s="11" t="s">
        <v>64</v>
      </c>
      <c r="G17" s="30"/>
      <c r="H17" s="30"/>
      <c r="I17" s="19"/>
      <c r="J17" s="30"/>
    </row>
    <row r="18">
      <c r="A18" s="13" t="s">
        <v>5598</v>
      </c>
      <c r="B18" s="10">
        <v>45292.0</v>
      </c>
      <c r="C18" s="11" t="s">
        <v>669</v>
      </c>
      <c r="D18" s="11" t="s">
        <v>5589</v>
      </c>
      <c r="E18" s="11" t="s">
        <v>39</v>
      </c>
      <c r="F18" s="11" t="s">
        <v>40</v>
      </c>
      <c r="G18" s="30"/>
      <c r="H18" s="30"/>
      <c r="I18" s="19"/>
      <c r="J18" s="30"/>
    </row>
    <row r="19">
      <c r="A19" s="13" t="s">
        <v>450</v>
      </c>
      <c r="B19" s="10">
        <v>45292.0</v>
      </c>
      <c r="C19" s="11" t="s">
        <v>452</v>
      </c>
      <c r="D19" s="11" t="s">
        <v>5589</v>
      </c>
      <c r="E19" s="11" t="s">
        <v>39</v>
      </c>
      <c r="F19" s="11" t="s">
        <v>40</v>
      </c>
      <c r="G19" s="30"/>
      <c r="H19" s="30"/>
      <c r="I19" s="19"/>
      <c r="J19" s="30"/>
    </row>
    <row r="20">
      <c r="A20" s="13" t="s">
        <v>5599</v>
      </c>
      <c r="B20" s="10">
        <v>45292.0</v>
      </c>
      <c r="C20" s="11" t="s">
        <v>344</v>
      </c>
      <c r="D20" s="11" t="s">
        <v>5589</v>
      </c>
      <c r="E20" s="11" t="s">
        <v>39</v>
      </c>
      <c r="F20" s="11" t="s">
        <v>64</v>
      </c>
      <c r="G20" s="30"/>
      <c r="H20" s="30"/>
      <c r="I20" s="19"/>
      <c r="J20" s="30"/>
    </row>
    <row r="21">
      <c r="A21" s="13" t="s">
        <v>5600</v>
      </c>
      <c r="B21" s="10">
        <v>45292.0</v>
      </c>
      <c r="C21" s="11" t="s">
        <v>512</v>
      </c>
      <c r="D21" s="11" t="s">
        <v>5589</v>
      </c>
      <c r="E21" s="11" t="s">
        <v>39</v>
      </c>
      <c r="F21" s="11" t="s">
        <v>64</v>
      </c>
      <c r="G21" s="30"/>
      <c r="H21" s="30"/>
      <c r="I21" s="19"/>
      <c r="J21" s="30"/>
    </row>
    <row r="22">
      <c r="A22" s="13" t="s">
        <v>5601</v>
      </c>
      <c r="B22" s="10">
        <v>45292.0</v>
      </c>
      <c r="C22" s="11" t="s">
        <v>2232</v>
      </c>
      <c r="D22" s="11" t="s">
        <v>5587</v>
      </c>
      <c r="E22" s="11" t="s">
        <v>39</v>
      </c>
      <c r="F22" s="11" t="s">
        <v>40</v>
      </c>
      <c r="G22" s="39">
        <v>45710.0</v>
      </c>
      <c r="H22" s="30"/>
      <c r="I22" s="19"/>
      <c r="J22" s="30"/>
    </row>
    <row r="23">
      <c r="A23" s="13" t="s">
        <v>454</v>
      </c>
      <c r="B23" s="10">
        <v>45292.0</v>
      </c>
      <c r="C23" s="11" t="s">
        <v>127</v>
      </c>
      <c r="D23" s="11" t="s">
        <v>5589</v>
      </c>
      <c r="E23" s="11" t="s">
        <v>39</v>
      </c>
      <c r="F23" s="11" t="s">
        <v>40</v>
      </c>
      <c r="G23" s="39">
        <v>45702.0</v>
      </c>
      <c r="H23" s="30"/>
      <c r="I23" s="19"/>
      <c r="J23" s="30"/>
    </row>
    <row r="24">
      <c r="A24" s="13" t="s">
        <v>5602</v>
      </c>
      <c r="B24" s="10">
        <v>45292.0</v>
      </c>
      <c r="C24" s="11" t="s">
        <v>5603</v>
      </c>
      <c r="D24" s="11" t="s">
        <v>5589</v>
      </c>
      <c r="E24" s="11" t="s">
        <v>39</v>
      </c>
      <c r="F24" s="11" t="s">
        <v>40</v>
      </c>
      <c r="G24" s="30"/>
      <c r="H24" s="30"/>
      <c r="I24" s="19"/>
      <c r="J24" s="30"/>
    </row>
    <row r="25">
      <c r="A25" s="13" t="s">
        <v>475</v>
      </c>
      <c r="B25" s="10">
        <v>45292.0</v>
      </c>
      <c r="C25" s="11" t="s">
        <v>476</v>
      </c>
      <c r="D25" s="11" t="s">
        <v>5589</v>
      </c>
      <c r="E25" s="11" t="s">
        <v>39</v>
      </c>
      <c r="F25" s="11" t="s">
        <v>64</v>
      </c>
      <c r="G25" s="30"/>
      <c r="H25" s="30"/>
      <c r="I25" s="19"/>
      <c r="J25" s="30"/>
    </row>
    <row r="26">
      <c r="A26" s="13" t="s">
        <v>447</v>
      </c>
      <c r="B26" s="10">
        <v>45292.0</v>
      </c>
      <c r="C26" s="11" t="s">
        <v>259</v>
      </c>
      <c r="D26" s="11" t="s">
        <v>5589</v>
      </c>
      <c r="E26" s="11" t="s">
        <v>39</v>
      </c>
      <c r="F26" s="11" t="s">
        <v>40</v>
      </c>
      <c r="G26" s="30"/>
      <c r="H26" s="30"/>
      <c r="I26" s="19"/>
      <c r="J26" s="30"/>
    </row>
    <row r="27">
      <c r="A27" s="13" t="s">
        <v>5604</v>
      </c>
      <c r="B27" s="10">
        <v>45147.0</v>
      </c>
      <c r="C27" s="11" t="s">
        <v>5605</v>
      </c>
      <c r="D27" s="11" t="s">
        <v>5587</v>
      </c>
      <c r="E27" s="11" t="s">
        <v>39</v>
      </c>
      <c r="F27" s="11" t="s">
        <v>40</v>
      </c>
      <c r="G27" s="30"/>
      <c r="H27" s="30"/>
      <c r="I27" s="19"/>
      <c r="J27" s="30"/>
    </row>
    <row r="28">
      <c r="A28" s="13" t="s">
        <v>5606</v>
      </c>
      <c r="B28" s="10">
        <v>45135.0</v>
      </c>
      <c r="C28" s="11" t="s">
        <v>669</v>
      </c>
      <c r="D28" s="11" t="s">
        <v>5592</v>
      </c>
      <c r="E28" s="11" t="s">
        <v>39</v>
      </c>
      <c r="F28" s="11" t="s">
        <v>40</v>
      </c>
      <c r="G28" s="30"/>
      <c r="H28" s="30"/>
      <c r="I28" s="19" t="s">
        <v>42</v>
      </c>
      <c r="J28" s="30"/>
    </row>
    <row r="29">
      <c r="A29" s="13" t="s">
        <v>5607</v>
      </c>
      <c r="B29" s="10">
        <v>45114.0</v>
      </c>
      <c r="C29" s="11" t="s">
        <v>5605</v>
      </c>
      <c r="D29" s="11" t="s">
        <v>5592</v>
      </c>
      <c r="E29" s="11" t="s">
        <v>39</v>
      </c>
      <c r="F29" s="11" t="s">
        <v>40</v>
      </c>
      <c r="G29" s="30"/>
      <c r="H29" s="30"/>
      <c r="I29" s="13"/>
      <c r="J29" s="30"/>
    </row>
    <row r="30">
      <c r="A30" s="13" t="s">
        <v>589</v>
      </c>
      <c r="B30" s="10">
        <v>45106.0</v>
      </c>
      <c r="C30" s="11" t="s">
        <v>98</v>
      </c>
      <c r="D30" s="11" t="s">
        <v>5589</v>
      </c>
      <c r="E30" s="11" t="s">
        <v>39</v>
      </c>
      <c r="F30" s="11" t="s">
        <v>40</v>
      </c>
      <c r="G30" s="30"/>
      <c r="H30" s="30"/>
      <c r="I30" s="13" t="s">
        <v>335</v>
      </c>
      <c r="J30" s="30"/>
    </row>
    <row r="31">
      <c r="A31" s="13" t="s">
        <v>565</v>
      </c>
      <c r="B31" s="10">
        <v>45104.0</v>
      </c>
      <c r="C31" s="11" t="s">
        <v>566</v>
      </c>
      <c r="D31" s="11" t="s">
        <v>5592</v>
      </c>
      <c r="E31" s="11" t="s">
        <v>39</v>
      </c>
      <c r="F31" s="11" t="s">
        <v>64</v>
      </c>
      <c r="G31" s="30"/>
      <c r="H31" s="30"/>
      <c r="I31" s="13"/>
      <c r="J31" s="30"/>
    </row>
    <row r="32">
      <c r="A32" s="13" t="s">
        <v>684</v>
      </c>
      <c r="B32" s="10">
        <v>45076.0</v>
      </c>
      <c r="C32" s="11" t="s">
        <v>173</v>
      </c>
      <c r="D32" s="11" t="s">
        <v>5592</v>
      </c>
      <c r="E32" s="11" t="s">
        <v>39</v>
      </c>
      <c r="F32" s="11" t="s">
        <v>40</v>
      </c>
      <c r="G32" s="30"/>
      <c r="H32" s="30"/>
      <c r="I32" s="13"/>
      <c r="J32" s="30"/>
    </row>
    <row r="33">
      <c r="A33" s="13" t="s">
        <v>5608</v>
      </c>
      <c r="B33" s="10">
        <v>45049.0</v>
      </c>
      <c r="C33" s="11" t="s">
        <v>5588</v>
      </c>
      <c r="D33" s="11" t="s">
        <v>5592</v>
      </c>
      <c r="E33" s="11" t="s">
        <v>39</v>
      </c>
      <c r="F33" s="11" t="s">
        <v>64</v>
      </c>
      <c r="G33" s="30"/>
      <c r="H33" s="30"/>
      <c r="I33" s="13"/>
      <c r="J33" s="30"/>
    </row>
    <row r="34">
      <c r="A34" s="13" t="s">
        <v>607</v>
      </c>
      <c r="B34" s="10">
        <v>45047.0</v>
      </c>
      <c r="C34" s="11" t="s">
        <v>243</v>
      </c>
      <c r="D34" s="11" t="s">
        <v>5589</v>
      </c>
      <c r="E34" s="11" t="s">
        <v>39</v>
      </c>
      <c r="F34" s="11" t="s">
        <v>64</v>
      </c>
      <c r="G34" s="30"/>
      <c r="H34" s="30"/>
      <c r="I34" s="13"/>
      <c r="J34" s="30"/>
    </row>
    <row r="35">
      <c r="A35" s="13" t="s">
        <v>5609</v>
      </c>
      <c r="B35" s="10">
        <v>45047.0</v>
      </c>
      <c r="C35" s="11" t="s">
        <v>669</v>
      </c>
      <c r="D35" s="11" t="s">
        <v>5587</v>
      </c>
      <c r="E35" s="11" t="s">
        <v>39</v>
      </c>
      <c r="F35" s="11" t="s">
        <v>40</v>
      </c>
      <c r="G35" s="39">
        <v>45361.0</v>
      </c>
      <c r="H35" s="30">
        <f>ROUND(((G35-B35)/365)*12,0)</f>
        <v>10</v>
      </c>
      <c r="I35" s="19"/>
      <c r="J35" s="30"/>
    </row>
    <row r="36">
      <c r="A36" s="13" t="s">
        <v>5610</v>
      </c>
      <c r="B36" s="10">
        <v>45044.0</v>
      </c>
      <c r="C36" s="11" t="s">
        <v>5611</v>
      </c>
      <c r="D36" s="11" t="s">
        <v>5587</v>
      </c>
      <c r="E36" s="11" t="s">
        <v>39</v>
      </c>
      <c r="F36" s="11" t="s">
        <v>40</v>
      </c>
      <c r="G36" s="30"/>
      <c r="H36" s="30"/>
      <c r="I36" s="19"/>
      <c r="J36" s="30"/>
    </row>
    <row r="37">
      <c r="A37" s="13" t="s">
        <v>618</v>
      </c>
      <c r="B37" s="10">
        <v>45042.0</v>
      </c>
      <c r="C37" s="11" t="s">
        <v>619</v>
      </c>
      <c r="D37" s="11" t="s">
        <v>5589</v>
      </c>
      <c r="E37" s="11" t="s">
        <v>39</v>
      </c>
      <c r="F37" s="11" t="s">
        <v>40</v>
      </c>
      <c r="G37" s="30"/>
      <c r="H37" s="30"/>
      <c r="I37" s="19" t="s">
        <v>42</v>
      </c>
      <c r="J37" s="30"/>
    </row>
    <row r="38">
      <c r="A38" s="13" t="s">
        <v>621</v>
      </c>
      <c r="B38" s="10">
        <v>45029.0</v>
      </c>
      <c r="C38" s="11" t="s">
        <v>391</v>
      </c>
      <c r="D38" s="11" t="s">
        <v>5589</v>
      </c>
      <c r="E38" s="11" t="s">
        <v>39</v>
      </c>
      <c r="F38" s="11" t="s">
        <v>64</v>
      </c>
      <c r="G38" s="30"/>
      <c r="H38" s="30"/>
      <c r="I38" s="13"/>
      <c r="J38" s="30"/>
    </row>
    <row r="39">
      <c r="A39" s="13" t="s">
        <v>644</v>
      </c>
      <c r="B39" s="10">
        <v>45017.0</v>
      </c>
      <c r="C39" s="11" t="s">
        <v>645</v>
      </c>
      <c r="D39" s="11" t="s">
        <v>5589</v>
      </c>
      <c r="E39" s="11" t="s">
        <v>39</v>
      </c>
      <c r="F39" s="11" t="s">
        <v>64</v>
      </c>
      <c r="G39" s="30"/>
      <c r="H39" s="30"/>
      <c r="I39" s="13"/>
      <c r="J39" s="30"/>
    </row>
    <row r="40">
      <c r="A40" s="13" t="s">
        <v>632</v>
      </c>
      <c r="B40" s="10">
        <v>45017.0</v>
      </c>
      <c r="C40" s="11" t="s">
        <v>163</v>
      </c>
      <c r="D40" s="11" t="s">
        <v>5592</v>
      </c>
      <c r="E40" s="11" t="s">
        <v>39</v>
      </c>
      <c r="F40" s="11" t="s">
        <v>40</v>
      </c>
      <c r="G40" s="30"/>
      <c r="H40" s="30"/>
      <c r="I40" s="13"/>
      <c r="J40" s="30"/>
    </row>
    <row r="41">
      <c r="A41" s="13" t="s">
        <v>642</v>
      </c>
      <c r="B41" s="10">
        <v>45017.0</v>
      </c>
      <c r="C41" s="11" t="s">
        <v>47</v>
      </c>
      <c r="D41" s="11" t="s">
        <v>5589</v>
      </c>
      <c r="E41" s="11" t="s">
        <v>39</v>
      </c>
      <c r="F41" s="11" t="s">
        <v>40</v>
      </c>
      <c r="G41" s="30"/>
      <c r="H41" s="30"/>
      <c r="I41" s="13"/>
      <c r="J41" s="30"/>
    </row>
    <row r="42">
      <c r="A42" s="13" t="s">
        <v>634</v>
      </c>
      <c r="B42" s="10">
        <v>45017.0</v>
      </c>
      <c r="C42" s="11" t="s">
        <v>619</v>
      </c>
      <c r="D42" s="11" t="s">
        <v>5592</v>
      </c>
      <c r="E42" s="11" t="s">
        <v>39</v>
      </c>
      <c r="F42" s="11" t="s">
        <v>40</v>
      </c>
      <c r="G42" s="30"/>
      <c r="H42" s="30"/>
      <c r="I42" s="13"/>
      <c r="J42" s="30"/>
    </row>
    <row r="43">
      <c r="A43" s="13" t="s">
        <v>636</v>
      </c>
      <c r="B43" s="10">
        <v>45017.0</v>
      </c>
      <c r="C43" s="11" t="s">
        <v>669</v>
      </c>
      <c r="D43" s="11" t="s">
        <v>5587</v>
      </c>
      <c r="E43" s="11" t="s">
        <v>39</v>
      </c>
      <c r="F43" s="11" t="s">
        <v>64</v>
      </c>
      <c r="G43" s="30"/>
      <c r="H43" s="30"/>
      <c r="I43" s="13"/>
      <c r="J43" s="30"/>
    </row>
    <row r="44">
      <c r="A44" s="19" t="s">
        <v>668</v>
      </c>
      <c r="B44" s="29">
        <v>44979.0</v>
      </c>
      <c r="C44" s="21" t="s">
        <v>669</v>
      </c>
      <c r="D44" s="21" t="s">
        <v>5589</v>
      </c>
      <c r="E44" s="21" t="s">
        <v>39</v>
      </c>
      <c r="F44" s="21" t="s">
        <v>40</v>
      </c>
      <c r="G44" s="24"/>
      <c r="H44" s="24"/>
      <c r="I44" s="19" t="s">
        <v>42</v>
      </c>
      <c r="J44" s="24"/>
      <c r="K44" s="24"/>
      <c r="L44" s="24"/>
      <c r="M44" s="24"/>
      <c r="N44" s="24"/>
      <c r="O44" s="24"/>
      <c r="P44" s="24"/>
      <c r="Q44" s="24"/>
      <c r="R44" s="24"/>
      <c r="S44" s="24"/>
      <c r="T44" s="24"/>
      <c r="U44" s="24"/>
      <c r="V44" s="24"/>
      <c r="W44" s="24"/>
      <c r="X44" s="24"/>
      <c r="Y44" s="24"/>
      <c r="Z44" s="24"/>
    </row>
    <row r="45">
      <c r="A45" s="13" t="s">
        <v>673</v>
      </c>
      <c r="B45" s="10">
        <v>44958.0</v>
      </c>
      <c r="C45" s="11" t="s">
        <v>619</v>
      </c>
      <c r="D45" s="11" t="s">
        <v>5587</v>
      </c>
      <c r="E45" s="11" t="s">
        <v>39</v>
      </c>
      <c r="F45" s="11" t="s">
        <v>40</v>
      </c>
      <c r="G45" s="30"/>
      <c r="H45" s="30"/>
      <c r="I45" s="13"/>
      <c r="J45" s="30"/>
    </row>
    <row r="46">
      <c r="A46" s="13" t="s">
        <v>5612</v>
      </c>
      <c r="B46" s="10">
        <v>44927.0</v>
      </c>
      <c r="C46" s="11" t="s">
        <v>5613</v>
      </c>
      <c r="D46" s="11" t="s">
        <v>5589</v>
      </c>
      <c r="E46" s="11" t="s">
        <v>39</v>
      </c>
      <c r="F46" s="11" t="s">
        <v>40</v>
      </c>
      <c r="G46" s="39">
        <v>45409.0</v>
      </c>
      <c r="H46" s="30"/>
      <c r="I46" s="13"/>
      <c r="J46" s="30"/>
    </row>
    <row r="47">
      <c r="A47" s="13" t="s">
        <v>5614</v>
      </c>
      <c r="B47" s="10">
        <v>44927.0</v>
      </c>
      <c r="C47" s="11" t="s">
        <v>512</v>
      </c>
      <c r="D47" s="11" t="s">
        <v>5592</v>
      </c>
      <c r="E47" s="11" t="s">
        <v>39</v>
      </c>
      <c r="F47" s="11" t="s">
        <v>64</v>
      </c>
      <c r="G47" s="30"/>
      <c r="H47" s="30"/>
      <c r="I47" s="13"/>
      <c r="J47" s="30"/>
    </row>
    <row r="48">
      <c r="A48" s="13" t="s">
        <v>5615</v>
      </c>
      <c r="B48" s="10">
        <v>44927.0</v>
      </c>
      <c r="C48" s="11" t="s">
        <v>512</v>
      </c>
      <c r="D48" s="11" t="s">
        <v>5589</v>
      </c>
      <c r="E48" s="11" t="s">
        <v>39</v>
      </c>
      <c r="F48" s="11" t="s">
        <v>64</v>
      </c>
      <c r="G48" s="30"/>
      <c r="H48" s="30"/>
      <c r="I48" s="13"/>
      <c r="J48" s="30"/>
    </row>
    <row r="49">
      <c r="A49" s="13" t="s">
        <v>734</v>
      </c>
      <c r="B49" s="10">
        <v>44927.0</v>
      </c>
      <c r="C49" s="11" t="s">
        <v>736</v>
      </c>
      <c r="D49" s="11" t="s">
        <v>5587</v>
      </c>
      <c r="E49" s="11" t="s">
        <v>39</v>
      </c>
      <c r="F49" s="11" t="s">
        <v>40</v>
      </c>
      <c r="G49" s="30"/>
      <c r="H49" s="30"/>
      <c r="I49" s="13"/>
      <c r="J49" s="30"/>
    </row>
    <row r="50">
      <c r="A50" s="13" t="s">
        <v>5616</v>
      </c>
      <c r="B50" s="10">
        <v>44894.0</v>
      </c>
      <c r="C50" s="11" t="s">
        <v>5588</v>
      </c>
      <c r="D50" s="11" t="s">
        <v>5587</v>
      </c>
      <c r="E50" s="11" t="s">
        <v>39</v>
      </c>
      <c r="F50" s="11" t="s">
        <v>40</v>
      </c>
      <c r="G50" s="30"/>
      <c r="H50" s="30"/>
      <c r="I50" s="13"/>
      <c r="J50" s="30"/>
    </row>
    <row r="51">
      <c r="A51" s="13" t="s">
        <v>5617</v>
      </c>
      <c r="B51" s="10">
        <v>44881.0</v>
      </c>
      <c r="C51" s="11" t="s">
        <v>173</v>
      </c>
      <c r="D51" s="11" t="s">
        <v>5592</v>
      </c>
      <c r="E51" s="11" t="s">
        <v>39</v>
      </c>
      <c r="F51" s="11" t="s">
        <v>40</v>
      </c>
      <c r="G51" s="30"/>
      <c r="H51" s="30"/>
      <c r="I51" s="13" t="s">
        <v>42</v>
      </c>
      <c r="J51" s="30"/>
    </row>
    <row r="52">
      <c r="A52" s="13" t="s">
        <v>750</v>
      </c>
      <c r="B52" s="10">
        <v>44805.0</v>
      </c>
      <c r="C52" s="11" t="s">
        <v>344</v>
      </c>
      <c r="D52" s="11" t="s">
        <v>5587</v>
      </c>
      <c r="E52" s="11" t="s">
        <v>39</v>
      </c>
      <c r="F52" s="11" t="s">
        <v>64</v>
      </c>
      <c r="G52" s="39">
        <v>45338.0</v>
      </c>
      <c r="H52" s="30">
        <f>ROUND(((G52-B52)/365)*12,0)</f>
        <v>18</v>
      </c>
      <c r="I52" s="13"/>
      <c r="J52" s="30"/>
    </row>
    <row r="53">
      <c r="A53" s="13" t="s">
        <v>5618</v>
      </c>
      <c r="B53" s="10">
        <v>44743.0</v>
      </c>
      <c r="C53" s="11" t="s">
        <v>243</v>
      </c>
      <c r="D53" s="11" t="s">
        <v>5597</v>
      </c>
      <c r="E53" s="11" t="s">
        <v>39</v>
      </c>
      <c r="F53" s="11" t="s">
        <v>64</v>
      </c>
      <c r="G53" s="30"/>
      <c r="H53" s="30"/>
      <c r="I53" s="13"/>
      <c r="J53" s="30"/>
    </row>
    <row r="54">
      <c r="A54" s="13" t="s">
        <v>816</v>
      </c>
      <c r="B54" s="10">
        <v>44713.0</v>
      </c>
      <c r="C54" s="11" t="s">
        <v>240</v>
      </c>
      <c r="D54" s="11" t="s">
        <v>5587</v>
      </c>
      <c r="E54" s="11" t="s">
        <v>39</v>
      </c>
      <c r="F54" s="11" t="s">
        <v>40</v>
      </c>
      <c r="G54" s="30"/>
      <c r="H54" s="30"/>
      <c r="I54" s="13"/>
      <c r="J54" s="30"/>
    </row>
    <row r="55">
      <c r="A55" s="13" t="s">
        <v>823</v>
      </c>
      <c r="B55" s="10">
        <v>44698.0</v>
      </c>
      <c r="C55" s="11" t="s">
        <v>5588</v>
      </c>
      <c r="D55" s="11" t="s">
        <v>5592</v>
      </c>
      <c r="E55" s="11" t="s">
        <v>39</v>
      </c>
      <c r="F55" s="11" t="s">
        <v>40</v>
      </c>
      <c r="G55" s="39">
        <v>44982.0</v>
      </c>
      <c r="H55" s="30">
        <f>ROUND(((G55-B55)/365)*12,0)</f>
        <v>9</v>
      </c>
      <c r="I55" s="13" t="s">
        <v>335</v>
      </c>
      <c r="J55" s="30"/>
    </row>
    <row r="56">
      <c r="A56" s="13" t="s">
        <v>838</v>
      </c>
      <c r="B56" s="10">
        <v>44682.0</v>
      </c>
      <c r="C56" s="11" t="s">
        <v>84</v>
      </c>
      <c r="D56" s="11" t="s">
        <v>5587</v>
      </c>
      <c r="E56" s="11" t="s">
        <v>39</v>
      </c>
      <c r="F56" s="11" t="s">
        <v>64</v>
      </c>
      <c r="G56" s="30"/>
      <c r="H56" s="30"/>
      <c r="I56" s="13"/>
      <c r="J56" s="30"/>
    </row>
    <row r="57">
      <c r="A57" s="13" t="s">
        <v>834</v>
      </c>
      <c r="B57" s="10">
        <v>44682.0</v>
      </c>
      <c r="C57" s="11" t="s">
        <v>637</v>
      </c>
      <c r="D57" s="11" t="s">
        <v>5587</v>
      </c>
      <c r="E57" s="11" t="s">
        <v>39</v>
      </c>
      <c r="F57" s="11" t="s">
        <v>40</v>
      </c>
      <c r="G57" s="30"/>
      <c r="H57" s="30"/>
      <c r="I57" s="13"/>
      <c r="J57" s="30"/>
    </row>
    <row r="58">
      <c r="A58" s="13" t="s">
        <v>5619</v>
      </c>
      <c r="B58" s="10">
        <v>44682.0</v>
      </c>
      <c r="C58" s="11" t="s">
        <v>1533</v>
      </c>
      <c r="D58" s="11" t="s">
        <v>5597</v>
      </c>
      <c r="E58" s="11" t="s">
        <v>39</v>
      </c>
      <c r="F58" s="11" t="s">
        <v>64</v>
      </c>
      <c r="G58" s="30"/>
      <c r="H58" s="30"/>
      <c r="I58" s="13"/>
      <c r="J58" s="30"/>
    </row>
    <row r="59">
      <c r="A59" s="13" t="s">
        <v>5620</v>
      </c>
      <c r="B59" s="10">
        <v>44682.0</v>
      </c>
      <c r="C59" s="11" t="s">
        <v>645</v>
      </c>
      <c r="D59" s="11" t="s">
        <v>5597</v>
      </c>
      <c r="E59" s="11" t="s">
        <v>39</v>
      </c>
      <c r="F59" s="11" t="s">
        <v>40</v>
      </c>
      <c r="G59" s="30"/>
      <c r="H59" s="30"/>
      <c r="I59" s="13"/>
      <c r="J59" s="30"/>
    </row>
    <row r="60">
      <c r="A60" s="13" t="s">
        <v>5621</v>
      </c>
      <c r="B60" s="10">
        <v>44652.0</v>
      </c>
      <c r="C60" s="11" t="s">
        <v>231</v>
      </c>
      <c r="D60" s="11" t="s">
        <v>5597</v>
      </c>
      <c r="E60" s="11" t="s">
        <v>39</v>
      </c>
      <c r="F60" s="11" t="s">
        <v>40</v>
      </c>
      <c r="G60" s="39">
        <v>44974.0</v>
      </c>
      <c r="H60" s="30">
        <f>ROUND(((G60-B60)/365)*12,0)</f>
        <v>11</v>
      </c>
      <c r="I60" s="13"/>
      <c r="J60" s="30"/>
    </row>
    <row r="61">
      <c r="A61" s="13" t="s">
        <v>861</v>
      </c>
      <c r="B61" s="10">
        <v>44652.0</v>
      </c>
      <c r="C61" s="11" t="s">
        <v>5622</v>
      </c>
      <c r="D61" s="11" t="s">
        <v>5587</v>
      </c>
      <c r="E61" s="11" t="s">
        <v>39</v>
      </c>
      <c r="F61" s="11" t="s">
        <v>64</v>
      </c>
      <c r="G61" s="30"/>
      <c r="H61" s="30"/>
      <c r="I61" s="13"/>
      <c r="J61" s="30"/>
    </row>
    <row r="62">
      <c r="A62" s="13" t="s">
        <v>5623</v>
      </c>
      <c r="B62" s="10">
        <v>44636.0</v>
      </c>
      <c r="C62" s="11" t="s">
        <v>637</v>
      </c>
      <c r="D62" s="11" t="s">
        <v>5589</v>
      </c>
      <c r="E62" s="11" t="s">
        <v>39</v>
      </c>
      <c r="F62" s="11" t="s">
        <v>40</v>
      </c>
      <c r="G62" s="30"/>
      <c r="H62" s="30"/>
      <c r="I62" s="13"/>
      <c r="J62" s="30"/>
    </row>
    <row r="63">
      <c r="A63" s="13" t="s">
        <v>885</v>
      </c>
      <c r="B63" s="10">
        <v>44624.0</v>
      </c>
      <c r="C63" s="11" t="s">
        <v>173</v>
      </c>
      <c r="D63" s="11" t="s">
        <v>5589</v>
      </c>
      <c r="E63" s="11" t="s">
        <v>39</v>
      </c>
      <c r="F63" s="11" t="s">
        <v>40</v>
      </c>
      <c r="G63" s="30"/>
      <c r="H63" s="30"/>
      <c r="I63" s="13"/>
      <c r="J63" s="30"/>
    </row>
    <row r="64">
      <c r="A64" s="13" t="s">
        <v>5624</v>
      </c>
      <c r="B64" s="10">
        <v>44621.0</v>
      </c>
      <c r="C64" s="11" t="s">
        <v>619</v>
      </c>
      <c r="D64" s="11" t="s">
        <v>5587</v>
      </c>
      <c r="E64" s="11" t="s">
        <v>39</v>
      </c>
      <c r="F64" s="11" t="s">
        <v>64</v>
      </c>
      <c r="G64" s="39">
        <v>45034.0</v>
      </c>
      <c r="H64" s="30">
        <f>ROUND(((G64-B64)/365)*12,0)</f>
        <v>14</v>
      </c>
      <c r="I64" s="13"/>
      <c r="J64" s="30"/>
    </row>
    <row r="65">
      <c r="A65" s="13" t="s">
        <v>887</v>
      </c>
      <c r="B65" s="10">
        <v>44621.0</v>
      </c>
      <c r="C65" s="11" t="s">
        <v>637</v>
      </c>
      <c r="D65" s="11" t="s">
        <v>5589</v>
      </c>
      <c r="E65" s="11" t="s">
        <v>39</v>
      </c>
      <c r="F65" s="11" t="s">
        <v>40</v>
      </c>
      <c r="G65" s="30"/>
      <c r="H65" s="30"/>
      <c r="I65" s="13"/>
      <c r="J65" s="30"/>
    </row>
    <row r="66">
      <c r="A66" s="13" t="s">
        <v>897</v>
      </c>
      <c r="B66" s="10">
        <v>44621.0</v>
      </c>
      <c r="C66" s="11" t="s">
        <v>56</v>
      </c>
      <c r="D66" s="11" t="s">
        <v>5587</v>
      </c>
      <c r="E66" s="11" t="s">
        <v>39</v>
      </c>
      <c r="F66" s="11" t="s">
        <v>40</v>
      </c>
      <c r="G66" s="39">
        <v>45047.0</v>
      </c>
      <c r="H66" s="30">
        <f>ROUND(((G66-B66)/365)*12,0)</f>
        <v>14</v>
      </c>
      <c r="I66" s="13"/>
      <c r="J66" s="30"/>
    </row>
    <row r="67">
      <c r="A67" s="13" t="s">
        <v>890</v>
      </c>
      <c r="B67" s="10">
        <v>44621.0</v>
      </c>
      <c r="C67" s="11" t="s">
        <v>179</v>
      </c>
      <c r="D67" s="11" t="s">
        <v>5587</v>
      </c>
      <c r="E67" s="11" t="s">
        <v>39</v>
      </c>
      <c r="F67" s="11" t="s">
        <v>40</v>
      </c>
      <c r="G67" s="30"/>
      <c r="H67" s="30"/>
      <c r="I67" s="13"/>
      <c r="J67" s="30"/>
    </row>
    <row r="68">
      <c r="A68" s="13" t="s">
        <v>908</v>
      </c>
      <c r="B68" s="10">
        <v>44592.0</v>
      </c>
      <c r="C68" s="11" t="s">
        <v>669</v>
      </c>
      <c r="D68" s="11" t="s">
        <v>5589</v>
      </c>
      <c r="E68" s="11" t="s">
        <v>39</v>
      </c>
      <c r="F68" s="11" t="s">
        <v>40</v>
      </c>
      <c r="G68" s="30"/>
      <c r="H68" s="30"/>
      <c r="I68" s="13"/>
      <c r="J68" s="30"/>
    </row>
    <row r="69">
      <c r="A69" s="13" t="s">
        <v>5625</v>
      </c>
      <c r="B69" s="10">
        <v>44580.0</v>
      </c>
      <c r="C69" s="11" t="s">
        <v>287</v>
      </c>
      <c r="D69" s="11" t="s">
        <v>5592</v>
      </c>
      <c r="E69" s="11" t="s">
        <v>39</v>
      </c>
      <c r="F69" s="11" t="s">
        <v>40</v>
      </c>
      <c r="G69" s="30"/>
      <c r="H69" s="30"/>
      <c r="I69" s="13"/>
      <c r="J69" s="30"/>
    </row>
    <row r="70">
      <c r="A70" s="13" t="s">
        <v>989</v>
      </c>
      <c r="B70" s="10">
        <v>44562.0</v>
      </c>
      <c r="C70" s="11" t="s">
        <v>243</v>
      </c>
      <c r="D70" s="11" t="s">
        <v>5587</v>
      </c>
      <c r="E70" s="11" t="s">
        <v>39</v>
      </c>
      <c r="F70" s="11" t="s">
        <v>40</v>
      </c>
      <c r="G70" s="39"/>
      <c r="H70" s="30"/>
      <c r="I70" s="13"/>
      <c r="J70" s="30"/>
    </row>
    <row r="71">
      <c r="A71" s="13" t="s">
        <v>972</v>
      </c>
      <c r="B71" s="10">
        <v>44562.0</v>
      </c>
      <c r="C71" s="11" t="s">
        <v>999</v>
      </c>
      <c r="D71" s="11" t="s">
        <v>5587</v>
      </c>
      <c r="E71" s="11" t="s">
        <v>39</v>
      </c>
      <c r="F71" s="11" t="s">
        <v>64</v>
      </c>
      <c r="G71" s="39"/>
      <c r="H71" s="30"/>
      <c r="I71" s="13"/>
      <c r="J71" s="30"/>
    </row>
    <row r="72">
      <c r="A72" s="13" t="s">
        <v>945</v>
      </c>
      <c r="B72" s="10">
        <v>44562.0</v>
      </c>
      <c r="C72" s="11" t="s">
        <v>259</v>
      </c>
      <c r="D72" s="11" t="s">
        <v>5592</v>
      </c>
      <c r="E72" s="11" t="s">
        <v>39</v>
      </c>
      <c r="F72" s="11" t="s">
        <v>40</v>
      </c>
      <c r="G72" s="39">
        <v>45338.0</v>
      </c>
      <c r="H72" s="30"/>
      <c r="I72" s="13"/>
      <c r="J72" s="30"/>
    </row>
    <row r="73">
      <c r="A73" s="13" t="s">
        <v>962</v>
      </c>
      <c r="B73" s="10">
        <v>44562.0</v>
      </c>
      <c r="C73" s="11" t="s">
        <v>963</v>
      </c>
      <c r="D73" s="11" t="s">
        <v>5589</v>
      </c>
      <c r="E73" s="11" t="s">
        <v>39</v>
      </c>
      <c r="F73" s="11" t="s">
        <v>40</v>
      </c>
      <c r="G73" s="39">
        <v>44974.0</v>
      </c>
      <c r="H73" s="30"/>
      <c r="I73" s="13"/>
      <c r="J73" s="30"/>
    </row>
    <row r="74">
      <c r="A74" s="13" t="s">
        <v>5626</v>
      </c>
      <c r="B74" s="10">
        <v>44562.0</v>
      </c>
      <c r="C74" s="11" t="s">
        <v>5611</v>
      </c>
      <c r="D74" s="11" t="s">
        <v>5587</v>
      </c>
      <c r="E74" s="11" t="s">
        <v>39</v>
      </c>
      <c r="F74" s="11" t="s">
        <v>40</v>
      </c>
      <c r="G74" s="30"/>
      <c r="H74" s="30"/>
      <c r="I74" s="13"/>
      <c r="J74" s="30"/>
    </row>
    <row r="75">
      <c r="A75" s="13" t="s">
        <v>987</v>
      </c>
      <c r="B75" s="10">
        <v>44562.0</v>
      </c>
      <c r="C75" s="11" t="s">
        <v>190</v>
      </c>
      <c r="D75" s="11" t="s">
        <v>5592</v>
      </c>
      <c r="E75" s="11" t="s">
        <v>39</v>
      </c>
      <c r="F75" s="11" t="s">
        <v>64</v>
      </c>
      <c r="G75" s="30"/>
      <c r="H75" s="30"/>
      <c r="I75" s="13"/>
      <c r="J75" s="30"/>
    </row>
    <row r="76">
      <c r="A76" s="13" t="s">
        <v>928</v>
      </c>
      <c r="B76" s="10">
        <v>44562.0</v>
      </c>
      <c r="C76" s="11" t="s">
        <v>654</v>
      </c>
      <c r="D76" s="11" t="s">
        <v>5589</v>
      </c>
      <c r="E76" s="11" t="s">
        <v>39</v>
      </c>
      <c r="F76" s="11" t="s">
        <v>64</v>
      </c>
      <c r="G76" s="30"/>
      <c r="H76" s="30"/>
      <c r="I76" s="13"/>
      <c r="J76" s="30"/>
    </row>
    <row r="77">
      <c r="A77" s="19" t="s">
        <v>977</v>
      </c>
      <c r="B77" s="20">
        <v>44562.0</v>
      </c>
      <c r="C77" s="21" t="s">
        <v>163</v>
      </c>
      <c r="D77" s="18" t="s">
        <v>5587</v>
      </c>
      <c r="E77" s="21" t="s">
        <v>39</v>
      </c>
      <c r="F77" s="21" t="s">
        <v>40</v>
      </c>
      <c r="G77" s="30"/>
      <c r="H77" s="30"/>
      <c r="I77" s="13"/>
      <c r="J77" s="30"/>
    </row>
    <row r="78">
      <c r="A78" s="13" t="s">
        <v>4669</v>
      </c>
      <c r="B78" s="10">
        <v>44562.0</v>
      </c>
      <c r="C78" s="11" t="s">
        <v>133</v>
      </c>
      <c r="D78" s="11" t="s">
        <v>5597</v>
      </c>
      <c r="E78" s="11" t="s">
        <v>39</v>
      </c>
      <c r="F78" s="11" t="s">
        <v>64</v>
      </c>
      <c r="G78" s="30"/>
      <c r="H78" s="30"/>
      <c r="I78" s="13"/>
      <c r="J78" s="30"/>
    </row>
    <row r="79">
      <c r="A79" s="13" t="s">
        <v>998</v>
      </c>
      <c r="B79" s="10">
        <v>44546.0</v>
      </c>
      <c r="C79" s="11" t="s">
        <v>999</v>
      </c>
      <c r="D79" s="11" t="s">
        <v>5589</v>
      </c>
      <c r="E79" s="11" t="s">
        <v>39</v>
      </c>
      <c r="F79" s="11" t="s">
        <v>40</v>
      </c>
      <c r="G79" s="30"/>
      <c r="H79" s="30"/>
      <c r="I79" s="13"/>
      <c r="J79" s="30"/>
    </row>
    <row r="80">
      <c r="A80" s="13" t="s">
        <v>1006</v>
      </c>
      <c r="B80" s="10">
        <v>44501.0</v>
      </c>
      <c r="C80" s="11" t="s">
        <v>276</v>
      </c>
      <c r="D80" s="11" t="s">
        <v>5587</v>
      </c>
      <c r="E80" s="11" t="s">
        <v>39</v>
      </c>
      <c r="F80" s="11" t="s">
        <v>64</v>
      </c>
      <c r="G80" s="30"/>
      <c r="H80" s="30"/>
      <c r="I80" s="13"/>
      <c r="J80" s="30"/>
    </row>
    <row r="81">
      <c r="A81" s="13" t="s">
        <v>4671</v>
      </c>
      <c r="B81" s="10">
        <v>44531.0</v>
      </c>
      <c r="C81" s="11" t="s">
        <v>140</v>
      </c>
      <c r="D81" s="11" t="s">
        <v>5587</v>
      </c>
      <c r="E81" s="11" t="s">
        <v>39</v>
      </c>
      <c r="F81" s="11" t="s">
        <v>40</v>
      </c>
      <c r="G81" s="30"/>
      <c r="H81" s="30"/>
      <c r="I81" s="13" t="s">
        <v>1407</v>
      </c>
      <c r="J81" s="30"/>
    </row>
    <row r="82">
      <c r="A82" s="13" t="s">
        <v>5627</v>
      </c>
      <c r="B82" s="10">
        <v>44494.0</v>
      </c>
      <c r="C82" s="11" t="s">
        <v>1159</v>
      </c>
      <c r="D82" s="11" t="s">
        <v>5589</v>
      </c>
      <c r="E82" s="11" t="s">
        <v>39</v>
      </c>
      <c r="F82" s="11" t="s">
        <v>40</v>
      </c>
      <c r="G82" s="30"/>
      <c r="H82" s="30"/>
      <c r="I82" s="13"/>
      <c r="J82" s="30"/>
    </row>
    <row r="83">
      <c r="A83" s="13" t="s">
        <v>5628</v>
      </c>
      <c r="B83" s="10">
        <v>44490.0</v>
      </c>
      <c r="C83" s="11" t="s">
        <v>2080</v>
      </c>
      <c r="D83" s="11" t="s">
        <v>5592</v>
      </c>
      <c r="E83" s="11" t="s">
        <v>39</v>
      </c>
      <c r="F83" s="11" t="s">
        <v>40</v>
      </c>
      <c r="G83" s="30"/>
      <c r="H83" s="30"/>
      <c r="I83" s="13" t="s">
        <v>5629</v>
      </c>
      <c r="J83" s="30"/>
    </row>
    <row r="84">
      <c r="A84" s="13" t="s">
        <v>1051</v>
      </c>
      <c r="B84" s="10">
        <v>44409.0</v>
      </c>
      <c r="C84" s="11" t="s">
        <v>67</v>
      </c>
      <c r="D84" s="11" t="s">
        <v>5592</v>
      </c>
      <c r="E84" s="11" t="s">
        <v>39</v>
      </c>
      <c r="F84" s="11" t="s">
        <v>40</v>
      </c>
      <c r="G84" s="30"/>
      <c r="H84" s="30"/>
      <c r="I84" s="13" t="s">
        <v>69</v>
      </c>
      <c r="J84" s="30"/>
    </row>
    <row r="85">
      <c r="A85" s="13" t="s">
        <v>1113</v>
      </c>
      <c r="B85" s="10">
        <v>44348.0</v>
      </c>
      <c r="C85" s="11" t="s">
        <v>74</v>
      </c>
      <c r="D85" s="11" t="s">
        <v>5589</v>
      </c>
      <c r="E85" s="11" t="s">
        <v>39</v>
      </c>
      <c r="F85" s="11" t="s">
        <v>64</v>
      </c>
      <c r="G85" s="30"/>
      <c r="H85" s="30"/>
      <c r="I85" s="13"/>
      <c r="J85" s="30"/>
    </row>
    <row r="86">
      <c r="A86" s="13" t="s">
        <v>1118</v>
      </c>
      <c r="B86" s="10">
        <v>44343.0</v>
      </c>
      <c r="C86" s="11" t="s">
        <v>243</v>
      </c>
      <c r="D86" s="11" t="s">
        <v>5587</v>
      </c>
      <c r="E86" s="11" t="s">
        <v>39</v>
      </c>
      <c r="F86" s="11" t="s">
        <v>64</v>
      </c>
      <c r="G86" s="30"/>
      <c r="H86" s="30"/>
      <c r="I86" s="13" t="s">
        <v>4626</v>
      </c>
      <c r="J86" s="30"/>
    </row>
    <row r="87">
      <c r="A87" s="13" t="s">
        <v>1133</v>
      </c>
      <c r="B87" s="10">
        <v>44334.0</v>
      </c>
      <c r="C87" s="11" t="s">
        <v>5588</v>
      </c>
      <c r="D87" s="11" t="s">
        <v>5589</v>
      </c>
      <c r="E87" s="11" t="s">
        <v>39</v>
      </c>
      <c r="F87" s="11" t="s">
        <v>40</v>
      </c>
      <c r="G87" s="30"/>
      <c r="H87" s="30"/>
      <c r="I87" s="13" t="s">
        <v>761</v>
      </c>
      <c r="J87" s="30"/>
    </row>
    <row r="88">
      <c r="A88" s="13" t="s">
        <v>1139</v>
      </c>
      <c r="B88" s="10">
        <v>44326.0</v>
      </c>
      <c r="C88" s="11" t="s">
        <v>5622</v>
      </c>
      <c r="D88" s="11" t="s">
        <v>5587</v>
      </c>
      <c r="E88" s="11" t="s">
        <v>39</v>
      </c>
      <c r="F88" s="11" t="s">
        <v>64</v>
      </c>
      <c r="G88" s="30"/>
      <c r="H88" s="30"/>
      <c r="I88" s="13" t="s">
        <v>662</v>
      </c>
      <c r="J88" s="30"/>
    </row>
    <row r="89">
      <c r="A89" s="13" t="s">
        <v>1141</v>
      </c>
      <c r="B89" s="10">
        <v>44322.0</v>
      </c>
      <c r="C89" s="11" t="s">
        <v>127</v>
      </c>
      <c r="D89" s="11" t="s">
        <v>5592</v>
      </c>
      <c r="E89" s="11" t="s">
        <v>39</v>
      </c>
      <c r="F89" s="11" t="s">
        <v>40</v>
      </c>
      <c r="G89" s="30"/>
      <c r="H89" s="30"/>
      <c r="I89" s="13" t="s">
        <v>42</v>
      </c>
      <c r="J89" s="30"/>
    </row>
    <row r="90">
      <c r="A90" s="13" t="s">
        <v>1151</v>
      </c>
      <c r="B90" s="10">
        <v>44317.0</v>
      </c>
      <c r="C90" s="11" t="s">
        <v>379</v>
      </c>
      <c r="D90" s="11" t="s">
        <v>5587</v>
      </c>
      <c r="E90" s="11" t="s">
        <v>39</v>
      </c>
      <c r="F90" s="11" t="s">
        <v>64</v>
      </c>
      <c r="G90" s="30"/>
      <c r="H90" s="30"/>
      <c r="I90" s="13"/>
      <c r="J90" s="30"/>
    </row>
    <row r="91">
      <c r="A91" s="13" t="s">
        <v>1146</v>
      </c>
      <c r="B91" s="10">
        <v>44317.0</v>
      </c>
      <c r="C91" s="11" t="s">
        <v>163</v>
      </c>
      <c r="D91" s="11" t="s">
        <v>5597</v>
      </c>
      <c r="E91" s="11" t="s">
        <v>39</v>
      </c>
      <c r="F91" s="11" t="s">
        <v>64</v>
      </c>
      <c r="G91" s="30"/>
      <c r="H91" s="30"/>
      <c r="I91" s="13"/>
      <c r="J91" s="30"/>
    </row>
    <row r="92">
      <c r="A92" s="13" t="s">
        <v>1148</v>
      </c>
      <c r="B92" s="10">
        <v>44317.0</v>
      </c>
      <c r="C92" s="11" t="s">
        <v>173</v>
      </c>
      <c r="D92" s="11" t="s">
        <v>5592</v>
      </c>
      <c r="E92" s="11" t="s">
        <v>39</v>
      </c>
      <c r="F92" s="11" t="s">
        <v>40</v>
      </c>
      <c r="G92" s="39">
        <v>44976.0</v>
      </c>
      <c r="H92" s="30">
        <f t="shared" ref="H92:H93" si="2">ROUND(((G92-B92)/365)*12,0)</f>
        <v>22</v>
      </c>
      <c r="I92" s="13"/>
      <c r="J92" s="30"/>
    </row>
    <row r="93">
      <c r="A93" s="13" t="s">
        <v>5630</v>
      </c>
      <c r="B93" s="10">
        <v>44317.0</v>
      </c>
      <c r="C93" s="11" t="s">
        <v>140</v>
      </c>
      <c r="D93" s="11" t="s">
        <v>5587</v>
      </c>
      <c r="E93" s="11" t="s">
        <v>39</v>
      </c>
      <c r="F93" s="11" t="s">
        <v>40</v>
      </c>
      <c r="G93" s="39">
        <v>44974.0</v>
      </c>
      <c r="H93" s="30">
        <f t="shared" si="2"/>
        <v>22</v>
      </c>
      <c r="I93" s="13"/>
      <c r="J93" s="30"/>
    </row>
    <row r="94">
      <c r="A94" s="13" t="s">
        <v>1165</v>
      </c>
      <c r="B94" s="10">
        <v>44306.0</v>
      </c>
      <c r="C94" s="11" t="s">
        <v>619</v>
      </c>
      <c r="D94" s="11" t="s">
        <v>5589</v>
      </c>
      <c r="E94" s="11" t="s">
        <v>39</v>
      </c>
      <c r="F94" s="11" t="s">
        <v>40</v>
      </c>
      <c r="G94" s="30"/>
      <c r="H94" s="30"/>
      <c r="I94" s="13"/>
      <c r="J94" s="30"/>
    </row>
    <row r="95">
      <c r="A95" s="13" t="s">
        <v>5631</v>
      </c>
      <c r="B95" s="10">
        <v>44292.0</v>
      </c>
      <c r="C95" s="11" t="s">
        <v>637</v>
      </c>
      <c r="D95" s="11" t="s">
        <v>5597</v>
      </c>
      <c r="E95" s="11" t="s">
        <v>39</v>
      </c>
      <c r="F95" s="11" t="s">
        <v>40</v>
      </c>
      <c r="G95" s="30"/>
      <c r="H95" s="30"/>
      <c r="I95" s="13"/>
      <c r="J95" s="30"/>
    </row>
    <row r="96">
      <c r="A96" s="13" t="s">
        <v>5632</v>
      </c>
      <c r="B96" s="10">
        <v>44287.0</v>
      </c>
      <c r="C96" s="11" t="s">
        <v>5588</v>
      </c>
      <c r="D96" s="11" t="s">
        <v>5597</v>
      </c>
      <c r="E96" s="11" t="s">
        <v>39</v>
      </c>
      <c r="F96" s="11" t="s">
        <v>40</v>
      </c>
      <c r="G96" s="39">
        <v>44663.0</v>
      </c>
      <c r="H96" s="30">
        <f>ROUND(((G96-B96)/365)*12,0)</f>
        <v>12</v>
      </c>
      <c r="I96" s="13"/>
      <c r="J96" s="30"/>
    </row>
    <row r="97">
      <c r="A97" s="13" t="s">
        <v>5633</v>
      </c>
      <c r="B97" s="10">
        <v>44287.0</v>
      </c>
      <c r="C97" s="11" t="s">
        <v>304</v>
      </c>
      <c r="D97" s="11" t="s">
        <v>5589</v>
      </c>
      <c r="E97" s="11" t="s">
        <v>39</v>
      </c>
      <c r="F97" s="11" t="s">
        <v>40</v>
      </c>
      <c r="G97" s="30"/>
      <c r="H97" s="30"/>
      <c r="I97" s="13"/>
      <c r="J97" s="30"/>
    </row>
    <row r="98">
      <c r="A98" s="13" t="s">
        <v>1181</v>
      </c>
      <c r="B98" s="10">
        <v>44287.0</v>
      </c>
      <c r="C98" s="11" t="s">
        <v>391</v>
      </c>
      <c r="D98" s="11" t="s">
        <v>5592</v>
      </c>
      <c r="E98" s="11" t="s">
        <v>39</v>
      </c>
      <c r="F98" s="11" t="s">
        <v>40</v>
      </c>
      <c r="G98" s="39">
        <v>44976.0</v>
      </c>
      <c r="H98" s="30">
        <f t="shared" ref="H98:H99" si="3">ROUND(((G98-B98)/365)*12,0)</f>
        <v>23</v>
      </c>
      <c r="I98" s="13"/>
      <c r="J98" s="30"/>
    </row>
    <row r="99">
      <c r="A99" s="13" t="s">
        <v>5634</v>
      </c>
      <c r="B99" s="10">
        <v>44287.0</v>
      </c>
      <c r="C99" s="11" t="s">
        <v>173</v>
      </c>
      <c r="D99" s="11" t="s">
        <v>5587</v>
      </c>
      <c r="E99" s="11" t="s">
        <v>39</v>
      </c>
      <c r="F99" s="11" t="s">
        <v>40</v>
      </c>
      <c r="G99" s="39">
        <v>44642.0</v>
      </c>
      <c r="H99" s="30">
        <f t="shared" si="3"/>
        <v>12</v>
      </c>
      <c r="I99" s="13"/>
      <c r="J99" s="30"/>
    </row>
    <row r="100">
      <c r="A100" s="13" t="s">
        <v>5635</v>
      </c>
      <c r="B100" s="10">
        <v>44285.0</v>
      </c>
      <c r="C100" s="11" t="s">
        <v>127</v>
      </c>
      <c r="D100" s="11" t="s">
        <v>5589</v>
      </c>
      <c r="E100" s="11" t="s">
        <v>39</v>
      </c>
      <c r="F100" s="11" t="s">
        <v>40</v>
      </c>
      <c r="G100" s="30"/>
      <c r="H100" s="30"/>
      <c r="I100" s="13"/>
      <c r="J100" s="30"/>
    </row>
    <row r="101">
      <c r="A101" s="13" t="s">
        <v>5636</v>
      </c>
      <c r="B101" s="10">
        <v>44284.0</v>
      </c>
      <c r="C101" s="11" t="s">
        <v>3307</v>
      </c>
      <c r="D101" s="11" t="s">
        <v>5589</v>
      </c>
      <c r="E101" s="11" t="s">
        <v>39</v>
      </c>
      <c r="F101" s="11" t="s">
        <v>40</v>
      </c>
      <c r="G101" s="30"/>
      <c r="H101" s="30"/>
      <c r="I101" s="13" t="s">
        <v>1332</v>
      </c>
      <c r="J101" s="30"/>
    </row>
    <row r="102">
      <c r="A102" s="13" t="s">
        <v>5637</v>
      </c>
      <c r="B102" s="10">
        <v>44281.0</v>
      </c>
      <c r="C102" s="11" t="s">
        <v>3307</v>
      </c>
      <c r="D102" s="11" t="s">
        <v>5589</v>
      </c>
      <c r="E102" s="11" t="s">
        <v>39</v>
      </c>
      <c r="F102" s="11" t="s">
        <v>64</v>
      </c>
      <c r="G102" s="30"/>
      <c r="H102" s="30"/>
      <c r="I102" s="13"/>
      <c r="J102" s="30"/>
    </row>
    <row r="103">
      <c r="A103" s="13" t="s">
        <v>5638</v>
      </c>
      <c r="B103" s="10">
        <v>44272.0</v>
      </c>
      <c r="C103" s="11" t="s">
        <v>512</v>
      </c>
      <c r="D103" s="11" t="s">
        <v>5587</v>
      </c>
      <c r="E103" s="11" t="s">
        <v>39</v>
      </c>
      <c r="F103" s="11" t="s">
        <v>64</v>
      </c>
      <c r="G103" s="30"/>
      <c r="H103" s="30"/>
      <c r="I103" s="13"/>
      <c r="J103" s="30"/>
    </row>
    <row r="104">
      <c r="A104" s="13" t="s">
        <v>1202</v>
      </c>
      <c r="B104" s="10">
        <v>44271.0</v>
      </c>
      <c r="C104" s="11" t="s">
        <v>640</v>
      </c>
      <c r="D104" s="11" t="s">
        <v>5592</v>
      </c>
      <c r="E104" s="11" t="s">
        <v>39</v>
      </c>
      <c r="F104" s="11" t="s">
        <v>64</v>
      </c>
      <c r="G104" s="30"/>
      <c r="H104" s="30"/>
      <c r="I104" s="13" t="s">
        <v>1204</v>
      </c>
      <c r="J104" s="30"/>
    </row>
    <row r="105">
      <c r="A105" s="13" t="s">
        <v>5639</v>
      </c>
      <c r="B105" s="10">
        <v>44264.0</v>
      </c>
      <c r="C105" s="11" t="s">
        <v>640</v>
      </c>
      <c r="D105" s="11" t="s">
        <v>5589</v>
      </c>
      <c r="E105" s="11" t="s">
        <v>39</v>
      </c>
      <c r="F105" s="11" t="s">
        <v>40</v>
      </c>
      <c r="G105" s="30"/>
      <c r="H105" s="30"/>
      <c r="I105" s="13" t="s">
        <v>1204</v>
      </c>
      <c r="J105" s="30"/>
    </row>
    <row r="106">
      <c r="A106" s="13" t="s">
        <v>5640</v>
      </c>
      <c r="B106" s="10">
        <v>44259.0</v>
      </c>
      <c r="C106" s="11" t="s">
        <v>84</v>
      </c>
      <c r="D106" s="11" t="s">
        <v>5592</v>
      </c>
      <c r="E106" s="11" t="s">
        <v>39</v>
      </c>
      <c r="F106" s="11" t="s">
        <v>40</v>
      </c>
      <c r="G106" s="39">
        <v>44628.0</v>
      </c>
      <c r="H106" s="30">
        <f t="shared" ref="H106:H107" si="4">ROUND(((G106-B106)/365)*12,0)</f>
        <v>12</v>
      </c>
      <c r="I106" s="13"/>
      <c r="J106" s="30"/>
    </row>
    <row r="107">
      <c r="A107" s="13" t="s">
        <v>5641</v>
      </c>
      <c r="B107" s="10">
        <v>44256.0</v>
      </c>
      <c r="C107" s="11" t="s">
        <v>231</v>
      </c>
      <c r="D107" s="11" t="s">
        <v>5597</v>
      </c>
      <c r="E107" s="11" t="s">
        <v>39</v>
      </c>
      <c r="F107" s="11" t="s">
        <v>64</v>
      </c>
      <c r="G107" s="39">
        <v>44622.0</v>
      </c>
      <c r="H107" s="30">
        <f t="shared" si="4"/>
        <v>12</v>
      </c>
      <c r="I107" s="13"/>
      <c r="J107" s="30"/>
    </row>
    <row r="108">
      <c r="A108" s="13" t="s">
        <v>1221</v>
      </c>
      <c r="B108" s="10">
        <v>44256.0</v>
      </c>
      <c r="C108" s="11" t="s">
        <v>640</v>
      </c>
      <c r="D108" s="11" t="s">
        <v>5587</v>
      </c>
      <c r="E108" s="11" t="s">
        <v>39</v>
      </c>
      <c r="F108" s="11" t="s">
        <v>64</v>
      </c>
      <c r="G108" s="30"/>
      <c r="H108" s="30"/>
      <c r="I108" s="13"/>
      <c r="J108" s="30"/>
    </row>
    <row r="109">
      <c r="A109" s="13" t="s">
        <v>1215</v>
      </c>
      <c r="B109" s="10">
        <v>44256.0</v>
      </c>
      <c r="C109" s="11" t="s">
        <v>1216</v>
      </c>
      <c r="D109" s="11" t="s">
        <v>5589</v>
      </c>
      <c r="E109" s="11" t="s">
        <v>39</v>
      </c>
      <c r="F109" s="11" t="s">
        <v>40</v>
      </c>
      <c r="G109" s="30"/>
      <c r="H109" s="30"/>
      <c r="I109" s="13"/>
      <c r="J109" s="30"/>
    </row>
    <row r="110">
      <c r="A110" s="13" t="s">
        <v>4671</v>
      </c>
      <c r="B110" s="10">
        <v>44256.0</v>
      </c>
      <c r="C110" s="11" t="s">
        <v>140</v>
      </c>
      <c r="D110" s="11" t="s">
        <v>5587</v>
      </c>
      <c r="E110" s="11" t="s">
        <v>39</v>
      </c>
      <c r="F110" s="11" t="s">
        <v>40</v>
      </c>
      <c r="G110" s="30"/>
      <c r="H110" s="30"/>
      <c r="I110" s="13"/>
      <c r="J110" s="30"/>
    </row>
    <row r="111">
      <c r="A111" s="13" t="s">
        <v>5642</v>
      </c>
      <c r="B111" s="10">
        <v>44243.0</v>
      </c>
      <c r="C111" s="11" t="s">
        <v>84</v>
      </c>
      <c r="D111" s="11" t="s">
        <v>5587</v>
      </c>
      <c r="E111" s="11" t="s">
        <v>39</v>
      </c>
      <c r="F111" s="11" t="s">
        <v>40</v>
      </c>
      <c r="G111" s="30"/>
      <c r="H111" s="30"/>
      <c r="I111" s="13"/>
      <c r="J111" s="30"/>
    </row>
    <row r="112">
      <c r="A112" s="13" t="s">
        <v>1224</v>
      </c>
      <c r="B112" s="10">
        <v>44228.0</v>
      </c>
      <c r="C112" s="11" t="s">
        <v>208</v>
      </c>
      <c r="D112" s="11" t="s">
        <v>5587</v>
      </c>
      <c r="E112" s="11" t="s">
        <v>39</v>
      </c>
      <c r="F112" s="11" t="s">
        <v>40</v>
      </c>
      <c r="G112" s="30"/>
      <c r="H112" s="30"/>
      <c r="I112" s="13"/>
      <c r="J112" s="30"/>
    </row>
    <row r="113">
      <c r="A113" s="38" t="s">
        <v>1313</v>
      </c>
      <c r="B113" s="20">
        <v>44197.0</v>
      </c>
      <c r="C113" s="18" t="s">
        <v>127</v>
      </c>
      <c r="D113" s="18" t="s">
        <v>5592</v>
      </c>
      <c r="E113" s="18" t="s">
        <v>39</v>
      </c>
      <c r="F113" s="18" t="s">
        <v>64</v>
      </c>
      <c r="G113" s="39">
        <v>44976.0</v>
      </c>
      <c r="H113" s="30"/>
      <c r="I113" s="13"/>
      <c r="J113" s="30"/>
    </row>
    <row r="114">
      <c r="A114" s="38" t="s">
        <v>1250</v>
      </c>
      <c r="B114" s="20">
        <v>44197.0</v>
      </c>
      <c r="C114" s="18" t="s">
        <v>654</v>
      </c>
      <c r="D114" s="18" t="s">
        <v>5589</v>
      </c>
      <c r="E114" s="18" t="s">
        <v>660</v>
      </c>
      <c r="F114" s="18" t="s">
        <v>40</v>
      </c>
      <c r="G114" s="39">
        <v>44610.0</v>
      </c>
      <c r="H114" s="30"/>
      <c r="I114" s="13"/>
      <c r="J114" s="30"/>
    </row>
    <row r="115">
      <c r="A115" s="13" t="s">
        <v>5643</v>
      </c>
      <c r="B115" s="10">
        <v>44197.0</v>
      </c>
      <c r="C115" s="11" t="s">
        <v>476</v>
      </c>
      <c r="D115" s="11" t="s">
        <v>5589</v>
      </c>
      <c r="E115" s="11" t="s">
        <v>118</v>
      </c>
      <c r="F115" s="11" t="s">
        <v>40</v>
      </c>
      <c r="G115" s="30"/>
      <c r="H115" s="30"/>
      <c r="I115" s="13"/>
      <c r="J115" s="30"/>
    </row>
    <row r="116">
      <c r="A116" s="13" t="s">
        <v>1285</v>
      </c>
      <c r="B116" s="10">
        <v>44197.0</v>
      </c>
      <c r="C116" s="11" t="s">
        <v>173</v>
      </c>
      <c r="D116" s="11" t="s">
        <v>5587</v>
      </c>
      <c r="E116" s="11" t="s">
        <v>39</v>
      </c>
      <c r="F116" s="11" t="s">
        <v>40</v>
      </c>
      <c r="G116" s="30"/>
      <c r="H116" s="30"/>
      <c r="I116" s="13"/>
      <c r="J116" s="30"/>
    </row>
    <row r="117">
      <c r="A117" s="13" t="s">
        <v>5644</v>
      </c>
      <c r="B117" s="10">
        <v>44197.0</v>
      </c>
      <c r="C117" s="11" t="s">
        <v>1375</v>
      </c>
      <c r="D117" s="11" t="s">
        <v>5592</v>
      </c>
      <c r="E117" s="11" t="s">
        <v>39</v>
      </c>
      <c r="F117" s="11" t="s">
        <v>64</v>
      </c>
      <c r="G117" s="30"/>
      <c r="H117" s="30"/>
      <c r="I117" s="13"/>
      <c r="J117" s="30"/>
    </row>
    <row r="118">
      <c r="A118" s="13" t="s">
        <v>1294</v>
      </c>
      <c r="B118" s="10">
        <v>44197.0</v>
      </c>
      <c r="C118" s="11" t="s">
        <v>301</v>
      </c>
      <c r="D118" s="11" t="s">
        <v>5587</v>
      </c>
      <c r="E118" s="11" t="s">
        <v>39</v>
      </c>
      <c r="F118" s="11" t="s">
        <v>40</v>
      </c>
      <c r="G118" s="30"/>
      <c r="H118" s="30"/>
      <c r="I118" s="13"/>
      <c r="J118" s="30"/>
    </row>
    <row r="119">
      <c r="A119" s="13" t="s">
        <v>1260</v>
      </c>
      <c r="B119" s="10">
        <v>44197.0</v>
      </c>
      <c r="C119" s="11" t="s">
        <v>1216</v>
      </c>
      <c r="D119" s="11" t="s">
        <v>5587</v>
      </c>
      <c r="E119" s="11" t="s">
        <v>39</v>
      </c>
      <c r="F119" s="11" t="s">
        <v>40</v>
      </c>
      <c r="G119" s="30"/>
      <c r="H119" s="30"/>
      <c r="I119" s="13"/>
      <c r="J119" s="30"/>
    </row>
    <row r="120">
      <c r="A120" s="13" t="s">
        <v>5645</v>
      </c>
      <c r="B120" s="10">
        <v>44197.0</v>
      </c>
      <c r="C120" s="11" t="s">
        <v>851</v>
      </c>
      <c r="D120" s="11" t="s">
        <v>5592</v>
      </c>
      <c r="E120" s="11" t="s">
        <v>39</v>
      </c>
      <c r="F120" s="11" t="s">
        <v>40</v>
      </c>
      <c r="G120" s="39">
        <v>44643.0</v>
      </c>
      <c r="H120" s="30"/>
      <c r="I120" s="13"/>
      <c r="J120" s="30"/>
    </row>
    <row r="121">
      <c r="A121" s="13" t="s">
        <v>5646</v>
      </c>
      <c r="B121" s="10">
        <v>44194.0</v>
      </c>
      <c r="C121" s="11" t="s">
        <v>208</v>
      </c>
      <c r="D121" s="11" t="s">
        <v>5589</v>
      </c>
      <c r="E121" s="11" t="s">
        <v>39</v>
      </c>
      <c r="F121" s="11" t="s">
        <v>64</v>
      </c>
      <c r="G121" s="30"/>
      <c r="H121" s="30"/>
      <c r="I121" s="13"/>
      <c r="J121" s="30"/>
    </row>
    <row r="122">
      <c r="A122" s="13" t="s">
        <v>1334</v>
      </c>
      <c r="B122" s="10">
        <v>44112.0</v>
      </c>
      <c r="C122" s="11" t="s">
        <v>163</v>
      </c>
      <c r="D122" s="11" t="s">
        <v>5592</v>
      </c>
      <c r="E122" s="11" t="s">
        <v>39</v>
      </c>
      <c r="F122" s="11" t="s">
        <v>64</v>
      </c>
      <c r="G122" s="30"/>
      <c r="H122" s="30"/>
      <c r="I122" s="13"/>
      <c r="J122" s="30"/>
    </row>
    <row r="123">
      <c r="A123" s="13" t="s">
        <v>5647</v>
      </c>
      <c r="B123" s="10">
        <v>44105.0</v>
      </c>
      <c r="C123" s="11" t="s">
        <v>654</v>
      </c>
      <c r="D123" s="11" t="s">
        <v>5587</v>
      </c>
      <c r="E123" s="11" t="s">
        <v>39</v>
      </c>
      <c r="F123" s="11" t="s">
        <v>64</v>
      </c>
      <c r="G123" s="30"/>
      <c r="H123" s="30"/>
      <c r="I123" s="13"/>
      <c r="J123" s="30"/>
    </row>
    <row r="124">
      <c r="A124" s="13" t="s">
        <v>1339</v>
      </c>
      <c r="B124" s="10">
        <v>44105.0</v>
      </c>
      <c r="C124" s="11" t="s">
        <v>262</v>
      </c>
      <c r="D124" s="11" t="s">
        <v>5587</v>
      </c>
      <c r="E124" s="11" t="s">
        <v>39</v>
      </c>
      <c r="F124" s="11" t="s">
        <v>40</v>
      </c>
      <c r="G124" s="39">
        <v>44612.0</v>
      </c>
      <c r="H124" s="30">
        <f>ROUND(((G124-B124)/365)*12,0)</f>
        <v>17</v>
      </c>
      <c r="I124" s="13"/>
      <c r="J124" s="30"/>
    </row>
    <row r="125">
      <c r="A125" s="13" t="s">
        <v>1374</v>
      </c>
      <c r="B125" s="10">
        <v>44044.0</v>
      </c>
      <c r="C125" s="11" t="s">
        <v>1375</v>
      </c>
      <c r="D125" s="11" t="s">
        <v>5587</v>
      </c>
      <c r="E125" s="11" t="s">
        <v>39</v>
      </c>
      <c r="F125" s="11" t="s">
        <v>64</v>
      </c>
      <c r="G125" s="30"/>
      <c r="H125" s="30"/>
      <c r="I125" s="13"/>
      <c r="J125" s="30"/>
    </row>
    <row r="126">
      <c r="A126" s="13" t="s">
        <v>1385</v>
      </c>
      <c r="B126" s="10">
        <v>44040.0</v>
      </c>
      <c r="C126" s="11" t="s">
        <v>208</v>
      </c>
      <c r="D126" s="11" t="s">
        <v>5587</v>
      </c>
      <c r="E126" s="11" t="s">
        <v>39</v>
      </c>
      <c r="F126" s="11" t="s">
        <v>40</v>
      </c>
      <c r="G126" s="39">
        <v>44612.0</v>
      </c>
      <c r="H126" s="30">
        <f t="shared" ref="H126:H128" si="5">ROUND(((G126-B126)/365)*12,0)</f>
        <v>19</v>
      </c>
      <c r="I126" s="13" t="s">
        <v>761</v>
      </c>
      <c r="J126" s="30"/>
    </row>
    <row r="127">
      <c r="A127" s="13" t="s">
        <v>4669</v>
      </c>
      <c r="B127" s="10">
        <v>44034.0</v>
      </c>
      <c r="C127" s="11" t="s">
        <v>133</v>
      </c>
      <c r="D127" s="11" t="s">
        <v>5587</v>
      </c>
      <c r="E127" s="11" t="s">
        <v>39</v>
      </c>
      <c r="F127" s="11" t="s">
        <v>64</v>
      </c>
      <c r="G127" s="39">
        <v>44326.0</v>
      </c>
      <c r="H127" s="30">
        <f t="shared" si="5"/>
        <v>10</v>
      </c>
      <c r="I127" s="13"/>
      <c r="J127" s="30"/>
    </row>
    <row r="128">
      <c r="A128" s="13" t="s">
        <v>1394</v>
      </c>
      <c r="B128" s="10">
        <v>44013.0</v>
      </c>
      <c r="C128" s="11" t="s">
        <v>140</v>
      </c>
      <c r="D128" s="11" t="s">
        <v>5592</v>
      </c>
      <c r="E128" s="11" t="s">
        <v>5648</v>
      </c>
      <c r="F128" s="11" t="s">
        <v>64</v>
      </c>
      <c r="G128" s="39">
        <v>44260.0</v>
      </c>
      <c r="H128" s="30">
        <f t="shared" si="5"/>
        <v>8</v>
      </c>
      <c r="I128" s="13"/>
      <c r="J128" s="30"/>
    </row>
    <row r="129">
      <c r="A129" s="13" t="s">
        <v>5649</v>
      </c>
      <c r="B129" s="10">
        <v>43941.0</v>
      </c>
      <c r="C129" s="11" t="s">
        <v>276</v>
      </c>
      <c r="D129" s="11" t="s">
        <v>5592</v>
      </c>
      <c r="E129" s="11" t="s">
        <v>39</v>
      </c>
      <c r="F129" s="11" t="s">
        <v>64</v>
      </c>
      <c r="G129" s="30"/>
      <c r="H129" s="30"/>
      <c r="I129" s="13"/>
      <c r="J129" s="30"/>
    </row>
    <row r="130">
      <c r="A130" s="13" t="s">
        <v>1408</v>
      </c>
      <c r="B130" s="10">
        <v>43915.0</v>
      </c>
      <c r="C130" s="11" t="s">
        <v>3520</v>
      </c>
      <c r="D130" s="11" t="s">
        <v>5592</v>
      </c>
      <c r="E130" s="11" t="s">
        <v>39</v>
      </c>
      <c r="F130" s="11" t="s">
        <v>40</v>
      </c>
      <c r="G130" s="39">
        <v>44247.0</v>
      </c>
      <c r="H130" s="30">
        <f t="shared" ref="H130:H136" si="6">ROUND(((G130-B130)/365)*12,0)</f>
        <v>11</v>
      </c>
      <c r="I130" s="13"/>
      <c r="J130" s="30"/>
    </row>
    <row r="131">
      <c r="A131" s="13" t="s">
        <v>1425</v>
      </c>
      <c r="B131" s="10">
        <v>43891.0</v>
      </c>
      <c r="C131" s="11" t="s">
        <v>616</v>
      </c>
      <c r="D131" s="11" t="s">
        <v>5587</v>
      </c>
      <c r="E131" s="11" t="s">
        <v>39</v>
      </c>
      <c r="F131" s="11" t="s">
        <v>40</v>
      </c>
      <c r="G131" s="39">
        <v>44264.0</v>
      </c>
      <c r="H131" s="30">
        <f t="shared" si="6"/>
        <v>12</v>
      </c>
      <c r="I131" s="13"/>
      <c r="J131" s="30"/>
    </row>
    <row r="132">
      <c r="A132" s="13" t="s">
        <v>1427</v>
      </c>
      <c r="B132" s="10">
        <v>43891.0</v>
      </c>
      <c r="C132" s="11" t="s">
        <v>637</v>
      </c>
      <c r="D132" s="11" t="s">
        <v>5587</v>
      </c>
      <c r="E132" s="11" t="s">
        <v>39</v>
      </c>
      <c r="F132" s="11" t="s">
        <v>40</v>
      </c>
      <c r="G132" s="39">
        <v>44350.0</v>
      </c>
      <c r="H132" s="30">
        <f t="shared" si="6"/>
        <v>15</v>
      </c>
      <c r="I132" s="13"/>
      <c r="J132" s="30"/>
    </row>
    <row r="133">
      <c r="A133" s="13" t="s">
        <v>5650</v>
      </c>
      <c r="B133" s="10">
        <v>43873.0</v>
      </c>
      <c r="C133" s="11" t="s">
        <v>173</v>
      </c>
      <c r="D133" s="11" t="s">
        <v>5587</v>
      </c>
      <c r="E133" s="11" t="s">
        <v>39</v>
      </c>
      <c r="F133" s="11" t="s">
        <v>40</v>
      </c>
      <c r="G133" s="39">
        <v>44265.0</v>
      </c>
      <c r="H133" s="30">
        <f t="shared" si="6"/>
        <v>13</v>
      </c>
      <c r="I133" s="13"/>
      <c r="J133" s="30"/>
    </row>
    <row r="134">
      <c r="A134" s="13" t="s">
        <v>5651</v>
      </c>
      <c r="B134" s="10">
        <v>43867.0</v>
      </c>
      <c r="C134" s="11" t="s">
        <v>654</v>
      </c>
      <c r="D134" s="11" t="s">
        <v>5592</v>
      </c>
      <c r="E134" s="11" t="s">
        <v>104</v>
      </c>
      <c r="F134" s="11" t="s">
        <v>40</v>
      </c>
      <c r="G134" s="39">
        <v>44250.0</v>
      </c>
      <c r="H134" s="30">
        <f t="shared" si="6"/>
        <v>13</v>
      </c>
      <c r="I134" s="13"/>
      <c r="J134" s="30"/>
    </row>
    <row r="135">
      <c r="A135" s="13" t="s">
        <v>5652</v>
      </c>
      <c r="B135" s="10">
        <v>43862.0</v>
      </c>
      <c r="C135" s="11" t="s">
        <v>3307</v>
      </c>
      <c r="D135" s="11" t="s">
        <v>5587</v>
      </c>
      <c r="E135" s="11" t="s">
        <v>39</v>
      </c>
      <c r="F135" s="11" t="s">
        <v>64</v>
      </c>
      <c r="G135" s="39">
        <v>44251.0</v>
      </c>
      <c r="H135" s="30">
        <f t="shared" si="6"/>
        <v>13</v>
      </c>
      <c r="I135" s="13"/>
      <c r="J135" s="30"/>
    </row>
    <row r="136">
      <c r="A136" s="13" t="s">
        <v>5653</v>
      </c>
      <c r="B136" s="10">
        <v>43862.0</v>
      </c>
      <c r="C136" s="11" t="s">
        <v>5588</v>
      </c>
      <c r="D136" s="11" t="s">
        <v>5597</v>
      </c>
      <c r="E136" s="11" t="s">
        <v>39</v>
      </c>
      <c r="F136" s="11" t="s">
        <v>40</v>
      </c>
      <c r="G136" s="39">
        <v>44251.0</v>
      </c>
      <c r="H136" s="30">
        <f t="shared" si="6"/>
        <v>13</v>
      </c>
      <c r="I136" s="13"/>
      <c r="J136" s="30"/>
    </row>
    <row r="137">
      <c r="A137" s="13" t="s">
        <v>5654</v>
      </c>
      <c r="B137" s="10">
        <v>43862.0</v>
      </c>
      <c r="C137" s="11" t="s">
        <v>173</v>
      </c>
      <c r="D137" s="11" t="s">
        <v>5587</v>
      </c>
      <c r="E137" s="11" t="s">
        <v>39</v>
      </c>
      <c r="F137" s="11" t="s">
        <v>64</v>
      </c>
      <c r="G137" s="30"/>
      <c r="H137" s="30"/>
      <c r="I137" s="13"/>
      <c r="J137" s="30"/>
    </row>
    <row r="138">
      <c r="A138" s="13" t="s">
        <v>5655</v>
      </c>
      <c r="B138" s="10">
        <v>43862.0</v>
      </c>
      <c r="C138" s="11" t="s">
        <v>5656</v>
      </c>
      <c r="D138" s="11" t="s">
        <v>5587</v>
      </c>
      <c r="E138" s="11" t="s">
        <v>39</v>
      </c>
      <c r="F138" s="11" t="s">
        <v>40</v>
      </c>
      <c r="G138" s="39">
        <v>44249.0</v>
      </c>
      <c r="H138" s="30">
        <f>ROUND(((G138-B138)/365)*12,0)</f>
        <v>13</v>
      </c>
      <c r="I138" s="13"/>
      <c r="J138" s="30"/>
    </row>
    <row r="139">
      <c r="A139" s="13" t="s">
        <v>5657</v>
      </c>
      <c r="B139" s="10">
        <v>43862.0</v>
      </c>
      <c r="C139" s="11" t="s">
        <v>619</v>
      </c>
      <c r="D139" s="11" t="s">
        <v>5592</v>
      </c>
      <c r="E139" s="11" t="s">
        <v>2062</v>
      </c>
      <c r="F139" s="11" t="s">
        <v>40</v>
      </c>
      <c r="G139" s="30"/>
      <c r="H139" s="30"/>
      <c r="I139" s="13"/>
      <c r="J139" s="30"/>
    </row>
    <row r="140">
      <c r="A140" s="38" t="s">
        <v>1450</v>
      </c>
      <c r="B140" s="20">
        <v>43831.0</v>
      </c>
      <c r="C140" s="18" t="s">
        <v>476</v>
      </c>
      <c r="D140" s="18" t="s">
        <v>5587</v>
      </c>
      <c r="E140" s="18" t="s">
        <v>39</v>
      </c>
      <c r="F140" s="18" t="s">
        <v>64</v>
      </c>
      <c r="G140" s="39"/>
      <c r="H140" s="24"/>
      <c r="I140" s="19"/>
      <c r="J140" s="24"/>
      <c r="K140" s="24"/>
      <c r="L140" s="24"/>
      <c r="M140" s="24"/>
      <c r="N140" s="24"/>
      <c r="O140" s="24"/>
      <c r="P140" s="24"/>
      <c r="Q140" s="24"/>
      <c r="R140" s="24"/>
      <c r="S140" s="24"/>
      <c r="T140" s="24"/>
      <c r="U140" s="24"/>
      <c r="V140" s="24"/>
      <c r="W140" s="24"/>
      <c r="X140" s="24"/>
      <c r="Y140" s="24"/>
      <c r="Z140" s="24"/>
    </row>
    <row r="141">
      <c r="A141" s="19" t="s">
        <v>1473</v>
      </c>
      <c r="B141" s="20">
        <v>43831.0</v>
      </c>
      <c r="C141" s="21" t="s">
        <v>320</v>
      </c>
      <c r="D141" s="21" t="s">
        <v>5589</v>
      </c>
      <c r="E141" s="21" t="s">
        <v>39</v>
      </c>
      <c r="F141" s="21" t="s">
        <v>40</v>
      </c>
      <c r="G141" s="39">
        <v>44421.0</v>
      </c>
      <c r="H141" s="24"/>
      <c r="I141" s="19"/>
      <c r="J141" s="24"/>
      <c r="K141" s="24"/>
      <c r="L141" s="24"/>
      <c r="M141" s="24"/>
      <c r="N141" s="24"/>
      <c r="O141" s="24"/>
      <c r="P141" s="24"/>
      <c r="Q141" s="24"/>
      <c r="R141" s="24"/>
      <c r="S141" s="24"/>
      <c r="T141" s="24"/>
      <c r="U141" s="24"/>
      <c r="V141" s="24"/>
      <c r="W141" s="24"/>
      <c r="X141" s="24"/>
      <c r="Y141" s="24"/>
      <c r="Z141" s="24"/>
    </row>
    <row r="142">
      <c r="A142" s="13" t="s">
        <v>977</v>
      </c>
      <c r="B142" s="10">
        <v>43831.0</v>
      </c>
      <c r="C142" s="11" t="s">
        <v>163</v>
      </c>
      <c r="D142" s="11" t="s">
        <v>5592</v>
      </c>
      <c r="E142" s="11" t="s">
        <v>39</v>
      </c>
      <c r="F142" s="11" t="s">
        <v>40</v>
      </c>
      <c r="G142" s="39">
        <v>44628.0</v>
      </c>
      <c r="H142" s="30"/>
      <c r="I142" s="13"/>
      <c r="J142" s="30"/>
    </row>
    <row r="143">
      <c r="A143" s="13" t="s">
        <v>5658</v>
      </c>
      <c r="B143" s="10">
        <v>43831.0</v>
      </c>
      <c r="C143" s="11" t="s">
        <v>3156</v>
      </c>
      <c r="D143" s="11" t="s">
        <v>5597</v>
      </c>
      <c r="E143" s="11" t="s">
        <v>2062</v>
      </c>
      <c r="F143" s="11" t="s">
        <v>40</v>
      </c>
      <c r="G143" s="39">
        <v>44253.0</v>
      </c>
      <c r="H143" s="30"/>
      <c r="I143" s="13"/>
      <c r="J143" s="30"/>
    </row>
    <row r="144">
      <c r="A144" s="13" t="s">
        <v>5659</v>
      </c>
      <c r="B144" s="10">
        <v>43831.0</v>
      </c>
      <c r="C144" s="11" t="s">
        <v>1746</v>
      </c>
      <c r="D144" s="11" t="s">
        <v>5597</v>
      </c>
      <c r="E144" s="11" t="s">
        <v>39</v>
      </c>
      <c r="F144" s="11" t="s">
        <v>40</v>
      </c>
      <c r="G144" s="30"/>
      <c r="H144" s="30"/>
      <c r="I144" s="13"/>
      <c r="J144" s="30"/>
    </row>
    <row r="145">
      <c r="A145" s="13" t="s">
        <v>5660</v>
      </c>
      <c r="B145" s="10">
        <v>43831.0</v>
      </c>
      <c r="C145" s="11" t="s">
        <v>1746</v>
      </c>
      <c r="D145" s="11" t="s">
        <v>5597</v>
      </c>
      <c r="E145" s="11" t="s">
        <v>39</v>
      </c>
      <c r="F145" s="11" t="s">
        <v>40</v>
      </c>
      <c r="G145" s="39">
        <v>44247.0</v>
      </c>
      <c r="H145" s="30"/>
      <c r="I145" s="13"/>
      <c r="J145" s="30"/>
    </row>
    <row r="146">
      <c r="A146" s="13" t="s">
        <v>4667</v>
      </c>
      <c r="B146" s="17">
        <v>43831.0</v>
      </c>
      <c r="C146" s="11" t="s">
        <v>133</v>
      </c>
      <c r="D146" s="11" t="s">
        <v>5589</v>
      </c>
      <c r="E146" s="11" t="s">
        <v>39</v>
      </c>
      <c r="F146" s="11" t="s">
        <v>64</v>
      </c>
      <c r="G146" s="30"/>
      <c r="H146" s="30"/>
      <c r="I146" s="13"/>
      <c r="J146" s="30"/>
    </row>
    <row r="147">
      <c r="A147" s="13" t="s">
        <v>1454</v>
      </c>
      <c r="B147" s="17">
        <v>43831.0</v>
      </c>
      <c r="C147" s="11" t="s">
        <v>112</v>
      </c>
      <c r="D147" s="11" t="s">
        <v>5589</v>
      </c>
      <c r="E147" s="11" t="s">
        <v>39</v>
      </c>
      <c r="F147" s="11" t="s">
        <v>40</v>
      </c>
      <c r="G147" s="39">
        <v>44446.0</v>
      </c>
      <c r="H147" s="30"/>
      <c r="I147" s="13"/>
      <c r="J147" s="30"/>
    </row>
    <row r="148">
      <c r="A148" s="13" t="s">
        <v>1466</v>
      </c>
      <c r="B148" s="10">
        <v>43831.0</v>
      </c>
      <c r="C148" s="11" t="s">
        <v>351</v>
      </c>
      <c r="D148" s="11" t="s">
        <v>5589</v>
      </c>
      <c r="E148" s="11" t="s">
        <v>39</v>
      </c>
      <c r="F148" s="11" t="s">
        <v>40</v>
      </c>
      <c r="G148" s="39">
        <v>44247.0</v>
      </c>
      <c r="H148" s="30"/>
      <c r="I148" s="13"/>
      <c r="J148" s="30"/>
    </row>
    <row r="149">
      <c r="A149" s="13" t="s">
        <v>5661</v>
      </c>
      <c r="B149" s="10">
        <v>43831.0</v>
      </c>
      <c r="C149" s="11" t="s">
        <v>262</v>
      </c>
      <c r="D149" s="11" t="s">
        <v>5589</v>
      </c>
      <c r="E149" s="11" t="s">
        <v>39</v>
      </c>
      <c r="F149" s="11" t="s">
        <v>40</v>
      </c>
      <c r="G149" s="39">
        <v>44250.0</v>
      </c>
      <c r="H149" s="30"/>
      <c r="I149" s="13"/>
      <c r="J149" s="30"/>
    </row>
    <row r="150">
      <c r="A150" s="13" t="s">
        <v>5662</v>
      </c>
      <c r="B150" s="10">
        <v>43800.0</v>
      </c>
      <c r="C150" s="11" t="s">
        <v>276</v>
      </c>
      <c r="D150" s="11" t="s">
        <v>5587</v>
      </c>
      <c r="E150" s="11" t="s">
        <v>104</v>
      </c>
      <c r="F150" s="11" t="s">
        <v>40</v>
      </c>
      <c r="G150" s="39">
        <v>44246.0</v>
      </c>
      <c r="H150" s="30">
        <f t="shared" ref="H150:H151" si="7">ROUND(((G150-B150)/365)*12,0)</f>
        <v>15</v>
      </c>
      <c r="I150" s="13"/>
      <c r="J150" s="30"/>
    </row>
    <row r="151">
      <c r="A151" s="13" t="s">
        <v>5663</v>
      </c>
      <c r="B151" s="10">
        <v>43739.0</v>
      </c>
      <c r="C151" s="11" t="s">
        <v>637</v>
      </c>
      <c r="D151" s="11" t="s">
        <v>5587</v>
      </c>
      <c r="E151" s="11" t="s">
        <v>39</v>
      </c>
      <c r="F151" s="11" t="s">
        <v>40</v>
      </c>
      <c r="G151" s="39">
        <v>44248.0</v>
      </c>
      <c r="H151" s="30">
        <f t="shared" si="7"/>
        <v>17</v>
      </c>
      <c r="I151" s="13"/>
      <c r="J151" s="30"/>
    </row>
    <row r="152">
      <c r="A152" s="13" t="s">
        <v>5664</v>
      </c>
      <c r="B152" s="10">
        <v>43678.0</v>
      </c>
      <c r="C152" s="11" t="s">
        <v>5665</v>
      </c>
      <c r="D152" s="11" t="s">
        <v>5589</v>
      </c>
      <c r="E152" s="11" t="s">
        <v>39</v>
      </c>
      <c r="F152" s="11" t="s">
        <v>40</v>
      </c>
      <c r="G152" s="30"/>
      <c r="H152" s="30"/>
      <c r="I152" s="13"/>
      <c r="J152" s="30"/>
    </row>
    <row r="153">
      <c r="A153" s="13" t="s">
        <v>5666</v>
      </c>
      <c r="B153" s="10">
        <v>43678.0</v>
      </c>
      <c r="C153" s="11" t="s">
        <v>517</v>
      </c>
      <c r="D153" s="11" t="s">
        <v>5587</v>
      </c>
      <c r="E153" s="11" t="s">
        <v>39</v>
      </c>
      <c r="F153" s="11" t="s">
        <v>40</v>
      </c>
      <c r="G153" s="30"/>
      <c r="H153" s="30"/>
      <c r="I153" s="13"/>
      <c r="J153" s="30"/>
    </row>
    <row r="154">
      <c r="A154" s="13" t="s">
        <v>5667</v>
      </c>
      <c r="B154" s="10">
        <v>43676.0</v>
      </c>
      <c r="C154" s="11" t="s">
        <v>2374</v>
      </c>
      <c r="D154" s="11" t="s">
        <v>5589</v>
      </c>
      <c r="E154" s="11" t="s">
        <v>39</v>
      </c>
      <c r="F154" s="11" t="s">
        <v>64</v>
      </c>
      <c r="G154" s="30"/>
      <c r="H154" s="30"/>
      <c r="I154" s="13" t="s">
        <v>1332</v>
      </c>
      <c r="J154" s="30"/>
    </row>
    <row r="155">
      <c r="A155" s="13" t="s">
        <v>1532</v>
      </c>
      <c r="B155" s="10">
        <v>43651.0</v>
      </c>
      <c r="C155" s="11" t="s">
        <v>1533</v>
      </c>
      <c r="D155" s="11" t="s">
        <v>5589</v>
      </c>
      <c r="E155" s="11" t="s">
        <v>39</v>
      </c>
      <c r="F155" s="11" t="s">
        <v>40</v>
      </c>
      <c r="G155" s="39">
        <v>43876.0</v>
      </c>
      <c r="H155" s="30">
        <f>ROUND(((G155-B155)/365)*12,0)</f>
        <v>7</v>
      </c>
      <c r="I155" s="13"/>
      <c r="J155" s="30"/>
    </row>
    <row r="156">
      <c r="A156" s="13" t="s">
        <v>5668</v>
      </c>
      <c r="B156" s="10">
        <v>43622.0</v>
      </c>
      <c r="C156" s="11" t="s">
        <v>613</v>
      </c>
      <c r="D156" s="11" t="s">
        <v>5587</v>
      </c>
      <c r="E156" s="11" t="s">
        <v>39</v>
      </c>
      <c r="F156" s="11" t="s">
        <v>40</v>
      </c>
      <c r="G156" s="30"/>
      <c r="H156" s="30"/>
      <c r="I156" s="13"/>
      <c r="J156" s="30"/>
    </row>
    <row r="157">
      <c r="A157" s="13" t="s">
        <v>1556</v>
      </c>
      <c r="B157" s="10">
        <v>43620.0</v>
      </c>
      <c r="C157" s="11" t="s">
        <v>746</v>
      </c>
      <c r="D157" s="11" t="s">
        <v>5592</v>
      </c>
      <c r="E157" s="11" t="s">
        <v>39</v>
      </c>
      <c r="F157" s="11" t="s">
        <v>40</v>
      </c>
      <c r="G157" s="39">
        <v>44250.0</v>
      </c>
      <c r="H157" s="30">
        <f>ROUND(((G157-B157)/365)*12,0)</f>
        <v>21</v>
      </c>
      <c r="I157" s="13"/>
      <c r="J157" s="30"/>
    </row>
    <row r="158">
      <c r="A158" s="13" t="s">
        <v>5669</v>
      </c>
      <c r="B158" s="10">
        <v>43606.0</v>
      </c>
      <c r="C158" s="11" t="s">
        <v>317</v>
      </c>
      <c r="D158" s="11" t="s">
        <v>5592</v>
      </c>
      <c r="E158" s="11" t="s">
        <v>39</v>
      </c>
      <c r="F158" s="11" t="s">
        <v>40</v>
      </c>
      <c r="G158" s="30"/>
      <c r="H158" s="30"/>
      <c r="I158" s="13"/>
      <c r="J158" s="30"/>
    </row>
    <row r="159">
      <c r="A159" s="13" t="s">
        <v>1592</v>
      </c>
      <c r="B159" s="10">
        <v>43587.0</v>
      </c>
      <c r="C159" s="11" t="s">
        <v>925</v>
      </c>
      <c r="D159" s="11" t="s">
        <v>5589</v>
      </c>
      <c r="E159" s="11" t="s">
        <v>982</v>
      </c>
      <c r="F159" s="11" t="s">
        <v>40</v>
      </c>
      <c r="G159" s="39">
        <v>44321.0</v>
      </c>
      <c r="H159" s="30">
        <f t="shared" ref="H159:H171" si="8">ROUND(((G159-B159)/365)*12,0)</f>
        <v>24</v>
      </c>
      <c r="I159" s="13"/>
      <c r="J159" s="30"/>
    </row>
    <row r="160">
      <c r="A160" s="13" t="s">
        <v>1596</v>
      </c>
      <c r="B160" s="10">
        <v>43586.0</v>
      </c>
      <c r="C160" s="11" t="s">
        <v>1159</v>
      </c>
      <c r="D160" s="11" t="s">
        <v>5589</v>
      </c>
      <c r="E160" s="11" t="s">
        <v>39</v>
      </c>
      <c r="F160" s="11" t="s">
        <v>40</v>
      </c>
      <c r="G160" s="39">
        <v>44325.0</v>
      </c>
      <c r="H160" s="30">
        <f t="shared" si="8"/>
        <v>24</v>
      </c>
      <c r="I160" s="13"/>
      <c r="J160" s="30"/>
    </row>
    <row r="161">
      <c r="A161" s="13" t="s">
        <v>1598</v>
      </c>
      <c r="B161" s="10">
        <v>43586.0</v>
      </c>
      <c r="C161" s="11" t="s">
        <v>1599</v>
      </c>
      <c r="D161" s="11" t="s">
        <v>5587</v>
      </c>
      <c r="E161" s="11" t="s">
        <v>39</v>
      </c>
      <c r="F161" s="11" t="s">
        <v>64</v>
      </c>
      <c r="G161" s="39">
        <v>44246.0</v>
      </c>
      <c r="H161" s="30">
        <f t="shared" si="8"/>
        <v>22</v>
      </c>
      <c r="I161" s="13"/>
      <c r="J161" s="30"/>
    </row>
    <row r="162">
      <c r="A162" s="13" t="s">
        <v>1600</v>
      </c>
      <c r="B162" s="10">
        <v>43586.0</v>
      </c>
      <c r="C162" s="11" t="s">
        <v>851</v>
      </c>
      <c r="D162" s="11" t="s">
        <v>5589</v>
      </c>
      <c r="E162" s="11" t="s">
        <v>39</v>
      </c>
      <c r="F162" s="11" t="s">
        <v>40</v>
      </c>
      <c r="G162" s="39">
        <v>44322.0</v>
      </c>
      <c r="H162" s="30">
        <f t="shared" si="8"/>
        <v>24</v>
      </c>
      <c r="I162" s="13"/>
      <c r="J162" s="30"/>
    </row>
    <row r="163">
      <c r="A163" s="13" t="s">
        <v>1623</v>
      </c>
      <c r="B163" s="10">
        <v>43556.0</v>
      </c>
      <c r="C163" s="11" t="s">
        <v>654</v>
      </c>
      <c r="D163" s="11" t="s">
        <v>5589</v>
      </c>
      <c r="E163" s="11" t="s">
        <v>39</v>
      </c>
      <c r="F163" s="11" t="s">
        <v>40</v>
      </c>
      <c r="G163" s="39">
        <v>44325.0</v>
      </c>
      <c r="H163" s="30">
        <f t="shared" si="8"/>
        <v>25</v>
      </c>
      <c r="I163" s="13"/>
      <c r="J163" s="30"/>
    </row>
    <row r="164">
      <c r="A164" s="13" t="s">
        <v>1619</v>
      </c>
      <c r="B164" s="10">
        <v>43556.0</v>
      </c>
      <c r="C164" s="11" t="s">
        <v>179</v>
      </c>
      <c r="D164" s="11" t="s">
        <v>5587</v>
      </c>
      <c r="E164" s="11" t="s">
        <v>39</v>
      </c>
      <c r="F164" s="11" t="s">
        <v>40</v>
      </c>
      <c r="G164" s="39">
        <v>44246.0</v>
      </c>
      <c r="H164" s="30">
        <f t="shared" si="8"/>
        <v>23</v>
      </c>
      <c r="I164" s="13"/>
      <c r="J164" s="30"/>
    </row>
    <row r="165">
      <c r="A165" s="13" t="s">
        <v>5670</v>
      </c>
      <c r="B165" s="10">
        <v>43556.0</v>
      </c>
      <c r="C165" s="11" t="s">
        <v>5671</v>
      </c>
      <c r="D165" s="11" t="s">
        <v>5597</v>
      </c>
      <c r="E165" s="11" t="s">
        <v>39</v>
      </c>
      <c r="F165" s="11" t="s">
        <v>40</v>
      </c>
      <c r="G165" s="39">
        <v>43876.0</v>
      </c>
      <c r="H165" s="30">
        <f t="shared" si="8"/>
        <v>11</v>
      </c>
      <c r="I165" s="13"/>
      <c r="J165" s="30"/>
    </row>
    <row r="166">
      <c r="A166" s="13" t="s">
        <v>5672</v>
      </c>
      <c r="B166" s="10">
        <v>43556.0</v>
      </c>
      <c r="C166" s="11" t="s">
        <v>5673</v>
      </c>
      <c r="D166" s="11" t="s">
        <v>5597</v>
      </c>
      <c r="E166" s="11" t="s">
        <v>39</v>
      </c>
      <c r="F166" s="11" t="s">
        <v>40</v>
      </c>
      <c r="G166" s="39">
        <v>44248.0</v>
      </c>
      <c r="H166" s="30">
        <f t="shared" si="8"/>
        <v>23</v>
      </c>
      <c r="I166" s="13"/>
      <c r="J166" s="30"/>
    </row>
    <row r="167">
      <c r="A167" s="13" t="s">
        <v>1629</v>
      </c>
      <c r="B167" s="10">
        <v>43553.0</v>
      </c>
      <c r="C167" s="11" t="s">
        <v>74</v>
      </c>
      <c r="D167" s="11" t="s">
        <v>5592</v>
      </c>
      <c r="E167" s="11" t="s">
        <v>39</v>
      </c>
      <c r="F167" s="11" t="s">
        <v>40</v>
      </c>
      <c r="G167" s="39">
        <v>43875.0</v>
      </c>
      <c r="H167" s="30">
        <f t="shared" si="8"/>
        <v>11</v>
      </c>
      <c r="I167" s="13"/>
      <c r="J167" s="30"/>
    </row>
    <row r="168">
      <c r="A168" s="13" t="s">
        <v>5674</v>
      </c>
      <c r="B168" s="10">
        <v>43553.0</v>
      </c>
      <c r="C168" s="11" t="s">
        <v>1071</v>
      </c>
      <c r="D168" s="11" t="s">
        <v>5589</v>
      </c>
      <c r="E168" s="11" t="s">
        <v>39</v>
      </c>
      <c r="F168" s="11" t="s">
        <v>64</v>
      </c>
      <c r="G168" s="39">
        <v>43895.0</v>
      </c>
      <c r="H168" s="30">
        <f t="shared" si="8"/>
        <v>11</v>
      </c>
      <c r="I168" s="13"/>
      <c r="J168" s="30"/>
    </row>
    <row r="169">
      <c r="A169" s="13" t="s">
        <v>1634</v>
      </c>
      <c r="B169" s="10">
        <v>43552.0</v>
      </c>
      <c r="C169" s="11" t="s">
        <v>948</v>
      </c>
      <c r="D169" s="11" t="s">
        <v>5592</v>
      </c>
      <c r="E169" s="11" t="s">
        <v>39</v>
      </c>
      <c r="F169" s="11" t="s">
        <v>64</v>
      </c>
      <c r="G169" s="39">
        <v>44260.0</v>
      </c>
      <c r="H169" s="30">
        <f t="shared" si="8"/>
        <v>23</v>
      </c>
      <c r="I169" s="13"/>
      <c r="J169" s="30"/>
    </row>
    <row r="170">
      <c r="A170" s="13" t="s">
        <v>5675</v>
      </c>
      <c r="B170" s="10">
        <v>43536.0</v>
      </c>
      <c r="C170" s="11" t="s">
        <v>735</v>
      </c>
      <c r="D170" s="11" t="s">
        <v>5587</v>
      </c>
      <c r="E170" s="11" t="s">
        <v>39</v>
      </c>
      <c r="F170" s="11" t="s">
        <v>40</v>
      </c>
      <c r="G170" s="39">
        <v>43886.0</v>
      </c>
      <c r="H170" s="30">
        <f t="shared" si="8"/>
        <v>12</v>
      </c>
      <c r="I170" s="13"/>
      <c r="J170" s="30"/>
    </row>
    <row r="171">
      <c r="A171" s="13" t="s">
        <v>5676</v>
      </c>
      <c r="B171" s="10">
        <v>43532.0</v>
      </c>
      <c r="C171" s="11" t="s">
        <v>2428</v>
      </c>
      <c r="D171" s="11" t="s">
        <v>5592</v>
      </c>
      <c r="E171" s="11" t="s">
        <v>39</v>
      </c>
      <c r="F171" s="11" t="s">
        <v>40</v>
      </c>
      <c r="G171" s="39">
        <v>44247.0</v>
      </c>
      <c r="H171" s="30">
        <f t="shared" si="8"/>
        <v>24</v>
      </c>
      <c r="I171" s="13"/>
      <c r="J171" s="30"/>
    </row>
    <row r="172">
      <c r="A172" s="13" t="s">
        <v>5677</v>
      </c>
      <c r="B172" s="10">
        <v>43531.0</v>
      </c>
      <c r="C172" s="11" t="s">
        <v>5622</v>
      </c>
      <c r="D172" s="11" t="s">
        <v>5589</v>
      </c>
      <c r="E172" s="11" t="s">
        <v>39</v>
      </c>
      <c r="F172" s="11" t="s">
        <v>40</v>
      </c>
      <c r="G172" s="30"/>
      <c r="H172" s="30"/>
      <c r="I172" s="13"/>
      <c r="J172" s="30"/>
    </row>
    <row r="173">
      <c r="A173" s="13" t="s">
        <v>1651</v>
      </c>
      <c r="B173" s="10">
        <v>43525.0</v>
      </c>
      <c r="C173" s="11" t="s">
        <v>65</v>
      </c>
      <c r="D173" s="11" t="s">
        <v>5587</v>
      </c>
      <c r="E173" s="11" t="s">
        <v>39</v>
      </c>
      <c r="F173" s="11" t="s">
        <v>40</v>
      </c>
      <c r="G173" s="39"/>
      <c r="H173" s="30"/>
      <c r="I173" s="13"/>
      <c r="J173" s="30"/>
    </row>
    <row r="174">
      <c r="A174" s="13" t="s">
        <v>5678</v>
      </c>
      <c r="B174" s="10">
        <v>43525.0</v>
      </c>
      <c r="C174" s="11" t="s">
        <v>344</v>
      </c>
      <c r="D174" s="11" t="s">
        <v>5592</v>
      </c>
      <c r="E174" s="11" t="s">
        <v>39</v>
      </c>
      <c r="F174" s="11" t="s">
        <v>64</v>
      </c>
      <c r="G174" s="39">
        <v>43880.0</v>
      </c>
      <c r="H174" s="30">
        <f t="shared" ref="H174:H179" si="9">ROUND(((G174-B174)/365)*12,0)</f>
        <v>12</v>
      </c>
      <c r="I174" s="13"/>
      <c r="J174" s="30"/>
    </row>
    <row r="175">
      <c r="A175" s="13" t="s">
        <v>5679</v>
      </c>
      <c r="B175" s="10">
        <v>43525.0</v>
      </c>
      <c r="C175" s="11" t="s">
        <v>4259</v>
      </c>
      <c r="D175" s="11" t="s">
        <v>5592</v>
      </c>
      <c r="E175" s="11" t="s">
        <v>39</v>
      </c>
      <c r="F175" s="11" t="s">
        <v>40</v>
      </c>
      <c r="G175" s="39">
        <v>44247.0</v>
      </c>
      <c r="H175" s="30">
        <f t="shared" si="9"/>
        <v>24</v>
      </c>
      <c r="I175" s="13"/>
      <c r="J175" s="30"/>
    </row>
    <row r="176">
      <c r="A176" s="13" t="s">
        <v>1656</v>
      </c>
      <c r="B176" s="10">
        <v>43497.0</v>
      </c>
      <c r="C176" s="11" t="s">
        <v>517</v>
      </c>
      <c r="D176" s="11" t="s">
        <v>5587</v>
      </c>
      <c r="E176" s="11" t="s">
        <v>39</v>
      </c>
      <c r="F176" s="11" t="s">
        <v>40</v>
      </c>
      <c r="G176" s="39">
        <v>43878.0</v>
      </c>
      <c r="H176" s="30">
        <f t="shared" si="9"/>
        <v>13</v>
      </c>
      <c r="I176" s="13"/>
      <c r="J176" s="30"/>
    </row>
    <row r="177">
      <c r="A177" s="13" t="s">
        <v>1655</v>
      </c>
      <c r="B177" s="10">
        <v>43497.0</v>
      </c>
      <c r="C177" s="11" t="s">
        <v>864</v>
      </c>
      <c r="D177" s="11" t="s">
        <v>5587</v>
      </c>
      <c r="E177" s="11" t="s">
        <v>39</v>
      </c>
      <c r="F177" s="11" t="s">
        <v>40</v>
      </c>
      <c r="G177" s="39">
        <v>43877.0</v>
      </c>
      <c r="H177" s="30">
        <f t="shared" si="9"/>
        <v>12</v>
      </c>
      <c r="I177" s="13"/>
      <c r="J177" s="30"/>
    </row>
    <row r="178">
      <c r="A178" s="13" t="s">
        <v>1661</v>
      </c>
      <c r="B178" s="10">
        <v>43494.0</v>
      </c>
      <c r="C178" s="11" t="s">
        <v>775</v>
      </c>
      <c r="D178" s="11" t="s">
        <v>5589</v>
      </c>
      <c r="E178" s="11" t="s">
        <v>39</v>
      </c>
      <c r="F178" s="11" t="s">
        <v>40</v>
      </c>
      <c r="G178" s="39">
        <v>43882.0</v>
      </c>
      <c r="H178" s="30">
        <f t="shared" si="9"/>
        <v>13</v>
      </c>
      <c r="I178" s="13"/>
      <c r="J178" s="30"/>
    </row>
    <row r="179">
      <c r="A179" s="13" t="s">
        <v>5680</v>
      </c>
      <c r="B179" s="10">
        <v>43490.0</v>
      </c>
      <c r="C179" s="11" t="s">
        <v>259</v>
      </c>
      <c r="D179" s="11" t="s">
        <v>5587</v>
      </c>
      <c r="E179" s="11" t="s">
        <v>39</v>
      </c>
      <c r="F179" s="11" t="s">
        <v>40</v>
      </c>
      <c r="G179" s="39">
        <v>44254.0</v>
      </c>
      <c r="H179" s="30">
        <f t="shared" si="9"/>
        <v>25</v>
      </c>
      <c r="I179" s="13"/>
      <c r="J179" s="30"/>
    </row>
    <row r="180">
      <c r="A180" s="13" t="s">
        <v>1696</v>
      </c>
      <c r="B180" s="10">
        <v>43466.0</v>
      </c>
      <c r="C180" s="11" t="s">
        <v>243</v>
      </c>
      <c r="D180" s="11" t="s">
        <v>5587</v>
      </c>
      <c r="E180" s="11" t="s">
        <v>104</v>
      </c>
      <c r="F180" s="11" t="s">
        <v>40</v>
      </c>
      <c r="G180" s="39">
        <v>43875.0</v>
      </c>
      <c r="H180" s="30"/>
      <c r="I180" s="13"/>
      <c r="J180" s="30"/>
    </row>
    <row r="181">
      <c r="A181" s="13" t="s">
        <v>5681</v>
      </c>
      <c r="B181" s="10">
        <v>43466.0</v>
      </c>
      <c r="C181" s="11" t="s">
        <v>294</v>
      </c>
      <c r="D181" s="11" t="s">
        <v>5587</v>
      </c>
      <c r="E181" s="11" t="s">
        <v>39</v>
      </c>
      <c r="F181" s="11" t="s">
        <v>40</v>
      </c>
      <c r="G181" s="39">
        <v>44269.0</v>
      </c>
      <c r="H181" s="30"/>
      <c r="I181" s="13"/>
      <c r="J181" s="30"/>
    </row>
    <row r="182">
      <c r="A182" s="13" t="s">
        <v>5682</v>
      </c>
      <c r="B182" s="10">
        <v>43466.0</v>
      </c>
      <c r="C182" s="11" t="s">
        <v>682</v>
      </c>
      <c r="D182" s="11" t="s">
        <v>5587</v>
      </c>
      <c r="E182" s="11" t="s">
        <v>39</v>
      </c>
      <c r="F182" s="11" t="s">
        <v>40</v>
      </c>
      <c r="G182" s="39">
        <v>44248.0</v>
      </c>
      <c r="H182" s="30"/>
      <c r="I182" s="13"/>
      <c r="J182" s="30"/>
    </row>
    <row r="183">
      <c r="A183" s="13" t="s">
        <v>5683</v>
      </c>
      <c r="B183" s="10">
        <v>43466.0</v>
      </c>
      <c r="C183" s="11" t="s">
        <v>735</v>
      </c>
      <c r="D183" s="11" t="s">
        <v>5589</v>
      </c>
      <c r="E183" s="11" t="s">
        <v>39</v>
      </c>
      <c r="F183" s="11" t="s">
        <v>64</v>
      </c>
      <c r="G183" s="30"/>
      <c r="H183" s="30"/>
      <c r="I183" s="13"/>
      <c r="J183" s="30"/>
    </row>
    <row r="184">
      <c r="A184" s="13" t="s">
        <v>1663</v>
      </c>
      <c r="B184" s="10">
        <v>43466.0</v>
      </c>
      <c r="C184" s="11" t="s">
        <v>140</v>
      </c>
      <c r="D184" s="11" t="s">
        <v>5589</v>
      </c>
      <c r="E184" s="11" t="s">
        <v>39</v>
      </c>
      <c r="F184" s="11" t="s">
        <v>64</v>
      </c>
      <c r="G184" s="39">
        <v>44251.0</v>
      </c>
      <c r="H184" s="30"/>
      <c r="I184" s="13"/>
      <c r="J184" s="30"/>
    </row>
    <row r="185">
      <c r="A185" s="13" t="s">
        <v>5684</v>
      </c>
      <c r="B185" s="10">
        <v>43466.0</v>
      </c>
      <c r="C185" s="11" t="s">
        <v>173</v>
      </c>
      <c r="D185" s="11" t="s">
        <v>5589</v>
      </c>
      <c r="E185" s="11" t="s">
        <v>39</v>
      </c>
      <c r="F185" s="11" t="s">
        <v>40</v>
      </c>
      <c r="G185" s="30"/>
      <c r="H185" s="30"/>
      <c r="I185" s="13"/>
      <c r="J185" s="30"/>
    </row>
    <row r="186">
      <c r="A186" s="13" t="s">
        <v>5685</v>
      </c>
      <c r="B186" s="10">
        <v>43466.0</v>
      </c>
      <c r="C186" s="11" t="s">
        <v>2030</v>
      </c>
      <c r="D186" s="11" t="s">
        <v>5589</v>
      </c>
      <c r="E186" s="11" t="s">
        <v>39</v>
      </c>
      <c r="F186" s="11" t="s">
        <v>64</v>
      </c>
      <c r="G186" s="39">
        <v>43886.0</v>
      </c>
      <c r="H186" s="30"/>
      <c r="I186" s="13"/>
      <c r="J186" s="30"/>
    </row>
    <row r="187">
      <c r="A187" s="13" t="s">
        <v>5686</v>
      </c>
      <c r="B187" s="10">
        <v>43466.0</v>
      </c>
      <c r="C187" s="11" t="s">
        <v>3452</v>
      </c>
      <c r="D187" s="11" t="s">
        <v>5592</v>
      </c>
      <c r="E187" s="11" t="s">
        <v>39</v>
      </c>
      <c r="F187" s="11" t="s">
        <v>64</v>
      </c>
      <c r="G187" s="39">
        <v>44276.0</v>
      </c>
      <c r="H187" s="30"/>
      <c r="I187" s="13"/>
      <c r="J187" s="30"/>
    </row>
    <row r="188">
      <c r="A188" s="13" t="s">
        <v>5687</v>
      </c>
      <c r="B188" s="10">
        <v>43466.0</v>
      </c>
      <c r="C188" s="11" t="s">
        <v>5688</v>
      </c>
      <c r="D188" s="11" t="s">
        <v>5587</v>
      </c>
      <c r="E188" s="11" t="s">
        <v>39</v>
      </c>
      <c r="F188" s="11" t="s">
        <v>40</v>
      </c>
      <c r="G188" s="39">
        <v>44299.0</v>
      </c>
      <c r="H188" s="30"/>
      <c r="I188" s="13"/>
      <c r="J188" s="30"/>
    </row>
    <row r="189">
      <c r="A189" s="13" t="s">
        <v>1693</v>
      </c>
      <c r="B189" s="10">
        <v>43466.0</v>
      </c>
      <c r="C189" s="11" t="s">
        <v>112</v>
      </c>
      <c r="D189" s="11" t="s">
        <v>5589</v>
      </c>
      <c r="E189" s="11" t="s">
        <v>39</v>
      </c>
      <c r="F189" s="11" t="s">
        <v>64</v>
      </c>
      <c r="G189" s="39">
        <v>44321.0</v>
      </c>
      <c r="H189" s="30"/>
      <c r="I189" s="13"/>
      <c r="J189" s="30"/>
    </row>
    <row r="190">
      <c r="A190" s="13" t="s">
        <v>5689</v>
      </c>
      <c r="B190" s="10">
        <v>43466.0</v>
      </c>
      <c r="C190" s="11" t="s">
        <v>1159</v>
      </c>
      <c r="D190" s="11" t="s">
        <v>5597</v>
      </c>
      <c r="E190" s="11" t="s">
        <v>39</v>
      </c>
      <c r="F190" s="11" t="s">
        <v>40</v>
      </c>
      <c r="G190" s="39">
        <v>43875.0</v>
      </c>
      <c r="H190" s="30"/>
      <c r="I190" s="13"/>
      <c r="J190" s="30"/>
    </row>
    <row r="191">
      <c r="A191" s="13" t="s">
        <v>1711</v>
      </c>
      <c r="B191" s="10">
        <v>43466.0</v>
      </c>
      <c r="C191" s="11" t="s">
        <v>1712</v>
      </c>
      <c r="D191" s="11" t="s">
        <v>5589</v>
      </c>
      <c r="E191" s="11" t="s">
        <v>39</v>
      </c>
      <c r="F191" s="11" t="s">
        <v>40</v>
      </c>
      <c r="G191" s="39">
        <v>44321.0</v>
      </c>
      <c r="H191" s="30"/>
      <c r="I191" s="13"/>
      <c r="J191" s="30"/>
    </row>
    <row r="192">
      <c r="A192" s="13" t="s">
        <v>1706</v>
      </c>
      <c r="B192" s="10">
        <v>43466.0</v>
      </c>
      <c r="C192" s="11" t="s">
        <v>276</v>
      </c>
      <c r="D192" s="11" t="s">
        <v>5589</v>
      </c>
      <c r="E192" s="11" t="s">
        <v>39</v>
      </c>
      <c r="F192" s="11" t="s">
        <v>64</v>
      </c>
      <c r="G192" s="39">
        <v>44328.0</v>
      </c>
      <c r="H192" s="30"/>
      <c r="I192" s="13"/>
      <c r="J192" s="30"/>
    </row>
    <row r="193">
      <c r="A193" s="13" t="s">
        <v>5690</v>
      </c>
      <c r="B193" s="10">
        <v>43466.0</v>
      </c>
      <c r="C193" s="11" t="s">
        <v>3520</v>
      </c>
      <c r="D193" s="11" t="s">
        <v>5597</v>
      </c>
      <c r="E193" s="11" t="s">
        <v>39</v>
      </c>
      <c r="F193" s="11" t="s">
        <v>40</v>
      </c>
      <c r="G193" s="39">
        <v>43877.0</v>
      </c>
      <c r="H193" s="30"/>
      <c r="I193" s="13"/>
      <c r="J193" s="30"/>
    </row>
    <row r="194">
      <c r="A194" s="13" t="s">
        <v>5691</v>
      </c>
      <c r="B194" s="10">
        <v>43466.0</v>
      </c>
      <c r="C194" s="11" t="s">
        <v>1154</v>
      </c>
      <c r="D194" s="11" t="s">
        <v>5589</v>
      </c>
      <c r="E194" s="11" t="s">
        <v>39</v>
      </c>
      <c r="F194" s="11" t="s">
        <v>40</v>
      </c>
      <c r="G194" s="39">
        <v>43875.0</v>
      </c>
      <c r="H194" s="30"/>
      <c r="I194" s="13"/>
      <c r="J194" s="30"/>
    </row>
    <row r="195">
      <c r="A195" s="13" t="s">
        <v>5692</v>
      </c>
      <c r="B195" s="10">
        <v>43466.0</v>
      </c>
      <c r="C195" s="11" t="s">
        <v>2226</v>
      </c>
      <c r="D195" s="11" t="s">
        <v>5592</v>
      </c>
      <c r="E195" s="11" t="s">
        <v>39</v>
      </c>
      <c r="F195" s="11" t="s">
        <v>40</v>
      </c>
      <c r="G195" s="39">
        <v>44619.0</v>
      </c>
      <c r="H195" s="30"/>
      <c r="I195" s="13"/>
      <c r="J195" s="30"/>
    </row>
    <row r="196">
      <c r="A196" s="13" t="s">
        <v>1723</v>
      </c>
      <c r="B196" s="10">
        <v>43435.0</v>
      </c>
      <c r="C196" s="11" t="s">
        <v>669</v>
      </c>
      <c r="D196" s="11" t="s">
        <v>5592</v>
      </c>
      <c r="E196" s="11" t="s">
        <v>39</v>
      </c>
      <c r="F196" s="11" t="s">
        <v>40</v>
      </c>
      <c r="G196" s="39">
        <v>43884.0</v>
      </c>
      <c r="H196" s="30">
        <f t="shared" ref="H196:H199" si="10">ROUND(((G196-B196)/365)*12,0)</f>
        <v>15</v>
      </c>
      <c r="I196" s="13"/>
      <c r="J196" s="30"/>
    </row>
    <row r="197">
      <c r="A197" s="13" t="s">
        <v>1729</v>
      </c>
      <c r="B197" s="10">
        <v>43377.0</v>
      </c>
      <c r="C197" s="11" t="s">
        <v>517</v>
      </c>
      <c r="D197" s="11" t="s">
        <v>5587</v>
      </c>
      <c r="E197" s="11" t="s">
        <v>39</v>
      </c>
      <c r="F197" s="11" t="s">
        <v>40</v>
      </c>
      <c r="G197" s="39">
        <v>43877.0</v>
      </c>
      <c r="H197" s="30">
        <f t="shared" si="10"/>
        <v>16</v>
      </c>
      <c r="I197" s="13"/>
      <c r="J197" s="30"/>
    </row>
    <row r="198">
      <c r="A198" s="13" t="s">
        <v>5693</v>
      </c>
      <c r="B198" s="10">
        <v>43377.0</v>
      </c>
      <c r="C198" s="11" t="s">
        <v>173</v>
      </c>
      <c r="D198" s="11" t="s">
        <v>5592</v>
      </c>
      <c r="E198" s="11" t="s">
        <v>39</v>
      </c>
      <c r="F198" s="11" t="s">
        <v>40</v>
      </c>
      <c r="G198" s="39">
        <v>43865.0</v>
      </c>
      <c r="H198" s="30">
        <f t="shared" si="10"/>
        <v>16</v>
      </c>
      <c r="I198" s="13"/>
      <c r="J198" s="30"/>
    </row>
    <row r="199">
      <c r="A199" s="13" t="s">
        <v>1733</v>
      </c>
      <c r="B199" s="17">
        <v>43374.0</v>
      </c>
      <c r="C199" s="11" t="s">
        <v>5694</v>
      </c>
      <c r="D199" s="11" t="s">
        <v>5587</v>
      </c>
      <c r="E199" s="11" t="s">
        <v>104</v>
      </c>
      <c r="F199" s="11" t="s">
        <v>40</v>
      </c>
      <c r="G199" s="39">
        <v>43875.0</v>
      </c>
      <c r="H199" s="30">
        <f t="shared" si="10"/>
        <v>16</v>
      </c>
      <c r="I199" s="13"/>
      <c r="J199" s="11"/>
    </row>
    <row r="200">
      <c r="A200" s="13" t="s">
        <v>5695</v>
      </c>
      <c r="B200" s="10">
        <v>43322.0</v>
      </c>
      <c r="C200" s="11" t="s">
        <v>5588</v>
      </c>
      <c r="D200" s="11" t="s">
        <v>5589</v>
      </c>
      <c r="E200" s="11" t="s">
        <v>39</v>
      </c>
      <c r="F200" s="11" t="s">
        <v>40</v>
      </c>
      <c r="G200" s="30"/>
      <c r="H200" s="30"/>
      <c r="I200" s="13"/>
      <c r="J200" s="30"/>
    </row>
    <row r="201">
      <c r="A201" s="13" t="s">
        <v>5696</v>
      </c>
      <c r="B201" s="10">
        <v>43313.0</v>
      </c>
      <c r="C201" s="11" t="s">
        <v>73</v>
      </c>
      <c r="D201" s="11" t="s">
        <v>5587</v>
      </c>
      <c r="E201" s="11" t="s">
        <v>39</v>
      </c>
      <c r="F201" s="11" t="s">
        <v>40</v>
      </c>
      <c r="G201" s="39">
        <v>43876.0</v>
      </c>
      <c r="H201" s="30">
        <f t="shared" ref="H201:H202" si="11">ROUND(((G201-B201)/365)*12,0)</f>
        <v>19</v>
      </c>
      <c r="I201" s="13"/>
      <c r="J201" s="30"/>
    </row>
    <row r="202">
      <c r="A202" s="13" t="s">
        <v>5697</v>
      </c>
      <c r="B202" s="10">
        <v>43301.0</v>
      </c>
      <c r="C202" s="11" t="s">
        <v>5698</v>
      </c>
      <c r="D202" s="11" t="s">
        <v>5589</v>
      </c>
      <c r="E202" s="11" t="s">
        <v>39</v>
      </c>
      <c r="F202" s="11" t="s">
        <v>40</v>
      </c>
      <c r="G202" s="39">
        <v>43630.0</v>
      </c>
      <c r="H202" s="30">
        <f t="shared" si="11"/>
        <v>11</v>
      </c>
      <c r="I202" s="13"/>
      <c r="J202" s="30"/>
    </row>
    <row r="203">
      <c r="A203" s="13" t="s">
        <v>5699</v>
      </c>
      <c r="B203" s="10">
        <v>43286.0</v>
      </c>
      <c r="C203" s="11" t="s">
        <v>2504</v>
      </c>
      <c r="D203" s="11" t="s">
        <v>5592</v>
      </c>
      <c r="E203" s="11" t="s">
        <v>39</v>
      </c>
      <c r="F203" s="11" t="s">
        <v>64</v>
      </c>
      <c r="G203" s="30"/>
      <c r="H203" s="30"/>
      <c r="I203" s="13"/>
      <c r="J203" s="30"/>
    </row>
    <row r="204">
      <c r="A204" s="13" t="s">
        <v>1768</v>
      </c>
      <c r="B204" s="10">
        <v>43282.0</v>
      </c>
      <c r="C204" s="11" t="s">
        <v>173</v>
      </c>
      <c r="D204" s="11" t="s">
        <v>5589</v>
      </c>
      <c r="E204" s="11" t="s">
        <v>39</v>
      </c>
      <c r="F204" s="11" t="s">
        <v>40</v>
      </c>
      <c r="G204" s="39">
        <v>43875.0</v>
      </c>
      <c r="H204" s="30">
        <f>ROUND(((G204-B204)/365)*12,0)</f>
        <v>19</v>
      </c>
      <c r="I204" s="13"/>
      <c r="J204" s="30"/>
    </row>
    <row r="205">
      <c r="A205" s="13" t="s">
        <v>5700</v>
      </c>
      <c r="B205" s="10">
        <v>43282.0</v>
      </c>
      <c r="C205" s="11" t="s">
        <v>669</v>
      </c>
      <c r="D205" s="11" t="s">
        <v>5592</v>
      </c>
      <c r="E205" s="11" t="s">
        <v>39</v>
      </c>
      <c r="F205" s="11" t="s">
        <v>64</v>
      </c>
      <c r="G205" s="30"/>
      <c r="H205" s="30"/>
      <c r="I205" s="13"/>
      <c r="J205" s="30"/>
    </row>
    <row r="206">
      <c r="A206" s="13" t="s">
        <v>1785</v>
      </c>
      <c r="B206" s="10">
        <v>43276.0</v>
      </c>
      <c r="C206" s="11" t="s">
        <v>344</v>
      </c>
      <c r="D206" s="11" t="s">
        <v>5589</v>
      </c>
      <c r="E206" s="11" t="s">
        <v>39</v>
      </c>
      <c r="F206" s="11" t="s">
        <v>40</v>
      </c>
      <c r="G206" s="39">
        <v>43634.0</v>
      </c>
      <c r="H206" s="30">
        <f t="shared" ref="H206:H209" si="12">ROUND(((G206-B206)/365)*12,0)</f>
        <v>12</v>
      </c>
      <c r="I206" s="13"/>
      <c r="J206" s="30"/>
    </row>
    <row r="207">
      <c r="A207" s="13" t="s">
        <v>1801</v>
      </c>
      <c r="B207" s="17">
        <v>43263.0</v>
      </c>
      <c r="C207" s="11" t="s">
        <v>746</v>
      </c>
      <c r="D207" s="11" t="s">
        <v>5589</v>
      </c>
      <c r="E207" s="11" t="s">
        <v>39</v>
      </c>
      <c r="F207" s="11" t="s">
        <v>40</v>
      </c>
      <c r="G207" s="39">
        <v>44349.0</v>
      </c>
      <c r="H207" s="30">
        <f t="shared" si="12"/>
        <v>36</v>
      </c>
      <c r="I207" s="13"/>
      <c r="J207" s="30"/>
    </row>
    <row r="208">
      <c r="A208" s="13" t="s">
        <v>5701</v>
      </c>
      <c r="B208" s="17">
        <v>43252.0</v>
      </c>
      <c r="C208" s="11" t="s">
        <v>746</v>
      </c>
      <c r="D208" s="11" t="s">
        <v>5589</v>
      </c>
      <c r="E208" s="11" t="s">
        <v>104</v>
      </c>
      <c r="F208" s="11" t="s">
        <v>40</v>
      </c>
      <c r="G208" s="39">
        <v>43518.0</v>
      </c>
      <c r="H208" s="30">
        <f t="shared" si="12"/>
        <v>9</v>
      </c>
      <c r="I208" s="13"/>
      <c r="J208" s="30"/>
    </row>
    <row r="209">
      <c r="A209" s="13" t="s">
        <v>1840</v>
      </c>
      <c r="B209" s="17">
        <v>43221.0</v>
      </c>
      <c r="C209" s="11" t="s">
        <v>1746</v>
      </c>
      <c r="D209" s="11" t="s">
        <v>5592</v>
      </c>
      <c r="E209" s="11" t="s">
        <v>39</v>
      </c>
      <c r="F209" s="11" t="s">
        <v>64</v>
      </c>
      <c r="G209" s="39">
        <v>43513.0</v>
      </c>
      <c r="H209" s="30">
        <f t="shared" si="12"/>
        <v>10</v>
      </c>
      <c r="I209" s="13"/>
      <c r="J209" s="30"/>
    </row>
    <row r="210">
      <c r="A210" s="13" t="s">
        <v>5702</v>
      </c>
      <c r="B210" s="17">
        <v>43221.0</v>
      </c>
      <c r="C210" s="11" t="s">
        <v>3156</v>
      </c>
      <c r="D210" s="11" t="s">
        <v>5597</v>
      </c>
      <c r="E210" s="11" t="s">
        <v>39</v>
      </c>
      <c r="F210" s="11" t="s">
        <v>40</v>
      </c>
      <c r="G210" s="30"/>
      <c r="H210" s="30"/>
      <c r="I210" s="13"/>
      <c r="J210" s="11">
        <v>1.0</v>
      </c>
    </row>
    <row r="211">
      <c r="A211" s="13" t="s">
        <v>5104</v>
      </c>
      <c r="B211" s="17">
        <v>43221.0</v>
      </c>
      <c r="C211" s="11" t="s">
        <v>1902</v>
      </c>
      <c r="D211" s="11" t="s">
        <v>5587</v>
      </c>
      <c r="E211" s="11" t="s">
        <v>39</v>
      </c>
      <c r="F211" s="11" t="s">
        <v>40</v>
      </c>
      <c r="G211" s="39">
        <v>43877.0</v>
      </c>
      <c r="H211" s="30">
        <f t="shared" ref="H211:H212" si="13">ROUND(((G211-B211)/365)*12,0)</f>
        <v>22</v>
      </c>
      <c r="I211" s="13" t="s">
        <v>355</v>
      </c>
      <c r="J211" s="30"/>
    </row>
    <row r="212">
      <c r="A212" s="13" t="s">
        <v>5703</v>
      </c>
      <c r="B212" s="10">
        <v>43216.0</v>
      </c>
      <c r="C212" s="11" t="s">
        <v>78</v>
      </c>
      <c r="D212" s="11" t="s">
        <v>5592</v>
      </c>
      <c r="E212" s="11" t="s">
        <v>39</v>
      </c>
      <c r="F212" s="11" t="s">
        <v>40</v>
      </c>
      <c r="G212" s="39">
        <v>43519.0</v>
      </c>
      <c r="H212" s="30">
        <f t="shared" si="13"/>
        <v>10</v>
      </c>
      <c r="I212" s="13"/>
      <c r="J212" s="30"/>
    </row>
    <row r="213">
      <c r="A213" s="13" t="s">
        <v>4668</v>
      </c>
      <c r="B213" s="17">
        <v>43210.0</v>
      </c>
      <c r="C213" s="11" t="s">
        <v>669</v>
      </c>
      <c r="D213" s="11" t="s">
        <v>5589</v>
      </c>
      <c r="E213" s="11" t="s">
        <v>39</v>
      </c>
      <c r="F213" s="11" t="s">
        <v>40</v>
      </c>
      <c r="G213" s="30"/>
      <c r="H213" s="30"/>
      <c r="I213" s="13"/>
      <c r="J213" s="11">
        <v>1.0</v>
      </c>
    </row>
    <row r="214">
      <c r="A214" s="13" t="s">
        <v>1853</v>
      </c>
      <c r="B214" s="17">
        <v>43209.0</v>
      </c>
      <c r="C214" s="11" t="s">
        <v>440</v>
      </c>
      <c r="D214" s="11" t="s">
        <v>5597</v>
      </c>
      <c r="E214" s="11" t="s">
        <v>39</v>
      </c>
      <c r="F214" s="11" t="s">
        <v>40</v>
      </c>
      <c r="G214" s="39">
        <v>43543.0</v>
      </c>
      <c r="H214" s="30">
        <f t="shared" ref="H214:H228" si="14">ROUND(((G214-B214)/365)*12,0)</f>
        <v>11</v>
      </c>
      <c r="I214" s="13" t="s">
        <v>761</v>
      </c>
      <c r="J214" s="30"/>
    </row>
    <row r="215">
      <c r="A215" s="13" t="s">
        <v>1880</v>
      </c>
      <c r="B215" s="17">
        <v>43191.0</v>
      </c>
      <c r="C215" s="11" t="s">
        <v>878</v>
      </c>
      <c r="D215" s="11" t="s">
        <v>5587</v>
      </c>
      <c r="E215" s="11" t="s">
        <v>39</v>
      </c>
      <c r="F215" s="11" t="s">
        <v>40</v>
      </c>
      <c r="G215" s="39">
        <v>43583.0</v>
      </c>
      <c r="H215" s="30">
        <f t="shared" si="14"/>
        <v>13</v>
      </c>
      <c r="I215" s="13"/>
      <c r="J215" s="30"/>
    </row>
    <row r="216">
      <c r="A216" s="13" t="s">
        <v>4643</v>
      </c>
      <c r="B216" s="17">
        <v>43191.0</v>
      </c>
      <c r="C216" s="11" t="s">
        <v>5704</v>
      </c>
      <c r="D216" s="11" t="s">
        <v>5589</v>
      </c>
      <c r="E216" s="11" t="s">
        <v>39</v>
      </c>
      <c r="F216" s="11" t="s">
        <v>40</v>
      </c>
      <c r="G216" s="39">
        <v>43609.0</v>
      </c>
      <c r="H216" s="30">
        <f t="shared" si="14"/>
        <v>14</v>
      </c>
      <c r="I216" s="13"/>
      <c r="J216" s="30"/>
    </row>
    <row r="217">
      <c r="A217" s="13" t="s">
        <v>5705</v>
      </c>
      <c r="B217" s="17">
        <v>43160.0</v>
      </c>
      <c r="C217" s="11" t="s">
        <v>1105</v>
      </c>
      <c r="D217" s="11" t="s">
        <v>5589</v>
      </c>
      <c r="E217" s="11" t="s">
        <v>39</v>
      </c>
      <c r="F217" s="11" t="s">
        <v>40</v>
      </c>
      <c r="G217" s="39">
        <v>43516.0</v>
      </c>
      <c r="H217" s="30">
        <f t="shared" si="14"/>
        <v>12</v>
      </c>
      <c r="I217" s="13"/>
      <c r="J217" s="30"/>
    </row>
    <row r="218">
      <c r="A218" s="13" t="s">
        <v>5706</v>
      </c>
      <c r="B218" s="17">
        <v>43172.0</v>
      </c>
      <c r="C218" s="11" t="s">
        <v>5707</v>
      </c>
      <c r="D218" s="11" t="s">
        <v>5589</v>
      </c>
      <c r="E218" s="11" t="s">
        <v>39</v>
      </c>
      <c r="F218" s="11" t="s">
        <v>64</v>
      </c>
      <c r="G218" s="39">
        <v>43519.0</v>
      </c>
      <c r="H218" s="30">
        <f t="shared" si="14"/>
        <v>11</v>
      </c>
      <c r="I218" s="13"/>
      <c r="J218" s="30"/>
    </row>
    <row r="219">
      <c r="A219" s="13" t="s">
        <v>1901</v>
      </c>
      <c r="B219" s="17">
        <v>43168.0</v>
      </c>
      <c r="C219" s="11" t="s">
        <v>1902</v>
      </c>
      <c r="D219" s="11" t="s">
        <v>5589</v>
      </c>
      <c r="E219" s="11" t="s">
        <v>39</v>
      </c>
      <c r="F219" s="11" t="s">
        <v>40</v>
      </c>
      <c r="G219" s="39">
        <v>43638.0</v>
      </c>
      <c r="H219" s="30">
        <f t="shared" si="14"/>
        <v>15</v>
      </c>
      <c r="I219" s="13" t="s">
        <v>355</v>
      </c>
      <c r="J219" s="30"/>
    </row>
    <row r="220">
      <c r="A220" s="13" t="s">
        <v>5708</v>
      </c>
      <c r="B220" s="17">
        <v>43161.0</v>
      </c>
      <c r="C220" s="11" t="s">
        <v>1023</v>
      </c>
      <c r="D220" s="11" t="s">
        <v>5587</v>
      </c>
      <c r="E220" s="11" t="s">
        <v>118</v>
      </c>
      <c r="F220" s="11" t="s">
        <v>40</v>
      </c>
      <c r="G220" s="39">
        <v>43511.0</v>
      </c>
      <c r="H220" s="30">
        <f t="shared" si="14"/>
        <v>12</v>
      </c>
      <c r="I220" s="13"/>
      <c r="J220" s="30"/>
    </row>
    <row r="221">
      <c r="A221" s="13" t="s">
        <v>5709</v>
      </c>
      <c r="B221" s="10">
        <v>43161.0</v>
      </c>
      <c r="C221" s="11" t="s">
        <v>594</v>
      </c>
      <c r="D221" s="11" t="s">
        <v>5592</v>
      </c>
      <c r="E221" s="11" t="s">
        <v>39</v>
      </c>
      <c r="F221" s="11" t="s">
        <v>64</v>
      </c>
      <c r="G221" s="39">
        <v>43887.0</v>
      </c>
      <c r="H221" s="30">
        <f t="shared" si="14"/>
        <v>24</v>
      </c>
      <c r="I221" s="13" t="s">
        <v>494</v>
      </c>
      <c r="J221" s="30"/>
    </row>
    <row r="222">
      <c r="A222" s="13" t="s">
        <v>5710</v>
      </c>
      <c r="B222" s="17">
        <v>43160.0</v>
      </c>
      <c r="C222" s="11" t="s">
        <v>84</v>
      </c>
      <c r="D222" s="11" t="s">
        <v>5587</v>
      </c>
      <c r="E222" s="11" t="s">
        <v>118</v>
      </c>
      <c r="F222" s="11" t="s">
        <v>40</v>
      </c>
      <c r="G222" s="39">
        <v>43534.0</v>
      </c>
      <c r="H222" s="30">
        <f t="shared" si="14"/>
        <v>12</v>
      </c>
      <c r="I222" s="13"/>
      <c r="J222" s="30"/>
    </row>
    <row r="223">
      <c r="A223" s="13" t="s">
        <v>5711</v>
      </c>
      <c r="B223" s="17">
        <v>43160.0</v>
      </c>
      <c r="C223" s="11" t="s">
        <v>3452</v>
      </c>
      <c r="D223" s="11" t="s">
        <v>5597</v>
      </c>
      <c r="E223" s="11" t="s">
        <v>39</v>
      </c>
      <c r="F223" s="11" t="s">
        <v>40</v>
      </c>
      <c r="G223" s="39">
        <v>43519.0</v>
      </c>
      <c r="H223" s="30">
        <f t="shared" si="14"/>
        <v>12</v>
      </c>
      <c r="I223" s="13"/>
      <c r="J223" s="30"/>
    </row>
    <row r="224">
      <c r="A224" s="13" t="s">
        <v>1717</v>
      </c>
      <c r="B224" s="17">
        <v>43160.0</v>
      </c>
      <c r="C224" s="11" t="s">
        <v>208</v>
      </c>
      <c r="D224" s="11" t="s">
        <v>5589</v>
      </c>
      <c r="E224" s="11" t="s">
        <v>39</v>
      </c>
      <c r="F224" s="11" t="s">
        <v>64</v>
      </c>
      <c r="G224" s="39">
        <v>43675.0</v>
      </c>
      <c r="H224" s="30">
        <f t="shared" si="14"/>
        <v>17</v>
      </c>
      <c r="I224" s="13"/>
      <c r="J224" s="30"/>
    </row>
    <row r="225">
      <c r="A225" s="13" t="s">
        <v>1904</v>
      </c>
      <c r="B225" s="17">
        <v>43160.0</v>
      </c>
      <c r="C225" s="11" t="s">
        <v>682</v>
      </c>
      <c r="D225" s="11" t="s">
        <v>5589</v>
      </c>
      <c r="E225" s="11" t="s">
        <v>39</v>
      </c>
      <c r="F225" s="11" t="s">
        <v>40</v>
      </c>
      <c r="G225" s="39">
        <v>43638.0</v>
      </c>
      <c r="H225" s="30">
        <f t="shared" si="14"/>
        <v>16</v>
      </c>
      <c r="I225" s="13"/>
      <c r="J225" s="30"/>
    </row>
    <row r="226">
      <c r="A226" s="13" t="s">
        <v>1915</v>
      </c>
      <c r="B226" s="17">
        <v>43153.0</v>
      </c>
      <c r="C226" s="11" t="s">
        <v>391</v>
      </c>
      <c r="D226" s="11" t="s">
        <v>5589</v>
      </c>
      <c r="E226" s="11" t="s">
        <v>39</v>
      </c>
      <c r="F226" s="11" t="s">
        <v>64</v>
      </c>
      <c r="G226" s="39">
        <v>43648.0</v>
      </c>
      <c r="H226" s="30">
        <f t="shared" si="14"/>
        <v>16</v>
      </c>
      <c r="I226" s="13" t="s">
        <v>761</v>
      </c>
      <c r="J226" s="30"/>
    </row>
    <row r="227">
      <c r="A227" s="13" t="s">
        <v>5712</v>
      </c>
      <c r="B227" s="17">
        <v>43152.0</v>
      </c>
      <c r="C227" s="11" t="s">
        <v>878</v>
      </c>
      <c r="D227" s="11" t="s">
        <v>5587</v>
      </c>
      <c r="E227" s="11" t="s">
        <v>39</v>
      </c>
      <c r="F227" s="11" t="s">
        <v>40</v>
      </c>
      <c r="G227" s="39">
        <v>43555.0</v>
      </c>
      <c r="H227" s="30">
        <f t="shared" si="14"/>
        <v>13</v>
      </c>
      <c r="I227" s="13"/>
      <c r="J227" s="30"/>
    </row>
    <row r="228">
      <c r="A228" s="13" t="s">
        <v>5713</v>
      </c>
      <c r="B228" s="17">
        <v>43137.0</v>
      </c>
      <c r="C228" s="11" t="s">
        <v>231</v>
      </c>
      <c r="D228" s="11" t="s">
        <v>5592</v>
      </c>
      <c r="E228" s="11" t="s">
        <v>39</v>
      </c>
      <c r="F228" s="11" t="s">
        <v>40</v>
      </c>
      <c r="G228" s="39">
        <v>43883.0</v>
      </c>
      <c r="H228" s="30">
        <f t="shared" si="14"/>
        <v>25</v>
      </c>
      <c r="I228" s="13" t="s">
        <v>761</v>
      </c>
      <c r="J228" s="30"/>
    </row>
    <row r="229">
      <c r="A229" s="13" t="s">
        <v>5714</v>
      </c>
      <c r="B229" s="17">
        <v>43136.0</v>
      </c>
      <c r="C229" s="11" t="s">
        <v>231</v>
      </c>
      <c r="D229" s="11" t="s">
        <v>5592</v>
      </c>
      <c r="E229" s="11" t="s">
        <v>39</v>
      </c>
      <c r="F229" s="11" t="s">
        <v>40</v>
      </c>
      <c r="G229" s="30"/>
      <c r="H229" s="30"/>
      <c r="I229" s="13"/>
      <c r="J229" s="30"/>
    </row>
    <row r="230">
      <c r="A230" s="13" t="s">
        <v>1919</v>
      </c>
      <c r="B230" s="17">
        <v>43132.0</v>
      </c>
      <c r="C230" s="11" t="s">
        <v>1071</v>
      </c>
      <c r="D230" s="11" t="s">
        <v>5589</v>
      </c>
      <c r="E230" s="11" t="s">
        <v>39</v>
      </c>
      <c r="F230" s="11" t="s">
        <v>64</v>
      </c>
      <c r="G230" s="39">
        <v>43634.0</v>
      </c>
      <c r="H230" s="30">
        <f t="shared" ref="H230:H232" si="15">ROUND(((G230-B230)/365)*12,0)</f>
        <v>17</v>
      </c>
      <c r="I230" s="13"/>
      <c r="J230" s="30"/>
    </row>
    <row r="231">
      <c r="A231" s="13" t="s">
        <v>5715</v>
      </c>
      <c r="B231" s="17">
        <v>43132.0</v>
      </c>
      <c r="C231" s="11" t="s">
        <v>133</v>
      </c>
      <c r="D231" s="11" t="s">
        <v>5589</v>
      </c>
      <c r="E231" s="11" t="s">
        <v>39</v>
      </c>
      <c r="F231" s="11" t="s">
        <v>40</v>
      </c>
      <c r="G231" s="39">
        <v>43512.0</v>
      </c>
      <c r="H231" s="30">
        <f t="shared" si="15"/>
        <v>12</v>
      </c>
      <c r="I231" s="13"/>
      <c r="J231" s="30"/>
    </row>
    <row r="232">
      <c r="A232" s="13" t="s">
        <v>5716</v>
      </c>
      <c r="B232" s="17">
        <v>43132.0</v>
      </c>
      <c r="C232" s="11" t="s">
        <v>637</v>
      </c>
      <c r="D232" s="11" t="s">
        <v>5589</v>
      </c>
      <c r="E232" s="11" t="s">
        <v>39</v>
      </c>
      <c r="F232" s="11" t="s">
        <v>40</v>
      </c>
      <c r="G232" s="39">
        <v>43512.0</v>
      </c>
      <c r="H232" s="30">
        <f t="shared" si="15"/>
        <v>12</v>
      </c>
      <c r="I232" s="13"/>
      <c r="J232" s="30"/>
    </row>
    <row r="233">
      <c r="A233" s="13" t="s">
        <v>1947</v>
      </c>
      <c r="B233" s="17">
        <v>43101.0</v>
      </c>
      <c r="C233" s="11" t="s">
        <v>259</v>
      </c>
      <c r="D233" s="11" t="s">
        <v>5592</v>
      </c>
      <c r="E233" s="11" t="s">
        <v>39</v>
      </c>
      <c r="F233" s="11" t="s">
        <v>64</v>
      </c>
      <c r="G233" s="39">
        <v>43877.0</v>
      </c>
      <c r="H233" s="30"/>
      <c r="I233" s="13"/>
      <c r="J233" s="11"/>
    </row>
    <row r="234">
      <c r="A234" s="13" t="s">
        <v>5717</v>
      </c>
      <c r="B234" s="17">
        <v>43101.0</v>
      </c>
      <c r="C234" s="11" t="s">
        <v>183</v>
      </c>
      <c r="D234" s="11" t="s">
        <v>5587</v>
      </c>
      <c r="E234" s="11" t="s">
        <v>39</v>
      </c>
      <c r="F234" s="11" t="s">
        <v>64</v>
      </c>
      <c r="G234" s="39">
        <v>43881.0</v>
      </c>
      <c r="H234" s="30"/>
      <c r="I234" s="13"/>
      <c r="J234" s="11"/>
    </row>
    <row r="235">
      <c r="A235" s="13" t="s">
        <v>5718</v>
      </c>
      <c r="B235" s="17">
        <v>43101.0</v>
      </c>
      <c r="C235" s="11" t="s">
        <v>265</v>
      </c>
      <c r="D235" s="11" t="s">
        <v>5587</v>
      </c>
      <c r="E235" s="11" t="s">
        <v>39</v>
      </c>
      <c r="F235" s="11" t="s">
        <v>40</v>
      </c>
      <c r="G235" s="39">
        <v>43875.0</v>
      </c>
      <c r="H235" s="30"/>
      <c r="I235" s="13"/>
      <c r="J235" s="11"/>
    </row>
    <row r="236">
      <c r="A236" s="13" t="s">
        <v>1976</v>
      </c>
      <c r="B236" s="17">
        <v>43101.0</v>
      </c>
      <c r="C236" s="11" t="s">
        <v>735</v>
      </c>
      <c r="D236" s="11" t="s">
        <v>5592</v>
      </c>
      <c r="E236" s="11" t="s">
        <v>39</v>
      </c>
      <c r="F236" s="11" t="s">
        <v>64</v>
      </c>
      <c r="G236" s="39">
        <v>43511.0</v>
      </c>
      <c r="H236" s="30"/>
      <c r="I236" s="13"/>
      <c r="J236" s="11"/>
    </row>
    <row r="237">
      <c r="A237" s="13" t="s">
        <v>1966</v>
      </c>
      <c r="B237" s="10">
        <v>43101.0</v>
      </c>
      <c r="C237" s="11" t="s">
        <v>736</v>
      </c>
      <c r="D237" s="11" t="s">
        <v>5589</v>
      </c>
      <c r="E237" s="11" t="s">
        <v>39</v>
      </c>
      <c r="F237" s="11" t="s">
        <v>40</v>
      </c>
      <c r="G237" s="39">
        <v>43876.0</v>
      </c>
      <c r="H237" s="30"/>
      <c r="I237" s="13"/>
      <c r="J237" s="30"/>
    </row>
    <row r="238">
      <c r="A238" s="13" t="s">
        <v>1938</v>
      </c>
      <c r="B238" s="17">
        <v>43101.0</v>
      </c>
      <c r="C238" s="11" t="s">
        <v>190</v>
      </c>
      <c r="D238" s="11" t="s">
        <v>5587</v>
      </c>
      <c r="E238" s="11" t="s">
        <v>39</v>
      </c>
      <c r="F238" s="11" t="s">
        <v>40</v>
      </c>
      <c r="G238" s="39">
        <v>44322.0</v>
      </c>
      <c r="H238" s="30"/>
      <c r="I238" s="13"/>
      <c r="J238" s="11"/>
    </row>
    <row r="239">
      <c r="A239" s="13" t="s">
        <v>1265</v>
      </c>
      <c r="B239" s="10">
        <v>43101.0</v>
      </c>
      <c r="C239" s="11" t="s">
        <v>190</v>
      </c>
      <c r="D239" s="11" t="s">
        <v>5589</v>
      </c>
      <c r="E239" s="11" t="s">
        <v>39</v>
      </c>
      <c r="F239" s="11" t="s">
        <v>40</v>
      </c>
      <c r="G239" s="39">
        <v>44325.0</v>
      </c>
      <c r="H239" s="30"/>
      <c r="I239" s="13"/>
      <c r="J239" s="30"/>
    </row>
    <row r="240">
      <c r="A240" s="13" t="s">
        <v>5719</v>
      </c>
      <c r="B240" s="10">
        <v>43101.0</v>
      </c>
      <c r="C240" s="11" t="s">
        <v>2428</v>
      </c>
      <c r="D240" s="11" t="s">
        <v>5587</v>
      </c>
      <c r="E240" s="11" t="s">
        <v>39</v>
      </c>
      <c r="F240" s="11" t="s">
        <v>40</v>
      </c>
      <c r="G240" s="39">
        <v>43882.0</v>
      </c>
      <c r="H240" s="30"/>
      <c r="I240" s="13"/>
      <c r="J240" s="30"/>
    </row>
    <row r="241">
      <c r="A241" s="13" t="s">
        <v>5720</v>
      </c>
      <c r="B241" s="17">
        <v>43101.0</v>
      </c>
      <c r="C241" s="11" t="s">
        <v>1806</v>
      </c>
      <c r="D241" s="11" t="s">
        <v>5589</v>
      </c>
      <c r="E241" s="11" t="s">
        <v>39</v>
      </c>
      <c r="F241" s="11" t="s">
        <v>40</v>
      </c>
      <c r="G241" s="39">
        <v>43551.0</v>
      </c>
      <c r="H241" s="30"/>
      <c r="I241" s="13"/>
      <c r="J241" s="30"/>
    </row>
    <row r="242">
      <c r="A242" s="13" t="s">
        <v>5721</v>
      </c>
      <c r="B242" s="17">
        <v>43101.0</v>
      </c>
      <c r="C242" s="11" t="s">
        <v>4712</v>
      </c>
      <c r="D242" s="11" t="s">
        <v>5589</v>
      </c>
      <c r="E242" s="11" t="s">
        <v>39</v>
      </c>
      <c r="F242" s="11" t="s">
        <v>40</v>
      </c>
      <c r="G242" s="39">
        <v>43527.0</v>
      </c>
      <c r="H242" s="30"/>
      <c r="I242" s="13"/>
      <c r="J242" s="30"/>
    </row>
    <row r="243">
      <c r="A243" s="13" t="s">
        <v>5722</v>
      </c>
      <c r="B243" s="17">
        <v>43101.0</v>
      </c>
      <c r="C243" s="11" t="s">
        <v>4712</v>
      </c>
      <c r="D243" s="11" t="s">
        <v>5589</v>
      </c>
      <c r="E243" s="11" t="s">
        <v>39</v>
      </c>
      <c r="F243" s="11" t="s">
        <v>40</v>
      </c>
      <c r="G243" s="39">
        <v>43601.0</v>
      </c>
      <c r="H243" s="30"/>
      <c r="I243" s="13"/>
      <c r="J243" s="30"/>
    </row>
    <row r="244">
      <c r="A244" s="13" t="s">
        <v>5723</v>
      </c>
      <c r="B244" s="17">
        <v>43101.0</v>
      </c>
      <c r="C244" s="11" t="s">
        <v>294</v>
      </c>
      <c r="D244" s="11" t="s">
        <v>5587</v>
      </c>
      <c r="E244" s="11" t="s">
        <v>39</v>
      </c>
      <c r="F244" s="11" t="s">
        <v>40</v>
      </c>
      <c r="G244" s="39">
        <v>43585.0</v>
      </c>
      <c r="H244" s="30"/>
      <c r="I244" s="13"/>
      <c r="J244" s="30"/>
    </row>
    <row r="245">
      <c r="A245" s="13" t="s">
        <v>5724</v>
      </c>
      <c r="B245" s="17">
        <v>43101.0</v>
      </c>
      <c r="C245" s="11" t="s">
        <v>5725</v>
      </c>
      <c r="D245" s="11" t="s">
        <v>5587</v>
      </c>
      <c r="E245" s="11" t="s">
        <v>104</v>
      </c>
      <c r="F245" s="11" t="s">
        <v>40</v>
      </c>
      <c r="G245" s="39">
        <v>43535.0</v>
      </c>
      <c r="H245" s="30"/>
      <c r="I245" s="13"/>
      <c r="J245" s="30"/>
    </row>
    <row r="246">
      <c r="A246" s="13" t="s">
        <v>5726</v>
      </c>
      <c r="B246" s="17">
        <v>43101.0</v>
      </c>
      <c r="C246" s="11" t="s">
        <v>5727</v>
      </c>
      <c r="D246" s="11" t="s">
        <v>5587</v>
      </c>
      <c r="E246" s="11" t="s">
        <v>39</v>
      </c>
      <c r="F246" s="11" t="s">
        <v>40</v>
      </c>
      <c r="G246" s="39">
        <v>43875.0</v>
      </c>
      <c r="H246" s="30"/>
      <c r="I246" s="13"/>
      <c r="J246" s="30"/>
    </row>
    <row r="247">
      <c r="A247" s="13" t="s">
        <v>2764</v>
      </c>
      <c r="B247" s="17">
        <v>43101.0</v>
      </c>
      <c r="C247" s="11" t="s">
        <v>170</v>
      </c>
      <c r="D247" s="11" t="s">
        <v>5589</v>
      </c>
      <c r="E247" s="11" t="s">
        <v>39</v>
      </c>
      <c r="F247" s="11" t="s">
        <v>40</v>
      </c>
      <c r="G247" s="30"/>
      <c r="H247" s="30"/>
      <c r="I247" s="13"/>
      <c r="J247" s="30"/>
    </row>
    <row r="248">
      <c r="A248" s="13" t="s">
        <v>1978</v>
      </c>
      <c r="B248" s="17">
        <v>43101.0</v>
      </c>
      <c r="C248" s="11" t="s">
        <v>789</v>
      </c>
      <c r="D248" s="11" t="s">
        <v>5589</v>
      </c>
      <c r="E248" s="11" t="s">
        <v>118</v>
      </c>
      <c r="F248" s="11" t="s">
        <v>40</v>
      </c>
      <c r="G248" s="39">
        <v>43511.0</v>
      </c>
      <c r="H248" s="30"/>
      <c r="I248" s="13"/>
      <c r="J248" s="30"/>
    </row>
    <row r="249">
      <c r="A249" s="13" t="s">
        <v>5728</v>
      </c>
      <c r="B249" s="17">
        <v>43101.0</v>
      </c>
      <c r="C249" s="11" t="s">
        <v>133</v>
      </c>
      <c r="D249" s="11" t="s">
        <v>5589</v>
      </c>
      <c r="E249" s="11" t="s">
        <v>39</v>
      </c>
      <c r="F249" s="11" t="s">
        <v>40</v>
      </c>
      <c r="G249" s="39">
        <v>43511.0</v>
      </c>
      <c r="H249" s="30"/>
      <c r="I249" s="13"/>
      <c r="J249" s="30"/>
    </row>
    <row r="250">
      <c r="A250" s="13" t="s">
        <v>5729</v>
      </c>
      <c r="B250" s="17">
        <v>43101.0</v>
      </c>
      <c r="C250" s="11" t="s">
        <v>736</v>
      </c>
      <c r="D250" s="11" t="s">
        <v>5592</v>
      </c>
      <c r="E250" s="11" t="s">
        <v>39</v>
      </c>
      <c r="F250" s="11" t="s">
        <v>40</v>
      </c>
      <c r="G250" s="39">
        <v>43544.0</v>
      </c>
      <c r="H250" s="30"/>
      <c r="I250" s="13"/>
      <c r="J250" s="30"/>
    </row>
    <row r="251">
      <c r="A251" s="13" t="s">
        <v>5730</v>
      </c>
      <c r="B251" s="17">
        <v>43101.0</v>
      </c>
      <c r="C251" s="11" t="s">
        <v>391</v>
      </c>
      <c r="D251" s="11" t="s">
        <v>5589</v>
      </c>
      <c r="E251" s="11" t="s">
        <v>39</v>
      </c>
      <c r="F251" s="11" t="s">
        <v>40</v>
      </c>
      <c r="G251" s="39">
        <v>43511.0</v>
      </c>
      <c r="H251" s="30"/>
      <c r="I251" s="13"/>
      <c r="J251" s="30"/>
    </row>
    <row r="252">
      <c r="A252" s="13" t="s">
        <v>1621</v>
      </c>
      <c r="B252" s="17">
        <v>43101.0</v>
      </c>
      <c r="C252" s="11" t="s">
        <v>476</v>
      </c>
      <c r="D252" s="11" t="s">
        <v>5589</v>
      </c>
      <c r="E252" s="11" t="s">
        <v>39</v>
      </c>
      <c r="F252" s="11" t="s">
        <v>40</v>
      </c>
      <c r="G252" s="39"/>
      <c r="H252" s="30"/>
      <c r="I252" s="13"/>
      <c r="J252" s="11">
        <v>1.0</v>
      </c>
    </row>
    <row r="253">
      <c r="A253" s="13" t="s">
        <v>5731</v>
      </c>
      <c r="B253" s="17">
        <v>43101.0</v>
      </c>
      <c r="C253" s="11" t="s">
        <v>129</v>
      </c>
      <c r="D253" s="11" t="s">
        <v>5592</v>
      </c>
      <c r="E253" s="11" t="s">
        <v>39</v>
      </c>
      <c r="F253" s="11" t="s">
        <v>64</v>
      </c>
      <c r="G253" s="39">
        <v>43876.0</v>
      </c>
      <c r="H253" s="30"/>
      <c r="I253" s="13"/>
      <c r="J253" s="30"/>
    </row>
    <row r="254">
      <c r="A254" s="13" t="s">
        <v>5732</v>
      </c>
      <c r="B254" s="17">
        <v>43101.0</v>
      </c>
      <c r="C254" s="11" t="s">
        <v>1533</v>
      </c>
      <c r="D254" s="11" t="s">
        <v>5589</v>
      </c>
      <c r="E254" s="11" t="s">
        <v>118</v>
      </c>
      <c r="F254" s="11" t="s">
        <v>64</v>
      </c>
      <c r="G254" s="39">
        <v>43511.0</v>
      </c>
      <c r="H254" s="30"/>
      <c r="I254" s="13"/>
      <c r="J254" s="30"/>
    </row>
    <row r="255">
      <c r="A255" s="13" t="s">
        <v>5733</v>
      </c>
      <c r="B255" s="17">
        <v>43047.0</v>
      </c>
      <c r="C255" s="11" t="s">
        <v>735</v>
      </c>
      <c r="D255" s="11" t="s">
        <v>5587</v>
      </c>
      <c r="E255" s="11" t="s">
        <v>118</v>
      </c>
      <c r="F255" s="11" t="s">
        <v>40</v>
      </c>
      <c r="G255" s="39">
        <v>43176.0</v>
      </c>
      <c r="H255" s="30">
        <f>ROUND(((G255-B255)/365)*12,0)</f>
        <v>4</v>
      </c>
      <c r="I255" s="13"/>
      <c r="J255" s="30"/>
    </row>
    <row r="256">
      <c r="A256" s="13" t="s">
        <v>1981</v>
      </c>
      <c r="B256" s="17">
        <v>43047.0</v>
      </c>
      <c r="C256" s="11" t="s">
        <v>190</v>
      </c>
      <c r="D256" s="11" t="s">
        <v>5587</v>
      </c>
      <c r="E256" s="11" t="s">
        <v>39</v>
      </c>
      <c r="F256" s="11" t="s">
        <v>64</v>
      </c>
      <c r="G256" s="30"/>
      <c r="H256" s="30"/>
      <c r="I256" s="13"/>
      <c r="J256" s="30"/>
    </row>
    <row r="257">
      <c r="A257" s="13" t="s">
        <v>5734</v>
      </c>
      <c r="B257" s="17">
        <v>43042.0</v>
      </c>
      <c r="C257" s="11" t="s">
        <v>56</v>
      </c>
      <c r="D257" s="11" t="s">
        <v>5587</v>
      </c>
      <c r="E257" s="11" t="s">
        <v>39</v>
      </c>
      <c r="F257" s="11" t="s">
        <v>40</v>
      </c>
      <c r="G257" s="39">
        <v>43515.0</v>
      </c>
      <c r="H257" s="30">
        <f t="shared" ref="H257:H258" si="16">ROUND(((G257-B257)/365)*12,0)</f>
        <v>16</v>
      </c>
      <c r="I257" s="13"/>
      <c r="J257" s="30"/>
    </row>
    <row r="258">
      <c r="A258" s="13" t="s">
        <v>5735</v>
      </c>
      <c r="B258" s="17">
        <v>43040.0</v>
      </c>
      <c r="C258" s="11" t="s">
        <v>640</v>
      </c>
      <c r="D258" s="11" t="s">
        <v>5592</v>
      </c>
      <c r="E258" s="11" t="s">
        <v>104</v>
      </c>
      <c r="F258" s="11" t="s">
        <v>40</v>
      </c>
      <c r="G258" s="39">
        <v>43511.0</v>
      </c>
      <c r="H258" s="30">
        <f t="shared" si="16"/>
        <v>15</v>
      </c>
      <c r="I258" s="13"/>
      <c r="J258" s="30"/>
    </row>
    <row r="259">
      <c r="A259" s="13" t="s">
        <v>1985</v>
      </c>
      <c r="B259" s="17">
        <v>43011.0</v>
      </c>
      <c r="C259" s="11" t="s">
        <v>127</v>
      </c>
      <c r="D259" s="11" t="s">
        <v>5589</v>
      </c>
      <c r="E259" s="11" t="s">
        <v>39</v>
      </c>
      <c r="F259" s="11" t="s">
        <v>40</v>
      </c>
      <c r="G259" s="30"/>
      <c r="H259" s="30"/>
      <c r="I259" s="13"/>
      <c r="J259" s="30"/>
    </row>
    <row r="260">
      <c r="A260" s="13" t="s">
        <v>5736</v>
      </c>
      <c r="B260" s="17">
        <v>43009.0</v>
      </c>
      <c r="C260" s="11" t="s">
        <v>359</v>
      </c>
      <c r="D260" s="11" t="s">
        <v>5592</v>
      </c>
      <c r="E260" s="11" t="s">
        <v>39</v>
      </c>
      <c r="F260" s="11" t="s">
        <v>40</v>
      </c>
      <c r="G260" s="39">
        <v>43511.0</v>
      </c>
      <c r="H260" s="30">
        <f t="shared" ref="H260:H266" si="17">ROUND(((G260-B260)/365)*12,0)</f>
        <v>17</v>
      </c>
      <c r="I260" s="13" t="s">
        <v>761</v>
      </c>
      <c r="J260" s="30"/>
    </row>
    <row r="261">
      <c r="A261" s="13" t="s">
        <v>4667</v>
      </c>
      <c r="B261" s="17">
        <v>43009.0</v>
      </c>
      <c r="C261" s="11" t="s">
        <v>133</v>
      </c>
      <c r="D261" s="11" t="s">
        <v>5592</v>
      </c>
      <c r="E261" s="11" t="s">
        <v>39</v>
      </c>
      <c r="F261" s="11" t="s">
        <v>64</v>
      </c>
      <c r="G261" s="39">
        <v>43511.0</v>
      </c>
      <c r="H261" s="30">
        <f t="shared" si="17"/>
        <v>17</v>
      </c>
      <c r="I261" s="13"/>
      <c r="J261" s="30"/>
    </row>
    <row r="262">
      <c r="A262" s="13" t="s">
        <v>1992</v>
      </c>
      <c r="B262" s="17">
        <v>43009.0</v>
      </c>
      <c r="C262" s="11" t="s">
        <v>669</v>
      </c>
      <c r="D262" s="11" t="s">
        <v>5587</v>
      </c>
      <c r="E262" s="11" t="s">
        <v>39</v>
      </c>
      <c r="F262" s="11" t="s">
        <v>40</v>
      </c>
      <c r="G262" s="39">
        <v>43518.0</v>
      </c>
      <c r="H262" s="30">
        <f t="shared" si="17"/>
        <v>17</v>
      </c>
      <c r="I262" s="13"/>
      <c r="J262" s="30"/>
    </row>
    <row r="263">
      <c r="A263" s="13" t="s">
        <v>1989</v>
      </c>
      <c r="B263" s="17">
        <v>43009.0</v>
      </c>
      <c r="C263" s="11" t="s">
        <v>3530</v>
      </c>
      <c r="D263" s="11" t="s">
        <v>5592</v>
      </c>
      <c r="E263" s="11" t="s">
        <v>39</v>
      </c>
      <c r="F263" s="11" t="s">
        <v>40</v>
      </c>
      <c r="G263" s="39">
        <v>43511.0</v>
      </c>
      <c r="H263" s="30">
        <f t="shared" si="17"/>
        <v>17</v>
      </c>
      <c r="I263" s="13"/>
      <c r="J263" s="11"/>
    </row>
    <row r="264">
      <c r="A264" s="13" t="s">
        <v>2010</v>
      </c>
      <c r="B264" s="17">
        <v>42979.0</v>
      </c>
      <c r="C264" s="11" t="s">
        <v>179</v>
      </c>
      <c r="D264" s="11" t="s">
        <v>5589</v>
      </c>
      <c r="E264" s="11" t="s">
        <v>39</v>
      </c>
      <c r="F264" s="11" t="s">
        <v>40</v>
      </c>
      <c r="G264" s="39">
        <v>43567.0</v>
      </c>
      <c r="H264" s="30">
        <f t="shared" si="17"/>
        <v>19</v>
      </c>
      <c r="I264" s="13" t="s">
        <v>69</v>
      </c>
      <c r="J264" s="11"/>
    </row>
    <row r="265">
      <c r="A265" s="13" t="s">
        <v>5737</v>
      </c>
      <c r="B265" s="17">
        <v>42970.0</v>
      </c>
      <c r="C265" s="11" t="s">
        <v>2267</v>
      </c>
      <c r="D265" s="11" t="s">
        <v>5587</v>
      </c>
      <c r="E265" s="11" t="s">
        <v>39</v>
      </c>
      <c r="F265" s="11" t="s">
        <v>40</v>
      </c>
      <c r="G265" s="39">
        <v>43513.0</v>
      </c>
      <c r="H265" s="30">
        <f t="shared" si="17"/>
        <v>18</v>
      </c>
      <c r="I265" s="13"/>
      <c r="J265" s="30"/>
    </row>
    <row r="266">
      <c r="A266" s="13" t="s">
        <v>5738</v>
      </c>
      <c r="B266" s="17">
        <v>42948.0</v>
      </c>
      <c r="C266" s="11" t="s">
        <v>5613</v>
      </c>
      <c r="D266" s="11" t="s">
        <v>5592</v>
      </c>
      <c r="E266" s="11" t="s">
        <v>39</v>
      </c>
      <c r="F266" s="11" t="s">
        <v>40</v>
      </c>
      <c r="G266" s="39">
        <v>43204.0</v>
      </c>
      <c r="H266" s="30">
        <f t="shared" si="17"/>
        <v>8</v>
      </c>
      <c r="I266" s="13"/>
      <c r="J266" s="30"/>
    </row>
    <row r="267">
      <c r="A267" s="13" t="s">
        <v>5739</v>
      </c>
      <c r="B267" s="17">
        <v>42948.0</v>
      </c>
      <c r="C267" s="11" t="s">
        <v>2570</v>
      </c>
      <c r="D267" s="11" t="s">
        <v>5589</v>
      </c>
      <c r="E267" s="11" t="s">
        <v>39</v>
      </c>
      <c r="F267" s="11" t="s">
        <v>40</v>
      </c>
      <c r="G267" s="30"/>
      <c r="H267" s="30"/>
      <c r="I267" s="13"/>
      <c r="J267" s="11">
        <v>1.0</v>
      </c>
    </row>
    <row r="268">
      <c r="A268" s="13" t="s">
        <v>5740</v>
      </c>
      <c r="B268" s="17">
        <v>42944.0</v>
      </c>
      <c r="C268" s="11" t="s">
        <v>320</v>
      </c>
      <c r="D268" s="11" t="s">
        <v>5587</v>
      </c>
      <c r="E268" s="11" t="s">
        <v>39</v>
      </c>
      <c r="F268" s="11" t="s">
        <v>64</v>
      </c>
      <c r="G268" s="30"/>
      <c r="H268" s="30"/>
      <c r="I268" s="13"/>
      <c r="J268" s="11">
        <v>1.0</v>
      </c>
    </row>
    <row r="269">
      <c r="A269" s="13" t="s">
        <v>5741</v>
      </c>
      <c r="B269" s="17">
        <v>42928.0</v>
      </c>
      <c r="C269" s="11" t="s">
        <v>619</v>
      </c>
      <c r="D269" s="11" t="s">
        <v>5592</v>
      </c>
      <c r="E269" s="11" t="s">
        <v>39</v>
      </c>
      <c r="F269" s="11" t="s">
        <v>40</v>
      </c>
      <c r="G269" s="39">
        <v>43512.0</v>
      </c>
      <c r="H269" s="30">
        <f t="shared" ref="H269:H271" si="18">ROUND(((G269-B269)/365)*12,0)</f>
        <v>19</v>
      </c>
      <c r="I269" s="13" t="s">
        <v>42</v>
      </c>
      <c r="J269" s="30"/>
    </row>
    <row r="270">
      <c r="A270" s="13" t="s">
        <v>2054</v>
      </c>
      <c r="B270" s="17">
        <v>42909.0</v>
      </c>
      <c r="C270" s="11" t="s">
        <v>566</v>
      </c>
      <c r="D270" s="11" t="s">
        <v>5587</v>
      </c>
      <c r="E270" s="11" t="s">
        <v>39</v>
      </c>
      <c r="F270" s="11" t="s">
        <v>64</v>
      </c>
      <c r="G270" s="39">
        <v>43327.0</v>
      </c>
      <c r="H270" s="30">
        <f t="shared" si="18"/>
        <v>14</v>
      </c>
      <c r="I270" s="13" t="s">
        <v>761</v>
      </c>
      <c r="J270" s="30"/>
    </row>
    <row r="271">
      <c r="A271" s="13" t="s">
        <v>2071</v>
      </c>
      <c r="B271" s="17">
        <v>42887.0</v>
      </c>
      <c r="C271" s="11" t="s">
        <v>46</v>
      </c>
      <c r="D271" s="11" t="s">
        <v>5592</v>
      </c>
      <c r="E271" s="11" t="s">
        <v>39</v>
      </c>
      <c r="F271" s="11" t="s">
        <v>40</v>
      </c>
      <c r="G271" s="39">
        <v>43201.0</v>
      </c>
      <c r="H271" s="30">
        <f t="shared" si="18"/>
        <v>10</v>
      </c>
      <c r="J271" s="30"/>
    </row>
    <row r="272">
      <c r="A272" s="13" t="s">
        <v>5742</v>
      </c>
      <c r="B272" s="17">
        <v>42887.0</v>
      </c>
      <c r="C272" s="11" t="s">
        <v>5743</v>
      </c>
      <c r="D272" s="11" t="s">
        <v>5592</v>
      </c>
      <c r="E272" s="11" t="s">
        <v>39</v>
      </c>
      <c r="F272" s="11" t="s">
        <v>40</v>
      </c>
      <c r="G272" s="30"/>
      <c r="H272" s="30"/>
      <c r="J272" s="11">
        <v>1.0</v>
      </c>
    </row>
    <row r="273">
      <c r="A273" s="13" t="s">
        <v>63</v>
      </c>
      <c r="B273" s="17">
        <v>42887.0</v>
      </c>
      <c r="C273" s="11" t="s">
        <v>65</v>
      </c>
      <c r="D273" s="11" t="s">
        <v>5587</v>
      </c>
      <c r="E273" s="11" t="s">
        <v>39</v>
      </c>
      <c r="F273" s="11" t="s">
        <v>64</v>
      </c>
      <c r="G273" s="39">
        <v>43511.0</v>
      </c>
      <c r="H273" s="30">
        <f t="shared" ref="H273:H309" si="19">ROUND(((G273-B273)/365)*12,0)</f>
        <v>21</v>
      </c>
      <c r="J273" s="30"/>
    </row>
    <row r="274">
      <c r="A274" s="13" t="s">
        <v>2079</v>
      </c>
      <c r="B274" s="17">
        <v>42886.0</v>
      </c>
      <c r="C274" s="11" t="s">
        <v>2080</v>
      </c>
      <c r="D274" s="11" t="s">
        <v>5589</v>
      </c>
      <c r="E274" s="11" t="s">
        <v>39</v>
      </c>
      <c r="F274" s="11" t="s">
        <v>40</v>
      </c>
      <c r="G274" s="39">
        <v>43274.0</v>
      </c>
      <c r="H274" s="30">
        <f t="shared" si="19"/>
        <v>13</v>
      </c>
      <c r="J274" s="30"/>
    </row>
    <row r="275">
      <c r="A275" s="13" t="s">
        <v>5744</v>
      </c>
      <c r="B275" s="17">
        <v>42865.0</v>
      </c>
      <c r="C275" s="11" t="s">
        <v>3634</v>
      </c>
      <c r="D275" s="11" t="s">
        <v>5597</v>
      </c>
      <c r="E275" s="11" t="s">
        <v>39</v>
      </c>
      <c r="F275" s="11" t="s">
        <v>40</v>
      </c>
      <c r="G275" s="39">
        <v>43512.0</v>
      </c>
      <c r="H275" s="30">
        <f t="shared" si="19"/>
        <v>21</v>
      </c>
      <c r="I275" s="13"/>
      <c r="J275" s="11"/>
    </row>
    <row r="276">
      <c r="A276" s="13" t="s">
        <v>2103</v>
      </c>
      <c r="B276" s="17">
        <v>42858.0</v>
      </c>
      <c r="C276" s="11" t="s">
        <v>173</v>
      </c>
      <c r="D276" s="11" t="s">
        <v>5589</v>
      </c>
      <c r="E276" s="11" t="s">
        <v>39</v>
      </c>
      <c r="F276" s="11" t="s">
        <v>40</v>
      </c>
      <c r="G276" s="39">
        <v>43273.0</v>
      </c>
      <c r="H276" s="30">
        <f t="shared" si="19"/>
        <v>14</v>
      </c>
      <c r="I276" s="13" t="s">
        <v>1407</v>
      </c>
      <c r="J276" s="30"/>
    </row>
    <row r="277">
      <c r="A277" s="13" t="s">
        <v>2109</v>
      </c>
      <c r="B277" s="17">
        <v>42856.0</v>
      </c>
      <c r="C277" s="11" t="s">
        <v>320</v>
      </c>
      <c r="D277" s="11" t="s">
        <v>5587</v>
      </c>
      <c r="E277" s="11" t="s">
        <v>39</v>
      </c>
      <c r="F277" s="11" t="s">
        <v>40</v>
      </c>
      <c r="G277" s="39">
        <v>43563.0</v>
      </c>
      <c r="H277" s="30">
        <f t="shared" si="19"/>
        <v>23</v>
      </c>
      <c r="I277" s="13"/>
      <c r="J277" s="30"/>
    </row>
    <row r="278">
      <c r="A278" s="13" t="s">
        <v>2114</v>
      </c>
      <c r="B278" s="17">
        <v>42856.0</v>
      </c>
      <c r="C278" s="11" t="s">
        <v>5745</v>
      </c>
      <c r="D278" s="11" t="s">
        <v>5589</v>
      </c>
      <c r="E278" s="11" t="s">
        <v>39</v>
      </c>
      <c r="F278" s="11" t="s">
        <v>40</v>
      </c>
      <c r="G278" s="39">
        <v>43269.0</v>
      </c>
      <c r="H278" s="30">
        <f t="shared" si="19"/>
        <v>14</v>
      </c>
      <c r="J278" s="11"/>
    </row>
    <row r="279">
      <c r="A279" s="13" t="s">
        <v>5746</v>
      </c>
      <c r="B279" s="17">
        <v>42856.0</v>
      </c>
      <c r="C279" s="11" t="s">
        <v>3746</v>
      </c>
      <c r="D279" s="11" t="s">
        <v>5592</v>
      </c>
      <c r="E279" s="11" t="s">
        <v>39</v>
      </c>
      <c r="F279" s="11" t="s">
        <v>64</v>
      </c>
      <c r="G279" s="39">
        <v>43179.0</v>
      </c>
      <c r="H279" s="30">
        <f t="shared" si="19"/>
        <v>11</v>
      </c>
      <c r="J279" s="30"/>
    </row>
    <row r="280">
      <c r="A280" s="13" t="s">
        <v>5747</v>
      </c>
      <c r="B280" s="17">
        <v>42856.0</v>
      </c>
      <c r="C280" s="11" t="s">
        <v>2428</v>
      </c>
      <c r="D280" s="11" t="s">
        <v>5589</v>
      </c>
      <c r="E280" s="11" t="s">
        <v>39</v>
      </c>
      <c r="F280" s="11" t="s">
        <v>40</v>
      </c>
      <c r="G280" s="39">
        <v>43513.0</v>
      </c>
      <c r="H280" s="30">
        <f t="shared" si="19"/>
        <v>22</v>
      </c>
      <c r="J280" s="30"/>
    </row>
    <row r="281">
      <c r="A281" s="13" t="s">
        <v>2128</v>
      </c>
      <c r="B281" s="17">
        <v>42838.0</v>
      </c>
      <c r="C281" s="11" t="s">
        <v>379</v>
      </c>
      <c r="D281" s="11" t="s">
        <v>5587</v>
      </c>
      <c r="E281" s="11" t="s">
        <v>39</v>
      </c>
      <c r="F281" s="11" t="s">
        <v>40</v>
      </c>
      <c r="G281" s="39">
        <v>43233.0</v>
      </c>
      <c r="H281" s="30">
        <f t="shared" si="19"/>
        <v>13</v>
      </c>
      <c r="J281" s="30"/>
    </row>
    <row r="282">
      <c r="A282" s="13" t="s">
        <v>5748</v>
      </c>
      <c r="B282" s="17">
        <v>42837.0</v>
      </c>
      <c r="C282" s="11" t="s">
        <v>1806</v>
      </c>
      <c r="D282" s="11" t="s">
        <v>5589</v>
      </c>
      <c r="E282" s="11" t="s">
        <v>39</v>
      </c>
      <c r="F282" s="11" t="s">
        <v>40</v>
      </c>
      <c r="G282" s="39">
        <v>43191.0</v>
      </c>
      <c r="H282" s="30">
        <f t="shared" si="19"/>
        <v>12</v>
      </c>
      <c r="J282" s="30"/>
    </row>
    <row r="283">
      <c r="A283" s="13" t="s">
        <v>5749</v>
      </c>
      <c r="B283" s="17">
        <v>42835.0</v>
      </c>
      <c r="C283" s="11" t="s">
        <v>4128</v>
      </c>
      <c r="D283" s="11" t="s">
        <v>5589</v>
      </c>
      <c r="E283" s="11" t="s">
        <v>39</v>
      </c>
      <c r="F283" s="11" t="s">
        <v>40</v>
      </c>
      <c r="G283" s="39">
        <v>43148.0</v>
      </c>
      <c r="H283" s="30">
        <f t="shared" si="19"/>
        <v>10</v>
      </c>
      <c r="J283" s="30"/>
    </row>
    <row r="284">
      <c r="A284" s="13" t="s">
        <v>5750</v>
      </c>
      <c r="B284" s="17">
        <v>42831.0</v>
      </c>
      <c r="C284" s="11" t="s">
        <v>276</v>
      </c>
      <c r="D284" s="11" t="s">
        <v>5587</v>
      </c>
      <c r="E284" s="11" t="s">
        <v>39</v>
      </c>
      <c r="F284" s="11" t="s">
        <v>40</v>
      </c>
      <c r="G284" s="39">
        <v>43540.0</v>
      </c>
      <c r="H284" s="30">
        <f t="shared" si="19"/>
        <v>23</v>
      </c>
      <c r="J284" s="30"/>
    </row>
    <row r="285">
      <c r="A285" s="13" t="s">
        <v>2138</v>
      </c>
      <c r="B285" s="17">
        <v>42830.0</v>
      </c>
      <c r="C285" s="11" t="s">
        <v>682</v>
      </c>
      <c r="D285" s="11" t="s">
        <v>5589</v>
      </c>
      <c r="E285" s="11" t="s">
        <v>982</v>
      </c>
      <c r="F285" s="11" t="s">
        <v>40</v>
      </c>
      <c r="G285" s="39">
        <v>43148.0</v>
      </c>
      <c r="H285" s="30">
        <f t="shared" si="19"/>
        <v>10</v>
      </c>
      <c r="J285" s="30"/>
    </row>
    <row r="286">
      <c r="A286" s="13" t="s">
        <v>5751</v>
      </c>
      <c r="B286" s="17">
        <v>42829.0</v>
      </c>
      <c r="C286" s="11" t="s">
        <v>1746</v>
      </c>
      <c r="D286" s="11" t="s">
        <v>5592</v>
      </c>
      <c r="E286" s="11" t="s">
        <v>39</v>
      </c>
      <c r="F286" s="11" t="s">
        <v>64</v>
      </c>
      <c r="G286" s="39">
        <v>43536.0</v>
      </c>
      <c r="H286" s="30">
        <f t="shared" si="19"/>
        <v>23</v>
      </c>
      <c r="I286" s="13"/>
      <c r="J286" s="30"/>
    </row>
    <row r="287">
      <c r="A287" s="13" t="s">
        <v>5752</v>
      </c>
      <c r="B287" s="17">
        <v>42829.0</v>
      </c>
      <c r="C287" s="11" t="s">
        <v>243</v>
      </c>
      <c r="D287" s="11" t="s">
        <v>5592</v>
      </c>
      <c r="E287" s="11" t="s">
        <v>39</v>
      </c>
      <c r="F287" s="11" t="s">
        <v>64</v>
      </c>
      <c r="G287" s="39">
        <v>43151.0</v>
      </c>
      <c r="H287" s="30">
        <f t="shared" si="19"/>
        <v>11</v>
      </c>
      <c r="J287" s="30"/>
    </row>
    <row r="288">
      <c r="A288" s="13" t="s">
        <v>5753</v>
      </c>
      <c r="B288" s="17">
        <v>42826.0</v>
      </c>
      <c r="C288" s="11" t="s">
        <v>379</v>
      </c>
      <c r="D288" s="11" t="s">
        <v>5592</v>
      </c>
      <c r="E288" s="11" t="s">
        <v>39</v>
      </c>
      <c r="F288" s="11" t="s">
        <v>64</v>
      </c>
      <c r="G288" s="39">
        <v>43534.0</v>
      </c>
      <c r="H288" s="30">
        <f t="shared" si="19"/>
        <v>23</v>
      </c>
      <c r="I288" s="13"/>
      <c r="J288" s="30"/>
    </row>
    <row r="289">
      <c r="A289" s="13" t="s">
        <v>2143</v>
      </c>
      <c r="B289" s="17">
        <v>42826.0</v>
      </c>
      <c r="C289" s="11" t="s">
        <v>746</v>
      </c>
      <c r="D289" s="11" t="s">
        <v>5592</v>
      </c>
      <c r="E289" s="11" t="s">
        <v>39</v>
      </c>
      <c r="F289" s="11" t="s">
        <v>40</v>
      </c>
      <c r="G289" s="39">
        <v>43204.0</v>
      </c>
      <c r="H289" s="30">
        <f t="shared" si="19"/>
        <v>12</v>
      </c>
      <c r="I289" s="13" t="s">
        <v>355</v>
      </c>
      <c r="J289" s="30"/>
    </row>
    <row r="290">
      <c r="A290" s="13" t="s">
        <v>2149</v>
      </c>
      <c r="B290" s="17">
        <v>42826.0</v>
      </c>
      <c r="C290" s="11" t="s">
        <v>3307</v>
      </c>
      <c r="D290" s="11" t="s">
        <v>5589</v>
      </c>
      <c r="E290" s="11" t="s">
        <v>39</v>
      </c>
      <c r="F290" s="11" t="s">
        <v>40</v>
      </c>
      <c r="G290" s="39">
        <v>43269.0</v>
      </c>
      <c r="H290" s="30">
        <f t="shared" si="19"/>
        <v>15</v>
      </c>
      <c r="J290" s="30"/>
    </row>
    <row r="291">
      <c r="A291" s="13" t="s">
        <v>5754</v>
      </c>
      <c r="B291" s="17">
        <v>42826.0</v>
      </c>
      <c r="C291" s="11" t="s">
        <v>133</v>
      </c>
      <c r="D291" s="11" t="s">
        <v>5589</v>
      </c>
      <c r="E291" s="11" t="s">
        <v>39</v>
      </c>
      <c r="F291" s="11" t="s">
        <v>40</v>
      </c>
      <c r="G291" s="39">
        <v>43191.0</v>
      </c>
      <c r="H291" s="30">
        <f t="shared" si="19"/>
        <v>12</v>
      </c>
      <c r="J291" s="30"/>
    </row>
    <row r="292">
      <c r="A292" s="13" t="s">
        <v>5755</v>
      </c>
      <c r="B292" s="17">
        <v>42826.0</v>
      </c>
      <c r="C292" s="11" t="s">
        <v>5756</v>
      </c>
      <c r="D292" s="11" t="s">
        <v>5592</v>
      </c>
      <c r="E292" s="11" t="s">
        <v>39</v>
      </c>
      <c r="F292" s="11" t="s">
        <v>40</v>
      </c>
      <c r="G292" s="39">
        <v>43176.0</v>
      </c>
      <c r="H292" s="30">
        <f t="shared" si="19"/>
        <v>12</v>
      </c>
      <c r="J292" s="30"/>
    </row>
    <row r="293">
      <c r="A293" s="13" t="s">
        <v>2145</v>
      </c>
      <c r="B293" s="17">
        <v>42826.0</v>
      </c>
      <c r="C293" s="11" t="s">
        <v>182</v>
      </c>
      <c r="D293" s="11" t="s">
        <v>5592</v>
      </c>
      <c r="E293" s="11" t="s">
        <v>39</v>
      </c>
      <c r="F293" s="11" t="s">
        <v>40</v>
      </c>
      <c r="G293" s="39">
        <v>43184.0</v>
      </c>
      <c r="H293" s="30">
        <f t="shared" si="19"/>
        <v>12</v>
      </c>
      <c r="J293" s="30"/>
    </row>
    <row r="294">
      <c r="A294" s="13" t="s">
        <v>2157</v>
      </c>
      <c r="B294" s="17">
        <v>42818.0</v>
      </c>
      <c r="C294" s="11" t="s">
        <v>243</v>
      </c>
      <c r="D294" s="11" t="s">
        <v>5587</v>
      </c>
      <c r="E294" s="11" t="s">
        <v>39</v>
      </c>
      <c r="F294" s="11" t="s">
        <v>40</v>
      </c>
      <c r="G294" s="39">
        <v>43151.0</v>
      </c>
      <c r="H294" s="30">
        <f t="shared" si="19"/>
        <v>11</v>
      </c>
      <c r="J294" s="30"/>
    </row>
    <row r="295">
      <c r="A295" s="13" t="s">
        <v>3712</v>
      </c>
      <c r="B295" s="17">
        <v>42815.0</v>
      </c>
      <c r="C295" s="11" t="s">
        <v>231</v>
      </c>
      <c r="D295" s="11" t="s">
        <v>5592</v>
      </c>
      <c r="E295" s="11" t="s">
        <v>39</v>
      </c>
      <c r="F295" s="11" t="s">
        <v>40</v>
      </c>
      <c r="G295" s="39">
        <v>43154.0</v>
      </c>
      <c r="H295" s="30">
        <f t="shared" si="19"/>
        <v>11</v>
      </c>
      <c r="J295" s="30"/>
    </row>
    <row r="296">
      <c r="A296" s="13" t="s">
        <v>5757</v>
      </c>
      <c r="B296" s="17">
        <v>42815.0</v>
      </c>
      <c r="C296" s="11" t="s">
        <v>2994</v>
      </c>
      <c r="D296" s="11" t="s">
        <v>5587</v>
      </c>
      <c r="E296" s="11" t="s">
        <v>39</v>
      </c>
      <c r="F296" s="11" t="s">
        <v>40</v>
      </c>
      <c r="G296" s="39">
        <v>43218.0</v>
      </c>
      <c r="H296" s="30">
        <f t="shared" si="19"/>
        <v>13</v>
      </c>
      <c r="J296" s="30"/>
    </row>
    <row r="297">
      <c r="A297" s="13" t="s">
        <v>5758</v>
      </c>
      <c r="B297" s="17">
        <v>42812.0</v>
      </c>
      <c r="C297" s="11" t="s">
        <v>5759</v>
      </c>
      <c r="D297" s="11" t="s">
        <v>5589</v>
      </c>
      <c r="E297" s="11" t="s">
        <v>39</v>
      </c>
      <c r="F297" s="11" t="s">
        <v>40</v>
      </c>
      <c r="G297" s="39">
        <v>43175.0</v>
      </c>
      <c r="H297" s="30">
        <f t="shared" si="19"/>
        <v>12</v>
      </c>
      <c r="J297" s="30"/>
    </row>
    <row r="298">
      <c r="A298" s="13" t="s">
        <v>5760</v>
      </c>
      <c r="B298" s="17">
        <v>42803.0</v>
      </c>
      <c r="C298" s="11" t="s">
        <v>637</v>
      </c>
      <c r="D298" s="11" t="s">
        <v>5587</v>
      </c>
      <c r="E298" s="11" t="s">
        <v>39</v>
      </c>
      <c r="F298" s="11" t="s">
        <v>64</v>
      </c>
      <c r="G298" s="39">
        <v>43179.0</v>
      </c>
      <c r="H298" s="30">
        <f t="shared" si="19"/>
        <v>12</v>
      </c>
      <c r="J298" s="30"/>
    </row>
    <row r="299">
      <c r="A299" s="13" t="s">
        <v>5761</v>
      </c>
      <c r="B299" s="17">
        <v>42803.0</v>
      </c>
      <c r="C299" s="11" t="s">
        <v>640</v>
      </c>
      <c r="D299" s="11" t="s">
        <v>5592</v>
      </c>
      <c r="E299" s="11" t="s">
        <v>39</v>
      </c>
      <c r="F299" s="11" t="s">
        <v>40</v>
      </c>
      <c r="G299" s="39">
        <v>43172.0</v>
      </c>
      <c r="H299" s="30">
        <f t="shared" si="19"/>
        <v>12</v>
      </c>
      <c r="J299" s="30"/>
    </row>
    <row r="300">
      <c r="A300" s="13" t="s">
        <v>5762</v>
      </c>
      <c r="B300" s="17">
        <v>42802.0</v>
      </c>
      <c r="C300" s="11" t="s">
        <v>375</v>
      </c>
      <c r="D300" s="11" t="s">
        <v>5597</v>
      </c>
      <c r="E300" s="11" t="s">
        <v>39</v>
      </c>
      <c r="F300" s="11" t="s">
        <v>40</v>
      </c>
      <c r="G300" s="39">
        <v>43172.0</v>
      </c>
      <c r="H300" s="30">
        <f t="shared" si="19"/>
        <v>12</v>
      </c>
      <c r="J300" s="30"/>
    </row>
    <row r="301">
      <c r="A301" s="13" t="s">
        <v>2166</v>
      </c>
      <c r="B301" s="17">
        <v>42801.0</v>
      </c>
      <c r="C301" s="11" t="s">
        <v>344</v>
      </c>
      <c r="D301" s="11" t="s">
        <v>5592</v>
      </c>
      <c r="E301" s="11" t="s">
        <v>39</v>
      </c>
      <c r="F301" s="11" t="s">
        <v>40</v>
      </c>
      <c r="G301" s="39">
        <v>43151.0</v>
      </c>
      <c r="H301" s="30">
        <f t="shared" si="19"/>
        <v>12</v>
      </c>
      <c r="J301" s="30"/>
    </row>
    <row r="302">
      <c r="A302" s="13" t="s">
        <v>2174</v>
      </c>
      <c r="B302" s="17">
        <v>42795.0</v>
      </c>
      <c r="C302" s="11" t="s">
        <v>619</v>
      </c>
      <c r="D302" s="11" t="s">
        <v>5589</v>
      </c>
      <c r="E302" s="11" t="s">
        <v>39</v>
      </c>
      <c r="F302" s="11" t="s">
        <v>40</v>
      </c>
      <c r="G302" s="39">
        <v>43271.0</v>
      </c>
      <c r="H302" s="30">
        <f t="shared" si="19"/>
        <v>16</v>
      </c>
      <c r="J302" s="30"/>
    </row>
    <row r="303">
      <c r="A303" s="13" t="s">
        <v>5763</v>
      </c>
      <c r="B303" s="17">
        <v>42795.0</v>
      </c>
      <c r="C303" s="11" t="s">
        <v>637</v>
      </c>
      <c r="D303" s="11" t="s">
        <v>5597</v>
      </c>
      <c r="E303" s="11" t="s">
        <v>39</v>
      </c>
      <c r="F303" s="11" t="s">
        <v>40</v>
      </c>
      <c r="G303" s="39">
        <v>43149.0</v>
      </c>
      <c r="H303" s="30">
        <f t="shared" si="19"/>
        <v>12</v>
      </c>
      <c r="J303" s="30"/>
    </row>
    <row r="304">
      <c r="A304" s="13" t="s">
        <v>2170</v>
      </c>
      <c r="B304" s="17">
        <v>42795.0</v>
      </c>
      <c r="C304" s="11" t="s">
        <v>669</v>
      </c>
      <c r="D304" s="11" t="s">
        <v>5587</v>
      </c>
      <c r="E304" s="11" t="s">
        <v>39</v>
      </c>
      <c r="F304" s="11" t="s">
        <v>40</v>
      </c>
      <c r="G304" s="39">
        <v>43148.0</v>
      </c>
      <c r="H304" s="30">
        <f t="shared" si="19"/>
        <v>12</v>
      </c>
      <c r="I304" s="17"/>
      <c r="J304" s="30"/>
    </row>
    <row r="305">
      <c r="A305" s="13" t="s">
        <v>5764</v>
      </c>
      <c r="B305" s="17">
        <v>42795.0</v>
      </c>
      <c r="C305" s="11" t="s">
        <v>1998</v>
      </c>
      <c r="D305" s="11" t="s">
        <v>5592</v>
      </c>
      <c r="E305" s="11" t="s">
        <v>39</v>
      </c>
      <c r="F305" s="11" t="s">
        <v>64</v>
      </c>
      <c r="G305" s="39">
        <v>43147.0</v>
      </c>
      <c r="H305" s="30">
        <f t="shared" si="19"/>
        <v>12</v>
      </c>
      <c r="J305" s="30"/>
    </row>
    <row r="306">
      <c r="A306" s="13" t="s">
        <v>4668</v>
      </c>
      <c r="B306" s="17">
        <v>42776.0</v>
      </c>
      <c r="C306" s="11" t="s">
        <v>669</v>
      </c>
      <c r="D306" s="11" t="s">
        <v>5589</v>
      </c>
      <c r="E306" s="11" t="s">
        <v>39</v>
      </c>
      <c r="F306" s="11" t="s">
        <v>40</v>
      </c>
      <c r="G306" s="39">
        <v>43149.0</v>
      </c>
      <c r="H306" s="30">
        <f t="shared" si="19"/>
        <v>12</v>
      </c>
      <c r="J306" s="30"/>
    </row>
    <row r="307">
      <c r="A307" s="13" t="s">
        <v>4670</v>
      </c>
      <c r="B307" s="10">
        <v>42790.0</v>
      </c>
      <c r="C307" s="11" t="s">
        <v>47</v>
      </c>
      <c r="D307" s="11" t="s">
        <v>5597</v>
      </c>
      <c r="E307" s="11" t="s">
        <v>39</v>
      </c>
      <c r="F307" s="11" t="s">
        <v>40</v>
      </c>
      <c r="G307" s="39">
        <v>43166.0</v>
      </c>
      <c r="H307" s="30">
        <f t="shared" si="19"/>
        <v>12</v>
      </c>
      <c r="I307" s="13" t="s">
        <v>355</v>
      </c>
      <c r="J307" s="30"/>
    </row>
    <row r="308">
      <c r="A308" s="13" t="s">
        <v>5765</v>
      </c>
      <c r="B308" s="17">
        <v>42767.0</v>
      </c>
      <c r="C308" s="11" t="s">
        <v>259</v>
      </c>
      <c r="D308" s="11" t="s">
        <v>5592</v>
      </c>
      <c r="E308" s="11" t="s">
        <v>39</v>
      </c>
      <c r="F308" s="11" t="s">
        <v>64</v>
      </c>
      <c r="G308" s="39">
        <v>43214.0</v>
      </c>
      <c r="H308" s="30">
        <f t="shared" si="19"/>
        <v>15</v>
      </c>
      <c r="J308" s="30"/>
    </row>
    <row r="309">
      <c r="A309" s="13" t="s">
        <v>2186</v>
      </c>
      <c r="B309" s="17">
        <v>42759.0</v>
      </c>
      <c r="C309" s="11" t="s">
        <v>637</v>
      </c>
      <c r="D309" s="11" t="s">
        <v>5587</v>
      </c>
      <c r="E309" s="11" t="s">
        <v>39</v>
      </c>
      <c r="F309" s="11" t="s">
        <v>40</v>
      </c>
      <c r="G309" s="39">
        <v>43152.0</v>
      </c>
      <c r="H309" s="30">
        <f t="shared" si="19"/>
        <v>13</v>
      </c>
      <c r="J309" s="30"/>
    </row>
    <row r="310">
      <c r="A310" s="13" t="s">
        <v>2246</v>
      </c>
      <c r="B310" s="17">
        <v>42736.0</v>
      </c>
      <c r="C310" s="11" t="s">
        <v>2023</v>
      </c>
      <c r="D310" s="11" t="s">
        <v>5597</v>
      </c>
      <c r="E310" s="11" t="s">
        <v>39</v>
      </c>
      <c r="F310" s="11" t="s">
        <v>40</v>
      </c>
      <c r="G310" s="39">
        <v>43147.0</v>
      </c>
      <c r="H310" s="30"/>
      <c r="J310" s="11"/>
    </row>
    <row r="311">
      <c r="A311" s="13" t="s">
        <v>5766</v>
      </c>
      <c r="B311" s="17">
        <v>42736.0</v>
      </c>
      <c r="C311" s="11" t="s">
        <v>925</v>
      </c>
      <c r="D311" s="11" t="s">
        <v>5592</v>
      </c>
      <c r="E311" s="11" t="s">
        <v>39</v>
      </c>
      <c r="F311" s="11" t="s">
        <v>40</v>
      </c>
      <c r="G311" s="39">
        <v>43512.0</v>
      </c>
      <c r="H311" s="30"/>
      <c r="J311" s="11"/>
    </row>
    <row r="312">
      <c r="A312" s="13" t="s">
        <v>2247</v>
      </c>
      <c r="B312" s="17">
        <v>42736.0</v>
      </c>
      <c r="C312" s="11" t="s">
        <v>129</v>
      </c>
      <c r="D312" s="11" t="s">
        <v>5589</v>
      </c>
      <c r="E312" s="11" t="s">
        <v>39</v>
      </c>
      <c r="F312" s="11" t="s">
        <v>40</v>
      </c>
      <c r="G312" s="30"/>
      <c r="H312" s="30"/>
      <c r="J312" s="11">
        <v>1.0</v>
      </c>
    </row>
    <row r="313">
      <c r="A313" s="13" t="s">
        <v>2215</v>
      </c>
      <c r="B313" s="17">
        <v>42736.0</v>
      </c>
      <c r="C313" s="11" t="s">
        <v>851</v>
      </c>
      <c r="D313" s="11" t="s">
        <v>5592</v>
      </c>
      <c r="E313" s="11" t="s">
        <v>39</v>
      </c>
      <c r="F313" s="11" t="s">
        <v>64</v>
      </c>
      <c r="G313" s="39">
        <v>43511.0</v>
      </c>
      <c r="H313" s="30"/>
      <c r="J313" s="30"/>
    </row>
    <row r="314">
      <c r="A314" s="13" t="s">
        <v>2231</v>
      </c>
      <c r="B314" s="17">
        <v>42736.0</v>
      </c>
      <c r="C314" s="11" t="s">
        <v>2232</v>
      </c>
      <c r="D314" s="11" t="s">
        <v>5587</v>
      </c>
      <c r="E314" s="11" t="s">
        <v>39</v>
      </c>
      <c r="F314" s="11" t="s">
        <v>64</v>
      </c>
      <c r="G314" s="39">
        <v>43525.0</v>
      </c>
      <c r="H314" s="30"/>
      <c r="J314" s="30"/>
    </row>
    <row r="315">
      <c r="A315" s="13" t="s">
        <v>2190</v>
      </c>
      <c r="B315" s="17">
        <v>42736.0</v>
      </c>
      <c r="C315" s="11" t="s">
        <v>2191</v>
      </c>
      <c r="D315" s="11" t="s">
        <v>5589</v>
      </c>
      <c r="E315" s="11" t="s">
        <v>39</v>
      </c>
      <c r="F315" s="11" t="s">
        <v>64</v>
      </c>
      <c r="G315" s="39">
        <v>43189.0</v>
      </c>
      <c r="H315" s="30"/>
      <c r="J315" s="30"/>
    </row>
    <row r="316">
      <c r="A316" s="13" t="s">
        <v>2237</v>
      </c>
      <c r="B316" s="17">
        <v>42736.0</v>
      </c>
      <c r="C316" s="11" t="s">
        <v>1159</v>
      </c>
      <c r="D316" s="11" t="s">
        <v>5589</v>
      </c>
      <c r="E316" s="11" t="s">
        <v>39</v>
      </c>
      <c r="F316" s="11" t="s">
        <v>40</v>
      </c>
      <c r="G316" s="39">
        <v>43235.0</v>
      </c>
      <c r="H316" s="30"/>
      <c r="J316" s="30"/>
    </row>
    <row r="317">
      <c r="A317" s="13" t="s">
        <v>2188</v>
      </c>
      <c r="B317" s="17">
        <v>42736.0</v>
      </c>
      <c r="C317" s="11" t="s">
        <v>1599</v>
      </c>
      <c r="D317" s="11" t="s">
        <v>5587</v>
      </c>
      <c r="E317" s="11" t="s">
        <v>39</v>
      </c>
      <c r="F317" s="11" t="s">
        <v>40</v>
      </c>
      <c r="G317" s="39">
        <v>43148.0</v>
      </c>
      <c r="H317" s="30"/>
      <c r="J317" s="30"/>
    </row>
    <row r="318">
      <c r="A318" s="13" t="s">
        <v>5767</v>
      </c>
      <c r="B318" s="17">
        <v>42736.0</v>
      </c>
      <c r="C318" s="11" t="s">
        <v>1599</v>
      </c>
      <c r="D318" s="11" t="s">
        <v>5768</v>
      </c>
      <c r="E318" s="11" t="s">
        <v>39</v>
      </c>
      <c r="F318" s="11" t="s">
        <v>64</v>
      </c>
      <c r="G318" s="39"/>
      <c r="H318" s="30"/>
      <c r="J318" s="11">
        <v>1.0</v>
      </c>
    </row>
    <row r="319">
      <c r="A319" s="13" t="s">
        <v>2206</v>
      </c>
      <c r="B319" s="17">
        <v>42736.0</v>
      </c>
      <c r="C319" s="11" t="s">
        <v>2467</v>
      </c>
      <c r="D319" s="11" t="s">
        <v>5587</v>
      </c>
      <c r="E319" s="11" t="s">
        <v>39</v>
      </c>
      <c r="F319" s="11" t="s">
        <v>40</v>
      </c>
      <c r="G319" s="39">
        <v>43149.0</v>
      </c>
      <c r="H319" s="30"/>
      <c r="J319" s="30"/>
    </row>
    <row r="320">
      <c r="A320" s="13" t="s">
        <v>5769</v>
      </c>
      <c r="B320" s="10">
        <v>42736.0</v>
      </c>
      <c r="C320" s="11" t="s">
        <v>569</v>
      </c>
      <c r="D320" s="11" t="s">
        <v>5592</v>
      </c>
      <c r="E320" s="11" t="s">
        <v>39</v>
      </c>
      <c r="F320" s="11" t="s">
        <v>40</v>
      </c>
      <c r="G320" s="39">
        <v>43512.0</v>
      </c>
      <c r="H320" s="30"/>
      <c r="I320" s="13"/>
      <c r="J320" s="30"/>
    </row>
    <row r="321">
      <c r="A321" s="13" t="s">
        <v>2228</v>
      </c>
      <c r="B321" s="10">
        <v>42736.0</v>
      </c>
      <c r="C321" s="11" t="s">
        <v>2229</v>
      </c>
      <c r="D321" s="11" t="s">
        <v>5587</v>
      </c>
      <c r="E321" s="11" t="s">
        <v>118</v>
      </c>
      <c r="F321" s="11" t="s">
        <v>40</v>
      </c>
      <c r="G321" s="39">
        <v>43147.0</v>
      </c>
      <c r="H321" s="30"/>
      <c r="I321" s="13"/>
      <c r="J321" s="30"/>
    </row>
    <row r="322">
      <c r="A322" s="13" t="s">
        <v>5770</v>
      </c>
      <c r="B322" s="10">
        <v>42736.0</v>
      </c>
      <c r="C322" s="11" t="s">
        <v>594</v>
      </c>
      <c r="D322" s="11" t="s">
        <v>5587</v>
      </c>
      <c r="E322" s="11" t="s">
        <v>39</v>
      </c>
      <c r="F322" s="11" t="s">
        <v>40</v>
      </c>
      <c r="G322" s="39">
        <v>43158.0</v>
      </c>
      <c r="H322" s="30"/>
      <c r="I322" s="13"/>
      <c r="J322" s="30"/>
    </row>
    <row r="323">
      <c r="A323" s="13" t="s">
        <v>5771</v>
      </c>
      <c r="B323" s="10">
        <v>42736.0</v>
      </c>
      <c r="C323" s="11" t="s">
        <v>287</v>
      </c>
      <c r="D323" s="11" t="s">
        <v>5587</v>
      </c>
      <c r="E323" s="11" t="s">
        <v>39</v>
      </c>
      <c r="F323" s="11" t="s">
        <v>40</v>
      </c>
      <c r="G323" s="39">
        <v>43511.0</v>
      </c>
      <c r="H323" s="30"/>
      <c r="I323" s="13"/>
      <c r="J323" s="30"/>
    </row>
    <row r="324">
      <c r="A324" s="13" t="s">
        <v>5772</v>
      </c>
      <c r="B324" s="10">
        <v>42736.0</v>
      </c>
      <c r="C324" s="11" t="s">
        <v>5773</v>
      </c>
      <c r="D324" s="11" t="s">
        <v>5587</v>
      </c>
      <c r="E324" s="11" t="s">
        <v>39</v>
      </c>
      <c r="F324" s="11" t="s">
        <v>64</v>
      </c>
      <c r="G324" s="39">
        <v>43155.0</v>
      </c>
      <c r="H324" s="30"/>
      <c r="I324" s="13"/>
      <c r="J324" s="30"/>
    </row>
    <row r="325">
      <c r="A325" s="13" t="s">
        <v>5774</v>
      </c>
      <c r="B325" s="10">
        <v>42736.0</v>
      </c>
      <c r="C325" s="11" t="s">
        <v>5704</v>
      </c>
      <c r="D325" s="11" t="s">
        <v>5592</v>
      </c>
      <c r="E325" s="11" t="s">
        <v>39</v>
      </c>
      <c r="F325" s="11" t="s">
        <v>64</v>
      </c>
      <c r="G325" s="39">
        <v>43172.0</v>
      </c>
      <c r="H325" s="30"/>
      <c r="I325" s="13"/>
      <c r="J325" s="30"/>
    </row>
    <row r="326">
      <c r="A326" s="13" t="s">
        <v>5775</v>
      </c>
      <c r="B326" s="10">
        <v>42736.0</v>
      </c>
      <c r="C326" s="11" t="s">
        <v>3746</v>
      </c>
      <c r="D326" s="11" t="s">
        <v>5597</v>
      </c>
      <c r="E326" s="11" t="s">
        <v>39</v>
      </c>
      <c r="F326" s="11" t="s">
        <v>40</v>
      </c>
      <c r="G326" s="39">
        <v>43183.0</v>
      </c>
      <c r="H326" s="30"/>
      <c r="I326" s="13"/>
      <c r="J326" s="30"/>
    </row>
    <row r="327">
      <c r="A327" s="13" t="s">
        <v>5776</v>
      </c>
      <c r="B327" s="17">
        <v>42736.0</v>
      </c>
      <c r="C327" s="11" t="s">
        <v>512</v>
      </c>
      <c r="D327" s="11" t="s">
        <v>5587</v>
      </c>
      <c r="E327" s="11" t="s">
        <v>39</v>
      </c>
      <c r="F327" s="11" t="s">
        <v>40</v>
      </c>
      <c r="G327" s="39">
        <v>43525.0</v>
      </c>
      <c r="H327" s="30"/>
      <c r="I327" s="13"/>
      <c r="J327" s="30"/>
    </row>
    <row r="328">
      <c r="A328" s="13" t="s">
        <v>2257</v>
      </c>
      <c r="B328" s="10">
        <v>42736.0</v>
      </c>
      <c r="C328" s="11" t="s">
        <v>654</v>
      </c>
      <c r="D328" s="11" t="s">
        <v>5597</v>
      </c>
      <c r="E328" s="11" t="s">
        <v>39</v>
      </c>
      <c r="F328" s="11" t="s">
        <v>40</v>
      </c>
      <c r="G328" s="39">
        <v>43630.0</v>
      </c>
      <c r="H328" s="30"/>
      <c r="I328" s="13"/>
      <c r="J328" s="30"/>
    </row>
    <row r="329">
      <c r="A329" s="13" t="s">
        <v>5777</v>
      </c>
      <c r="B329" s="10">
        <v>42705.0</v>
      </c>
      <c r="C329" s="11" t="s">
        <v>5759</v>
      </c>
      <c r="D329" s="11" t="s">
        <v>5592</v>
      </c>
      <c r="E329" s="11" t="s">
        <v>39</v>
      </c>
      <c r="F329" s="11" t="s">
        <v>64</v>
      </c>
      <c r="G329" s="39">
        <v>43149.0</v>
      </c>
      <c r="H329" s="30">
        <f t="shared" ref="H329:H334" si="20">ROUND(((G329-B329)/365)*12,0)</f>
        <v>15</v>
      </c>
      <c r="I329" s="13"/>
      <c r="J329" s="30"/>
    </row>
    <row r="330">
      <c r="A330" s="13" t="s">
        <v>5778</v>
      </c>
      <c r="B330" s="10">
        <v>42681.0</v>
      </c>
      <c r="C330" s="11" t="s">
        <v>2267</v>
      </c>
      <c r="D330" s="11" t="s">
        <v>5589</v>
      </c>
      <c r="E330" s="11" t="s">
        <v>39</v>
      </c>
      <c r="F330" s="11" t="s">
        <v>64</v>
      </c>
      <c r="G330" s="39">
        <v>43200.0</v>
      </c>
      <c r="H330" s="30">
        <f t="shared" si="20"/>
        <v>17</v>
      </c>
      <c r="I330" s="13"/>
      <c r="J330" s="30"/>
    </row>
    <row r="331">
      <c r="A331" s="13" t="s">
        <v>2271</v>
      </c>
      <c r="B331" s="17">
        <v>42675.0</v>
      </c>
      <c r="C331" s="11" t="s">
        <v>205</v>
      </c>
      <c r="D331" s="11" t="s">
        <v>5587</v>
      </c>
      <c r="E331" s="11" t="s">
        <v>39</v>
      </c>
      <c r="F331" s="11" t="s">
        <v>40</v>
      </c>
      <c r="G331" s="39">
        <v>43234.0</v>
      </c>
      <c r="H331" s="30">
        <f t="shared" si="20"/>
        <v>18</v>
      </c>
      <c r="I331" s="13"/>
      <c r="J331" s="30"/>
    </row>
    <row r="332">
      <c r="A332" s="13" t="s">
        <v>5779</v>
      </c>
      <c r="B332" s="10">
        <v>42670.0</v>
      </c>
      <c r="C332" s="11" t="s">
        <v>120</v>
      </c>
      <c r="D332" s="11" t="s">
        <v>5587</v>
      </c>
      <c r="E332" s="11" t="s">
        <v>104</v>
      </c>
      <c r="F332" s="11" t="s">
        <v>40</v>
      </c>
      <c r="G332" s="39">
        <v>43147.0</v>
      </c>
      <c r="H332" s="30">
        <f t="shared" si="20"/>
        <v>16</v>
      </c>
      <c r="I332" s="13"/>
      <c r="J332" s="30"/>
    </row>
    <row r="333">
      <c r="A333" s="13" t="s">
        <v>5780</v>
      </c>
      <c r="B333" s="10">
        <v>42664.0</v>
      </c>
      <c r="C333" s="11" t="s">
        <v>5781</v>
      </c>
      <c r="D333" s="11" t="s">
        <v>5592</v>
      </c>
      <c r="E333" s="11" t="s">
        <v>39</v>
      </c>
      <c r="F333" s="11" t="s">
        <v>40</v>
      </c>
      <c r="G333" s="39">
        <v>43187.0</v>
      </c>
      <c r="H333" s="30">
        <f t="shared" si="20"/>
        <v>17</v>
      </c>
      <c r="I333" s="13" t="s">
        <v>355</v>
      </c>
      <c r="J333" s="30"/>
    </row>
    <row r="334">
      <c r="A334" s="13" t="s">
        <v>2284</v>
      </c>
      <c r="B334" s="10">
        <v>42647.0</v>
      </c>
      <c r="C334" s="11" t="s">
        <v>276</v>
      </c>
      <c r="D334" s="11" t="s">
        <v>5589</v>
      </c>
      <c r="E334" s="11" t="s">
        <v>39</v>
      </c>
      <c r="F334" s="11" t="s">
        <v>64</v>
      </c>
      <c r="G334" s="39">
        <v>43198.0</v>
      </c>
      <c r="H334" s="30">
        <f t="shared" si="20"/>
        <v>18</v>
      </c>
      <c r="J334" s="30"/>
    </row>
    <row r="335">
      <c r="A335" s="13" t="s">
        <v>5782</v>
      </c>
      <c r="B335" s="17">
        <v>42614.0</v>
      </c>
      <c r="C335" s="11" t="s">
        <v>370</v>
      </c>
      <c r="D335" s="11" t="s">
        <v>5592</v>
      </c>
      <c r="E335" s="11" t="s">
        <v>39</v>
      </c>
      <c r="F335" s="11" t="s">
        <v>40</v>
      </c>
      <c r="G335" s="30"/>
      <c r="H335" s="30"/>
      <c r="J335" s="11">
        <v>1.0</v>
      </c>
    </row>
    <row r="336">
      <c r="A336" s="13" t="s">
        <v>2306</v>
      </c>
      <c r="B336" s="17">
        <v>42600.0</v>
      </c>
      <c r="C336" s="11" t="s">
        <v>182</v>
      </c>
      <c r="D336" s="11" t="s">
        <v>5597</v>
      </c>
      <c r="E336" s="11" t="s">
        <v>39</v>
      </c>
      <c r="F336" s="11" t="s">
        <v>40</v>
      </c>
      <c r="G336" s="30"/>
      <c r="H336" s="30"/>
      <c r="J336" s="11">
        <v>1.0</v>
      </c>
    </row>
    <row r="337">
      <c r="A337" s="13" t="s">
        <v>5783</v>
      </c>
      <c r="B337" s="17">
        <v>42584.0</v>
      </c>
      <c r="C337" s="11" t="s">
        <v>637</v>
      </c>
      <c r="D337" s="11" t="s">
        <v>5592</v>
      </c>
      <c r="E337" s="11" t="s">
        <v>39</v>
      </c>
      <c r="F337" s="11" t="s">
        <v>64</v>
      </c>
      <c r="G337" s="30"/>
      <c r="H337" s="30"/>
      <c r="J337" s="11">
        <v>1.0</v>
      </c>
    </row>
    <row r="338">
      <c r="A338" s="13" t="s">
        <v>2317</v>
      </c>
      <c r="B338" s="10">
        <v>42583.0</v>
      </c>
      <c r="C338" s="11" t="s">
        <v>56</v>
      </c>
      <c r="D338" s="11" t="s">
        <v>5592</v>
      </c>
      <c r="E338" s="11" t="s">
        <v>279</v>
      </c>
      <c r="F338" s="11" t="s">
        <v>40</v>
      </c>
      <c r="G338" s="39">
        <v>42847.0</v>
      </c>
      <c r="H338" s="30">
        <f t="shared" ref="H338:H345" si="21">ROUND(((G338-B338)/365)*12,0)</f>
        <v>9</v>
      </c>
      <c r="I338" s="13" t="s">
        <v>761</v>
      </c>
      <c r="J338" s="30"/>
    </row>
    <row r="339">
      <c r="A339" s="13" t="s">
        <v>5784</v>
      </c>
      <c r="B339" s="10">
        <v>42583.0</v>
      </c>
      <c r="C339" s="11" t="s">
        <v>666</v>
      </c>
      <c r="D339" s="11" t="s">
        <v>5592</v>
      </c>
      <c r="E339" s="11" t="s">
        <v>104</v>
      </c>
      <c r="F339" s="11" t="s">
        <v>40</v>
      </c>
      <c r="G339" s="39">
        <v>43147.0</v>
      </c>
      <c r="H339" s="30">
        <f t="shared" si="21"/>
        <v>19</v>
      </c>
      <c r="J339" s="30"/>
    </row>
    <row r="340">
      <c r="A340" s="13" t="s">
        <v>2319</v>
      </c>
      <c r="B340" s="10">
        <v>42583.0</v>
      </c>
      <c r="C340" s="11" t="s">
        <v>5622</v>
      </c>
      <c r="D340" s="11" t="s">
        <v>5587</v>
      </c>
      <c r="E340" s="11" t="s">
        <v>39</v>
      </c>
      <c r="F340" s="11" t="s">
        <v>40</v>
      </c>
      <c r="G340" s="39">
        <v>43149.0</v>
      </c>
      <c r="H340" s="30">
        <f t="shared" si="21"/>
        <v>19</v>
      </c>
      <c r="J340" s="30"/>
    </row>
    <row r="341">
      <c r="A341" s="13" t="s">
        <v>5785</v>
      </c>
      <c r="B341" s="10">
        <v>42577.0</v>
      </c>
      <c r="C341" s="11" t="s">
        <v>190</v>
      </c>
      <c r="D341" s="11" t="s">
        <v>5587</v>
      </c>
      <c r="E341" s="11" t="s">
        <v>39</v>
      </c>
      <c r="F341" s="11" t="s">
        <v>40</v>
      </c>
      <c r="G341" s="39">
        <v>43165.0</v>
      </c>
      <c r="H341" s="30">
        <f t="shared" si="21"/>
        <v>19</v>
      </c>
      <c r="J341" s="30"/>
    </row>
    <row r="342">
      <c r="A342" s="13" t="s">
        <v>5786</v>
      </c>
      <c r="B342" s="10">
        <v>42557.0</v>
      </c>
      <c r="C342" s="11" t="s">
        <v>2570</v>
      </c>
      <c r="D342" s="11" t="s">
        <v>5587</v>
      </c>
      <c r="E342" s="11" t="s">
        <v>39</v>
      </c>
      <c r="F342" s="11" t="s">
        <v>64</v>
      </c>
      <c r="G342" s="39">
        <v>43148.0</v>
      </c>
      <c r="H342" s="30">
        <f t="shared" si="21"/>
        <v>19</v>
      </c>
      <c r="J342" s="30"/>
    </row>
    <row r="343">
      <c r="A343" s="13" t="s">
        <v>2335</v>
      </c>
      <c r="B343" s="10">
        <v>42552.0</v>
      </c>
      <c r="C343" s="11" t="s">
        <v>78</v>
      </c>
      <c r="D343" s="11" t="s">
        <v>5592</v>
      </c>
      <c r="E343" s="11" t="s">
        <v>39</v>
      </c>
      <c r="F343" s="11" t="s">
        <v>40</v>
      </c>
      <c r="G343" s="39">
        <v>43151.0</v>
      </c>
      <c r="H343" s="30">
        <f t="shared" si="21"/>
        <v>20</v>
      </c>
      <c r="J343" s="30"/>
    </row>
    <row r="344">
      <c r="A344" s="13" t="s">
        <v>5787</v>
      </c>
      <c r="B344" s="10">
        <v>42552.0</v>
      </c>
      <c r="C344" s="11" t="s">
        <v>2232</v>
      </c>
      <c r="D344" s="11" t="s">
        <v>5592</v>
      </c>
      <c r="E344" s="11" t="s">
        <v>39</v>
      </c>
      <c r="F344" s="11" t="s">
        <v>64</v>
      </c>
      <c r="G344" s="39">
        <v>43156.0</v>
      </c>
      <c r="H344" s="30">
        <f t="shared" si="21"/>
        <v>20</v>
      </c>
      <c r="I344" s="13" t="s">
        <v>494</v>
      </c>
      <c r="J344" s="30"/>
    </row>
    <row r="345">
      <c r="A345" s="13" t="s">
        <v>2340</v>
      </c>
      <c r="B345" s="10">
        <v>42552.0</v>
      </c>
      <c r="C345" s="11" t="s">
        <v>320</v>
      </c>
      <c r="D345" s="11" t="s">
        <v>5589</v>
      </c>
      <c r="E345" s="11" t="s">
        <v>39</v>
      </c>
      <c r="F345" s="11" t="s">
        <v>40</v>
      </c>
      <c r="G345" s="39">
        <v>42923.0</v>
      </c>
      <c r="H345" s="30">
        <f t="shared" si="21"/>
        <v>12</v>
      </c>
      <c r="J345" s="30"/>
    </row>
    <row r="346">
      <c r="A346" s="13" t="s">
        <v>5788</v>
      </c>
      <c r="B346" s="10">
        <v>42552.0</v>
      </c>
      <c r="C346" s="11" t="s">
        <v>173</v>
      </c>
      <c r="D346" s="11" t="s">
        <v>5587</v>
      </c>
      <c r="E346" s="11" t="s">
        <v>39</v>
      </c>
      <c r="F346" s="11" t="s">
        <v>64</v>
      </c>
      <c r="G346" s="30"/>
      <c r="H346" s="30"/>
      <c r="I346" s="13"/>
      <c r="J346" s="11">
        <v>1.0</v>
      </c>
    </row>
    <row r="347">
      <c r="A347" s="13" t="s">
        <v>5789</v>
      </c>
      <c r="B347" s="10">
        <v>42552.0</v>
      </c>
      <c r="C347" s="11" t="s">
        <v>5790</v>
      </c>
      <c r="D347" s="11" t="s">
        <v>5597</v>
      </c>
      <c r="E347" s="11" t="s">
        <v>39</v>
      </c>
      <c r="F347" s="11" t="s">
        <v>64</v>
      </c>
      <c r="G347" s="39">
        <v>43148.0</v>
      </c>
      <c r="H347" s="30">
        <f t="shared" ref="H347:H355" si="22">ROUND(((G347-B347)/365)*12,0)</f>
        <v>20</v>
      </c>
      <c r="I347" s="13"/>
      <c r="J347" s="30"/>
    </row>
    <row r="348">
      <c r="A348" s="13" t="s">
        <v>2354</v>
      </c>
      <c r="B348" s="10">
        <v>42543.0</v>
      </c>
      <c r="C348" s="11" t="s">
        <v>359</v>
      </c>
      <c r="D348" s="11" t="s">
        <v>5589</v>
      </c>
      <c r="E348" s="11" t="s">
        <v>39</v>
      </c>
      <c r="F348" s="11" t="s">
        <v>64</v>
      </c>
      <c r="G348" s="39">
        <v>43292.0</v>
      </c>
      <c r="H348" s="30">
        <f t="shared" si="22"/>
        <v>25</v>
      </c>
      <c r="I348" s="13" t="s">
        <v>761</v>
      </c>
      <c r="J348" s="30"/>
    </row>
    <row r="349">
      <c r="A349" s="13" t="s">
        <v>1938</v>
      </c>
      <c r="B349" s="17">
        <v>42522.0</v>
      </c>
      <c r="C349" s="11" t="s">
        <v>190</v>
      </c>
      <c r="D349" s="11" t="s">
        <v>5587</v>
      </c>
      <c r="E349" s="11" t="s">
        <v>39</v>
      </c>
      <c r="F349" s="11" t="s">
        <v>40</v>
      </c>
      <c r="G349" s="39">
        <v>43204.0</v>
      </c>
      <c r="H349" s="30">
        <f t="shared" si="22"/>
        <v>22</v>
      </c>
      <c r="J349" s="30"/>
    </row>
    <row r="350">
      <c r="A350" s="13" t="s">
        <v>2356</v>
      </c>
      <c r="B350" s="10">
        <v>42522.0</v>
      </c>
      <c r="C350" s="11" t="s">
        <v>640</v>
      </c>
      <c r="D350" s="11" t="s">
        <v>5589</v>
      </c>
      <c r="E350" s="11" t="s">
        <v>39</v>
      </c>
      <c r="F350" s="11" t="s">
        <v>40</v>
      </c>
      <c r="G350" s="39">
        <v>42911.0</v>
      </c>
      <c r="H350" s="30">
        <f t="shared" si="22"/>
        <v>13</v>
      </c>
      <c r="J350" s="30"/>
    </row>
    <row r="351">
      <c r="A351" s="13" t="s">
        <v>2376</v>
      </c>
      <c r="B351" s="10">
        <v>42514.0</v>
      </c>
      <c r="C351" s="11" t="s">
        <v>2377</v>
      </c>
      <c r="D351" s="11" t="s">
        <v>5587</v>
      </c>
      <c r="E351" s="11" t="s">
        <v>39</v>
      </c>
      <c r="F351" s="11" t="s">
        <v>40</v>
      </c>
      <c r="G351" s="39">
        <v>43149.0</v>
      </c>
      <c r="H351" s="30">
        <f t="shared" si="22"/>
        <v>21</v>
      </c>
      <c r="I351" s="13"/>
      <c r="J351" s="30"/>
    </row>
    <row r="352">
      <c r="A352" s="13" t="s">
        <v>2400</v>
      </c>
      <c r="B352" s="10">
        <v>42491.0</v>
      </c>
      <c r="C352" s="11" t="s">
        <v>391</v>
      </c>
      <c r="D352" s="11" t="s">
        <v>5587</v>
      </c>
      <c r="E352" s="11" t="s">
        <v>39</v>
      </c>
      <c r="F352" s="11" t="s">
        <v>40</v>
      </c>
      <c r="G352" s="39">
        <v>43147.0</v>
      </c>
      <c r="H352" s="30">
        <f t="shared" si="22"/>
        <v>22</v>
      </c>
      <c r="I352" s="13"/>
      <c r="J352" s="30"/>
    </row>
    <row r="353">
      <c r="A353" s="13" t="s">
        <v>5791</v>
      </c>
      <c r="B353" s="10">
        <v>42491.0</v>
      </c>
      <c r="C353" s="11" t="s">
        <v>1393</v>
      </c>
      <c r="D353" s="11" t="s">
        <v>5597</v>
      </c>
      <c r="E353" s="11" t="s">
        <v>39</v>
      </c>
      <c r="F353" s="11" t="s">
        <v>40</v>
      </c>
      <c r="G353" s="39">
        <v>43149.0</v>
      </c>
      <c r="H353" s="30">
        <f t="shared" si="22"/>
        <v>22</v>
      </c>
      <c r="I353" s="13"/>
      <c r="J353" s="30"/>
    </row>
    <row r="354">
      <c r="A354" s="13" t="s">
        <v>5792</v>
      </c>
      <c r="B354" s="10">
        <v>42491.0</v>
      </c>
      <c r="C354" s="11" t="s">
        <v>512</v>
      </c>
      <c r="D354" s="11" t="s">
        <v>5589</v>
      </c>
      <c r="E354" s="11" t="s">
        <v>39</v>
      </c>
      <c r="F354" s="11" t="s">
        <v>40</v>
      </c>
      <c r="G354" s="39">
        <v>42854.0</v>
      </c>
      <c r="H354" s="30">
        <f t="shared" si="22"/>
        <v>12</v>
      </c>
      <c r="J354" s="30"/>
    </row>
    <row r="355">
      <c r="A355" s="13" t="s">
        <v>43</v>
      </c>
      <c r="B355" s="10">
        <v>42491.0</v>
      </c>
      <c r="C355" s="11" t="s">
        <v>47</v>
      </c>
      <c r="D355" s="11" t="s">
        <v>5592</v>
      </c>
      <c r="E355" s="11" t="s">
        <v>39</v>
      </c>
      <c r="F355" s="11" t="s">
        <v>40</v>
      </c>
      <c r="G355" s="39">
        <v>43147.0</v>
      </c>
      <c r="H355" s="30">
        <f t="shared" si="22"/>
        <v>22</v>
      </c>
      <c r="I355" s="13" t="s">
        <v>355</v>
      </c>
      <c r="J355" s="30"/>
    </row>
    <row r="356">
      <c r="A356" s="13" t="s">
        <v>5793</v>
      </c>
      <c r="B356" s="10">
        <v>42491.0</v>
      </c>
      <c r="C356" s="11" t="s">
        <v>5794</v>
      </c>
      <c r="D356" s="11" t="s">
        <v>5589</v>
      </c>
      <c r="E356" s="11" t="s">
        <v>39</v>
      </c>
      <c r="F356" s="11" t="s">
        <v>40</v>
      </c>
      <c r="G356" s="30"/>
      <c r="H356" s="30"/>
      <c r="I356" s="13" t="s">
        <v>5795</v>
      </c>
      <c r="J356" s="11">
        <v>1.0</v>
      </c>
    </row>
    <row r="357">
      <c r="A357" s="13" t="s">
        <v>5796</v>
      </c>
      <c r="B357" s="10">
        <v>42491.0</v>
      </c>
      <c r="C357" s="11" t="s">
        <v>878</v>
      </c>
      <c r="D357" s="11" t="s">
        <v>5592</v>
      </c>
      <c r="E357" s="11" t="s">
        <v>39</v>
      </c>
      <c r="F357" s="11" t="s">
        <v>64</v>
      </c>
      <c r="G357" s="39">
        <v>43186.0</v>
      </c>
      <c r="H357" s="30">
        <f t="shared" ref="H357:H360" si="23">ROUND(((G357-B357)/365)*12,0)</f>
        <v>23</v>
      </c>
      <c r="J357" s="30"/>
    </row>
    <row r="358">
      <c r="A358" s="13" t="s">
        <v>5797</v>
      </c>
      <c r="B358" s="10">
        <v>42491.0</v>
      </c>
      <c r="C358" s="11" t="s">
        <v>5798</v>
      </c>
      <c r="D358" s="11" t="s">
        <v>5587</v>
      </c>
      <c r="E358" s="11" t="s">
        <v>39</v>
      </c>
      <c r="F358" s="11" t="s">
        <v>40</v>
      </c>
      <c r="G358" s="39">
        <v>42810.0</v>
      </c>
      <c r="H358" s="30">
        <f t="shared" si="23"/>
        <v>10</v>
      </c>
      <c r="J358" s="30"/>
    </row>
    <row r="359">
      <c r="A359" s="13" t="s">
        <v>2402</v>
      </c>
      <c r="B359" s="10">
        <v>42489.0</v>
      </c>
      <c r="C359" s="11" t="s">
        <v>98</v>
      </c>
      <c r="D359" s="11" t="s">
        <v>5589</v>
      </c>
      <c r="E359" s="11" t="s">
        <v>39</v>
      </c>
      <c r="F359" s="11" t="s">
        <v>40</v>
      </c>
      <c r="G359" s="39">
        <v>42909.0</v>
      </c>
      <c r="H359" s="30">
        <f t="shared" si="23"/>
        <v>14</v>
      </c>
      <c r="J359" s="30"/>
    </row>
    <row r="360">
      <c r="A360" s="13" t="s">
        <v>2407</v>
      </c>
      <c r="B360" s="17">
        <v>42480.0</v>
      </c>
      <c r="C360" s="11" t="s">
        <v>2191</v>
      </c>
      <c r="D360" s="11" t="s">
        <v>5587</v>
      </c>
      <c r="E360" s="11" t="s">
        <v>39</v>
      </c>
      <c r="F360" s="11" t="s">
        <v>64</v>
      </c>
      <c r="G360" s="39">
        <v>43147.0</v>
      </c>
      <c r="H360" s="30">
        <f t="shared" si="23"/>
        <v>22</v>
      </c>
      <c r="J360" s="30"/>
    </row>
    <row r="361">
      <c r="A361" s="13" t="s">
        <v>5799</v>
      </c>
      <c r="B361" s="17">
        <v>42474.0</v>
      </c>
      <c r="C361" s="11" t="s">
        <v>637</v>
      </c>
      <c r="D361" s="11" t="s">
        <v>5592</v>
      </c>
      <c r="E361" s="11" t="s">
        <v>39</v>
      </c>
      <c r="F361" s="11" t="s">
        <v>40</v>
      </c>
      <c r="G361" s="30"/>
      <c r="H361" s="30"/>
      <c r="J361" s="11">
        <v>1.0</v>
      </c>
    </row>
    <row r="362">
      <c r="A362" s="13" t="s">
        <v>5800</v>
      </c>
      <c r="B362" s="10">
        <v>42466.0</v>
      </c>
      <c r="C362" s="11" t="s">
        <v>645</v>
      </c>
      <c r="D362" s="11" t="s">
        <v>5589</v>
      </c>
      <c r="E362" s="11" t="s">
        <v>39</v>
      </c>
      <c r="F362" s="11" t="s">
        <v>64</v>
      </c>
      <c r="G362" s="39">
        <v>42799.0</v>
      </c>
      <c r="H362" s="30">
        <f>ROUND(((G362-B362)/365)*12,0)</f>
        <v>11</v>
      </c>
      <c r="J362" s="30"/>
    </row>
    <row r="363">
      <c r="A363" s="13" t="s">
        <v>5801</v>
      </c>
      <c r="B363" s="10">
        <v>42461.0</v>
      </c>
      <c r="C363" s="11" t="s">
        <v>619</v>
      </c>
      <c r="D363" s="11" t="s">
        <v>5589</v>
      </c>
      <c r="E363" s="11" t="s">
        <v>39</v>
      </c>
      <c r="F363" s="11" t="s">
        <v>40</v>
      </c>
      <c r="G363" s="30"/>
      <c r="H363" s="30"/>
      <c r="J363" s="11">
        <v>1.0</v>
      </c>
    </row>
    <row r="364">
      <c r="A364" s="13" t="s">
        <v>2010</v>
      </c>
      <c r="B364" s="10">
        <v>42461.0</v>
      </c>
      <c r="C364" s="11" t="s">
        <v>179</v>
      </c>
      <c r="D364" s="11" t="s">
        <v>5587</v>
      </c>
      <c r="E364" s="11" t="s">
        <v>39</v>
      </c>
      <c r="F364" s="11" t="s">
        <v>40</v>
      </c>
      <c r="G364" s="39">
        <v>42853.0</v>
      </c>
      <c r="H364" s="30">
        <f t="shared" ref="H364:H375" si="24">ROUND(((G364-B364)/365)*12,0)</f>
        <v>13</v>
      </c>
      <c r="J364" s="30"/>
    </row>
    <row r="365">
      <c r="A365" s="13" t="s">
        <v>5802</v>
      </c>
      <c r="B365" s="10">
        <v>42461.0</v>
      </c>
      <c r="C365" s="11" t="s">
        <v>789</v>
      </c>
      <c r="D365" s="11" t="s">
        <v>5589</v>
      </c>
      <c r="E365" s="11" t="s">
        <v>39</v>
      </c>
      <c r="F365" s="11" t="s">
        <v>40</v>
      </c>
      <c r="G365" s="39">
        <v>42783.0</v>
      </c>
      <c r="H365" s="30">
        <f t="shared" si="24"/>
        <v>11</v>
      </c>
      <c r="I365" s="13"/>
      <c r="J365" s="30"/>
    </row>
    <row r="366">
      <c r="A366" s="13" t="s">
        <v>1539</v>
      </c>
      <c r="B366" s="10">
        <v>42460.0</v>
      </c>
      <c r="C366" s="11" t="s">
        <v>689</v>
      </c>
      <c r="D366" s="11" t="s">
        <v>5589</v>
      </c>
      <c r="E366" s="11" t="s">
        <v>39</v>
      </c>
      <c r="F366" s="11" t="s">
        <v>40</v>
      </c>
      <c r="G366" s="39">
        <v>42868.0</v>
      </c>
      <c r="H366" s="30">
        <f t="shared" si="24"/>
        <v>13</v>
      </c>
      <c r="I366" s="13" t="s">
        <v>761</v>
      </c>
      <c r="J366" s="30"/>
    </row>
    <row r="367">
      <c r="A367" s="13" t="s">
        <v>5803</v>
      </c>
      <c r="B367" s="10">
        <v>42445.0</v>
      </c>
      <c r="C367" s="11" t="s">
        <v>5804</v>
      </c>
      <c r="D367" s="11" t="s">
        <v>5587</v>
      </c>
      <c r="E367" s="11" t="s">
        <v>39</v>
      </c>
      <c r="F367" s="11" t="s">
        <v>40</v>
      </c>
      <c r="G367" s="39">
        <v>42797.0</v>
      </c>
      <c r="H367" s="30">
        <f t="shared" si="24"/>
        <v>12</v>
      </c>
      <c r="I367" s="13"/>
      <c r="J367" s="30"/>
    </row>
    <row r="368">
      <c r="A368" s="13" t="s">
        <v>2452</v>
      </c>
      <c r="B368" s="10">
        <v>42433.0</v>
      </c>
      <c r="C368" s="11" t="s">
        <v>2229</v>
      </c>
      <c r="D368" s="11" t="s">
        <v>5587</v>
      </c>
      <c r="E368" s="11" t="s">
        <v>39</v>
      </c>
      <c r="F368" s="11" t="s">
        <v>40</v>
      </c>
      <c r="G368" s="39">
        <v>43147.0</v>
      </c>
      <c r="H368" s="30">
        <f t="shared" si="24"/>
        <v>23</v>
      </c>
      <c r="I368" s="13" t="s">
        <v>355</v>
      </c>
      <c r="J368" s="30"/>
    </row>
    <row r="369">
      <c r="A369" s="13" t="s">
        <v>4670</v>
      </c>
      <c r="B369" s="10">
        <v>42430.0</v>
      </c>
      <c r="C369" s="11" t="s">
        <v>47</v>
      </c>
      <c r="D369" s="11" t="s">
        <v>5589</v>
      </c>
      <c r="E369" s="11" t="s">
        <v>39</v>
      </c>
      <c r="F369" s="11" t="s">
        <v>40</v>
      </c>
      <c r="G369" s="39">
        <v>43166.0</v>
      </c>
      <c r="H369" s="30">
        <f t="shared" si="24"/>
        <v>24</v>
      </c>
      <c r="J369" s="30"/>
    </row>
    <row r="370">
      <c r="A370" s="13" t="s">
        <v>2457</v>
      </c>
      <c r="B370" s="10">
        <v>42430.0</v>
      </c>
      <c r="C370" s="11" t="s">
        <v>262</v>
      </c>
      <c r="D370" s="11" t="s">
        <v>5589</v>
      </c>
      <c r="E370" s="11" t="s">
        <v>39</v>
      </c>
      <c r="F370" s="11" t="s">
        <v>40</v>
      </c>
      <c r="G370" s="39">
        <v>42804.0</v>
      </c>
      <c r="H370" s="30">
        <f t="shared" si="24"/>
        <v>12</v>
      </c>
      <c r="J370" s="30"/>
    </row>
    <row r="371">
      <c r="A371" s="13" t="s">
        <v>2455</v>
      </c>
      <c r="B371" s="17">
        <v>42430.0</v>
      </c>
      <c r="C371" s="11" t="s">
        <v>864</v>
      </c>
      <c r="D371" s="11" t="s">
        <v>5587</v>
      </c>
      <c r="E371" s="11" t="s">
        <v>39</v>
      </c>
      <c r="F371" s="11" t="s">
        <v>40</v>
      </c>
      <c r="G371" s="39">
        <v>42785.0</v>
      </c>
      <c r="H371" s="30">
        <f t="shared" si="24"/>
        <v>12</v>
      </c>
      <c r="J371" s="30"/>
    </row>
    <row r="372">
      <c r="A372" s="13" t="s">
        <v>5805</v>
      </c>
      <c r="B372" s="17">
        <v>42430.0</v>
      </c>
      <c r="C372" s="11" t="s">
        <v>46</v>
      </c>
      <c r="D372" s="11" t="s">
        <v>5597</v>
      </c>
      <c r="E372" s="11" t="s">
        <v>39</v>
      </c>
      <c r="F372" s="11" t="s">
        <v>40</v>
      </c>
      <c r="G372" s="39">
        <v>42783.0</v>
      </c>
      <c r="H372" s="30">
        <f t="shared" si="24"/>
        <v>12</v>
      </c>
      <c r="I372" s="13"/>
      <c r="J372" s="30"/>
    </row>
    <row r="373">
      <c r="A373" s="13" t="s">
        <v>2462</v>
      </c>
      <c r="B373" s="17">
        <v>42430.0</v>
      </c>
      <c r="C373" s="11" t="s">
        <v>1746</v>
      </c>
      <c r="D373" s="11" t="s">
        <v>5587</v>
      </c>
      <c r="E373" s="11" t="s">
        <v>39</v>
      </c>
      <c r="F373" s="11" t="s">
        <v>64</v>
      </c>
      <c r="G373" s="39">
        <v>42783.0</v>
      </c>
      <c r="H373" s="30">
        <f t="shared" si="24"/>
        <v>12</v>
      </c>
      <c r="I373" s="13"/>
      <c r="J373" s="30"/>
    </row>
    <row r="374">
      <c r="A374" s="13" t="s">
        <v>2464</v>
      </c>
      <c r="B374" s="17">
        <v>42423.0</v>
      </c>
      <c r="C374" s="11" t="s">
        <v>173</v>
      </c>
      <c r="D374" s="11" t="s">
        <v>5589</v>
      </c>
      <c r="E374" s="11" t="s">
        <v>39</v>
      </c>
      <c r="F374" s="11" t="s">
        <v>64</v>
      </c>
      <c r="G374" s="39">
        <v>42789.0</v>
      </c>
      <c r="H374" s="30">
        <f t="shared" si="24"/>
        <v>12</v>
      </c>
      <c r="I374" s="13"/>
      <c r="J374" s="30"/>
    </row>
    <row r="375">
      <c r="A375" s="13" t="s">
        <v>2466</v>
      </c>
      <c r="B375" s="17">
        <v>42413.0</v>
      </c>
      <c r="C375" s="11" t="s">
        <v>2467</v>
      </c>
      <c r="D375" s="11" t="s">
        <v>5592</v>
      </c>
      <c r="E375" s="11" t="s">
        <v>39</v>
      </c>
      <c r="F375" s="11" t="s">
        <v>40</v>
      </c>
      <c r="G375" s="39">
        <v>43148.0</v>
      </c>
      <c r="H375" s="30">
        <f t="shared" si="24"/>
        <v>24</v>
      </c>
      <c r="I375" s="13"/>
      <c r="J375" s="30"/>
    </row>
    <row r="376">
      <c r="A376" s="13" t="s">
        <v>2469</v>
      </c>
      <c r="B376" s="17">
        <v>42401.0</v>
      </c>
      <c r="C376" s="11" t="s">
        <v>3556</v>
      </c>
      <c r="D376" s="11" t="s">
        <v>5589</v>
      </c>
      <c r="E376" s="11" t="s">
        <v>39</v>
      </c>
      <c r="F376" s="11" t="s">
        <v>40</v>
      </c>
      <c r="G376" s="39"/>
      <c r="H376" s="30"/>
      <c r="I376" s="13"/>
      <c r="J376" s="11">
        <v>1.0</v>
      </c>
    </row>
    <row r="377">
      <c r="A377" s="13" t="s">
        <v>5806</v>
      </c>
      <c r="B377" s="17">
        <v>42388.0</v>
      </c>
      <c r="C377" s="11" t="s">
        <v>2621</v>
      </c>
      <c r="D377" s="11" t="s">
        <v>5587</v>
      </c>
      <c r="E377" s="11" t="s">
        <v>39</v>
      </c>
      <c r="F377" s="11" t="s">
        <v>40</v>
      </c>
      <c r="G377" s="39">
        <v>42783.0</v>
      </c>
      <c r="H377" s="30">
        <f>ROUND(((G377-B377)/365)*12,0)</f>
        <v>13</v>
      </c>
      <c r="I377" s="13" t="s">
        <v>5807</v>
      </c>
      <c r="J377" s="30"/>
    </row>
    <row r="378">
      <c r="A378" s="13" t="s">
        <v>2488</v>
      </c>
      <c r="B378" s="17">
        <v>42370.0</v>
      </c>
      <c r="C378" s="11" t="s">
        <v>262</v>
      </c>
      <c r="D378" s="11" t="s">
        <v>5587</v>
      </c>
      <c r="E378" s="11" t="s">
        <v>39</v>
      </c>
      <c r="F378" s="11" t="s">
        <v>64</v>
      </c>
      <c r="G378" s="39">
        <v>43271.0</v>
      </c>
      <c r="H378" s="30"/>
      <c r="J378" s="30"/>
    </row>
    <row r="379">
      <c r="A379" s="13" t="s">
        <v>5808</v>
      </c>
      <c r="B379" s="17">
        <v>42370.0</v>
      </c>
      <c r="C379" s="11" t="s">
        <v>771</v>
      </c>
      <c r="D379" s="11" t="s">
        <v>5592</v>
      </c>
      <c r="E379" s="11" t="s">
        <v>39</v>
      </c>
      <c r="F379" s="11" t="s">
        <v>40</v>
      </c>
      <c r="G379" s="39">
        <v>42842.0</v>
      </c>
      <c r="H379" s="30"/>
      <c r="J379" s="30"/>
    </row>
    <row r="380">
      <c r="A380" s="13" t="s">
        <v>2493</v>
      </c>
      <c r="B380" s="17">
        <v>42370.0</v>
      </c>
      <c r="C380" s="11" t="s">
        <v>2467</v>
      </c>
      <c r="D380" s="11" t="s">
        <v>5589</v>
      </c>
      <c r="E380" s="11" t="s">
        <v>39</v>
      </c>
      <c r="F380" s="11" t="s">
        <v>40</v>
      </c>
      <c r="G380" s="39">
        <v>42783.0</v>
      </c>
      <c r="H380" s="30"/>
      <c r="J380" s="30"/>
    </row>
    <row r="381">
      <c r="A381" s="13" t="s">
        <v>2521</v>
      </c>
      <c r="B381" s="17">
        <v>42370.0</v>
      </c>
      <c r="C381" s="11" t="s">
        <v>637</v>
      </c>
      <c r="D381" s="11" t="s">
        <v>5592</v>
      </c>
      <c r="E381" s="11" t="s">
        <v>39</v>
      </c>
      <c r="F381" s="11" t="s">
        <v>64</v>
      </c>
      <c r="G381" s="39">
        <v>43148.0</v>
      </c>
      <c r="H381" s="30"/>
      <c r="J381" s="30"/>
    </row>
    <row r="382">
      <c r="A382" s="13" t="s">
        <v>2499</v>
      </c>
      <c r="B382" s="17">
        <v>42370.0</v>
      </c>
      <c r="C382" s="11" t="s">
        <v>1746</v>
      </c>
      <c r="D382" s="11" t="s">
        <v>5589</v>
      </c>
      <c r="E382" s="11" t="s">
        <v>39</v>
      </c>
      <c r="F382" s="11" t="s">
        <v>40</v>
      </c>
      <c r="G382" s="39">
        <v>43284.0</v>
      </c>
      <c r="H382" s="30"/>
      <c r="J382" s="11"/>
    </row>
    <row r="383">
      <c r="A383" s="13" t="s">
        <v>2522</v>
      </c>
      <c r="B383" s="17">
        <v>42370.0</v>
      </c>
      <c r="C383" s="11" t="s">
        <v>2428</v>
      </c>
      <c r="D383" s="11" t="s">
        <v>5589</v>
      </c>
      <c r="E383" s="11" t="s">
        <v>982</v>
      </c>
      <c r="F383" s="11" t="s">
        <v>40</v>
      </c>
      <c r="G383" s="39">
        <v>42783.0</v>
      </c>
      <c r="H383" s="30"/>
      <c r="J383" s="11"/>
    </row>
    <row r="384">
      <c r="A384" s="13" t="s">
        <v>5809</v>
      </c>
      <c r="B384" s="17">
        <v>42370.0</v>
      </c>
      <c r="C384" s="11" t="s">
        <v>179</v>
      </c>
      <c r="D384" s="11" t="s">
        <v>5592</v>
      </c>
      <c r="E384" s="11" t="s">
        <v>39</v>
      </c>
      <c r="F384" s="11" t="s">
        <v>64</v>
      </c>
      <c r="G384" s="30"/>
      <c r="H384" s="30"/>
      <c r="J384" s="11">
        <v>1.0</v>
      </c>
    </row>
    <row r="385">
      <c r="A385" s="13" t="s">
        <v>2543</v>
      </c>
      <c r="B385" s="17">
        <v>42370.0</v>
      </c>
      <c r="C385" s="11" t="s">
        <v>5810</v>
      </c>
      <c r="D385" s="11" t="s">
        <v>5597</v>
      </c>
      <c r="E385" s="11" t="s">
        <v>39</v>
      </c>
      <c r="F385" s="11" t="s">
        <v>40</v>
      </c>
      <c r="G385" s="39"/>
      <c r="H385" s="30"/>
      <c r="J385" s="11">
        <v>1.0</v>
      </c>
    </row>
    <row r="386">
      <c r="A386" s="13" t="s">
        <v>2576</v>
      </c>
      <c r="B386" s="17">
        <v>42370.0</v>
      </c>
      <c r="C386" s="11" t="s">
        <v>517</v>
      </c>
      <c r="D386" s="11" t="s">
        <v>5587</v>
      </c>
      <c r="E386" s="11" t="s">
        <v>39</v>
      </c>
      <c r="F386" s="11" t="s">
        <v>40</v>
      </c>
      <c r="G386" s="39">
        <v>42785.0</v>
      </c>
      <c r="H386" s="30"/>
      <c r="J386" s="30"/>
    </row>
    <row r="387">
      <c r="A387" s="13" t="s">
        <v>2535</v>
      </c>
      <c r="B387" s="17">
        <v>42370.0</v>
      </c>
      <c r="C387" s="11" t="s">
        <v>517</v>
      </c>
      <c r="D387" s="11" t="s">
        <v>5589</v>
      </c>
      <c r="E387" s="11" t="s">
        <v>39</v>
      </c>
      <c r="F387" s="11" t="s">
        <v>40</v>
      </c>
      <c r="G387" s="39">
        <v>42784.0</v>
      </c>
      <c r="H387" s="30"/>
      <c r="J387" s="30"/>
    </row>
    <row r="388">
      <c r="A388" s="13" t="s">
        <v>2503</v>
      </c>
      <c r="B388" s="17">
        <v>42370.0</v>
      </c>
      <c r="C388" s="11" t="s">
        <v>2504</v>
      </c>
      <c r="D388" s="11" t="s">
        <v>5587</v>
      </c>
      <c r="E388" s="11" t="s">
        <v>39</v>
      </c>
      <c r="F388" s="11" t="s">
        <v>40</v>
      </c>
      <c r="G388" s="39">
        <v>42783.0</v>
      </c>
      <c r="H388" s="30"/>
      <c r="J388" s="30"/>
    </row>
    <row r="389">
      <c r="A389" s="13" t="s">
        <v>2281</v>
      </c>
      <c r="B389" s="17">
        <v>42370.0</v>
      </c>
      <c r="C389" s="11" t="s">
        <v>735</v>
      </c>
      <c r="D389" s="11" t="s">
        <v>5587</v>
      </c>
      <c r="E389" s="11" t="s">
        <v>39</v>
      </c>
      <c r="F389" s="11" t="s">
        <v>64</v>
      </c>
      <c r="G389" s="39">
        <v>43147.0</v>
      </c>
      <c r="H389" s="30"/>
      <c r="J389" s="30"/>
    </row>
    <row r="390">
      <c r="A390" s="13" t="s">
        <v>5811</v>
      </c>
      <c r="B390" s="17">
        <v>42370.0</v>
      </c>
      <c r="C390" s="11" t="s">
        <v>3520</v>
      </c>
      <c r="D390" s="11" t="s">
        <v>5589</v>
      </c>
      <c r="E390" s="11" t="s">
        <v>39</v>
      </c>
      <c r="F390" s="11" t="s">
        <v>40</v>
      </c>
      <c r="G390" s="30"/>
      <c r="H390" s="30"/>
      <c r="J390" s="11">
        <v>1.0</v>
      </c>
    </row>
    <row r="391">
      <c r="A391" s="13" t="s">
        <v>5812</v>
      </c>
      <c r="B391" s="10">
        <v>42370.0</v>
      </c>
      <c r="C391" s="11" t="s">
        <v>775</v>
      </c>
      <c r="D391" s="11" t="s">
        <v>5587</v>
      </c>
      <c r="E391" s="11" t="s">
        <v>39</v>
      </c>
      <c r="F391" s="11" t="s">
        <v>40</v>
      </c>
      <c r="G391" s="30"/>
      <c r="H391" s="30"/>
      <c r="J391" s="11">
        <v>1.0</v>
      </c>
    </row>
    <row r="392">
      <c r="A392" s="13" t="s">
        <v>5813</v>
      </c>
      <c r="B392" s="17">
        <v>42370.0</v>
      </c>
      <c r="C392" s="11" t="s">
        <v>170</v>
      </c>
      <c r="D392" s="11" t="s">
        <v>5587</v>
      </c>
      <c r="E392" s="11" t="s">
        <v>39</v>
      </c>
      <c r="F392" s="11" t="s">
        <v>40</v>
      </c>
      <c r="G392" s="39">
        <v>42836.0</v>
      </c>
      <c r="H392" s="30"/>
      <c r="J392" s="30"/>
    </row>
    <row r="393">
      <c r="A393" s="13" t="s">
        <v>628</v>
      </c>
      <c r="B393" s="17">
        <v>42370.0</v>
      </c>
      <c r="C393" s="11" t="s">
        <v>379</v>
      </c>
      <c r="D393" s="11" t="s">
        <v>5592</v>
      </c>
      <c r="E393" s="11" t="s">
        <v>39</v>
      </c>
      <c r="F393" s="11" t="s">
        <v>40</v>
      </c>
      <c r="G393" s="39">
        <v>43156.0</v>
      </c>
      <c r="H393" s="30"/>
      <c r="J393" s="30"/>
    </row>
    <row r="394">
      <c r="A394" s="13" t="s">
        <v>5814</v>
      </c>
      <c r="B394" s="17">
        <v>42370.0</v>
      </c>
      <c r="C394" s="11" t="s">
        <v>963</v>
      </c>
      <c r="D394" s="11" t="s">
        <v>5587</v>
      </c>
      <c r="E394" s="11" t="s">
        <v>39</v>
      </c>
      <c r="F394" s="11" t="s">
        <v>40</v>
      </c>
      <c r="G394" s="39">
        <v>43149.0</v>
      </c>
      <c r="H394" s="30"/>
      <c r="J394" s="30"/>
    </row>
    <row r="395">
      <c r="A395" s="13" t="s">
        <v>5815</v>
      </c>
      <c r="B395" s="17">
        <v>42370.0</v>
      </c>
      <c r="C395" s="11" t="s">
        <v>4160</v>
      </c>
      <c r="D395" s="11" t="s">
        <v>5589</v>
      </c>
      <c r="E395" s="11" t="s">
        <v>39</v>
      </c>
      <c r="F395" s="11" t="s">
        <v>64</v>
      </c>
      <c r="G395" s="39">
        <v>43158.0</v>
      </c>
      <c r="H395" s="30"/>
      <c r="J395" s="30"/>
    </row>
    <row r="396">
      <c r="A396" s="13" t="s">
        <v>5816</v>
      </c>
      <c r="B396" s="17">
        <v>42314.0</v>
      </c>
      <c r="C396" s="11" t="s">
        <v>637</v>
      </c>
      <c r="D396" s="11" t="s">
        <v>5592</v>
      </c>
      <c r="E396" s="11" t="s">
        <v>39</v>
      </c>
      <c r="F396" s="11" t="s">
        <v>40</v>
      </c>
      <c r="G396" s="39">
        <v>42785.0</v>
      </c>
      <c r="H396" s="30">
        <f t="shared" ref="H396:H397" si="25">ROUND(((G396-B396)/365)*12,0)</f>
        <v>15</v>
      </c>
      <c r="J396" s="30"/>
    </row>
    <row r="397">
      <c r="A397" s="13" t="s">
        <v>516</v>
      </c>
      <c r="B397" s="10">
        <v>42306.0</v>
      </c>
      <c r="C397" s="11" t="s">
        <v>517</v>
      </c>
      <c r="D397" s="11" t="s">
        <v>5592</v>
      </c>
      <c r="E397" s="11" t="s">
        <v>39</v>
      </c>
      <c r="F397" s="11" t="s">
        <v>64</v>
      </c>
      <c r="G397" s="39">
        <v>42784.0</v>
      </c>
      <c r="H397" s="30">
        <f t="shared" si="25"/>
        <v>16</v>
      </c>
      <c r="J397" s="30"/>
    </row>
    <row r="398">
      <c r="A398" s="13" t="s">
        <v>5817</v>
      </c>
      <c r="B398" s="17">
        <v>42278.0</v>
      </c>
      <c r="C398" s="11" t="s">
        <v>517</v>
      </c>
      <c r="D398" s="11" t="s">
        <v>5592</v>
      </c>
      <c r="E398" s="11" t="s">
        <v>39</v>
      </c>
      <c r="F398" s="11" t="s">
        <v>40</v>
      </c>
      <c r="G398" s="30"/>
      <c r="H398" s="30"/>
      <c r="J398" s="11">
        <v>1.0</v>
      </c>
    </row>
    <row r="399">
      <c r="A399" s="13" t="s">
        <v>2568</v>
      </c>
      <c r="B399" s="10">
        <v>42285.0</v>
      </c>
      <c r="C399" s="11" t="s">
        <v>133</v>
      </c>
      <c r="D399" s="11" t="s">
        <v>5592</v>
      </c>
      <c r="E399" s="11" t="s">
        <v>39</v>
      </c>
      <c r="F399" s="11" t="s">
        <v>64</v>
      </c>
      <c r="G399" s="39">
        <v>42790.0</v>
      </c>
      <c r="H399" s="30">
        <f t="shared" ref="H399:H434" si="26">ROUND(((G399-B399)/365)*12,0)</f>
        <v>17</v>
      </c>
      <c r="J399" s="30"/>
    </row>
    <row r="400">
      <c r="A400" s="13" t="s">
        <v>5818</v>
      </c>
      <c r="B400" s="10">
        <v>42275.0</v>
      </c>
      <c r="C400" s="11" t="s">
        <v>5819</v>
      </c>
      <c r="D400" s="11" t="s">
        <v>5592</v>
      </c>
      <c r="E400" s="11" t="s">
        <v>104</v>
      </c>
      <c r="F400" s="11" t="s">
        <v>40</v>
      </c>
      <c r="G400" s="39">
        <v>42783.0</v>
      </c>
      <c r="H400" s="30">
        <f t="shared" si="26"/>
        <v>17</v>
      </c>
      <c r="I400" s="13" t="s">
        <v>761</v>
      </c>
      <c r="J400" s="30"/>
    </row>
    <row r="401">
      <c r="A401" s="13" t="s">
        <v>2599</v>
      </c>
      <c r="B401" s="10">
        <v>42235.0</v>
      </c>
      <c r="C401" s="11" t="s">
        <v>208</v>
      </c>
      <c r="D401" s="11" t="s">
        <v>5587</v>
      </c>
      <c r="E401" s="11" t="s">
        <v>39</v>
      </c>
      <c r="F401" s="11" t="s">
        <v>64</v>
      </c>
      <c r="G401" s="39">
        <v>42792.0</v>
      </c>
      <c r="H401" s="30">
        <f t="shared" si="26"/>
        <v>18</v>
      </c>
      <c r="J401" s="30"/>
    </row>
    <row r="402">
      <c r="A402" s="13" t="s">
        <v>755</v>
      </c>
      <c r="B402" s="10">
        <v>42221.0</v>
      </c>
      <c r="C402" s="11" t="s">
        <v>140</v>
      </c>
      <c r="D402" s="11" t="s">
        <v>5589</v>
      </c>
      <c r="E402" s="11" t="s">
        <v>39</v>
      </c>
      <c r="F402" s="11" t="s">
        <v>40</v>
      </c>
      <c r="G402" s="39">
        <v>42558.0</v>
      </c>
      <c r="H402" s="30">
        <f t="shared" si="26"/>
        <v>11</v>
      </c>
      <c r="I402" s="13" t="s">
        <v>69</v>
      </c>
      <c r="J402" s="30"/>
    </row>
    <row r="403">
      <c r="A403" s="13" t="s">
        <v>2633</v>
      </c>
      <c r="B403" s="10">
        <v>42201.0</v>
      </c>
      <c r="C403" s="11" t="s">
        <v>735</v>
      </c>
      <c r="D403" s="11" t="s">
        <v>5589</v>
      </c>
      <c r="E403" s="11" t="s">
        <v>39</v>
      </c>
      <c r="F403" s="11" t="s">
        <v>40</v>
      </c>
      <c r="G403" s="39">
        <v>42886.0</v>
      </c>
      <c r="H403" s="30">
        <f t="shared" si="26"/>
        <v>23</v>
      </c>
      <c r="J403" s="30"/>
    </row>
    <row r="404">
      <c r="A404" s="48" t="s">
        <v>2645</v>
      </c>
      <c r="B404" s="10">
        <v>42186.0</v>
      </c>
      <c r="C404" s="11" t="s">
        <v>46</v>
      </c>
      <c r="D404" s="11" t="s">
        <v>5592</v>
      </c>
      <c r="E404" s="11" t="s">
        <v>660</v>
      </c>
      <c r="F404" s="11" t="s">
        <v>64</v>
      </c>
      <c r="G404" s="39">
        <v>42419.0</v>
      </c>
      <c r="H404" s="30">
        <f t="shared" si="26"/>
        <v>8</v>
      </c>
      <c r="J404" s="30"/>
    </row>
    <row r="405">
      <c r="A405" s="48" t="s">
        <v>5820</v>
      </c>
      <c r="B405" s="10">
        <v>42186.0</v>
      </c>
      <c r="C405" s="11" t="s">
        <v>179</v>
      </c>
      <c r="D405" s="11" t="s">
        <v>5592</v>
      </c>
      <c r="E405" s="11" t="s">
        <v>39</v>
      </c>
      <c r="F405" s="11" t="s">
        <v>40</v>
      </c>
      <c r="G405" s="39">
        <v>42785.0</v>
      </c>
      <c r="H405" s="30">
        <f t="shared" si="26"/>
        <v>20</v>
      </c>
      <c r="J405" s="30"/>
    </row>
    <row r="406">
      <c r="A406" s="48" t="s">
        <v>2659</v>
      </c>
      <c r="B406" s="10">
        <v>42178.0</v>
      </c>
      <c r="C406" s="11" t="s">
        <v>654</v>
      </c>
      <c r="D406" s="11" t="s">
        <v>5587</v>
      </c>
      <c r="E406" s="11" t="s">
        <v>39</v>
      </c>
      <c r="F406" s="11" t="s">
        <v>40</v>
      </c>
      <c r="G406" s="39">
        <v>42783.0</v>
      </c>
      <c r="H406" s="30">
        <f t="shared" si="26"/>
        <v>20</v>
      </c>
      <c r="J406" s="30"/>
    </row>
    <row r="407">
      <c r="A407" s="13" t="s">
        <v>2680</v>
      </c>
      <c r="B407" s="17">
        <v>42157.0</v>
      </c>
      <c r="C407" s="11" t="s">
        <v>173</v>
      </c>
      <c r="D407" s="11" t="s">
        <v>5592</v>
      </c>
      <c r="E407" s="11" t="s">
        <v>39</v>
      </c>
      <c r="F407" s="11" t="s">
        <v>40</v>
      </c>
      <c r="G407" s="39">
        <v>42801.0</v>
      </c>
      <c r="H407" s="30">
        <f t="shared" si="26"/>
        <v>21</v>
      </c>
      <c r="I407" s="13" t="s">
        <v>761</v>
      </c>
      <c r="J407" s="30"/>
    </row>
    <row r="408">
      <c r="A408" s="13" t="s">
        <v>5821</v>
      </c>
      <c r="B408" s="17">
        <v>42157.0</v>
      </c>
      <c r="C408" s="11" t="s">
        <v>133</v>
      </c>
      <c r="D408" s="11" t="s">
        <v>5587</v>
      </c>
      <c r="E408" s="11" t="s">
        <v>39</v>
      </c>
      <c r="F408" s="11" t="s">
        <v>40</v>
      </c>
      <c r="G408" s="39">
        <v>42792.0</v>
      </c>
      <c r="H408" s="30">
        <f t="shared" si="26"/>
        <v>21</v>
      </c>
      <c r="J408" s="30"/>
    </row>
    <row r="409">
      <c r="A409" s="13" t="s">
        <v>2690</v>
      </c>
      <c r="B409" s="10">
        <v>42151.0</v>
      </c>
      <c r="C409" s="11" t="s">
        <v>925</v>
      </c>
      <c r="D409" s="11" t="s">
        <v>5589</v>
      </c>
      <c r="E409" s="11" t="s">
        <v>39</v>
      </c>
      <c r="F409" s="11" t="s">
        <v>40</v>
      </c>
      <c r="G409" s="39">
        <v>42581.0</v>
      </c>
      <c r="H409" s="30">
        <f t="shared" si="26"/>
        <v>14</v>
      </c>
      <c r="J409" s="30"/>
    </row>
    <row r="410">
      <c r="A410" s="13" t="s">
        <v>5822</v>
      </c>
      <c r="B410" s="10">
        <v>42137.0</v>
      </c>
      <c r="C410" s="11" t="s">
        <v>5823</v>
      </c>
      <c r="D410" s="11" t="s">
        <v>5587</v>
      </c>
      <c r="E410" s="11" t="s">
        <v>39</v>
      </c>
      <c r="F410" s="11" t="s">
        <v>40</v>
      </c>
      <c r="G410" s="39">
        <v>42781.0</v>
      </c>
      <c r="H410" s="30">
        <f t="shared" si="26"/>
        <v>21</v>
      </c>
      <c r="J410" s="30"/>
    </row>
    <row r="411">
      <c r="A411" s="13" t="s">
        <v>5824</v>
      </c>
      <c r="B411" s="10">
        <v>42128.0</v>
      </c>
      <c r="C411" s="11" t="s">
        <v>1638</v>
      </c>
      <c r="D411" s="11" t="s">
        <v>5589</v>
      </c>
      <c r="E411" s="11" t="s">
        <v>39</v>
      </c>
      <c r="F411" s="11" t="s">
        <v>40</v>
      </c>
      <c r="G411" s="39">
        <v>42784.0</v>
      </c>
      <c r="H411" s="30">
        <f t="shared" si="26"/>
        <v>22</v>
      </c>
      <c r="I411" s="13" t="s">
        <v>5825</v>
      </c>
      <c r="J411" s="30"/>
    </row>
    <row r="412">
      <c r="A412" s="13" t="s">
        <v>5826</v>
      </c>
      <c r="B412" s="10">
        <v>42125.0</v>
      </c>
      <c r="C412" s="11" t="s">
        <v>262</v>
      </c>
      <c r="D412" s="11" t="s">
        <v>5592</v>
      </c>
      <c r="E412" s="11" t="s">
        <v>39</v>
      </c>
      <c r="F412" s="11" t="s">
        <v>40</v>
      </c>
      <c r="G412" s="39">
        <v>42809.0</v>
      </c>
      <c r="H412" s="30">
        <f t="shared" si="26"/>
        <v>22</v>
      </c>
      <c r="J412" s="30"/>
    </row>
    <row r="413">
      <c r="A413" s="13" t="s">
        <v>2715</v>
      </c>
      <c r="B413" s="10">
        <v>42125.0</v>
      </c>
      <c r="C413" s="11" t="s">
        <v>46</v>
      </c>
      <c r="D413" s="11" t="s">
        <v>5592</v>
      </c>
      <c r="E413" s="11" t="s">
        <v>39</v>
      </c>
      <c r="F413" s="11" t="s">
        <v>40</v>
      </c>
      <c r="G413" s="39">
        <v>42787.0</v>
      </c>
      <c r="H413" s="30">
        <f t="shared" si="26"/>
        <v>22</v>
      </c>
      <c r="J413" s="30"/>
    </row>
    <row r="414">
      <c r="A414" s="13" t="s">
        <v>5827</v>
      </c>
      <c r="B414" s="17">
        <v>42125.0</v>
      </c>
      <c r="C414" s="11" t="s">
        <v>349</v>
      </c>
      <c r="D414" s="11" t="s">
        <v>5587</v>
      </c>
      <c r="E414" s="11" t="s">
        <v>39</v>
      </c>
      <c r="F414" s="11" t="s">
        <v>40</v>
      </c>
      <c r="G414" s="39">
        <v>42505.0</v>
      </c>
      <c r="H414" s="30">
        <f t="shared" si="26"/>
        <v>12</v>
      </c>
      <c r="J414" s="30"/>
    </row>
    <row r="415">
      <c r="A415" s="13" t="s">
        <v>2760</v>
      </c>
      <c r="B415" s="10">
        <v>42095.0</v>
      </c>
      <c r="C415" s="11" t="s">
        <v>613</v>
      </c>
      <c r="D415" s="11" t="s">
        <v>5587</v>
      </c>
      <c r="E415" s="11" t="s">
        <v>39</v>
      </c>
      <c r="F415" s="11" t="s">
        <v>40</v>
      </c>
      <c r="G415" s="39">
        <v>42784.0</v>
      </c>
      <c r="H415" s="30">
        <f t="shared" si="26"/>
        <v>23</v>
      </c>
      <c r="I415" s="13" t="s">
        <v>761</v>
      </c>
      <c r="J415" s="30"/>
    </row>
    <row r="416">
      <c r="A416" s="13" t="s">
        <v>2731</v>
      </c>
      <c r="B416" s="10">
        <v>42108.0</v>
      </c>
      <c r="C416" s="11" t="s">
        <v>127</v>
      </c>
      <c r="D416" s="11" t="s">
        <v>5589</v>
      </c>
      <c r="E416" s="11" t="s">
        <v>39</v>
      </c>
      <c r="F416" s="11" t="s">
        <v>40</v>
      </c>
      <c r="G416" s="39">
        <v>42538.0</v>
      </c>
      <c r="H416" s="30">
        <f t="shared" si="26"/>
        <v>14</v>
      </c>
      <c r="I416" s="13" t="s">
        <v>761</v>
      </c>
      <c r="J416" s="30"/>
    </row>
    <row r="417">
      <c r="A417" s="13" t="s">
        <v>2733</v>
      </c>
      <c r="B417" s="10">
        <v>42108.0</v>
      </c>
      <c r="C417" s="11" t="s">
        <v>999</v>
      </c>
      <c r="D417" s="11" t="s">
        <v>5589</v>
      </c>
      <c r="E417" s="11" t="s">
        <v>39</v>
      </c>
      <c r="F417" s="11" t="s">
        <v>40</v>
      </c>
      <c r="G417" s="39">
        <v>42538.0</v>
      </c>
      <c r="H417" s="30">
        <f t="shared" si="26"/>
        <v>14</v>
      </c>
      <c r="J417" s="30"/>
    </row>
    <row r="418">
      <c r="A418" s="13" t="s">
        <v>2752</v>
      </c>
      <c r="B418" s="10">
        <v>42100.0</v>
      </c>
      <c r="C418" s="11" t="s">
        <v>682</v>
      </c>
      <c r="D418" s="11" t="s">
        <v>5589</v>
      </c>
      <c r="E418" s="11" t="s">
        <v>39</v>
      </c>
      <c r="F418" s="11" t="s">
        <v>40</v>
      </c>
      <c r="G418" s="39">
        <v>42578.0</v>
      </c>
      <c r="H418" s="30">
        <f t="shared" si="26"/>
        <v>16</v>
      </c>
      <c r="J418" s="30"/>
    </row>
    <row r="419">
      <c r="A419" s="13" t="s">
        <v>2767</v>
      </c>
      <c r="B419" s="17">
        <v>42095.0</v>
      </c>
      <c r="C419" s="11" t="s">
        <v>173</v>
      </c>
      <c r="D419" s="11" t="s">
        <v>5587</v>
      </c>
      <c r="E419" s="11" t="s">
        <v>39</v>
      </c>
      <c r="F419" s="11" t="s">
        <v>40</v>
      </c>
      <c r="G419" s="39">
        <v>42784.0</v>
      </c>
      <c r="H419" s="30">
        <f t="shared" si="26"/>
        <v>23</v>
      </c>
      <c r="I419" s="13" t="s">
        <v>761</v>
      </c>
      <c r="J419" s="30"/>
    </row>
    <row r="420">
      <c r="A420" s="13" t="s">
        <v>5828</v>
      </c>
      <c r="B420" s="10">
        <v>42095.0</v>
      </c>
      <c r="C420" s="11" t="s">
        <v>294</v>
      </c>
      <c r="D420" s="11" t="s">
        <v>5587</v>
      </c>
      <c r="E420" s="11" t="s">
        <v>39</v>
      </c>
      <c r="F420" s="11" t="s">
        <v>40</v>
      </c>
      <c r="G420" s="39">
        <v>42784.0</v>
      </c>
      <c r="H420" s="30">
        <f t="shared" si="26"/>
        <v>23</v>
      </c>
      <c r="J420" s="30"/>
    </row>
    <row r="421">
      <c r="A421" s="13" t="s">
        <v>2764</v>
      </c>
      <c r="B421" s="10">
        <v>42095.0</v>
      </c>
      <c r="C421" s="11" t="s">
        <v>2765</v>
      </c>
      <c r="D421" s="11" t="s">
        <v>5587</v>
      </c>
      <c r="E421" s="11" t="s">
        <v>39</v>
      </c>
      <c r="F421" s="11" t="s">
        <v>64</v>
      </c>
      <c r="G421" s="39">
        <v>42785.0</v>
      </c>
      <c r="H421" s="30">
        <f t="shared" si="26"/>
        <v>23</v>
      </c>
      <c r="J421" s="30"/>
    </row>
    <row r="422">
      <c r="A422" s="13" t="s">
        <v>5829</v>
      </c>
      <c r="B422" s="10">
        <v>42090.0</v>
      </c>
      <c r="C422" s="11" t="s">
        <v>379</v>
      </c>
      <c r="D422" s="11" t="s">
        <v>5587</v>
      </c>
      <c r="E422" s="11" t="s">
        <v>982</v>
      </c>
      <c r="F422" s="11" t="s">
        <v>40</v>
      </c>
      <c r="G422" s="39">
        <v>42420.0</v>
      </c>
      <c r="H422" s="30">
        <f t="shared" si="26"/>
        <v>11</v>
      </c>
      <c r="J422" s="30"/>
    </row>
    <row r="423">
      <c r="A423" s="13" t="s">
        <v>2776</v>
      </c>
      <c r="B423" s="10">
        <v>42083.0</v>
      </c>
      <c r="C423" s="11" t="s">
        <v>344</v>
      </c>
      <c r="D423" s="11" t="s">
        <v>5589</v>
      </c>
      <c r="E423" s="11" t="s">
        <v>39</v>
      </c>
      <c r="F423" s="11" t="s">
        <v>64</v>
      </c>
      <c r="G423" s="39">
        <v>42495.0</v>
      </c>
      <c r="H423" s="30">
        <f t="shared" si="26"/>
        <v>14</v>
      </c>
      <c r="J423" s="30"/>
    </row>
    <row r="424">
      <c r="A424" s="13" t="s">
        <v>5830</v>
      </c>
      <c r="B424" s="17">
        <v>42083.0</v>
      </c>
      <c r="C424" s="11" t="s">
        <v>645</v>
      </c>
      <c r="D424" s="11" t="s">
        <v>5589</v>
      </c>
      <c r="E424" s="11" t="s">
        <v>39</v>
      </c>
      <c r="F424" s="11" t="s">
        <v>64</v>
      </c>
      <c r="G424" s="39">
        <v>42420.0</v>
      </c>
      <c r="H424" s="30">
        <f t="shared" si="26"/>
        <v>11</v>
      </c>
      <c r="J424" s="30"/>
    </row>
    <row r="425">
      <c r="A425" s="13" t="s">
        <v>2777</v>
      </c>
      <c r="B425" s="10">
        <v>42083.0</v>
      </c>
      <c r="C425" s="11" t="s">
        <v>616</v>
      </c>
      <c r="D425" s="11" t="s">
        <v>5587</v>
      </c>
      <c r="E425" s="11" t="s">
        <v>39</v>
      </c>
      <c r="F425" s="11" t="s">
        <v>40</v>
      </c>
      <c r="G425" s="39">
        <v>42551.0</v>
      </c>
      <c r="H425" s="30">
        <f t="shared" si="26"/>
        <v>15</v>
      </c>
      <c r="I425" s="13" t="s">
        <v>69</v>
      </c>
      <c r="J425" s="30"/>
    </row>
    <row r="426">
      <c r="A426" s="13" t="s">
        <v>5831</v>
      </c>
      <c r="B426" s="17">
        <v>42073.0</v>
      </c>
      <c r="C426" s="11" t="s">
        <v>1746</v>
      </c>
      <c r="D426" s="11" t="s">
        <v>5587</v>
      </c>
      <c r="E426" s="11" t="s">
        <v>39</v>
      </c>
      <c r="F426" s="11" t="s">
        <v>40</v>
      </c>
      <c r="G426" s="39">
        <v>42421.0</v>
      </c>
      <c r="H426" s="30">
        <f t="shared" si="26"/>
        <v>11</v>
      </c>
      <c r="J426" s="30"/>
    </row>
    <row r="427">
      <c r="A427" s="13" t="s">
        <v>2787</v>
      </c>
      <c r="B427" s="10">
        <v>42066.0</v>
      </c>
      <c r="C427" s="11" t="s">
        <v>5588</v>
      </c>
      <c r="D427" s="11" t="s">
        <v>5589</v>
      </c>
      <c r="E427" s="11" t="s">
        <v>39</v>
      </c>
      <c r="F427" s="11" t="s">
        <v>40</v>
      </c>
      <c r="G427" s="39">
        <v>42421.0</v>
      </c>
      <c r="H427" s="30">
        <f t="shared" si="26"/>
        <v>12</v>
      </c>
      <c r="I427" s="13" t="s">
        <v>761</v>
      </c>
      <c r="J427" s="30"/>
    </row>
    <row r="428">
      <c r="A428" s="13" t="s">
        <v>2795</v>
      </c>
      <c r="B428" s="10">
        <v>42064.0</v>
      </c>
      <c r="C428" s="11" t="s">
        <v>280</v>
      </c>
      <c r="D428" s="11" t="s">
        <v>5587</v>
      </c>
      <c r="E428" s="11" t="s">
        <v>39</v>
      </c>
      <c r="F428" s="11" t="s">
        <v>40</v>
      </c>
      <c r="G428" s="39">
        <v>42420.0</v>
      </c>
      <c r="H428" s="30">
        <f t="shared" si="26"/>
        <v>12</v>
      </c>
      <c r="J428" s="30"/>
    </row>
    <row r="429">
      <c r="A429" s="13" t="s">
        <v>2789</v>
      </c>
      <c r="B429" s="10">
        <v>42064.0</v>
      </c>
      <c r="C429" s="11" t="s">
        <v>2229</v>
      </c>
      <c r="D429" s="11" t="s">
        <v>5589</v>
      </c>
      <c r="E429" s="11" t="s">
        <v>39</v>
      </c>
      <c r="F429" s="11" t="s">
        <v>64</v>
      </c>
      <c r="G429" s="39">
        <v>42420.0</v>
      </c>
      <c r="H429" s="30">
        <f t="shared" si="26"/>
        <v>12</v>
      </c>
      <c r="J429" s="30"/>
    </row>
    <row r="430">
      <c r="A430" s="13" t="s">
        <v>5832</v>
      </c>
      <c r="B430" s="17">
        <v>42064.0</v>
      </c>
      <c r="C430" s="11" t="s">
        <v>317</v>
      </c>
      <c r="D430" s="11" t="s">
        <v>5587</v>
      </c>
      <c r="E430" s="11" t="s">
        <v>39</v>
      </c>
      <c r="F430" s="11" t="s">
        <v>40</v>
      </c>
      <c r="G430" s="39">
        <v>42784.0</v>
      </c>
      <c r="H430" s="30">
        <f t="shared" si="26"/>
        <v>24</v>
      </c>
      <c r="J430" s="30"/>
    </row>
    <row r="431">
      <c r="A431" s="13" t="s">
        <v>5833</v>
      </c>
      <c r="B431" s="17">
        <v>42064.0</v>
      </c>
      <c r="C431" s="11" t="s">
        <v>129</v>
      </c>
      <c r="D431" s="11" t="s">
        <v>5587</v>
      </c>
      <c r="E431" s="11" t="s">
        <v>39</v>
      </c>
      <c r="F431" s="11" t="s">
        <v>40</v>
      </c>
      <c r="G431" s="39">
        <v>42455.0</v>
      </c>
      <c r="H431" s="30">
        <f t="shared" si="26"/>
        <v>13</v>
      </c>
      <c r="I431" s="13"/>
      <c r="J431" s="30"/>
    </row>
    <row r="432">
      <c r="A432" s="13" t="s">
        <v>2791</v>
      </c>
      <c r="B432" s="17">
        <v>42064.0</v>
      </c>
      <c r="C432" s="11" t="s">
        <v>1216</v>
      </c>
      <c r="D432" s="11" t="s">
        <v>5589</v>
      </c>
      <c r="E432" s="11" t="s">
        <v>39</v>
      </c>
      <c r="F432" s="11" t="s">
        <v>40</v>
      </c>
      <c r="G432" s="39">
        <v>42438.0</v>
      </c>
      <c r="H432" s="30">
        <f t="shared" si="26"/>
        <v>12</v>
      </c>
      <c r="I432" s="13"/>
      <c r="J432" s="30"/>
    </row>
    <row r="433">
      <c r="A433" s="13" t="s">
        <v>2802</v>
      </c>
      <c r="B433" s="17">
        <v>42036.0</v>
      </c>
      <c r="C433" s="11" t="s">
        <v>47</v>
      </c>
      <c r="D433" s="11" t="s">
        <v>5587</v>
      </c>
      <c r="E433" s="11" t="s">
        <v>39</v>
      </c>
      <c r="F433" s="11" t="s">
        <v>40</v>
      </c>
      <c r="G433" s="39">
        <v>42423.0</v>
      </c>
      <c r="H433" s="30">
        <f t="shared" si="26"/>
        <v>13</v>
      </c>
      <c r="I433" s="13" t="s">
        <v>355</v>
      </c>
      <c r="J433" s="30"/>
    </row>
    <row r="434">
      <c r="A434" s="13" t="s">
        <v>5834</v>
      </c>
      <c r="B434" s="17">
        <v>42036.0</v>
      </c>
      <c r="C434" s="11" t="s">
        <v>5665</v>
      </c>
      <c r="D434" s="11" t="s">
        <v>5589</v>
      </c>
      <c r="E434" s="11" t="s">
        <v>39</v>
      </c>
      <c r="F434" s="11" t="s">
        <v>40</v>
      </c>
      <c r="G434" s="39">
        <v>42785.0</v>
      </c>
      <c r="H434" s="30">
        <f t="shared" si="26"/>
        <v>25</v>
      </c>
      <c r="J434" s="30"/>
    </row>
    <row r="435">
      <c r="A435" s="13" t="s">
        <v>5835</v>
      </c>
      <c r="B435" s="17">
        <v>42005.0</v>
      </c>
      <c r="C435" s="11" t="s">
        <v>89</v>
      </c>
      <c r="D435" s="11" t="s">
        <v>5587</v>
      </c>
      <c r="E435" s="11" t="s">
        <v>39</v>
      </c>
      <c r="F435" s="11" t="s">
        <v>40</v>
      </c>
      <c r="G435" s="39">
        <v>42823.0</v>
      </c>
      <c r="H435" s="30"/>
      <c r="J435" s="30"/>
    </row>
    <row r="436">
      <c r="A436" s="13" t="s">
        <v>5836</v>
      </c>
      <c r="B436" s="17">
        <v>42005.0</v>
      </c>
      <c r="C436" s="11" t="s">
        <v>237</v>
      </c>
      <c r="D436" s="11" t="s">
        <v>5589</v>
      </c>
      <c r="E436" s="11" t="s">
        <v>39</v>
      </c>
      <c r="F436" s="11" t="s">
        <v>64</v>
      </c>
      <c r="G436" s="39">
        <v>42785.0</v>
      </c>
      <c r="H436" s="30"/>
      <c r="J436" s="30"/>
    </row>
    <row r="437">
      <c r="A437" s="13" t="s">
        <v>5837</v>
      </c>
      <c r="B437" s="17">
        <v>42005.0</v>
      </c>
      <c r="C437" s="11" t="s">
        <v>3520</v>
      </c>
      <c r="D437" s="11" t="s">
        <v>5592</v>
      </c>
      <c r="E437" s="11" t="s">
        <v>39</v>
      </c>
      <c r="F437" s="11" t="s">
        <v>64</v>
      </c>
      <c r="G437" s="39">
        <v>42785.0</v>
      </c>
      <c r="H437" s="30"/>
      <c r="J437" s="30"/>
    </row>
    <row r="438">
      <c r="A438" s="13" t="s">
        <v>2856</v>
      </c>
      <c r="B438" s="17">
        <v>42005.0</v>
      </c>
      <c r="C438" s="11" t="s">
        <v>2023</v>
      </c>
      <c r="D438" s="11" t="s">
        <v>5592</v>
      </c>
      <c r="E438" s="11" t="s">
        <v>39</v>
      </c>
      <c r="F438" s="11" t="s">
        <v>40</v>
      </c>
      <c r="G438" s="39">
        <v>42784.0</v>
      </c>
      <c r="H438" s="30"/>
      <c r="J438" s="30"/>
    </row>
    <row r="439">
      <c r="A439" s="13" t="s">
        <v>2823</v>
      </c>
      <c r="B439" s="17">
        <v>42005.0</v>
      </c>
      <c r="C439" s="11" t="s">
        <v>2023</v>
      </c>
      <c r="D439" s="11" t="s">
        <v>5589</v>
      </c>
      <c r="E439" s="11" t="s">
        <v>39</v>
      </c>
      <c r="F439" s="11" t="s">
        <v>40</v>
      </c>
      <c r="G439" s="39">
        <v>42459.0</v>
      </c>
      <c r="H439" s="30"/>
      <c r="J439" s="30"/>
    </row>
    <row r="440">
      <c r="A440" s="13" t="s">
        <v>5838</v>
      </c>
      <c r="B440" s="17">
        <v>42005.0</v>
      </c>
      <c r="C440" s="11" t="s">
        <v>237</v>
      </c>
      <c r="D440" s="11" t="s">
        <v>5587</v>
      </c>
      <c r="E440" s="11" t="s">
        <v>39</v>
      </c>
      <c r="F440" s="11" t="s">
        <v>40</v>
      </c>
      <c r="G440" s="39">
        <v>42420.0</v>
      </c>
      <c r="H440" s="30"/>
      <c r="J440" s="30"/>
    </row>
    <row r="441">
      <c r="A441" s="13" t="s">
        <v>2809</v>
      </c>
      <c r="B441" s="17">
        <v>42005.0</v>
      </c>
      <c r="C441" s="11" t="s">
        <v>2810</v>
      </c>
      <c r="D441" s="11" t="s">
        <v>5592</v>
      </c>
      <c r="E441" s="11" t="s">
        <v>39</v>
      </c>
      <c r="F441" s="11" t="s">
        <v>40</v>
      </c>
      <c r="G441" s="39">
        <v>42433.0</v>
      </c>
      <c r="H441" s="30"/>
      <c r="J441" s="30"/>
    </row>
    <row r="442">
      <c r="C442" s="30"/>
      <c r="D442" s="30"/>
      <c r="E442" s="30"/>
      <c r="F442" s="30"/>
      <c r="G442" s="30"/>
      <c r="H442" s="30"/>
      <c r="J442" s="30"/>
    </row>
    <row r="443">
      <c r="C443" s="30"/>
      <c r="D443" s="30"/>
      <c r="E443" s="30"/>
      <c r="F443" s="30"/>
      <c r="G443" s="30"/>
      <c r="H443" s="30"/>
      <c r="J443" s="30"/>
    </row>
    <row r="444">
      <c r="C444" s="30"/>
      <c r="D444" s="30"/>
      <c r="E444" s="30"/>
      <c r="F444" s="30"/>
      <c r="G444" s="30"/>
      <c r="H444" s="30"/>
      <c r="J444" s="30"/>
    </row>
    <row r="445">
      <c r="C445" s="30"/>
      <c r="D445" s="30"/>
      <c r="E445" s="30"/>
      <c r="F445" s="30"/>
      <c r="G445" s="30"/>
      <c r="H445" s="30"/>
      <c r="J445" s="30"/>
    </row>
    <row r="446">
      <c r="C446" s="30"/>
      <c r="D446" s="30"/>
      <c r="E446" s="30"/>
      <c r="F446" s="30"/>
      <c r="G446" s="30"/>
      <c r="H446" s="30"/>
      <c r="J446" s="30"/>
    </row>
    <row r="447">
      <c r="C447" s="30"/>
      <c r="D447" s="30"/>
      <c r="E447" s="30"/>
      <c r="F447" s="30"/>
      <c r="G447" s="30"/>
      <c r="H447" s="30"/>
      <c r="J447" s="30"/>
    </row>
    <row r="448">
      <c r="C448" s="30"/>
      <c r="D448" s="30"/>
      <c r="E448" s="30"/>
      <c r="F448" s="30"/>
      <c r="G448" s="30"/>
      <c r="H448" s="30"/>
      <c r="J448" s="30"/>
    </row>
    <row r="449">
      <c r="C449" s="30"/>
      <c r="D449" s="30"/>
      <c r="E449" s="30"/>
      <c r="F449" s="30"/>
      <c r="G449" s="30"/>
      <c r="H449" s="30"/>
      <c r="J449" s="30"/>
    </row>
    <row r="450">
      <c r="C450" s="30"/>
      <c r="D450" s="30"/>
      <c r="E450" s="30"/>
      <c r="F450" s="30"/>
      <c r="G450" s="30"/>
      <c r="H450" s="30"/>
      <c r="J450" s="30"/>
    </row>
    <row r="451">
      <c r="C451" s="30"/>
      <c r="D451" s="30"/>
      <c r="E451" s="30"/>
      <c r="F451" s="30"/>
      <c r="G451" s="30"/>
      <c r="H451" s="30"/>
      <c r="J451" s="30"/>
    </row>
    <row r="452">
      <c r="C452" s="30"/>
      <c r="D452" s="30"/>
      <c r="E452" s="30"/>
      <c r="F452" s="30"/>
      <c r="G452" s="30"/>
      <c r="H452" s="30"/>
      <c r="J452" s="30"/>
    </row>
    <row r="453">
      <c r="C453" s="30"/>
      <c r="D453" s="30"/>
      <c r="E453" s="30"/>
      <c r="F453" s="30"/>
      <c r="G453" s="30"/>
      <c r="H453" s="30"/>
      <c r="J453" s="30"/>
    </row>
    <row r="454">
      <c r="C454" s="30"/>
      <c r="D454" s="30"/>
      <c r="E454" s="30"/>
      <c r="F454" s="30"/>
      <c r="G454" s="30"/>
      <c r="H454" s="30"/>
      <c r="J454" s="30"/>
    </row>
    <row r="455">
      <c r="C455" s="30"/>
      <c r="D455" s="30"/>
      <c r="E455" s="30"/>
      <c r="F455" s="30"/>
      <c r="G455" s="30"/>
      <c r="H455" s="30"/>
      <c r="J455" s="30"/>
    </row>
  </sheetData>
  <conditionalFormatting sqref="G2:G455">
    <cfRule type="expression" dxfId="0" priority="1">
      <formula>J2=1</formula>
    </cfRule>
  </conditionalFormatting>
  <conditionalFormatting sqref="H2:H455">
    <cfRule type="expression" dxfId="0" priority="2">
      <formula>J2=1</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3.5"/>
    <col customWidth="1" min="3" max="3" width="5.13"/>
    <col customWidth="1" min="4" max="4" width="7.38"/>
    <col customWidth="1" min="5" max="5" width="8.63"/>
    <col customWidth="1" min="6" max="6" width="11.63"/>
  </cols>
  <sheetData>
    <row r="1">
      <c r="A1" s="6" t="s">
        <v>2</v>
      </c>
      <c r="B1" s="6" t="s">
        <v>3</v>
      </c>
      <c r="C1" s="5" t="s">
        <v>4</v>
      </c>
      <c r="D1" s="5" t="s">
        <v>6</v>
      </c>
      <c r="E1" s="5" t="s">
        <v>5839</v>
      </c>
      <c r="F1" s="5" t="s">
        <v>5840</v>
      </c>
    </row>
    <row r="2">
      <c r="A2" s="13" t="s">
        <v>5841</v>
      </c>
      <c r="B2" s="17">
        <v>45292.0</v>
      </c>
      <c r="C2" s="11" t="s">
        <v>49</v>
      </c>
      <c r="D2" s="11" t="s">
        <v>39</v>
      </c>
      <c r="E2" s="11">
        <v>2024.0</v>
      </c>
      <c r="F2" s="11">
        <v>263.0</v>
      </c>
    </row>
    <row r="3">
      <c r="A3" s="13" t="s">
        <v>5842</v>
      </c>
      <c r="B3" s="17">
        <v>44958.0</v>
      </c>
      <c r="C3" s="11" t="s">
        <v>358</v>
      </c>
      <c r="D3" s="11" t="s">
        <v>39</v>
      </c>
      <c r="E3" s="11">
        <v>2024.0</v>
      </c>
      <c r="F3" s="11">
        <v>497.0</v>
      </c>
    </row>
    <row r="4">
      <c r="A4" s="13" t="s">
        <v>5843</v>
      </c>
      <c r="B4" s="17">
        <v>44927.0</v>
      </c>
      <c r="C4" s="11" t="s">
        <v>62</v>
      </c>
      <c r="D4" s="11" t="s">
        <v>39</v>
      </c>
      <c r="E4" s="11">
        <v>2024.0</v>
      </c>
      <c r="F4" s="11">
        <v>568.0</v>
      </c>
    </row>
    <row r="5">
      <c r="A5" s="13" t="s">
        <v>5608</v>
      </c>
      <c r="B5" s="17">
        <v>45047.0</v>
      </c>
      <c r="C5" s="11" t="s">
        <v>126</v>
      </c>
      <c r="D5" s="11" t="s">
        <v>39</v>
      </c>
      <c r="E5" s="11">
        <v>2024.0</v>
      </c>
      <c r="F5" s="11">
        <v>610.0</v>
      </c>
    </row>
    <row r="6">
      <c r="A6" s="13" t="s">
        <v>5844</v>
      </c>
      <c r="B6" s="17">
        <v>44621.0</v>
      </c>
      <c r="C6" s="11" t="s">
        <v>126</v>
      </c>
      <c r="D6" s="11" t="s">
        <v>39</v>
      </c>
      <c r="E6" s="11">
        <v>2023.0</v>
      </c>
      <c r="F6" s="11">
        <v>490.0</v>
      </c>
    </row>
    <row r="7">
      <c r="A7" s="13" t="s">
        <v>5845</v>
      </c>
      <c r="B7" s="17">
        <v>43101.0</v>
      </c>
      <c r="C7" s="11" t="s">
        <v>175</v>
      </c>
      <c r="D7" s="11" t="s">
        <v>39</v>
      </c>
      <c r="E7" s="11">
        <v>2019.0</v>
      </c>
      <c r="F7" s="11">
        <v>1073.0</v>
      </c>
    </row>
    <row r="8">
      <c r="A8" s="13" t="s">
        <v>5846</v>
      </c>
      <c r="B8" s="17">
        <v>42984.0</v>
      </c>
      <c r="C8" s="11" t="s">
        <v>83</v>
      </c>
      <c r="D8" s="11" t="s">
        <v>118</v>
      </c>
      <c r="E8" s="11">
        <v>2019.0</v>
      </c>
      <c r="F8" s="11">
        <v>1115.0</v>
      </c>
    </row>
    <row r="9">
      <c r="A9" s="13" t="s">
        <v>5847</v>
      </c>
      <c r="B9" s="17">
        <v>42736.0</v>
      </c>
      <c r="C9" s="11" t="s">
        <v>150</v>
      </c>
      <c r="D9" s="11" t="s">
        <v>39</v>
      </c>
      <c r="E9" s="11">
        <v>2018.0</v>
      </c>
      <c r="F9" s="11">
        <v>1187.0</v>
      </c>
    </row>
    <row r="10">
      <c r="A10" s="13" t="s">
        <v>806</v>
      </c>
      <c r="B10" s="17">
        <v>42370.0</v>
      </c>
      <c r="C10" s="11" t="s">
        <v>108</v>
      </c>
      <c r="D10" s="11" t="s">
        <v>39</v>
      </c>
      <c r="E10" s="11">
        <v>2018.0</v>
      </c>
      <c r="F10" s="11">
        <v>697.0</v>
      </c>
    </row>
    <row r="11">
      <c r="A11" s="48" t="s">
        <v>5848</v>
      </c>
      <c r="B11" s="10">
        <v>42370.0</v>
      </c>
      <c r="C11" s="11" t="s">
        <v>167</v>
      </c>
      <c r="D11" s="11" t="s">
        <v>39</v>
      </c>
      <c r="E11" s="11">
        <v>2017.0</v>
      </c>
      <c r="F11" s="11">
        <v>975.0</v>
      </c>
    </row>
    <row r="12">
      <c r="A12" s="13" t="s">
        <v>5849</v>
      </c>
      <c r="B12" s="10">
        <v>42125.0</v>
      </c>
      <c r="C12" s="11" t="s">
        <v>143</v>
      </c>
      <c r="D12" s="11" t="s">
        <v>270</v>
      </c>
      <c r="E12" s="11">
        <v>2016.0</v>
      </c>
      <c r="F12" s="11">
        <v>1016.0</v>
      </c>
    </row>
    <row r="13">
      <c r="A13" s="13" t="s">
        <v>5850</v>
      </c>
      <c r="B13" s="10">
        <v>41913.0</v>
      </c>
      <c r="C13" s="11" t="s">
        <v>101</v>
      </c>
      <c r="D13" s="11" t="s">
        <v>39</v>
      </c>
      <c r="E13" s="11">
        <v>2016.0</v>
      </c>
      <c r="F13" s="11">
        <v>1109.0</v>
      </c>
    </row>
    <row r="14">
      <c r="A14" s="13" t="s">
        <v>5851</v>
      </c>
      <c r="B14" s="10">
        <v>41807.0</v>
      </c>
      <c r="C14" s="11" t="s">
        <v>358</v>
      </c>
      <c r="D14" s="11" t="s">
        <v>982</v>
      </c>
      <c r="E14" s="11">
        <v>2014.0</v>
      </c>
      <c r="F14" s="11">
        <v>903.0</v>
      </c>
    </row>
    <row r="15">
      <c r="A15" s="13" t="s">
        <v>5812</v>
      </c>
      <c r="B15" s="10">
        <v>42370.0</v>
      </c>
      <c r="C15" s="11" t="s">
        <v>108</v>
      </c>
      <c r="D15" s="11" t="s">
        <v>39</v>
      </c>
      <c r="E15" s="11">
        <v>2013.0</v>
      </c>
      <c r="F15" s="11">
        <v>1124.0</v>
      </c>
    </row>
    <row r="16">
      <c r="A16" s="13" t="s">
        <v>5812</v>
      </c>
      <c r="B16" s="10">
        <v>41703.0</v>
      </c>
      <c r="C16" s="11" t="s">
        <v>108</v>
      </c>
      <c r="D16" s="11" t="s">
        <v>39</v>
      </c>
      <c r="E16" s="11">
        <v>2013.0</v>
      </c>
      <c r="F16" s="11">
        <v>1124.0</v>
      </c>
    </row>
    <row r="17">
      <c r="A17" s="13" t="s">
        <v>5852</v>
      </c>
      <c r="B17" s="10">
        <v>41275.0</v>
      </c>
      <c r="C17" s="11" t="s">
        <v>192</v>
      </c>
      <c r="D17" s="11" t="s">
        <v>39</v>
      </c>
      <c r="E17" s="11">
        <v>2012.0</v>
      </c>
      <c r="F17" s="11">
        <v>1188.0</v>
      </c>
    </row>
    <row r="18">
      <c r="A18" s="13" t="s">
        <v>5853</v>
      </c>
      <c r="B18" s="10">
        <v>41821.0</v>
      </c>
      <c r="C18" s="11" t="s">
        <v>108</v>
      </c>
      <c r="D18" s="11" t="s">
        <v>39</v>
      </c>
      <c r="E18" s="11">
        <v>2010.0</v>
      </c>
      <c r="F18" s="11">
        <v>865.0</v>
      </c>
    </row>
    <row r="19">
      <c r="B19" s="17"/>
      <c r="C19" s="11"/>
      <c r="D19" s="11"/>
      <c r="E19" s="11"/>
      <c r="F19" s="11"/>
    </row>
    <row r="20">
      <c r="B20" s="17"/>
      <c r="C20" s="11"/>
      <c r="D20" s="11"/>
      <c r="E20" s="11"/>
      <c r="F20" s="1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46.38"/>
  </cols>
  <sheetData>
    <row r="1">
      <c r="A1" s="6" t="s">
        <v>2</v>
      </c>
      <c r="B1" s="6" t="s">
        <v>4535</v>
      </c>
      <c r="C1" s="6" t="s">
        <v>5854</v>
      </c>
    </row>
    <row r="2">
      <c r="A2" s="13" t="s">
        <v>4944</v>
      </c>
    </row>
    <row r="3">
      <c r="A3" s="13" t="s">
        <v>5855</v>
      </c>
      <c r="B3" s="13" t="s">
        <v>5856</v>
      </c>
    </row>
    <row r="4">
      <c r="A4" s="13" t="s">
        <v>5857</v>
      </c>
      <c r="B4" s="13" t="s">
        <v>5858</v>
      </c>
    </row>
    <row r="5">
      <c r="A5" s="13" t="s">
        <v>5859</v>
      </c>
    </row>
    <row r="6">
      <c r="A6" s="13" t="s">
        <v>4161</v>
      </c>
    </row>
    <row r="7">
      <c r="A7" s="13" t="s">
        <v>4011</v>
      </c>
    </row>
    <row r="8">
      <c r="A8" s="13" t="s">
        <v>5860</v>
      </c>
    </row>
    <row r="9">
      <c r="A9" s="13" t="s">
        <v>4361</v>
      </c>
      <c r="B9" s="13" t="s">
        <v>5861</v>
      </c>
      <c r="C9" s="70" t="s">
        <v>5862</v>
      </c>
    </row>
    <row r="10">
      <c r="A10" s="13" t="s">
        <v>3346</v>
      </c>
      <c r="B10" s="13" t="s">
        <v>5863</v>
      </c>
    </row>
    <row r="11">
      <c r="A11" s="13" t="s">
        <v>4151</v>
      </c>
      <c r="B11" s="13" t="s">
        <v>5864</v>
      </c>
    </row>
    <row r="12">
      <c r="A12" s="13" t="s">
        <v>3500</v>
      </c>
      <c r="B12" s="13" t="s">
        <v>5865</v>
      </c>
      <c r="C12" s="70" t="s">
        <v>5866</v>
      </c>
    </row>
    <row r="13">
      <c r="A13" s="13" t="s">
        <v>4405</v>
      </c>
      <c r="B13" s="13" t="s">
        <v>5867</v>
      </c>
    </row>
    <row r="14">
      <c r="A14" s="13" t="s">
        <v>4387</v>
      </c>
      <c r="B14" s="13" t="s">
        <v>5868</v>
      </c>
    </row>
    <row r="15">
      <c r="A15" s="13" t="s">
        <v>5869</v>
      </c>
      <c r="B15" s="13" t="s">
        <v>5870</v>
      </c>
    </row>
    <row r="16" ht="15.0" customHeight="1">
      <c r="A16" s="13" t="s">
        <v>5871</v>
      </c>
    </row>
    <row r="17" ht="15.0" customHeight="1">
      <c r="A17" s="13" t="s">
        <v>5872</v>
      </c>
    </row>
    <row r="18">
      <c r="A18" s="13" t="s">
        <v>5873</v>
      </c>
      <c r="B18" s="13" t="s">
        <v>5874</v>
      </c>
    </row>
    <row r="19">
      <c r="A19" s="13" t="s">
        <v>1728</v>
      </c>
      <c r="B19" s="13" t="s">
        <v>5875</v>
      </c>
    </row>
    <row r="20">
      <c r="A20" s="13" t="s">
        <v>4139</v>
      </c>
      <c r="B20" s="13" t="s">
        <v>5876</v>
      </c>
    </row>
    <row r="21">
      <c r="A21" s="13" t="s">
        <v>4400</v>
      </c>
      <c r="B21" s="13" t="s">
        <v>5877</v>
      </c>
      <c r="C21" s="70" t="s">
        <v>5878</v>
      </c>
    </row>
    <row r="22">
      <c r="A22" s="13" t="s">
        <v>5879</v>
      </c>
    </row>
    <row r="23">
      <c r="A23" s="13" t="s">
        <v>4109</v>
      </c>
    </row>
    <row r="24">
      <c r="A24" s="13" t="s">
        <v>5880</v>
      </c>
    </row>
    <row r="25">
      <c r="A25" s="13" t="s">
        <v>5881</v>
      </c>
    </row>
    <row r="26">
      <c r="A26" s="13" t="s">
        <v>3703</v>
      </c>
      <c r="B26" s="13" t="s">
        <v>5882</v>
      </c>
    </row>
    <row r="27">
      <c r="A27" s="13" t="s">
        <v>5883</v>
      </c>
      <c r="B27" s="13" t="s">
        <v>5884</v>
      </c>
    </row>
    <row r="28">
      <c r="A28" s="13" t="s">
        <v>5885</v>
      </c>
      <c r="B28" s="13" t="s">
        <v>5886</v>
      </c>
    </row>
    <row r="29">
      <c r="A29" s="13" t="s">
        <v>5887</v>
      </c>
    </row>
    <row r="30">
      <c r="A30" s="13" t="s">
        <v>4415</v>
      </c>
      <c r="B30" s="13" t="s">
        <v>5888</v>
      </c>
      <c r="C30" s="70" t="s">
        <v>5889</v>
      </c>
    </row>
    <row r="31">
      <c r="A31" s="13" t="s">
        <v>4415</v>
      </c>
      <c r="B31" s="13" t="s">
        <v>5890</v>
      </c>
      <c r="C31" s="70" t="s">
        <v>5889</v>
      </c>
    </row>
    <row r="32">
      <c r="A32" s="13" t="s">
        <v>4415</v>
      </c>
      <c r="B32" s="13" t="s">
        <v>5891</v>
      </c>
      <c r="C32" s="70" t="s">
        <v>5889</v>
      </c>
    </row>
    <row r="33">
      <c r="A33" s="13" t="s">
        <v>4415</v>
      </c>
      <c r="B33" s="13" t="s">
        <v>5892</v>
      </c>
      <c r="C33" s="70" t="s">
        <v>5889</v>
      </c>
    </row>
    <row r="34">
      <c r="A34" s="13" t="s">
        <v>5893</v>
      </c>
    </row>
    <row r="35">
      <c r="A35" s="13" t="s">
        <v>5894</v>
      </c>
      <c r="B35" s="13" t="s">
        <v>5895</v>
      </c>
    </row>
    <row r="36">
      <c r="A36" s="13" t="s">
        <v>5896</v>
      </c>
      <c r="B36" s="13" t="s">
        <v>5886</v>
      </c>
    </row>
    <row r="37">
      <c r="A37" s="13" t="s">
        <v>5897</v>
      </c>
      <c r="B37" s="13" t="s">
        <v>5898</v>
      </c>
    </row>
    <row r="38">
      <c r="A38" s="13" t="s">
        <v>5899</v>
      </c>
    </row>
    <row r="39">
      <c r="A39" s="13" t="s">
        <v>3958</v>
      </c>
    </row>
    <row r="40">
      <c r="A40" s="13" t="s">
        <v>5900</v>
      </c>
    </row>
    <row r="41">
      <c r="A41" s="13" t="s">
        <v>5901</v>
      </c>
      <c r="B41" s="13" t="s">
        <v>5902</v>
      </c>
    </row>
    <row r="42">
      <c r="A42" s="13" t="s">
        <v>4121</v>
      </c>
      <c r="B42" s="13" t="s">
        <v>5903</v>
      </c>
      <c r="C42" s="70" t="s">
        <v>5904</v>
      </c>
    </row>
    <row r="43">
      <c r="A43" s="13" t="s">
        <v>5905</v>
      </c>
      <c r="B43" s="13" t="s">
        <v>5906</v>
      </c>
    </row>
    <row r="44">
      <c r="A44" s="13" t="s">
        <v>5907</v>
      </c>
      <c r="B44" s="13" t="s">
        <v>5908</v>
      </c>
      <c r="C44" s="70" t="s">
        <v>5909</v>
      </c>
      <c r="F44" s="70" t="s">
        <v>5910</v>
      </c>
      <c r="K44" s="70" t="s">
        <v>5911</v>
      </c>
    </row>
  </sheetData>
  <hyperlinks>
    <hyperlink r:id="rId1" ref="C9"/>
    <hyperlink r:id="rId2" ref="C12"/>
    <hyperlink r:id="rId3" ref="C21"/>
    <hyperlink r:id="rId4" location="v=onepage&amp;q=Rijo&amp;f=false" ref="C30"/>
    <hyperlink r:id="rId5" location="v=onepage&amp;q=Rijo&amp;f=false" ref="C31"/>
    <hyperlink r:id="rId6" location="v=onepage&amp;q=Rijo&amp;f=false" ref="C32"/>
    <hyperlink r:id="rId7" location="v=onepage&amp;q=Rijo&amp;f=false" ref="C33"/>
    <hyperlink r:id="rId8" ref="C42"/>
    <hyperlink r:id="rId9" ref="C44"/>
    <hyperlink r:id="rId10" ref="F44"/>
    <hyperlink r:id="rId11" ref="K44"/>
  </hyperlinks>
  <drawing r:id="rId1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7" max="14" width="12.63"/>
  </cols>
  <sheetData>
    <row r="1">
      <c r="A1" s="103" t="s">
        <v>5912</v>
      </c>
      <c r="B1" s="104"/>
      <c r="C1" s="104"/>
      <c r="D1" s="104"/>
      <c r="E1" s="104"/>
      <c r="F1" s="104"/>
      <c r="G1" s="104"/>
      <c r="H1" s="104"/>
      <c r="I1" s="104"/>
      <c r="J1" s="104"/>
      <c r="K1" s="104"/>
      <c r="L1" s="104"/>
      <c r="M1" s="104"/>
      <c r="N1" s="105"/>
    </row>
    <row r="2" hidden="1">
      <c r="A2" s="106"/>
      <c r="B2" s="13"/>
      <c r="C2" s="13">
        <v>1.0</v>
      </c>
      <c r="D2" s="13">
        <v>4.0</v>
      </c>
      <c r="E2" s="13">
        <v>7.0</v>
      </c>
      <c r="F2" s="13">
        <v>10.0</v>
      </c>
      <c r="G2" s="13">
        <v>1.0</v>
      </c>
      <c r="N2" s="107"/>
    </row>
    <row r="3" ht="1.5" hidden="1" customHeight="1">
      <c r="A3" s="106"/>
      <c r="B3" s="13"/>
      <c r="C3" s="13">
        <v>3.0</v>
      </c>
      <c r="D3" s="13">
        <v>6.0</v>
      </c>
      <c r="E3" s="13">
        <v>9.0</v>
      </c>
      <c r="F3" s="13">
        <v>12.0</v>
      </c>
      <c r="G3" s="13">
        <v>12.0</v>
      </c>
      <c r="N3" s="107"/>
    </row>
    <row r="4">
      <c r="A4" s="108" t="s">
        <v>5913</v>
      </c>
      <c r="B4" s="109" t="s">
        <v>5914</v>
      </c>
      <c r="C4" s="108" t="s">
        <v>5915</v>
      </c>
      <c r="D4" s="104"/>
      <c r="E4" s="104"/>
      <c r="F4" s="105"/>
      <c r="G4" s="103" t="s">
        <v>5915</v>
      </c>
      <c r="H4" s="104"/>
      <c r="I4" s="104"/>
      <c r="J4" s="104"/>
      <c r="K4" s="105"/>
      <c r="L4" s="110" t="s">
        <v>5916</v>
      </c>
      <c r="M4" s="104"/>
      <c r="N4" s="105"/>
    </row>
    <row r="5">
      <c r="A5" s="111"/>
      <c r="B5" s="112"/>
      <c r="C5" s="113" t="s">
        <v>5917</v>
      </c>
      <c r="D5" s="114" t="s">
        <v>5918</v>
      </c>
      <c r="E5" s="114" t="s">
        <v>5919</v>
      </c>
      <c r="F5" s="115" t="s">
        <v>5920</v>
      </c>
      <c r="G5" s="116" t="s">
        <v>5921</v>
      </c>
      <c r="H5" s="117" t="s">
        <v>5922</v>
      </c>
      <c r="I5" s="117" t="s">
        <v>5923</v>
      </c>
      <c r="J5" s="117" t="s">
        <v>5924</v>
      </c>
      <c r="K5" s="117" t="s">
        <v>5925</v>
      </c>
      <c r="L5" s="116" t="s">
        <v>5921</v>
      </c>
      <c r="M5" s="117" t="s">
        <v>5924</v>
      </c>
      <c r="N5" s="118" t="s">
        <v>5925</v>
      </c>
    </row>
    <row r="6">
      <c r="A6" s="119">
        <v>2022.0</v>
      </c>
      <c r="B6" s="120">
        <v>2023.0</v>
      </c>
      <c r="C6" s="121">
        <f>IF(COUNTIFS('TJ List'!$L:$L,"&gt;0",'TJ List'!$S:$S,"&gt;="&amp;$A6,'TJ List'!$S:$S,"&lt;="&amp;$B6,'TJ List'!$T:$T,"&gt;="&amp;C$2,'TJ List'!$T:$T,"&lt;="&amp;C$3)&gt;0,SUMIFS('TJ List'!$L:$L,'TJ List'!$S:$S,"&gt;="&amp;$A6,'TJ List'!$S:$S,"&lt;="&amp;$B6,'TJ List'!$T:$T,"&gt;="&amp;C$2,'TJ List'!$T:$T,"&lt;="&amp;C$3)/COUNTIFS('TJ List'!$L:$L,"&gt;0",'TJ List'!$S:$S,"&gt;="&amp;$A6,'TJ List'!$S:$S,"&lt;="&amp;$B6,'TJ List'!$T:$T,"&gt;="&amp;C$2,'TJ List'!$T:$T,"&lt;="&amp;C$3),"N/A")</f>
        <v>18.62962963</v>
      </c>
      <c r="D6" s="121">
        <f>IF(COUNTIFS('TJ List'!$L:$L,"&gt;0",'TJ List'!$S:$S,"&gt;="&amp;$A6,'TJ List'!$S:$S,"&lt;="&amp;$B6,'TJ List'!$T:$T,"&gt;="&amp;D$2,'TJ List'!$T:$T,"&lt;="&amp;D$3)&gt;0,SUMIFS('TJ List'!$L:$L,'TJ List'!$S:$S,"&gt;="&amp;$A6,'TJ List'!$S:$S,"&lt;="&amp;$B6,'TJ List'!$T:$T,"&gt;="&amp;D$2,'TJ List'!$T:$T,"&lt;="&amp;D$3)/COUNTIFS('TJ List'!$L:$L,"&gt;0",'TJ List'!$S:$S,"&gt;="&amp;$A6,'TJ List'!$S:$S,"&lt;="&amp;$B6,'TJ List'!$T:$T,"&gt;="&amp;D$2,'TJ List'!$T:$T,"&lt;="&amp;D$3),"N/A")</f>
        <v>17.95652174</v>
      </c>
      <c r="E6" s="121">
        <f>IF(COUNTIFS('TJ List'!$L:$L,"&gt;0",'TJ List'!$S:$S,"&gt;="&amp;$A6,'TJ List'!$S:$S,"&lt;="&amp;$B6,'TJ List'!$T:$T,"&gt;="&amp;E$2,'TJ List'!$T:$T,"&lt;="&amp;E$3)&gt;0,SUMIFS('TJ List'!$L:$L,'TJ List'!$S:$S,"&gt;="&amp;$A6,'TJ List'!$S:$S,"&lt;="&amp;$B6,'TJ List'!$T:$T,"&gt;="&amp;E$2,'TJ List'!$T:$T,"&lt;="&amp;E$3)/COUNTIFS('TJ List'!$L:$L,"&gt;0",'TJ List'!$S:$S,"&gt;="&amp;$A6,'TJ List'!$S:$S,"&lt;="&amp;$B6,'TJ List'!$T:$T,"&gt;="&amp;E$2,'TJ List'!$T:$T,"&lt;="&amp;E$3),"N/A")</f>
        <v>18.17021277</v>
      </c>
      <c r="F6" s="122">
        <f>IF(COUNTIFS('TJ List'!$L:$L,"&gt;0",'TJ List'!$S:$S,"&gt;="&amp;$A6,'TJ List'!$S:$S,"&lt;="&amp;$B6,'TJ List'!$T:$T,"&gt;="&amp;F$2,'TJ List'!$T:$T,"&lt;="&amp;F$3)&gt;0,SUMIFS('TJ List'!$L:$L,'TJ List'!$S:$S,"&gt;="&amp;$A6,'TJ List'!$S:$S,"&lt;="&amp;$B6,'TJ List'!$T:$T,"&gt;="&amp;F$2,'TJ List'!$T:$T,"&lt;="&amp;F$3)/COUNTIFS('TJ List'!$L:$L,"&gt;0",'TJ List'!$S:$S,"&gt;="&amp;$A6,'TJ List'!$S:$S,"&lt;="&amp;$B6,'TJ List'!$T:$T,"&gt;="&amp;F$2,'TJ List'!$T:$T,"&lt;="&amp;F$3),"N/A")</f>
        <v>16.27272727</v>
      </c>
      <c r="G6" s="123">
        <f t="array" ref="G6">AVERAGE(INDIRECT(CONCATENATE(ADDRESS(ROW(INDEX('TJ List'!A:A,MATCH(45291,'TJ List'!B:B,-1)+1,0)),12,1,TRUE,"TJ List"),":",ADDRESS(ROW(INDEX('TJ List'!A:A,MATCH(44561,'TJ List'!B:B,-1),0)),12))))</f>
        <v>18.01948052</v>
      </c>
      <c r="H6" s="124">
        <f t="array" ref="H6">MEDIAN(INDIRECT(CONCATENATE(ADDRESS(ROW(INDEX('TJ List'!A:A,MATCH(45291,'TJ List'!B:B,-1)+1,0)),12,1,TRUE,"TJ List"),":",ADDRESS(ROW(INDEX('TJ List'!A:A,MATCH(44561,'TJ List'!B:B,-1),0)),12))))</f>
        <v>17</v>
      </c>
      <c r="I6" s="124">
        <f t="array" ref="I6">MODE(INDIRECT(CONCATENATE(ADDRESS(ROW(INDEX('TJ List'!A:A,MATCH(45291,'TJ List'!B:B,-1)+1,0)),12,1,TRUE,"TJ List"),":",ADDRESS(ROW(INDEX('TJ List'!A:A,MATCH(44561,'TJ List'!B:B,-1),0)),12))))</f>
        <v>15</v>
      </c>
      <c r="J6" s="125">
        <f t="array" ref="J6">COUNTIFS(INDIRECT(CONCATENATE(ADDRESS(ROW(INDEX('TJ List'!A:A,MATCH(45291,'TJ List'!B:B,-1)+1,0)),11,1,TRUE,"TJ List"),":",ADDRESS(ROW(INDEX('TJ List'!A:A,MATCH(44561,'TJ List'!B:B,-1),0)),11))),"&gt;0")/COUNTIFS(INDIRECT(CONCATENATE(ADDRESS(ROW(INDEX('TJ List'!A:A,MATCH(44561,'TJ List'!B:B,-1)+1,0)),1,1,TRUE,"TJ List"),":",ADDRESS(ROW(INDEX('TJ List'!A:A,MATCH(43830,'TJ List'!B:B,-1),0)),1))),"&lt;&gt;0")</f>
        <v>0.8045977011</v>
      </c>
      <c r="K6" s="126">
        <f t="array" ref="K6">COUNTIFS(INDIRECT(CONCATENATE(ADDRESS(ROW(INDEX('TJ List'!A:A,MATCH(45291,'TJ List'!B:B,-1)+1,0)),11,1,TRUE,"TJ List"),":",ADDRESS(ROW(INDEX('TJ List'!A:A,MATCH(44561,'TJ List'!B:B,-1),0)),11))),"&lt;&gt;X")</f>
        <v>260</v>
      </c>
      <c r="L6" s="127">
        <f t="array" ref="L6">AVERAGEIFS(INDIRECT(CONCATENATE(ADDRESS(ROW(INDEX('TJ List'!A:A,MATCH(45291,'TJ List'!B:B,-1)+1,0)),12,1,TRUE,"TJ List"),":",ADDRESS(ROW(INDEX('TJ List'!A:A,MATCH(44561,'TJ List'!B:B,-1),0)),12))),INDIRECT(CONCATENATE(ADDRESS(ROW(INDEX('TJ List'!A:A,MATCH(45291,'TJ List'!B:B,-1)+1,0)),4,1,TRUE,"TJ List"),":",ADDRESS(ROW(INDEX('TJ List'!A:A,MATCH(44561,'TJ List'!B:B,-1),0)),4))),"MLB",INDIRECT(CONCATENATE(ADDRESS(ROW(INDEX('TJ List'!A:A,MATCH(45291,'TJ List'!B:B,-1)+1,0)),12,1,TRUE,"TJ List"),":",ADDRESS(ROW(INDEX('TJ List'!A:A,MATCH(44561,'TJ List'!B:B,-1),0)),12))),"&gt;0")</f>
        <v>18.41071429</v>
      </c>
      <c r="M6" s="125">
        <f t="array" ref="M6">COUNTIFS(INDIRECT(CONCATENATE(ADDRESS(ROW(INDEX('TJ List'!A:A,MATCH(45291,'TJ List'!B:B,-1)+1,0)),11,1,TRUE,"TJ List"),":",ADDRESS(ROW(INDEX('TJ List'!A:A,MATCH(44561,'TJ List'!B:B,-1),0)),11))),"&gt;0",INDIRECT(CONCATENATE(ADDRESS(ROW(INDEX('TJ List'!A:A,MATCH(45291,'TJ List'!B:B,-1)+1,0)),4,1,TRUE,"TJ List"),":",ADDRESS(ROW(INDEX('TJ List'!A:A,MATCH(44561,'TJ List'!B:B,-1),0)),4))),"MLB")/COUNTIFS(INDIRECT(CONCATENATE(ADDRESS(ROW(INDEX('TJ List'!A:A,MATCH(45291,'TJ List'!B:B,-1)+1,0)),1,1,TRUE,"TJ List"),":",ADDRESS(ROW(INDEX('TJ List'!A:A,MATCH(44561,'TJ List'!B:B,-1),0)),1))),"&lt;&gt;0",INDIRECT(CONCATENATE(ADDRESS(ROW(INDEX('TJ List'!A:A,MATCH(45291,'TJ List'!B:B,-1)+1,0)),4,1,TRUE,"TJ List"),":",ADDRESS(ROW(INDEX('TJ List'!A:A,MATCH(44561,'TJ List'!B:B,-1),0)),4))),"MLB")</f>
        <v>0.9032258065</v>
      </c>
      <c r="N6" s="128">
        <f t="array" ref="N6">COUNTIFS(INDIRECT(CONCATENATE(ADDRESS(ROW(INDEX('TJ List'!A:A,MATCH(45291,'TJ List'!B:B,-1)+1,0)),11,1,TRUE,"TJ List"),":",ADDRESS(ROW(INDEX('TJ List'!A:A,MATCH(44561,'TJ List'!B:B,-1),0)),11))),"&lt;&gt;X",INDIRECT(CONCATENATE(ADDRESS(ROW(INDEX('TJ List'!A:A,MATCH(45291,'TJ List'!B:B,-1)+1,0)),4,1,TRUE,"TJ List"),":",ADDRESS(ROW(INDEX('TJ List'!A:A,MATCH(44561,'TJ List'!B:B,-1),0)),4))),"MLB")</f>
        <v>62</v>
      </c>
    </row>
    <row r="7">
      <c r="A7" s="119">
        <v>2020.0</v>
      </c>
      <c r="B7" s="120">
        <v>2021.0</v>
      </c>
      <c r="C7" s="121">
        <f>IF(COUNTIFS('TJ List'!$L:$L,"&gt;0",'TJ List'!$S:$S,"&gt;="&amp;$A7,'TJ List'!$S:$S,"&lt;="&amp;$B7,'TJ List'!$T:$T,"&gt;="&amp;C$2,'TJ List'!$T:$T,"&lt;="&amp;C$3)&gt;0,SUMIFS('TJ List'!$L:$L,'TJ List'!$S:$S,"&gt;="&amp;$A7,'TJ List'!$S:$S,"&lt;="&amp;$B7,'TJ List'!$T:$T,"&gt;="&amp;C$2,'TJ List'!$T:$T,"&lt;="&amp;C$3)/COUNTIFS('TJ List'!$L:$L,"&gt;0",'TJ List'!$S:$S,"&gt;="&amp;$A7,'TJ List'!$S:$S,"&lt;="&amp;$B7,'TJ List'!$T:$T,"&gt;="&amp;C$2,'TJ List'!$T:$T,"&lt;="&amp;C$3),"N/A")</f>
        <v>17.62857143</v>
      </c>
      <c r="D7" s="121">
        <f>IF(COUNTIFS('TJ List'!$L:$L,"&gt;0",'TJ List'!$S:$S,"&gt;="&amp;$A7,'TJ List'!$S:$S,"&lt;="&amp;$B7,'TJ List'!$T:$T,"&gt;="&amp;D$2,'TJ List'!$T:$T,"&lt;="&amp;D$3)&gt;0,SUMIFS('TJ List'!$L:$L,'TJ List'!$S:$S,"&gt;="&amp;$A7,'TJ List'!$S:$S,"&lt;="&amp;$B7,'TJ List'!$T:$T,"&gt;="&amp;D$2,'TJ List'!$T:$T,"&lt;="&amp;D$3)/COUNTIFS('TJ List'!$L:$L,"&gt;0",'TJ List'!$S:$S,"&gt;="&amp;$A7,'TJ List'!$S:$S,"&lt;="&amp;$B7,'TJ List'!$T:$T,"&gt;="&amp;D$2,'TJ List'!$T:$T,"&lt;="&amp;D$3),"N/A")</f>
        <v>18.04545455</v>
      </c>
      <c r="E7" s="121">
        <f>IF(COUNTIFS('TJ List'!$L:$L,"&gt;0",'TJ List'!$S:$S,"&gt;="&amp;$A7,'TJ List'!$S:$S,"&lt;="&amp;$B7,'TJ List'!$T:$T,"&gt;="&amp;E$2,'TJ List'!$T:$T,"&lt;="&amp;E$3)&gt;0,SUMIFS('TJ List'!$L:$L,'TJ List'!$S:$S,"&gt;="&amp;$A7,'TJ List'!$S:$S,"&lt;="&amp;$B7,'TJ List'!$T:$T,"&gt;="&amp;E$2,'TJ List'!$T:$T,"&lt;="&amp;E$3)/COUNTIFS('TJ List'!$L:$L,"&gt;0",'TJ List'!$S:$S,"&gt;="&amp;$A7,'TJ List'!$S:$S,"&lt;="&amp;$B7,'TJ List'!$T:$T,"&gt;="&amp;E$2,'TJ List'!$T:$T,"&lt;="&amp;E$3),"N/A")</f>
        <v>19.08695652</v>
      </c>
      <c r="F7" s="122">
        <f>IF(COUNTIFS('TJ List'!$L:$L,"&gt;0",'TJ List'!$S:$S,"&gt;="&amp;$A7,'TJ List'!$S:$S,"&lt;="&amp;$B7,'TJ List'!$T:$T,"&gt;="&amp;F$2,'TJ List'!$T:$T,"&lt;="&amp;F$3)&gt;0,SUMIFS('TJ List'!$L:$L,'TJ List'!$S:$S,"&gt;="&amp;$A7,'TJ List'!$S:$S,"&lt;="&amp;$B7,'TJ List'!$T:$T,"&gt;="&amp;F$2,'TJ List'!$T:$T,"&lt;="&amp;F$3)/COUNTIFS('TJ List'!$L:$L,"&gt;0",'TJ List'!$S:$S,"&gt;="&amp;$A7,'TJ List'!$S:$S,"&lt;="&amp;$B7,'TJ List'!$T:$T,"&gt;="&amp;F$2,'TJ List'!$T:$T,"&lt;="&amp;F$3),"N/A")</f>
        <v>18.3</v>
      </c>
      <c r="G7" s="123">
        <f t="array" ref="G7">AVERAGE(INDIRECT(CONCATENATE(ADDRESS(ROW(INDEX('TJ List'!A:A,MATCH(44561,'TJ List'!B:B,-1)+1,0)),12,1,TRUE,"TJ List"),":",ADDRESS(ROW(INDEX('TJ List'!A:A,MATCH(43830,'TJ List'!B:B,-1),0)),12))))</f>
        <v>18.31034483</v>
      </c>
      <c r="H7" s="124">
        <f t="array" ref="H7">MEDIAN(INDIRECT(CONCATENATE(ADDRESS(ROW(INDEX('TJ List'!A:A,MATCH(44561,'TJ List'!B:B,-1)+1,0)),12,1,TRUE,"TJ List"),":",ADDRESS(ROW(INDEX('TJ List'!A:A,MATCH(43830,'TJ List'!B:B,-1),0)),12))))</f>
        <v>17</v>
      </c>
      <c r="I7" s="124">
        <f t="array" ref="I7">MODE(INDIRECT(CONCATENATE(ADDRESS(ROW(INDEX('TJ List'!A:A,MATCH(44561,'TJ List'!B:B,-1)+1,0)),12,1,TRUE,"TJ List"),":",ADDRESS(ROW(INDEX('TJ List'!A:A,MATCH(43830,'TJ List'!B:B,-1),0)),12))))</f>
        <v>14</v>
      </c>
      <c r="J7" s="125">
        <f t="array" ref="J7">COUNTIFS(INDIRECT(CONCATENATE(ADDRESS(ROW(INDEX('TJ List'!A:A,MATCH(44561,'TJ List'!B:B,-1)+1,0)),11,1,TRUE,"TJ List"),":",ADDRESS(ROW(INDEX('TJ List'!A:A,MATCH(43830,'TJ List'!B:B,-1),0)),11))),"&gt;0")/COUNTIFS(INDIRECT(CONCATENATE(ADDRESS(ROW(INDEX('TJ List'!A:A,MATCH(44561,'TJ List'!B:B,-1)+1,0)),1,1,TRUE,"TJ List"),":",ADDRESS(ROW(INDEX('TJ List'!A:A,MATCH(43830,'TJ List'!B:B,-1),0)),1))),"&lt;&gt;0")</f>
        <v>0.8544061303</v>
      </c>
      <c r="K7" s="126">
        <f t="array" ref="K7">COUNTIFS(INDIRECT(CONCATENATE(ADDRESS(ROW(INDEX('TJ List'!A:A,MATCH(44561,'TJ List'!B:B,-1)+1,0)),11,1,TRUE,"TJ List"),":",ADDRESS(ROW(INDEX('TJ List'!A:A,MATCH(43830,'TJ List'!B:B,-1),0)),11))),"&lt;&gt;X")</f>
        <v>261</v>
      </c>
      <c r="L7" s="127">
        <f t="array" ref="L7">AVERAGEIFS(INDIRECT(CONCATENATE(ADDRESS(ROW(INDEX('TJ List'!A:A,MATCH(44561,'TJ List'!B:B,-1)+1,0)),12,1,TRUE,"TJ List"),":",ADDRESS(ROW(INDEX('TJ List'!A:A,MATCH(43830,'TJ List'!B:B,-1),0)),12))),INDIRECT(CONCATENATE(ADDRESS(ROW(INDEX('TJ List'!A:A,MATCH(44561,'TJ List'!B:B,-1)+1,0)),4,1,TRUE,"TJ List"),":",ADDRESS(ROW(INDEX('TJ List'!A:A,MATCH(43830,'TJ List'!B:B,-1),0)),4))),"MLB",INDIRECT(CONCATENATE(ADDRESS(ROW(INDEX('TJ List'!A:A,MATCH(44561,'TJ List'!B:B,-1)+1,0)),12,1,TRUE,"TJ List"),":",ADDRESS(ROW(INDEX('TJ List'!A:A,MATCH(43830,'TJ List'!B:B,-1),0)),12))),"&gt;0")</f>
        <v>19.8</v>
      </c>
      <c r="M7" s="125">
        <f t="array" ref="M7">COUNTIFS(INDIRECT(CONCATENATE(ADDRESS(ROW(INDEX('TJ List'!A:A,MATCH(44561,'TJ List'!B:B,-1)+1,0)),11,1,TRUE,"TJ List"),":",ADDRESS(ROW(INDEX('TJ List'!A:A,MATCH(43830,'TJ List'!B:B,-1),0)),11))),"&gt;0",INDIRECT(CONCATENATE(ADDRESS(ROW(INDEX('TJ List'!A:A,MATCH(44561,'TJ List'!B:B,-1)+1,0)),4,1,TRUE,"TJ List"),":",ADDRESS(ROW(INDEX('TJ List'!A:A,MATCH(43830,'TJ List'!B:B,-1),0)),4))),"MLB")/COUNTIFS(INDIRECT(CONCATENATE(ADDRESS(ROW(INDEX('TJ List'!A:A,MATCH(44561,'TJ List'!B:B,-1)+1,0)),1,1,TRUE,"TJ List"),":",ADDRESS(ROW(INDEX('TJ List'!A:A,MATCH(43830,'TJ List'!B:B,-1),0)),1))),"&lt;&gt;0",INDIRECT(CONCATENATE(ADDRESS(ROW(INDEX('TJ List'!A:A,MATCH(44561,'TJ List'!B:B,-1)+1,0)),4,1,TRUE,"TJ List"),":",ADDRESS(ROW(INDEX('TJ List'!A:A,MATCH(43830,'TJ List'!B:B,-1),0)),4))),"MLB")</f>
        <v>0.796875</v>
      </c>
      <c r="N7" s="128">
        <f t="array" ref="N7">COUNTIFS(INDIRECT(CONCATENATE(ADDRESS(ROW(INDEX('TJ List'!A:A,MATCH(44561,'TJ List'!B:B,-1)+1,0)),11,1,TRUE,"TJ List"),":",ADDRESS(ROW(INDEX('TJ List'!A:A,MATCH(43830,'TJ List'!B:B,-1),0)),11))),"&lt;&gt;X",INDIRECT(CONCATENATE(ADDRESS(ROW(INDEX('TJ List'!A:A,MATCH(44561,'TJ List'!B:B,-1)+1,0)),4,1,TRUE,"TJ List"),":",ADDRESS(ROW(INDEX('TJ List'!A:A,MATCH(43830,'TJ List'!B:B,-1),0)),4))),"MLB")</f>
        <v>64</v>
      </c>
    </row>
    <row r="8">
      <c r="A8" s="119">
        <v>2018.0</v>
      </c>
      <c r="B8" s="120">
        <v>2019.0</v>
      </c>
      <c r="C8" s="121">
        <f>IF(COUNTIFS('TJ List'!$L:$L,"&gt;0",'TJ List'!$S:$S,"&gt;="&amp;$A8,'TJ List'!$S:$S,"&lt;="&amp;$B8,'TJ List'!$T:$T,"&gt;="&amp;C$2,'TJ List'!$T:$T,"&lt;="&amp;C$3)&gt;0,SUMIFS('TJ List'!$L:$L,'TJ List'!$S:$S,"&gt;="&amp;$A8,'TJ List'!$S:$S,"&lt;="&amp;$B8,'TJ List'!$T:$T,"&gt;="&amp;C$2,'TJ List'!$T:$T,"&lt;="&amp;C$3)/COUNTIFS('TJ List'!$L:$L,"&gt;0",'TJ List'!$S:$S,"&gt;="&amp;$A8,'TJ List'!$S:$S,"&lt;="&amp;$B8,'TJ List'!$T:$T,"&gt;="&amp;C$2,'TJ List'!$T:$T,"&lt;="&amp;C$3),"N/A")</f>
        <v>21.28571429</v>
      </c>
      <c r="D8" s="121">
        <f>IF(COUNTIFS('TJ List'!$L:$L,"&gt;0",'TJ List'!$S:$S,"&gt;="&amp;$A8,'TJ List'!$S:$S,"&lt;="&amp;$B8,'TJ List'!$T:$T,"&gt;="&amp;D$2,'TJ List'!$T:$T,"&lt;="&amp;D$3)&gt;0,SUMIFS('TJ List'!$L:$L,'TJ List'!$S:$S,"&gt;="&amp;$A8,'TJ List'!$S:$S,"&lt;="&amp;$B8,'TJ List'!$T:$T,"&gt;="&amp;D$2,'TJ List'!$T:$T,"&lt;="&amp;D$3)/COUNTIFS('TJ List'!$L:$L,"&gt;0",'TJ List'!$S:$S,"&gt;="&amp;$A8,'TJ List'!$S:$S,"&lt;="&amp;$B8,'TJ List'!$T:$T,"&gt;="&amp;D$2,'TJ List'!$T:$T,"&lt;="&amp;D$3),"N/A")</f>
        <v>22.03278689</v>
      </c>
      <c r="E8" s="121">
        <f>IF(COUNTIFS('TJ List'!$L:$L,"&gt;0",'TJ List'!$S:$S,"&gt;="&amp;$A8,'TJ List'!$S:$S,"&lt;="&amp;$B8,'TJ List'!$T:$T,"&gt;="&amp;E$2,'TJ List'!$T:$T,"&lt;="&amp;E$3)&gt;0,SUMIFS('TJ List'!$L:$L,'TJ List'!$S:$S,"&gt;="&amp;$A8,'TJ List'!$S:$S,"&lt;="&amp;$B8,'TJ List'!$T:$T,"&gt;="&amp;E$2,'TJ List'!$T:$T,"&lt;="&amp;E$3)/COUNTIFS('TJ List'!$L:$L,"&gt;0",'TJ List'!$S:$S,"&gt;="&amp;$A8,'TJ List'!$S:$S,"&lt;="&amp;$B8,'TJ List'!$T:$T,"&gt;="&amp;E$2,'TJ List'!$T:$T,"&lt;="&amp;E$3),"N/A")</f>
        <v>22.175</v>
      </c>
      <c r="F8" s="122">
        <f>IF(COUNTIFS('TJ List'!$L:$L,"&gt;0",'TJ List'!$S:$S,"&gt;="&amp;$A8,'TJ List'!$S:$S,"&lt;="&amp;$B8,'TJ List'!$T:$T,"&gt;="&amp;F$2,'TJ List'!$T:$T,"&lt;="&amp;F$3)&gt;0,SUMIFS('TJ List'!$L:$L,'TJ List'!$S:$S,"&gt;="&amp;$A8,'TJ List'!$S:$S,"&lt;="&amp;$B8,'TJ List'!$T:$T,"&gt;="&amp;F$2,'TJ List'!$T:$T,"&lt;="&amp;F$3)/COUNTIFS('TJ List'!$L:$L,"&gt;0",'TJ List'!$S:$S,"&gt;="&amp;$A8,'TJ List'!$S:$S,"&lt;="&amp;$B8,'TJ List'!$T:$T,"&gt;="&amp;F$2,'TJ List'!$T:$T,"&lt;="&amp;F$3),"N/A")</f>
        <v>20.4</v>
      </c>
      <c r="G8" s="123">
        <f t="array" ref="G8">AVERAGE(INDIRECT(CONCATENATE(ADDRESS(ROW(INDEX('TJ List'!A:A,MATCH(43830,'TJ List'!B:B,-1)+1,0)),12,1,TRUE,"TJ List"),":",ADDRESS(ROW(INDEX('TJ List'!A:A,MATCH(43100,'TJ List'!B:B,-1),0)),12))))</f>
        <v>21.8057554</v>
      </c>
      <c r="H8" s="124">
        <f t="array" ref="H8">MEDIAN(INDIRECT(CONCATENATE(ADDRESS(ROW(INDEX('TJ List'!A:A,MATCH(43830,'TJ List'!B:B,-1)+1,0)),12,1,TRUE,"TJ List"),":",ADDRESS(ROW(INDEX('TJ List'!A:A,MATCH(43100,'TJ List'!B:B,-1),0)),12))))</f>
        <v>21</v>
      </c>
      <c r="I8" s="124">
        <f t="array" ref="I8">MODE(INDIRECT(CONCATENATE(ADDRESS(ROW(INDEX('TJ List'!A:A,MATCH(43830,'TJ List'!B:B,-1)+1,0)),12,1,TRUE,"TJ List"),":",ADDRESS(ROW(INDEX('TJ List'!A:A,MATCH(43100,'TJ List'!B:B,-1),0)),12))))</f>
        <v>14</v>
      </c>
      <c r="J8" s="125">
        <f t="array" ref="J8">COUNTIFS(INDIRECT(CONCATENATE(ADDRESS(ROW(INDEX('TJ List'!A:A,MATCH(43830,'TJ List'!B:B,-1)+1,0)),11,1,TRUE,"TJ List"),":",ADDRESS(ROW(INDEX('TJ List'!A:A,MATCH(43100,'TJ List'!B:B,-1),0)),11))),"&gt;0")/COUNTIFS(INDIRECT(CONCATENATE(ADDRESS(ROW(INDEX('TJ List'!A:A,MATCH(43830,'TJ List'!B:B,-1)+1,0)),1,1,TRUE,"TJ List"),":",ADDRESS(ROW(INDEX('TJ List'!A:A,MATCH(43100,'TJ List'!B:B,-1),0)),1))),"&lt;&gt;0")</f>
        <v>0.8105263158</v>
      </c>
      <c r="K8" s="126">
        <f t="array" ref="K8">COUNTIFS(INDIRECT(CONCATENATE(ADDRESS(ROW(INDEX('TJ List'!A:A,MATCH(43830,'TJ List'!B:B,-1)+1,0)),11,1,TRUE,"TJ List"),":",ADDRESS(ROW(INDEX('TJ List'!A:A,MATCH(43100,'TJ List'!B:B,-1),0)),11))),"&lt;&gt;X")</f>
        <v>285</v>
      </c>
      <c r="L8" s="127">
        <f t="array" ref="L8">AVERAGEIFS(INDIRECT(CONCATENATE(ADDRESS(ROW(INDEX('TJ List'!A:A,MATCH(43830,'TJ List'!B:B,-1)+1,0)),12,1,TRUE,"TJ List"),":",ADDRESS(ROW(INDEX('TJ List'!A:A,MATCH(43100,'TJ List'!B:B,-1),0)),12))),INDIRECT(CONCATENATE(ADDRESS(ROW(INDEX('TJ List'!A:A,MATCH(43830,'TJ List'!B:B,-1)+1,0)),4,1,TRUE,"TJ List"),":",ADDRESS(ROW(INDEX('TJ List'!A:A,MATCH(43100,'TJ List'!B:B,-1),0)),4))),"MLB",INDIRECT(CONCATENATE(ADDRESS(ROW(INDEX('TJ List'!A:A,MATCH(43830,'TJ List'!B:B,-1)+1,0)),12,1,TRUE,"TJ List"),":",ADDRESS(ROW(INDEX('TJ List'!A:A,MATCH(43100,'TJ List'!B:B,-1),0)),12))),"&gt;0")</f>
        <v>18.94736842</v>
      </c>
      <c r="M8" s="125">
        <f t="array" ref="M8">COUNTIFS(INDIRECT(CONCATENATE(ADDRESS(ROW(INDEX('TJ List'!A:A,MATCH(43830,'TJ List'!B:B,-1)+1,0)),11,1,TRUE,"TJ List"),":",ADDRESS(ROW(INDEX('TJ List'!A:A,MATCH(43100,'TJ List'!B:B,-1),0)),11))),"&gt;0",INDIRECT(CONCATENATE(ADDRESS(ROW(INDEX('TJ List'!A:A,MATCH(43830,'TJ List'!B:B,-1)+1,0)),4,1,TRUE,"TJ List"),":",ADDRESS(ROW(INDEX('TJ List'!A:A,MATCH(43100,'TJ List'!B:B,-1),0)),4))),"MLB")/COUNTIFS(INDIRECT(CONCATENATE(ADDRESS(ROW(INDEX('TJ List'!A:A,MATCH(43830,'TJ List'!B:B,-1)+1,0)),1,1,TRUE,"TJ List"),":",ADDRESS(ROW(INDEX('TJ List'!A:A,MATCH(43100,'TJ List'!B:B,-1),0)),1))),"&lt;&gt;0",INDIRECT(CONCATENATE(ADDRESS(ROW(INDEX('TJ List'!A:A,MATCH(43830,'TJ List'!B:B,-1)+1,0)),4,1,TRUE,"TJ List"),":",ADDRESS(ROW(INDEX('TJ List'!A:A,MATCH(43100,'TJ List'!B:B,-1),0)),4))),"MLB")</f>
        <v>0.829787234</v>
      </c>
      <c r="N8" s="128">
        <f t="array" ref="N8">COUNTIFS(INDIRECT(CONCATENATE(ADDRESS(ROW(INDEX('TJ List'!A:A,MATCH(43830,'TJ List'!B:B,-1)+1,0)),11,1,TRUE,"TJ List"),":",ADDRESS(ROW(INDEX('TJ List'!A:A,MATCH(43100,'TJ List'!B:B,-1),0)),11))),"&lt;&gt;X",INDIRECT(CONCATENATE(ADDRESS(ROW(INDEX('TJ List'!A:A,MATCH(43830,'TJ List'!B:B,-1)+1,0)),4,1,TRUE,"TJ List"),":",ADDRESS(ROW(INDEX('TJ List'!A:A,MATCH(43100,'TJ List'!B:B,-1),0)),4))),"MLB")</f>
        <v>47</v>
      </c>
    </row>
    <row r="9">
      <c r="A9" s="119">
        <v>2016.0</v>
      </c>
      <c r="B9" s="120">
        <v>2017.0</v>
      </c>
      <c r="C9" s="121">
        <f>IF(COUNTIFS('TJ List'!$L:$L,"&gt;0",'TJ List'!$S:$S,"&gt;="&amp;$A9,'TJ List'!$S:$S,"&lt;="&amp;$B9,'TJ List'!$T:$T,"&gt;="&amp;C$2,'TJ List'!$T:$T,"&lt;="&amp;C$3)&gt;0,SUMIFS('TJ List'!$L:$L,'TJ List'!$S:$S,"&gt;="&amp;$A9,'TJ List'!$S:$S,"&lt;="&amp;$B9,'TJ List'!$T:$T,"&gt;="&amp;C$2,'TJ List'!$T:$T,"&lt;="&amp;C$3)/COUNTIFS('TJ List'!$L:$L,"&gt;0",'TJ List'!$S:$S,"&gt;="&amp;$A9,'TJ List'!$S:$S,"&lt;="&amp;$B9,'TJ List'!$T:$T,"&gt;="&amp;C$2,'TJ List'!$T:$T,"&lt;="&amp;C$3),"N/A")</f>
        <v>17.73913043</v>
      </c>
      <c r="D9" s="121">
        <f>IF(COUNTIFS('TJ List'!$L:$L,"&gt;0",'TJ List'!$S:$S,"&gt;="&amp;$A9,'TJ List'!$S:$S,"&lt;="&amp;$B9,'TJ List'!$T:$T,"&gt;="&amp;D$2,'TJ List'!$T:$T,"&lt;="&amp;D$3)&gt;0,SUMIFS('TJ List'!$L:$L,'TJ List'!$S:$S,"&gt;="&amp;$A9,'TJ List'!$S:$S,"&lt;="&amp;$B9,'TJ List'!$T:$T,"&gt;="&amp;D$2,'TJ List'!$T:$T,"&lt;="&amp;D$3)/COUNTIFS('TJ List'!$L:$L,"&gt;0",'TJ List'!$S:$S,"&gt;="&amp;$A9,'TJ List'!$S:$S,"&lt;="&amp;$B9,'TJ List'!$T:$T,"&gt;="&amp;D$2,'TJ List'!$T:$T,"&lt;="&amp;D$3),"N/A")</f>
        <v>17.36486486</v>
      </c>
      <c r="E9" s="121">
        <f>IF(COUNTIFS('TJ List'!$L:$L,"&gt;0",'TJ List'!$S:$S,"&gt;="&amp;$A9,'TJ List'!$S:$S,"&lt;="&amp;$B9,'TJ List'!$T:$T,"&gt;="&amp;E$2,'TJ List'!$T:$T,"&lt;="&amp;E$3)&gt;0,SUMIFS('TJ List'!$L:$L,'TJ List'!$S:$S,"&gt;="&amp;$A9,'TJ List'!$S:$S,"&lt;="&amp;$B9,'TJ List'!$T:$T,"&gt;="&amp;E$2,'TJ List'!$T:$T,"&lt;="&amp;E$3)/COUNTIFS('TJ List'!$L:$L,"&gt;0",'TJ List'!$S:$S,"&gt;="&amp;$A9,'TJ List'!$S:$S,"&lt;="&amp;$B9,'TJ List'!$T:$T,"&gt;="&amp;E$2,'TJ List'!$T:$T,"&lt;="&amp;E$3),"N/A")</f>
        <v>21.20408163</v>
      </c>
      <c r="F9" s="122">
        <f>IF(COUNTIFS('TJ List'!$L:$L,"&gt;0",'TJ List'!$S:$S,"&gt;="&amp;$A9,'TJ List'!$S:$S,"&lt;="&amp;$B9,'TJ List'!$T:$T,"&gt;="&amp;F$2,'TJ List'!$T:$T,"&lt;="&amp;F$3)&gt;0,SUMIFS('TJ List'!$L:$L,'TJ List'!$S:$S,"&gt;="&amp;$A9,'TJ List'!$S:$S,"&lt;="&amp;$B9,'TJ List'!$T:$T,"&gt;="&amp;F$2,'TJ List'!$T:$T,"&lt;="&amp;F$3)/COUNTIFS('TJ List'!$L:$L,"&gt;0",'TJ List'!$S:$S,"&gt;="&amp;$A9,'TJ List'!$S:$S,"&lt;="&amp;$B9,'TJ List'!$T:$T,"&gt;="&amp;F$2,'TJ List'!$T:$T,"&lt;="&amp;F$3),"N/A")</f>
        <v>20.08333333</v>
      </c>
      <c r="G9" s="123">
        <f t="array" ref="G9">AVERAGE(INDIRECT(CONCATENATE(ADDRESS(ROW(INDEX('TJ List'!A:A,MATCH(43100,'TJ List'!B:B,-1)+1,0)),12,1,TRUE,"TJ List"),":",ADDRESS(ROW(INDEX('TJ List'!A:A,MATCH(42369,'TJ List'!B:B,-1),0)),12))))</f>
        <v>18.8164557</v>
      </c>
      <c r="H9" s="124">
        <f t="array" ref="H9">MEDIAN(INDIRECT(CONCATENATE(ADDRESS(ROW(INDEX('TJ List'!A:A,MATCH(43100,'TJ List'!B:B,-1)+1,0)),12,1,TRUE,"TJ List"),":",ADDRESS(ROW(INDEX('TJ List'!A:A,MATCH(42369,'TJ List'!B:B,-1),0)),12))))</f>
        <v>17</v>
      </c>
      <c r="I9" s="124">
        <f t="array" ref="I9">MODE(INDIRECT(CONCATENATE(ADDRESS(ROW(INDEX('TJ List'!A:A,MATCH(43100,'TJ List'!B:B,-1)+1,0)),12,1,TRUE,"TJ List"),":",ADDRESS(ROW(INDEX('TJ List'!A:A,MATCH(42369,'TJ List'!B:B,-1),0)),12))))</f>
        <v>14</v>
      </c>
      <c r="J9" s="125">
        <f t="array" ref="J9">COUNTIFS(INDIRECT(CONCATENATE(ADDRESS(ROW(INDEX('TJ List'!A:A,MATCH(43100,'TJ List'!B:B,-1)+1,0)),11,1,TRUE,"TJ List"),":",ADDRESS(ROW(INDEX('TJ List'!A:A,MATCH(42369,'TJ List'!B:B,-1),0)),11))),"&gt;0")/COUNTIFS(INDIRECT(CONCATENATE(ADDRESS(ROW(INDEX('TJ List'!A:A,MATCH(43100,'TJ List'!B:B,-1)+1,0)),1,1,TRUE,"TJ List"),":",ADDRESS(ROW(INDEX('TJ List'!A:A,MATCH(42369,'TJ List'!B:B,-1),0)),1))),"&lt;&gt;0")</f>
        <v>0.81875</v>
      </c>
      <c r="K9" s="126">
        <f t="array" ref="K9">COUNTIFS(INDIRECT(CONCATENATE(ADDRESS(ROW(INDEX('TJ List'!A:A,MATCH(43100,'TJ List'!B:B,-1)+1,0)),11,1,TRUE,"TJ List"),":",ADDRESS(ROW(INDEX('TJ List'!A:A,MATCH(42369,'TJ List'!B:B,-1),0)),11))),"&lt;&gt;X")</f>
        <v>320</v>
      </c>
      <c r="L9" s="127">
        <f t="array" ref="L9">AVERAGEIFS(INDIRECT(CONCATENATE(ADDRESS(ROW(INDEX('TJ List'!A:A,MATCH(43100,'TJ List'!B:B,-1)+1,0)),12,1,TRUE,"TJ List"),":",ADDRESS(ROW(INDEX('TJ List'!A:A,MATCH(42369,'TJ List'!B:B,-1),0)),12))),INDIRECT(CONCATENATE(ADDRESS(ROW(INDEX('TJ List'!A:A,MATCH(43100,'TJ List'!B:B,-1)+1,0)),4,1,TRUE,"TJ List"),":",ADDRESS(ROW(INDEX('TJ List'!A:A,MATCH(42369,'TJ List'!B:B,-1),0)),4))),"MLB",INDIRECT(CONCATENATE(ADDRESS(ROW(INDEX('TJ List'!A:A,MATCH(43100,'TJ List'!B:B,-1)+1,0)),12,1,TRUE,"TJ List"),":",ADDRESS(ROW(INDEX('TJ List'!A:A,MATCH(42369,'TJ List'!B:B,-1),0)),12))),"&gt;0")</f>
        <v>21.34615385</v>
      </c>
      <c r="M9" s="125">
        <f t="array" ref="M9">COUNTIFS(INDIRECT(CONCATENATE(ADDRESS(ROW(INDEX('TJ List'!A:A,MATCH(43100,'TJ List'!B:B,-1)+1,0)),11,1,TRUE,"TJ List"),":",ADDRESS(ROW(INDEX('TJ List'!A:A,MATCH(42369,'TJ List'!B:B,-1),0)),11))),"&gt;0",INDIRECT(CONCATENATE(ADDRESS(ROW(INDEX('TJ List'!A:A,MATCH(43100,'TJ List'!B:B,-1)+1,0)),4,1,TRUE,"TJ List"),":",ADDRESS(ROW(INDEX('TJ List'!A:A,MATCH(42369,'TJ List'!B:B,-1),0)),4))),"MLB")/COUNTIFS(INDIRECT(CONCATENATE(ADDRESS(ROW(INDEX('TJ List'!A:A,MATCH(43100,'TJ List'!B:B,-1)+1,0)),1,1,TRUE,"TJ List"),":",ADDRESS(ROW(INDEX('TJ List'!A:A,MATCH(42369,'TJ List'!B:B,-1),0)),1))),"&lt;&gt;0",INDIRECT(CONCATENATE(ADDRESS(ROW(INDEX('TJ List'!A:A,MATCH(43100,'TJ List'!B:B,-1)+1,0)),4,1,TRUE,"TJ List"),":",ADDRESS(ROW(INDEX('TJ List'!A:A,MATCH(42369,'TJ List'!B:B,-1),0)),4))),"MLB")</f>
        <v>0.6666666667</v>
      </c>
      <c r="N9" s="128">
        <f t="array" ref="N9">COUNTIFS(INDIRECT(CONCATENATE(ADDRESS(ROW(INDEX('TJ List'!A:A,MATCH(43100,'TJ List'!B:B,-1)+1,0)),11,1,TRUE,"TJ List"),":",ADDRESS(ROW(INDEX('TJ List'!A:A,MATCH(42369,'TJ List'!B:B,-1),0)),11))),"&lt;&gt;X",INDIRECT(CONCATENATE(ADDRESS(ROW(INDEX('TJ List'!A:A,MATCH(43100,'TJ List'!B:B,-1)+1,0)),4,1,TRUE,"TJ List"),":",ADDRESS(ROW(INDEX('TJ List'!A:A,MATCH(42369,'TJ List'!B:B,-1),0)),4))),"MLB")</f>
        <v>39</v>
      </c>
    </row>
    <row r="10">
      <c r="A10" s="119">
        <v>2014.0</v>
      </c>
      <c r="B10" s="120">
        <v>2015.0</v>
      </c>
      <c r="C10" s="121">
        <f>IF(COUNTIFS('TJ List'!$L:$L,"&gt;0",'TJ List'!$S:$S,"&gt;="&amp;$A10,'TJ List'!$S:$S,"&lt;="&amp;$B10,'TJ List'!$T:$T,"&gt;="&amp;C$2,'TJ List'!$T:$T,"&lt;="&amp;C$3)&gt;0,SUMIFS('TJ List'!$L:$L,'TJ List'!$S:$S,"&gt;="&amp;$A10,'TJ List'!$S:$S,"&lt;="&amp;$B10,'TJ List'!$T:$T,"&gt;="&amp;C$2,'TJ List'!$T:$T,"&lt;="&amp;C$3)/COUNTIFS('TJ List'!$L:$L,"&gt;0",'TJ List'!$S:$S,"&gt;="&amp;$A10,'TJ List'!$S:$S,"&lt;="&amp;$B10,'TJ List'!$T:$T,"&gt;="&amp;C$2,'TJ List'!$T:$T,"&lt;="&amp;C$3),"N/A")</f>
        <v>17.97142857</v>
      </c>
      <c r="D10" s="121">
        <f>IF(COUNTIFS('TJ List'!$L:$L,"&gt;0",'TJ List'!$S:$S,"&gt;="&amp;$A10,'TJ List'!$S:$S,"&lt;="&amp;$B10,'TJ List'!$T:$T,"&gt;="&amp;D$2,'TJ List'!$T:$T,"&lt;="&amp;D$3)&gt;0,SUMIFS('TJ List'!$L:$L,'TJ List'!$S:$S,"&gt;="&amp;$A10,'TJ List'!$S:$S,"&lt;="&amp;$B10,'TJ List'!$T:$T,"&gt;="&amp;D$2,'TJ List'!$T:$T,"&lt;="&amp;D$3)/COUNTIFS('TJ List'!$L:$L,"&gt;0",'TJ List'!$S:$S,"&gt;="&amp;$A10,'TJ List'!$S:$S,"&lt;="&amp;$B10,'TJ List'!$T:$T,"&gt;="&amp;D$2,'TJ List'!$T:$T,"&lt;="&amp;D$3),"N/A")</f>
        <v>17.60227273</v>
      </c>
      <c r="E10" s="121">
        <f>IF(COUNTIFS('TJ List'!$L:$L,"&gt;0",'TJ List'!$S:$S,"&gt;="&amp;$A10,'TJ List'!$S:$S,"&lt;="&amp;$B10,'TJ List'!$T:$T,"&gt;="&amp;E$2,'TJ List'!$T:$T,"&lt;="&amp;E$3)&gt;0,SUMIFS('TJ List'!$L:$L,'TJ List'!$S:$S,"&gt;="&amp;$A10,'TJ List'!$S:$S,"&lt;="&amp;$B10,'TJ List'!$T:$T,"&gt;="&amp;E$2,'TJ List'!$T:$T,"&lt;="&amp;E$3)/COUNTIFS('TJ List'!$L:$L,"&gt;0",'TJ List'!$S:$S,"&gt;="&amp;$A10,'TJ List'!$S:$S,"&lt;="&amp;$B10,'TJ List'!$T:$T,"&gt;="&amp;E$2,'TJ List'!$T:$T,"&lt;="&amp;E$3),"N/A")</f>
        <v>18.10344828</v>
      </c>
      <c r="F10" s="122">
        <f>IF(COUNTIFS('TJ List'!$L:$L,"&gt;0",'TJ List'!$S:$S,"&gt;="&amp;$A10,'TJ List'!$S:$S,"&lt;="&amp;$B10,'TJ List'!$T:$T,"&gt;="&amp;F$2,'TJ List'!$T:$T,"&lt;="&amp;F$3)&gt;0,SUMIFS('TJ List'!$L:$L,'TJ List'!$S:$S,"&gt;="&amp;$A10,'TJ List'!$S:$S,"&lt;="&amp;$B10,'TJ List'!$T:$T,"&gt;="&amp;F$2,'TJ List'!$T:$T,"&lt;="&amp;F$3)/COUNTIFS('TJ List'!$L:$L,"&gt;0",'TJ List'!$S:$S,"&gt;="&amp;$A10,'TJ List'!$S:$S,"&lt;="&amp;$B10,'TJ List'!$T:$T,"&gt;="&amp;F$2,'TJ List'!$T:$T,"&lt;="&amp;F$3),"N/A")</f>
        <v>21.33333333</v>
      </c>
      <c r="G10" s="123">
        <f t="array" ref="G10">AVERAGE(INDIRECT(CONCATENATE(ADDRESS(ROW(INDEX('TJ List'!A:A,MATCH(42369,'TJ List'!B:B,-1)+1,0)),12,1,TRUE,"TJ List"),":",ADDRESS(ROW(INDEX('TJ List'!A:A,MATCH(41639,'TJ List'!B:B,-1),0)),12))))</f>
        <v>18</v>
      </c>
      <c r="H10" s="124">
        <f t="array" ref="H10">MEDIAN(INDIRECT(CONCATENATE(ADDRESS(ROW(INDEX('TJ List'!A:A,MATCH(42369,'TJ List'!B:B,-1)+1,0)),12,1,TRUE,"TJ List"),":",ADDRESS(ROW(INDEX('TJ List'!A:A,MATCH(41639,'TJ List'!B:B,-1),0)),12))))</f>
        <v>15</v>
      </c>
      <c r="I10" s="124">
        <f t="array" ref="I10">MODE(INDIRECT(CONCATENATE(ADDRESS(ROW(INDEX('TJ List'!A:A,MATCH(42369,'TJ List'!B:B,-1)+1,0)),12,1,TRUE,"TJ List"),":",ADDRESS(ROW(INDEX('TJ List'!A:A,MATCH(41639,'TJ List'!B:B,-1),0)),12))))</f>
        <v>14</v>
      </c>
      <c r="J10" s="125">
        <f t="array" ref="J10">COUNTIFS(INDIRECT(CONCATENATE(ADDRESS(ROW(INDEX('TJ List'!A:A,MATCH(42369,'TJ List'!B:B,-1)+1,0)),11,1,TRUE,"TJ List"),":",ADDRESS(ROW(INDEX('TJ List'!A:A,MATCH(41639,'TJ List'!B:B,-1),0)),11))),"&gt;0")/COUNTIFS(INDIRECT(CONCATENATE(ADDRESS(ROW(INDEX('TJ List'!A:A,MATCH(42369,'TJ List'!B:B,-1)+1,0)),1,1,TRUE,"TJ List"),":",ADDRESS(ROW(INDEX('TJ List'!A:A,MATCH(41639,'TJ List'!B:B,-1),0)),1))),"&lt;&gt;0")</f>
        <v>0.8562691131</v>
      </c>
      <c r="K10" s="126">
        <f t="array" ref="K10">COUNTIFS(INDIRECT(CONCATENATE(ADDRESS(ROW(INDEX('TJ List'!A:A,MATCH(42369,'TJ List'!B:B,-1)+1,0)),11,1,TRUE,"TJ List"),":",ADDRESS(ROW(INDEX('TJ List'!A:A,MATCH(41639,'TJ List'!B:B,-1),0)),11))),"&lt;&gt;X")</f>
        <v>327</v>
      </c>
      <c r="L10" s="127">
        <f t="array" ref="L10">AVERAGEIFS(INDIRECT(CONCATENATE(ADDRESS(ROW(INDEX('TJ List'!A:A,MATCH(42369,'TJ List'!B:B,-1)+1,0)),12,1,TRUE,"TJ List"),":",ADDRESS(ROW(INDEX('TJ List'!A:A,MATCH(41639,'TJ List'!B:B,-1),0)),12))),INDIRECT(CONCATENATE(ADDRESS(ROW(INDEX('TJ List'!A:A,MATCH(42369,'TJ List'!B:B,-1)+1,0)),4,1,TRUE,"TJ List"),":",ADDRESS(ROW(INDEX('TJ List'!A:A,MATCH(41639,'TJ List'!B:B,-1),0)),4))),"MLB",INDIRECT(CONCATENATE(ADDRESS(ROW(INDEX('TJ List'!A:A,MATCH(42369,'TJ List'!B:B,-1)+1,0)),12,1,TRUE,"TJ List"),":",ADDRESS(ROW(INDEX('TJ List'!A:A,MATCH(41639,'TJ List'!B:B,-1),0)),12))),"&gt;0")</f>
        <v>21.26086957</v>
      </c>
      <c r="M10" s="125">
        <f t="array" ref="M10">COUNTIFS(INDIRECT(CONCATENATE(ADDRESS(ROW(INDEX('TJ List'!A:A,MATCH(42369,'TJ List'!B:B,-1)+1,0)),11,1,TRUE,"TJ List"),":",ADDRESS(ROW(INDEX('TJ List'!A:A,MATCH(41639,'TJ List'!B:B,-1),0)),11))),"&gt;0",INDIRECT(CONCATENATE(ADDRESS(ROW(INDEX('TJ List'!A:A,MATCH(42369,'TJ List'!B:B,-1)+1,0)),4,1,TRUE,"TJ List"),":",ADDRESS(ROW(INDEX('TJ List'!A:A,MATCH(41639,'TJ List'!B:B,-1),0)),4))),"MLB")/COUNTIFS(INDIRECT(CONCATENATE(ADDRESS(ROW(INDEX('TJ List'!A:A,MATCH(42369,'TJ List'!B:B,-1)+1,0)),1,1,TRUE,"TJ List"),":",ADDRESS(ROW(INDEX('TJ List'!A:A,MATCH(41639,'TJ List'!B:B,-1),0)),1))),"&lt;&gt;0",INDIRECT(CONCATENATE(ADDRESS(ROW(INDEX('TJ List'!A:A,MATCH(42369,'TJ List'!B:B,-1)+1,0)),4,1,TRUE,"TJ List"),":",ADDRESS(ROW(INDEX('TJ List'!A:A,MATCH(41639,'TJ List'!B:B,-1),0)),4))),"MLB")</f>
        <v>0.8070175439</v>
      </c>
      <c r="N10" s="128">
        <f t="array" ref="N10">COUNTIFS(INDIRECT(CONCATENATE(ADDRESS(ROW(INDEX('TJ List'!A:A,MATCH(42369,'TJ List'!B:B,-1)+1,0)),11,1,TRUE,"TJ List"),":",ADDRESS(ROW(INDEX('TJ List'!A:A,MATCH(41639,'TJ List'!B:B,-1),0)),11))),"&lt;&gt;X",INDIRECT(CONCATENATE(ADDRESS(ROW(INDEX('TJ List'!A:A,MATCH(42369,'TJ List'!B:B,-1)+1,0)),4,1,TRUE,"TJ List"),":",ADDRESS(ROW(INDEX('TJ List'!A:A,MATCH(41639,'TJ List'!B:B,-1),0)),4))),"MLB")</f>
        <v>57</v>
      </c>
    </row>
    <row r="11">
      <c r="A11" s="119">
        <v>2012.0</v>
      </c>
      <c r="B11" s="120">
        <v>2013.0</v>
      </c>
      <c r="C11" s="121">
        <f>IF(COUNTIFS('TJ List'!$L:$L,"&gt;0",'TJ List'!$S:$S,"&gt;="&amp;$A11,'TJ List'!$S:$S,"&lt;="&amp;$B11,'TJ List'!$T:$T,"&gt;="&amp;C$2,'TJ List'!$T:$T,"&lt;="&amp;C$3)&gt;0,SUMIFS('TJ List'!$L:$L,'TJ List'!$S:$S,"&gt;="&amp;$A11,'TJ List'!$S:$S,"&lt;="&amp;$B11,'TJ List'!$T:$T,"&gt;="&amp;C$2,'TJ List'!$T:$T,"&lt;="&amp;C$3)/COUNTIFS('TJ List'!$L:$L,"&gt;0",'TJ List'!$S:$S,"&gt;="&amp;$A11,'TJ List'!$S:$S,"&lt;="&amp;$B11,'TJ List'!$T:$T,"&gt;="&amp;C$2,'TJ List'!$T:$T,"&lt;="&amp;C$3),"N/A")</f>
        <v>18.66666667</v>
      </c>
      <c r="D11" s="121">
        <f>IF(COUNTIFS('TJ List'!$L:$L,"&gt;0",'TJ List'!$S:$S,"&gt;="&amp;$A11,'TJ List'!$S:$S,"&lt;="&amp;$B11,'TJ List'!$T:$T,"&gt;="&amp;D$2,'TJ List'!$T:$T,"&lt;="&amp;D$3)&gt;0,SUMIFS('TJ List'!$L:$L,'TJ List'!$S:$S,"&gt;="&amp;$A11,'TJ List'!$S:$S,"&lt;="&amp;$B11,'TJ List'!$T:$T,"&gt;="&amp;D$2,'TJ List'!$T:$T,"&lt;="&amp;D$3)/COUNTIFS('TJ List'!$L:$L,"&gt;0",'TJ List'!$S:$S,"&gt;="&amp;$A11,'TJ List'!$S:$S,"&lt;="&amp;$B11,'TJ List'!$T:$T,"&gt;="&amp;D$2,'TJ List'!$T:$T,"&lt;="&amp;D$3),"N/A")</f>
        <v>18.59677419</v>
      </c>
      <c r="E11" s="121">
        <f>IF(COUNTIFS('TJ List'!$L:$L,"&gt;0",'TJ List'!$S:$S,"&gt;="&amp;$A11,'TJ List'!$S:$S,"&lt;="&amp;$B11,'TJ List'!$T:$T,"&gt;="&amp;E$2,'TJ List'!$T:$T,"&lt;="&amp;E$3)&gt;0,SUMIFS('TJ List'!$L:$L,'TJ List'!$S:$S,"&gt;="&amp;$A11,'TJ List'!$S:$S,"&lt;="&amp;$B11,'TJ List'!$T:$T,"&gt;="&amp;E$2,'TJ List'!$T:$T,"&lt;="&amp;E$3)/COUNTIFS('TJ List'!$L:$L,"&gt;0",'TJ List'!$S:$S,"&gt;="&amp;$A11,'TJ List'!$S:$S,"&lt;="&amp;$B11,'TJ List'!$T:$T,"&gt;="&amp;E$2,'TJ List'!$T:$T,"&lt;="&amp;E$3),"N/A")</f>
        <v>16.30434783</v>
      </c>
      <c r="F11" s="122">
        <f>IF(COUNTIFS('TJ List'!$L:$L,"&gt;0",'TJ List'!$S:$S,"&gt;="&amp;$A11,'TJ List'!$S:$S,"&lt;="&amp;$B11,'TJ List'!$T:$T,"&gt;="&amp;F$2,'TJ List'!$T:$T,"&lt;="&amp;F$3)&gt;0,SUMIFS('TJ List'!$L:$L,'TJ List'!$S:$S,"&gt;="&amp;$A11,'TJ List'!$S:$S,"&lt;="&amp;$B11,'TJ List'!$T:$T,"&gt;="&amp;F$2,'TJ List'!$T:$T,"&lt;="&amp;F$3)/COUNTIFS('TJ List'!$L:$L,"&gt;0",'TJ List'!$S:$S,"&gt;="&amp;$A11,'TJ List'!$S:$S,"&lt;="&amp;$B11,'TJ List'!$T:$T,"&gt;="&amp;F$2,'TJ List'!$T:$T,"&lt;="&amp;F$3),"N/A")</f>
        <v>20.23076923</v>
      </c>
      <c r="G11" s="123">
        <f t="array" ref="G11">AVERAGE(INDIRECT(CONCATENATE(ADDRESS(ROW(INDEX('TJ List'!A:A,MATCH(41639,'TJ List'!B:B,-1)+1,0)),12,1,TRUE,"TJ List"),":",ADDRESS(ROW(INDEX('TJ List'!A:A,MATCH(40908,'TJ List'!B:B,-1),0)),12))))</f>
        <v>17.95384615</v>
      </c>
      <c r="H11" s="124">
        <f t="array" ref="H11">MEDIAN(INDIRECT(CONCATENATE(ADDRESS(ROW(INDEX('TJ List'!A:A,MATCH(41639,'TJ List'!B:B,-1)+1,0)),12,1,TRUE,"TJ List"),":",ADDRESS(ROW(INDEX('TJ List'!A:A,MATCH(40908,'TJ List'!B:B,-1),0)),12))))</f>
        <v>14</v>
      </c>
      <c r="I11" s="124">
        <f t="array" ref="I11">MODE(INDIRECT(CONCATENATE(ADDRESS(ROW(INDEX('TJ List'!A:A,MATCH(41639,'TJ List'!B:B,-1)+1,0)),12,1,TRUE,"TJ List"),":",ADDRESS(ROW(INDEX('TJ List'!A:A,MATCH(40908,'TJ List'!B:B,-1),0)),12))))</f>
        <v>12</v>
      </c>
      <c r="J11" s="125">
        <f t="array" ref="J11">COUNTIFS(INDIRECT(CONCATENATE(ADDRESS(ROW(INDEX('TJ List'!A:A,MATCH(41639,'TJ List'!B:B,-1)+1,0)),11,1,TRUE,"TJ List"),":",ADDRESS(ROW(INDEX('TJ List'!A:A,MATCH(40908,'TJ List'!B:B,-1),0)),11))),"&gt;0")/COUNTIFS(INDIRECT(CONCATENATE(ADDRESS(ROW(INDEX('TJ List'!A:A,MATCH(41639,'TJ List'!B:B,-1)+1,0)),1,1,TRUE,"TJ List"),":",ADDRESS(ROW(INDEX('TJ List'!A:A,MATCH(40908,'TJ List'!B:B,-1),0)),1))),"&lt;&gt;0")</f>
        <v>0.8640350877</v>
      </c>
      <c r="K11" s="126">
        <f t="array" ref="K11">COUNTIFS(INDIRECT(CONCATENATE(ADDRESS(ROW(INDEX('TJ List'!A:A,MATCH(41639,'TJ List'!B:B,-1)+1,0)),11,1,TRUE,"TJ List"),":",ADDRESS(ROW(INDEX('TJ List'!A:A,MATCH(40908,'TJ List'!B:B,-1),0)),11))),"&lt;&gt;X")</f>
        <v>228</v>
      </c>
      <c r="L11" s="127">
        <f t="array" ref="L11">AVERAGEIFS(INDIRECT(CONCATENATE(ADDRESS(ROW(INDEX('TJ List'!A:A,MATCH(41639,'TJ List'!B:B,-1)+1,0)),12,1,TRUE,"TJ List"),":",ADDRESS(ROW(INDEX('TJ List'!A:A,MATCH(40908,'TJ List'!B:B,-1),0)),12))),INDIRECT(CONCATENATE(ADDRESS(ROW(INDEX('TJ List'!A:A,MATCH(41639,'TJ List'!B:B,-1)+1,0)),4,1,TRUE,"TJ List"),":",ADDRESS(ROW(INDEX('TJ List'!A:A,MATCH(40908,'TJ List'!B:B,-1),0)),4))),"MLB",INDIRECT(CONCATENATE(ADDRESS(ROW(INDEX('TJ List'!A:A,MATCH(41639,'TJ List'!B:B,-1)+1,0)),12,1,TRUE,"TJ List"),":",ADDRESS(ROW(INDEX('TJ List'!A:A,MATCH(40908,'TJ List'!B:B,-1),0)),12))),"&gt;0")</f>
        <v>20.13636364</v>
      </c>
      <c r="M11" s="125">
        <f t="array" ref="M11">COUNTIFS(INDIRECT(CONCATENATE(ADDRESS(ROW(INDEX('TJ List'!A:A,MATCH(41639,'TJ List'!B:B,-1)+1,0)),11,1,TRUE,"TJ List"),":",ADDRESS(ROW(INDEX('TJ List'!A:A,MATCH(40908,'TJ List'!B:B,-1),0)),11))),"&gt;0",INDIRECT(CONCATENATE(ADDRESS(ROW(INDEX('TJ List'!A:A,MATCH(41639,'TJ List'!B:B,-1)+1,0)),4,1,TRUE,"TJ List"),":",ADDRESS(ROW(INDEX('TJ List'!A:A,MATCH(40908,'TJ List'!B:B,-1),0)),4))),"MLB")/COUNTIFS(INDIRECT(CONCATENATE(ADDRESS(ROW(INDEX('TJ List'!A:A,MATCH(41639,'TJ List'!B:B,-1)+1,0)),1,1,TRUE,"TJ List"),":",ADDRESS(ROW(INDEX('TJ List'!A:A,MATCH(40908,'TJ List'!B:B,-1),0)),1))),"&lt;&gt;0",INDIRECT(CONCATENATE(ADDRESS(ROW(INDEX('TJ List'!A:A,MATCH(41639,'TJ List'!B:B,-1)+1,0)),4,1,TRUE,"TJ List"),":",ADDRESS(ROW(INDEX('TJ List'!A:A,MATCH(40908,'TJ List'!B:B,-1),0)),4))),"MLB")</f>
        <v>0.7857142857</v>
      </c>
      <c r="N11" s="128">
        <f t="array" ref="N11">COUNTIFS(INDIRECT(CONCATENATE(ADDRESS(ROW(INDEX('TJ List'!A:A,MATCH(41639,'TJ List'!B:B,-1)+1,0)),11,1,TRUE,"TJ List"),":",ADDRESS(ROW(INDEX('TJ List'!A:A,MATCH(40908,'TJ List'!B:B,-1),0)),11))),"&lt;&gt;X",INDIRECT(CONCATENATE(ADDRESS(ROW(INDEX('TJ List'!A:A,MATCH(41639,'TJ List'!B:B,-1)+1,0)),4,1,TRUE,"TJ List"),":",ADDRESS(ROW(INDEX('TJ List'!A:A,MATCH(40908,'TJ List'!B:B,-1),0)),4))),"MLB")</f>
        <v>56</v>
      </c>
    </row>
    <row r="12">
      <c r="A12" s="119">
        <v>2010.0</v>
      </c>
      <c r="B12" s="120">
        <v>2011.0</v>
      </c>
      <c r="C12" s="121">
        <f>IF(COUNTIFS('TJ List'!$L:$L,"&gt;0",'TJ List'!$S:$S,"&gt;="&amp;$A12,'TJ List'!$S:$S,"&lt;="&amp;$B12,'TJ List'!$T:$T,"&gt;="&amp;C$2,'TJ List'!$T:$T,"&lt;="&amp;C$3)&gt;0,SUMIFS('TJ List'!$L:$L,'TJ List'!$S:$S,"&gt;="&amp;$A12,'TJ List'!$S:$S,"&lt;="&amp;$B12,'TJ List'!$T:$T,"&gt;="&amp;C$2,'TJ List'!$T:$T,"&lt;="&amp;C$3)/COUNTIFS('TJ List'!$L:$L,"&gt;0",'TJ List'!$S:$S,"&gt;="&amp;$A12,'TJ List'!$S:$S,"&lt;="&amp;$B12,'TJ List'!$T:$T,"&gt;="&amp;C$2,'TJ List'!$T:$T,"&lt;="&amp;C$3),"N/A")</f>
        <v>15.1</v>
      </c>
      <c r="D12" s="121">
        <f>IF(COUNTIFS('TJ List'!$L:$L,"&gt;0",'TJ List'!$S:$S,"&gt;="&amp;$A12,'TJ List'!$S:$S,"&lt;="&amp;$B12,'TJ List'!$T:$T,"&gt;="&amp;D$2,'TJ List'!$T:$T,"&lt;="&amp;D$3)&gt;0,SUMIFS('TJ List'!$L:$L,'TJ List'!$S:$S,"&gt;="&amp;$A12,'TJ List'!$S:$S,"&lt;="&amp;$B12,'TJ List'!$T:$T,"&gt;="&amp;D$2,'TJ List'!$T:$T,"&lt;="&amp;D$3)/COUNTIFS('TJ List'!$L:$L,"&gt;0",'TJ List'!$S:$S,"&gt;="&amp;$A12,'TJ List'!$S:$S,"&lt;="&amp;$B12,'TJ List'!$T:$T,"&gt;="&amp;D$2,'TJ List'!$T:$T,"&lt;="&amp;D$3),"N/A")</f>
        <v>16.96296296</v>
      </c>
      <c r="E12" s="121">
        <f>IF(COUNTIFS('TJ List'!$L:$L,"&gt;0",'TJ List'!$S:$S,"&gt;="&amp;$A12,'TJ List'!$S:$S,"&lt;="&amp;$B12,'TJ List'!$T:$T,"&gt;="&amp;E$2,'TJ List'!$T:$T,"&lt;="&amp;E$3)&gt;0,SUMIFS('TJ List'!$L:$L,'TJ List'!$S:$S,"&gt;="&amp;$A12,'TJ List'!$S:$S,"&lt;="&amp;$B12,'TJ List'!$T:$T,"&gt;="&amp;E$2,'TJ List'!$T:$T,"&lt;="&amp;E$3)/COUNTIFS('TJ List'!$L:$L,"&gt;0",'TJ List'!$S:$S,"&gt;="&amp;$A12,'TJ List'!$S:$S,"&lt;="&amp;$B12,'TJ List'!$T:$T,"&gt;="&amp;E$2,'TJ List'!$T:$T,"&lt;="&amp;E$3),"N/A")</f>
        <v>17.71875</v>
      </c>
      <c r="F12" s="122">
        <f>IF(COUNTIFS('TJ List'!$L:$L,"&gt;0",'TJ List'!$S:$S,"&gt;="&amp;$A12,'TJ List'!$S:$S,"&lt;="&amp;$B12,'TJ List'!$T:$T,"&gt;="&amp;F$2,'TJ List'!$T:$T,"&lt;="&amp;F$3)&gt;0,SUMIFS('TJ List'!$L:$L,'TJ List'!$S:$S,"&gt;="&amp;$A12,'TJ List'!$S:$S,"&lt;="&amp;$B12,'TJ List'!$T:$T,"&gt;="&amp;F$2,'TJ List'!$T:$T,"&lt;="&amp;F$3)/COUNTIFS('TJ List'!$L:$L,"&gt;0",'TJ List'!$S:$S,"&gt;="&amp;$A12,'TJ List'!$S:$S,"&lt;="&amp;$B12,'TJ List'!$T:$T,"&gt;="&amp;F$2,'TJ List'!$T:$T,"&lt;="&amp;F$3),"N/A")</f>
        <v>18.22222222</v>
      </c>
      <c r="G12" s="123">
        <f t="array" ref="G12">AVERAGE(INDIRECT(CONCATENATE(ADDRESS(ROW(INDEX('TJ List'!A:A,MATCH(40908,'TJ List'!B:B,-1)+1,0)),12,1,TRUE,"TJ List"),":",ADDRESS(ROW(INDEX('TJ List'!A:A,MATCH(40178,'TJ List'!B:B,-1),0)),12))))</f>
        <v>17.17948718</v>
      </c>
      <c r="H12" s="124">
        <f t="array" ref="H12">MEDIAN(INDIRECT(CONCATENATE(ADDRESS(ROW(INDEX('TJ List'!A:A,MATCH(40908,'TJ List'!B:B,-1)+1,0)),12,1,TRUE,"TJ List"),":",ADDRESS(ROW(INDEX('TJ List'!A:A,MATCH(40178,'TJ List'!B:B,-1),0)),12))))</f>
        <v>15</v>
      </c>
      <c r="I12" s="124">
        <f t="array" ref="I12">MODE(INDIRECT(CONCATENATE(ADDRESS(ROW(INDEX('TJ List'!A:A,MATCH(40908,'TJ List'!B:B,-1)+1,0)),12,1,TRUE,"TJ List"),":",ADDRESS(ROW(INDEX('TJ List'!A:A,MATCH(40178,'TJ List'!B:B,-1),0)),12))))</f>
        <v>12</v>
      </c>
      <c r="J12" s="125">
        <f t="array" ref="J12">COUNTIFS(INDIRECT(CONCATENATE(ADDRESS(ROW(INDEX('TJ List'!A:A,MATCH(40908,'TJ List'!B:B,-1)+1,0)),11,1,TRUE,"TJ List"),":",ADDRESS(ROW(INDEX('TJ List'!A:A,MATCH(40178,'TJ List'!B:B,-1),0)),11))),"&gt;0")/COUNTIFS(INDIRECT(CONCATENATE(ADDRESS(ROW(INDEX('TJ List'!A:A,MATCH(40908,'TJ List'!B:B,-1)+1,0)),1,1,TRUE,"TJ List"),":",ADDRESS(ROW(INDEX('TJ List'!A:A,MATCH(40178,'TJ List'!B:B,-1),0)),1))),"&lt;&gt;0")</f>
        <v>0.89375</v>
      </c>
      <c r="K12" s="126">
        <f t="array" ref="K12">COUNTIFS(INDIRECT(CONCATENATE(ADDRESS(ROW(INDEX('TJ List'!A:A,MATCH(40908,'TJ List'!B:B,-1)+1,0)),11,1,TRUE,"TJ List"),":",ADDRESS(ROW(INDEX('TJ List'!A:A,MATCH(40178,'TJ List'!B:B,-1),0)),11))),"&lt;&gt;X")</f>
        <v>160</v>
      </c>
      <c r="L12" s="127">
        <f t="array" ref="L12">AVERAGEIFS(INDIRECT(CONCATENATE(ADDRESS(ROW(INDEX('TJ List'!A:A,MATCH(40908,'TJ List'!B:B,-1)+1,0)),12,1,TRUE,"TJ List"),":",ADDRESS(ROW(INDEX('TJ List'!A:A,MATCH(40178,'TJ List'!B:B,-1),0)),12))),INDIRECT(CONCATENATE(ADDRESS(ROW(INDEX('TJ List'!A:A,MATCH(40908,'TJ List'!B:B,-1)+1,0)),4,1,TRUE,"TJ List"),":",ADDRESS(ROW(INDEX('TJ List'!A:A,MATCH(40178,'TJ List'!B:B,-1),0)),4))),"MLB",INDIRECT(CONCATENATE(ADDRESS(ROW(INDEX('TJ List'!A:A,MATCH(40908,'TJ List'!B:B,-1)+1,0)),12,1,TRUE,"TJ List"),":",ADDRESS(ROW(INDEX('TJ List'!A:A,MATCH(40178,'TJ List'!B:B,-1),0)),12))),"&gt;0")</f>
        <v>16.07142857</v>
      </c>
      <c r="M12" s="125">
        <f t="array" ref="M12">COUNTIFS(INDIRECT(CONCATENATE(ADDRESS(ROW(INDEX('TJ List'!A:A,MATCH(40908,'TJ List'!B:B,-1)+1,0)),11,1,TRUE,"TJ List"),":",ADDRESS(ROW(INDEX('TJ List'!A:A,MATCH(40178,'TJ List'!B:B,-1),0)),11))),"&gt;0",INDIRECT(CONCATENATE(ADDRESS(ROW(INDEX('TJ List'!A:A,MATCH(40908,'TJ List'!B:B,-1)+1,0)),4,1,TRUE,"TJ List"),":",ADDRESS(ROW(INDEX('TJ List'!A:A,MATCH(40178,'TJ List'!B:B,-1),0)),4))),"MLB")/COUNTIFS(INDIRECT(CONCATENATE(ADDRESS(ROW(INDEX('TJ List'!A:A,MATCH(40908,'TJ List'!B:B,-1)+1,0)),1,1,TRUE,"TJ List"),":",ADDRESS(ROW(INDEX('TJ List'!A:A,MATCH(40178,'TJ List'!B:B,-1),0)),1))),"&lt;&gt;0",INDIRECT(CONCATENATE(ADDRESS(ROW(INDEX('TJ List'!A:A,MATCH(40908,'TJ List'!B:B,-1)+1,0)),4,1,TRUE,"TJ List"),":",ADDRESS(ROW(INDEX('TJ List'!A:A,MATCH(40178,'TJ List'!B:B,-1),0)),4))),"MLB")</f>
        <v>0.8235294118</v>
      </c>
      <c r="N12" s="128">
        <f t="array" ref="N12">COUNTIFS(INDIRECT(CONCATENATE(ADDRESS(ROW(INDEX('TJ List'!A:A,MATCH(40908,'TJ List'!B:B,-1)+1,0)),11,1,TRUE,"TJ List"),":",ADDRESS(ROW(INDEX('TJ List'!A:A,MATCH(40178,'TJ List'!B:B,-1),0)),11))),"&lt;&gt;X",INDIRECT(CONCATENATE(ADDRESS(ROW(INDEX('TJ List'!A:A,MATCH(40908,'TJ List'!B:B,-1)+1,0)),4,1,TRUE,"TJ List"),":",ADDRESS(ROW(INDEX('TJ List'!A:A,MATCH(40178,'TJ List'!B:B,-1),0)),4))),"MLB")</f>
        <v>34</v>
      </c>
    </row>
    <row r="13">
      <c r="A13" s="119">
        <v>2008.0</v>
      </c>
      <c r="B13" s="120">
        <v>2009.0</v>
      </c>
      <c r="C13" s="121">
        <f>IF(COUNTIFS('TJ List'!$L:$L,"&gt;0",'TJ List'!$S:$S,"&gt;="&amp;$A13,'TJ List'!$S:$S,"&lt;="&amp;$B13,'TJ List'!$T:$T,"&gt;="&amp;C$2,'TJ List'!$T:$T,"&lt;="&amp;C$3)&gt;0,SUMIFS('TJ List'!$L:$L,'TJ List'!$S:$S,"&gt;="&amp;$A13,'TJ List'!$S:$S,"&lt;="&amp;$B13,'TJ List'!$T:$T,"&gt;="&amp;C$2,'TJ List'!$T:$T,"&lt;="&amp;C$3)/COUNTIFS('TJ List'!$L:$L,"&gt;0",'TJ List'!$S:$S,"&gt;="&amp;$A13,'TJ List'!$S:$S,"&lt;="&amp;$B13,'TJ List'!$T:$T,"&gt;="&amp;C$2,'TJ List'!$T:$T,"&lt;="&amp;C$3),"N/A")</f>
        <v>27.5</v>
      </c>
      <c r="D13" s="121">
        <f>IF(COUNTIFS('TJ List'!$L:$L,"&gt;0",'TJ List'!$S:$S,"&gt;="&amp;$A13,'TJ List'!$S:$S,"&lt;="&amp;$B13,'TJ List'!$T:$T,"&gt;="&amp;D$2,'TJ List'!$T:$T,"&lt;="&amp;D$3)&gt;0,SUMIFS('TJ List'!$L:$L,'TJ List'!$S:$S,"&gt;="&amp;$A13,'TJ List'!$S:$S,"&lt;="&amp;$B13,'TJ List'!$T:$T,"&gt;="&amp;D$2,'TJ List'!$T:$T,"&lt;="&amp;D$3)/COUNTIFS('TJ List'!$L:$L,"&gt;0",'TJ List'!$S:$S,"&gt;="&amp;$A13,'TJ List'!$S:$S,"&lt;="&amp;$B13,'TJ List'!$T:$T,"&gt;="&amp;D$2,'TJ List'!$T:$T,"&lt;="&amp;D$3),"N/A")</f>
        <v>16.9375</v>
      </c>
      <c r="E13" s="121">
        <f>IF(COUNTIFS('TJ List'!$L:$L,"&gt;0",'TJ List'!$S:$S,"&gt;="&amp;$A13,'TJ List'!$S:$S,"&lt;="&amp;$B13,'TJ List'!$T:$T,"&gt;="&amp;E$2,'TJ List'!$T:$T,"&lt;="&amp;E$3)&gt;0,SUMIFS('TJ List'!$L:$L,'TJ List'!$S:$S,"&gt;="&amp;$A13,'TJ List'!$S:$S,"&lt;="&amp;$B13,'TJ List'!$T:$T,"&gt;="&amp;E$2,'TJ List'!$T:$T,"&lt;="&amp;E$3)/COUNTIFS('TJ List'!$L:$L,"&gt;0",'TJ List'!$S:$S,"&gt;="&amp;$A13,'TJ List'!$S:$S,"&lt;="&amp;$B13,'TJ List'!$T:$T,"&gt;="&amp;E$2,'TJ List'!$T:$T,"&lt;="&amp;E$3),"N/A")</f>
        <v>16.86956522</v>
      </c>
      <c r="F13" s="122">
        <f>IF(COUNTIFS('TJ List'!$L:$L,"&gt;0",'TJ List'!$S:$S,"&gt;="&amp;$A13,'TJ List'!$S:$S,"&lt;="&amp;$B13,'TJ List'!$T:$T,"&gt;="&amp;F$2,'TJ List'!$T:$T,"&lt;="&amp;F$3)&gt;0,SUMIFS('TJ List'!$L:$L,'TJ List'!$S:$S,"&gt;="&amp;$A13,'TJ List'!$S:$S,"&lt;="&amp;$B13,'TJ List'!$T:$T,"&gt;="&amp;F$2,'TJ List'!$T:$T,"&lt;="&amp;F$3)/COUNTIFS('TJ List'!$L:$L,"&gt;0",'TJ List'!$S:$S,"&gt;="&amp;$A13,'TJ List'!$S:$S,"&lt;="&amp;$B13,'TJ List'!$T:$T,"&gt;="&amp;F$2,'TJ List'!$T:$T,"&lt;="&amp;F$3),"N/A")</f>
        <v>21.33333333</v>
      </c>
      <c r="G13" s="123">
        <f t="array" ref="G13">AVERAGE(INDIRECT(CONCATENATE(ADDRESS(ROW(INDEX('TJ List'!A:A,MATCH(40178,'TJ List'!B:B,-1)+1,0)),12,1,TRUE,"TJ List"),":",ADDRESS(ROW(INDEX('TJ List'!A:A,MATCH(39447,'TJ List'!B:B,-1),0)),12))))</f>
        <v>17.80645161</v>
      </c>
      <c r="H13" s="124">
        <f t="array" ref="H13">MEDIAN(INDIRECT(CONCATENATE(ADDRESS(ROW(INDEX('TJ List'!A:A,MATCH(40178,'TJ List'!B:B,-1)+1,0)),12,1,TRUE,"TJ List"),":",ADDRESS(ROW(INDEX('TJ List'!A:A,MATCH(39447,'TJ List'!B:B,-1),0)),12))))</f>
        <v>14</v>
      </c>
      <c r="I13" s="124">
        <f t="array" ref="I13">MODE(INDIRECT(CONCATENATE(ADDRESS(ROW(INDEX('TJ List'!A:A,MATCH(40178,'TJ List'!B:B,-1)+1,0)),12,1,TRUE,"TJ List"),":",ADDRESS(ROW(INDEX('TJ List'!A:A,MATCH(39447,'TJ List'!B:B,-1),0)),12))))</f>
        <v>11</v>
      </c>
      <c r="J13" s="125">
        <f t="array" ref="J13">COUNTIFS(INDIRECT(CONCATENATE(ADDRESS(ROW(INDEX('TJ List'!A:A,MATCH(40178,'TJ List'!B:B,-1)+1,0)),11,1,TRUE,"TJ List"),":",ADDRESS(ROW(INDEX('TJ List'!A:A,MATCH(39447,'TJ List'!B:B,-1),0)),11))),"&gt;0")/COUNTIFS(INDIRECT(CONCATENATE(ADDRESS(ROW(INDEX('TJ List'!A:A,MATCH(40178,'TJ List'!B:B,-1)+1,0)),1,1,TRUE,"TJ List"),":",ADDRESS(ROW(INDEX('TJ List'!A:A,MATCH(39447,'TJ List'!B:B,-1),0)),1))),"&lt;&gt;0")</f>
        <v>0.875</v>
      </c>
      <c r="K13" s="126">
        <f t="array" ref="K13">COUNTIFS(INDIRECT(CONCATENATE(ADDRESS(ROW(INDEX('TJ List'!A:A,MATCH(40178,'TJ List'!B:B,-1)+1,0)),11,1,TRUE,"TJ List"),":",ADDRESS(ROW(INDEX('TJ List'!A:A,MATCH(39447,'TJ List'!B:B,-1),0)),11))),"&lt;&gt;X")</f>
        <v>128</v>
      </c>
      <c r="L13" s="127">
        <f t="array" ref="L13">AVERAGEIFS(INDIRECT(CONCATENATE(ADDRESS(ROW(INDEX('TJ List'!A:A,MATCH(40178,'TJ List'!B:B,-1)+1,0)),12,1,TRUE,"TJ List"),":",ADDRESS(ROW(INDEX('TJ List'!A:A,MATCH(39447,'TJ List'!B:B,-1),0)),12))),INDIRECT(CONCATENATE(ADDRESS(ROW(INDEX('TJ List'!A:A,MATCH(40178,'TJ List'!B:B,-1)+1,0)),4,1,TRUE,"TJ List"),":",ADDRESS(ROW(INDEX('TJ List'!A:A,MATCH(39447,'TJ List'!B:B,-1),0)),4))),"MLB",INDIRECT(CONCATENATE(ADDRESS(ROW(INDEX('TJ List'!A:A,MATCH(40178,'TJ List'!B:B,-1)+1,0)),12,1,TRUE,"TJ List"),":",ADDRESS(ROW(INDEX('TJ List'!A:A,MATCH(39447,'TJ List'!B:B,-1),0)),12))),"&gt;0")</f>
        <v>18.92857143</v>
      </c>
      <c r="M13" s="125">
        <f t="array" ref="M13">COUNTIFS(INDIRECT(CONCATENATE(ADDRESS(ROW(INDEX('TJ List'!A:A,MATCH(40178,'TJ List'!B:B,-1)+1,0)),11,1,TRUE,"TJ List"),":",ADDRESS(ROW(INDEX('TJ List'!A:A,MATCH(39447,'TJ List'!B:B,-1),0)),11))),"&gt;0",INDIRECT(CONCATENATE(ADDRESS(ROW(INDEX('TJ List'!A:A,MATCH(40178,'TJ List'!B:B,-1)+1,0)),4,1,TRUE,"TJ List"),":",ADDRESS(ROW(INDEX('TJ List'!A:A,MATCH(39447,'TJ List'!B:B,-1),0)),4))),"MLB")/COUNTIFS(INDIRECT(CONCATENATE(ADDRESS(ROW(INDEX('TJ List'!A:A,MATCH(40178,'TJ List'!B:B,-1)+1,0)),1,1,TRUE,"TJ List"),":",ADDRESS(ROW(INDEX('TJ List'!A:A,MATCH(39447,'TJ List'!B:B,-1),0)),1))),"&lt;&gt;0",INDIRECT(CONCATENATE(ADDRESS(ROW(INDEX('TJ List'!A:A,MATCH(40178,'TJ List'!B:B,-1)+1,0)),4,1,TRUE,"TJ List"),":",ADDRESS(ROW(INDEX('TJ List'!A:A,MATCH(39447,'TJ List'!B:B,-1),0)),4))),"MLB")</f>
        <v>0.7777777778</v>
      </c>
      <c r="N13" s="128">
        <f t="array" ref="N13">COUNTIFS(INDIRECT(CONCATENATE(ADDRESS(ROW(INDEX('TJ List'!A:A,MATCH(40178,'TJ List'!B:B,-1)+1,0)),11,1,TRUE,"TJ List"),":",ADDRESS(ROW(INDEX('TJ List'!A:A,MATCH(39447,'TJ List'!B:B,-1),0)),11))),"&lt;&gt;X",INDIRECT(CONCATENATE(ADDRESS(ROW(INDEX('TJ List'!A:A,MATCH(40178,'TJ List'!B:B,-1)+1,0)),4,1,TRUE,"TJ List"),":",ADDRESS(ROW(INDEX('TJ List'!A:A,MATCH(39447,'TJ List'!B:B,-1),0)),4))),"MLB")</f>
        <v>36</v>
      </c>
    </row>
    <row r="14">
      <c r="A14" s="119">
        <v>2006.0</v>
      </c>
      <c r="B14" s="120">
        <v>2007.0</v>
      </c>
      <c r="C14" s="121">
        <f>IF(COUNTIFS('TJ List'!$L:$L,"&gt;0",'TJ List'!$S:$S,"&gt;="&amp;$A14,'TJ List'!$S:$S,"&lt;="&amp;$B14,'TJ List'!$T:$T,"&gt;="&amp;C$2,'TJ List'!$T:$T,"&lt;="&amp;C$3)&gt;0,SUMIFS('TJ List'!$L:$L,'TJ List'!$S:$S,"&gt;="&amp;$A14,'TJ List'!$S:$S,"&lt;="&amp;$B14,'TJ List'!$T:$T,"&gt;="&amp;C$2,'TJ List'!$T:$T,"&lt;="&amp;C$3)/COUNTIFS('TJ List'!$L:$L,"&gt;0",'TJ List'!$S:$S,"&gt;="&amp;$A14,'TJ List'!$S:$S,"&lt;="&amp;$B14,'TJ List'!$T:$T,"&gt;="&amp;C$2,'TJ List'!$T:$T,"&lt;="&amp;C$3),"N/A")</f>
        <v>14</v>
      </c>
      <c r="D14" s="121">
        <f>IF(COUNTIFS('TJ List'!$L:$L,"&gt;0",'TJ List'!$S:$S,"&gt;="&amp;$A14,'TJ List'!$S:$S,"&lt;="&amp;$B14,'TJ List'!$T:$T,"&gt;="&amp;D$2,'TJ List'!$T:$T,"&lt;="&amp;D$3)&gt;0,SUMIFS('TJ List'!$L:$L,'TJ List'!$S:$S,"&gt;="&amp;$A14,'TJ List'!$S:$S,"&lt;="&amp;$B14,'TJ List'!$T:$T,"&gt;="&amp;D$2,'TJ List'!$T:$T,"&lt;="&amp;D$3)/COUNTIFS('TJ List'!$L:$L,"&gt;0",'TJ List'!$S:$S,"&gt;="&amp;$A14,'TJ List'!$S:$S,"&lt;="&amp;$B14,'TJ List'!$T:$T,"&gt;="&amp;D$2,'TJ List'!$T:$T,"&lt;="&amp;D$3),"N/A")</f>
        <v>16.68421053</v>
      </c>
      <c r="E14" s="121">
        <f>IF(COUNTIFS('TJ List'!$L:$L,"&gt;0",'TJ List'!$S:$S,"&gt;="&amp;$A14,'TJ List'!$S:$S,"&lt;="&amp;$B14,'TJ List'!$T:$T,"&gt;="&amp;E$2,'TJ List'!$T:$T,"&lt;="&amp;E$3)&gt;0,SUMIFS('TJ List'!$L:$L,'TJ List'!$S:$S,"&gt;="&amp;$A14,'TJ List'!$S:$S,"&lt;="&amp;$B14,'TJ List'!$T:$T,"&gt;="&amp;E$2,'TJ List'!$T:$T,"&lt;="&amp;E$3)/COUNTIFS('TJ List'!$L:$L,"&gt;0",'TJ List'!$S:$S,"&gt;="&amp;$A14,'TJ List'!$S:$S,"&lt;="&amp;$B14,'TJ List'!$T:$T,"&gt;="&amp;E$2,'TJ List'!$T:$T,"&lt;="&amp;E$3),"N/A")</f>
        <v>17.75</v>
      </c>
      <c r="F14" s="122">
        <f>IF(COUNTIFS('TJ List'!$L:$L,"&gt;0",'TJ List'!$S:$S,"&gt;="&amp;$A14,'TJ List'!$S:$S,"&lt;="&amp;$B14,'TJ List'!$T:$T,"&gt;="&amp;F$2,'TJ List'!$T:$T,"&lt;="&amp;F$3)&gt;0,SUMIFS('TJ List'!$L:$L,'TJ List'!$S:$S,"&gt;="&amp;$A14,'TJ List'!$S:$S,"&lt;="&amp;$B14,'TJ List'!$T:$T,"&gt;="&amp;F$2,'TJ List'!$T:$T,"&lt;="&amp;F$3)/COUNTIFS('TJ List'!$L:$L,"&gt;0",'TJ List'!$S:$S,"&gt;="&amp;$A14,'TJ List'!$S:$S,"&lt;="&amp;$B14,'TJ List'!$T:$T,"&gt;="&amp;F$2,'TJ List'!$T:$T,"&lt;="&amp;F$3),"N/A")</f>
        <v>16.375</v>
      </c>
      <c r="G14" s="123">
        <f t="array" ref="G14">AVERAGE(INDIRECT(CONCATENATE(ADDRESS(ROW(INDEX('TJ List'!A:A,MATCH(39447,'TJ List'!B:B,-1)+1,0)),12,1,TRUE,"TJ List"),":",ADDRESS(ROW(INDEX('TJ List'!A:A,MATCH(38717,'TJ List'!B:B,-1),0)),12))))</f>
        <v>16.86885246</v>
      </c>
      <c r="H14" s="124">
        <f t="array" ref="H14">MEDIAN(INDIRECT(CONCATENATE(ADDRESS(ROW(INDEX('TJ List'!A:A,MATCH(39447,'TJ List'!B:B,-1)+1,0)),12,1,TRUE,"TJ List"),":",ADDRESS(ROW(INDEX('TJ List'!A:A,MATCH(38717,'TJ List'!B:B,-1),0)),12))))</f>
        <v>15</v>
      </c>
      <c r="I14" s="124">
        <f t="array" ref="I14">MODE(INDIRECT(CONCATENATE(ADDRESS(ROW(INDEX('TJ List'!A:A,MATCH(39447,'TJ List'!B:B,-1)+1,0)),12,1,TRUE,"TJ List"),":",ADDRESS(ROW(INDEX('TJ List'!A:A,MATCH(38717,'TJ List'!B:B,-1),0)),12))))</f>
        <v>12</v>
      </c>
      <c r="J14" s="125">
        <f t="array" ref="J14">COUNTIFS(INDIRECT(CONCATENATE(ADDRESS(ROW(INDEX('TJ List'!A:A,MATCH(39447,'TJ List'!B:B,-1)+1,0)),11,1,TRUE,"TJ List"),":",ADDRESS(ROW(INDEX('TJ List'!A:A,MATCH(38717,'TJ List'!B:B,-1),0)),11))),"&gt;0")/COUNTIFS(INDIRECT(CONCATENATE(ADDRESS(ROW(INDEX('TJ List'!A:A,MATCH(39447,'TJ List'!B:B,-1)+1,0)),1,1,TRUE,"TJ List"),":",ADDRESS(ROW(INDEX('TJ List'!A:A,MATCH(38717,'TJ List'!B:B,-1),0)),1))),"&lt;&gt;0")</f>
        <v>0.873015873</v>
      </c>
      <c r="K14" s="126">
        <f t="array" ref="K14">COUNTIFS(INDIRECT(CONCATENATE(ADDRESS(ROW(INDEX('TJ List'!A:A,MATCH(39447,'TJ List'!B:B,-1)+1,0)),11,1,TRUE,"TJ List"),":",ADDRESS(ROW(INDEX('TJ List'!A:A,MATCH(38717,'TJ List'!B:B,-1),0)),11))),"&lt;&gt;X")</f>
        <v>126</v>
      </c>
      <c r="L14" s="127">
        <f t="array" ref="L14">AVERAGEIFS(INDIRECT(CONCATENATE(ADDRESS(ROW(INDEX('TJ List'!A:A,MATCH(39447,'TJ List'!B:B,-1)+1,0)),12,1,TRUE,"TJ List"),":",ADDRESS(ROW(INDEX('TJ List'!A:A,MATCH(38717,'TJ List'!B:B,-1),0)),12))),INDIRECT(CONCATENATE(ADDRESS(ROW(INDEX('TJ List'!A:A,MATCH(39447,'TJ List'!B:B,-1)+1,0)),4,1,TRUE,"TJ List"),":",ADDRESS(ROW(INDEX('TJ List'!A:A,MATCH(38717,'TJ List'!B:B,-1),0)),4))),"MLB",INDIRECT(CONCATENATE(ADDRESS(ROW(INDEX('TJ List'!A:A,MATCH(39447,'TJ List'!B:B,-1)+1,0)),12,1,TRUE,"TJ List"),":",ADDRESS(ROW(INDEX('TJ List'!A:A,MATCH(38717,'TJ List'!B:B,-1),0)),12))),"&gt;0")</f>
        <v>16.46875</v>
      </c>
      <c r="M14" s="125">
        <f t="array" ref="M14">COUNTIFS(INDIRECT(CONCATENATE(ADDRESS(ROW(INDEX('TJ List'!A:A,MATCH(39447,'TJ List'!B:B,-1)+1,0)),11,1,TRUE,"TJ List"),":",ADDRESS(ROW(INDEX('TJ List'!A:A,MATCH(38717,'TJ List'!B:B,-1),0)),11))),"&gt;0",INDIRECT(CONCATENATE(ADDRESS(ROW(INDEX('TJ List'!A:A,MATCH(39447,'TJ List'!B:B,-1)+1,0)),4,1,TRUE,"TJ List"),":",ADDRESS(ROW(INDEX('TJ List'!A:A,MATCH(38717,'TJ List'!B:B,-1),0)),4))),"MLB")/COUNTIFS(INDIRECT(CONCATENATE(ADDRESS(ROW(INDEX('TJ List'!A:A,MATCH(39447,'TJ List'!B:B,-1)+1,0)),1,1,TRUE,"TJ List"),":",ADDRESS(ROW(INDEX('TJ List'!A:A,MATCH(38717,'TJ List'!B:B,-1),0)),1))),"&lt;&gt;0",INDIRECT(CONCATENATE(ADDRESS(ROW(INDEX('TJ List'!A:A,MATCH(39447,'TJ List'!B:B,-1)+1,0)),4,1,TRUE,"TJ List"),":",ADDRESS(ROW(INDEX('TJ List'!A:A,MATCH(38717,'TJ List'!B:B,-1),0)),4))),"MLB")</f>
        <v>0.7857142857</v>
      </c>
      <c r="N14" s="128">
        <f t="array" ref="N14">COUNTIFS(INDIRECT(CONCATENATE(ADDRESS(ROW(INDEX('TJ List'!A:A,MATCH(39447,'TJ List'!B:B,-1)+1,0)),11,1,TRUE,"TJ List"),":",ADDRESS(ROW(INDEX('TJ List'!A:A,MATCH(38717,'TJ List'!B:B,-1),0)),11))),"&lt;&gt;X",INDIRECT(CONCATENATE(ADDRESS(ROW(INDEX('TJ List'!A:A,MATCH(39447,'TJ List'!B:B,-1)+1,0)),4,1,TRUE,"TJ List"),":",ADDRESS(ROW(INDEX('TJ List'!A:A,MATCH(38717,'TJ List'!B:B,-1),0)),4))),"MLB")</f>
        <v>42</v>
      </c>
    </row>
    <row r="15">
      <c r="A15" s="119">
        <v>2004.0</v>
      </c>
      <c r="B15" s="120">
        <v>2005.0</v>
      </c>
      <c r="C15" s="121">
        <f>IF(COUNTIFS('TJ List'!$L:$L,"&gt;0",'TJ List'!$S:$S,"&gt;="&amp;$A15,'TJ List'!$S:$S,"&lt;="&amp;$B15,'TJ List'!$T:$T,"&gt;="&amp;C$2,'TJ List'!$T:$T,"&lt;="&amp;C$3)&gt;0,SUMIFS('TJ List'!$L:$L,'TJ List'!$S:$S,"&gt;="&amp;$A15,'TJ List'!$S:$S,"&lt;="&amp;$B15,'TJ List'!$T:$T,"&gt;="&amp;C$2,'TJ List'!$T:$T,"&lt;="&amp;C$3)/COUNTIFS('TJ List'!$L:$L,"&gt;0",'TJ List'!$S:$S,"&gt;="&amp;$A15,'TJ List'!$S:$S,"&lt;="&amp;$B15,'TJ List'!$T:$T,"&gt;="&amp;C$2,'TJ List'!$T:$T,"&lt;="&amp;C$3),"N/A")</f>
        <v>19.5</v>
      </c>
      <c r="D15" s="121">
        <f>IF(COUNTIFS('TJ List'!$L:$L,"&gt;0",'TJ List'!$S:$S,"&gt;="&amp;$A15,'TJ List'!$S:$S,"&lt;="&amp;$B15,'TJ List'!$T:$T,"&gt;="&amp;D$2,'TJ List'!$T:$T,"&lt;="&amp;D$3)&gt;0,SUMIFS('TJ List'!$L:$L,'TJ List'!$S:$S,"&gt;="&amp;$A15,'TJ List'!$S:$S,"&lt;="&amp;$B15,'TJ List'!$T:$T,"&gt;="&amp;D$2,'TJ List'!$T:$T,"&lt;="&amp;D$3)/COUNTIFS('TJ List'!$L:$L,"&gt;0",'TJ List'!$S:$S,"&gt;="&amp;$A15,'TJ List'!$S:$S,"&lt;="&amp;$B15,'TJ List'!$T:$T,"&gt;="&amp;D$2,'TJ List'!$T:$T,"&lt;="&amp;D$3),"N/A")</f>
        <v>16.375</v>
      </c>
      <c r="E15" s="121">
        <f>IF(COUNTIFS('TJ List'!$L:$L,"&gt;0",'TJ List'!$S:$S,"&gt;="&amp;$A15,'TJ List'!$S:$S,"&lt;="&amp;$B15,'TJ List'!$T:$T,"&gt;="&amp;E$2,'TJ List'!$T:$T,"&lt;="&amp;E$3)&gt;0,SUMIFS('TJ List'!$L:$L,'TJ List'!$S:$S,"&gt;="&amp;$A15,'TJ List'!$S:$S,"&lt;="&amp;$B15,'TJ List'!$T:$T,"&gt;="&amp;E$2,'TJ List'!$T:$T,"&lt;="&amp;E$3)/COUNTIFS('TJ List'!$L:$L,"&gt;0",'TJ List'!$S:$S,"&gt;="&amp;$A15,'TJ List'!$S:$S,"&lt;="&amp;$B15,'TJ List'!$T:$T,"&gt;="&amp;E$2,'TJ List'!$T:$T,"&lt;="&amp;E$3),"N/A")</f>
        <v>18</v>
      </c>
      <c r="F15" s="122">
        <f>IF(COUNTIFS('TJ List'!$L:$L,"&gt;0",'TJ List'!$S:$S,"&gt;="&amp;$A15,'TJ List'!$S:$S,"&lt;="&amp;$B15,'TJ List'!$T:$T,"&gt;="&amp;F$2,'TJ List'!$T:$T,"&lt;="&amp;F$3)&gt;0,SUMIFS('TJ List'!$L:$L,'TJ List'!$S:$S,"&gt;="&amp;$A15,'TJ List'!$S:$S,"&lt;="&amp;$B15,'TJ List'!$T:$T,"&gt;="&amp;F$2,'TJ List'!$T:$T,"&lt;="&amp;F$3)/COUNTIFS('TJ List'!$L:$L,"&gt;0",'TJ List'!$S:$S,"&gt;="&amp;$A15,'TJ List'!$S:$S,"&lt;="&amp;$B15,'TJ List'!$T:$T,"&gt;="&amp;F$2,'TJ List'!$T:$T,"&lt;="&amp;F$3),"N/A")</f>
        <v>11.6</v>
      </c>
      <c r="G15" s="123">
        <f t="array" ref="G15">AVERAGE(INDIRECT(CONCATENATE(ADDRESS(ROW(INDEX('TJ List'!A:A,MATCH(38717,'TJ List'!B:B,-1)+1,0)),12,1,TRUE,"TJ List"),":",ADDRESS(ROW(INDEX('TJ List'!A:A,MATCH(37986,'TJ List'!B:B,-1),0)),12))))</f>
        <v>16.93478261</v>
      </c>
      <c r="H15" s="124">
        <f t="array" ref="H15">MEDIAN(INDIRECT(CONCATENATE(ADDRESS(ROW(INDEX('TJ List'!A:A,MATCH(38717,'TJ List'!B:B,-1)+1,0)),12,1,TRUE,"TJ List"),":",ADDRESS(ROW(INDEX('TJ List'!A:A,MATCH(37986,'TJ List'!B:B,-1),0)),12))))</f>
        <v>14.5</v>
      </c>
      <c r="I15" s="124">
        <f t="array" ref="I15">MODE(INDIRECT(CONCATENATE(ADDRESS(ROW(INDEX('TJ List'!A:A,MATCH(38717,'TJ List'!B:B,-1)+1,0)),12,1,TRUE,"TJ List"),":",ADDRESS(ROW(INDEX('TJ List'!A:A,MATCH(37986,'TJ List'!B:B,-1),0)),12))))</f>
        <v>13</v>
      </c>
      <c r="J15" s="125">
        <f t="array" ref="J15">COUNTIFS(INDIRECT(CONCATENATE(ADDRESS(ROW(INDEX('TJ List'!A:A,MATCH(38717,'TJ List'!B:B,-1)+1,0)),11,1,TRUE,"TJ List"),":",ADDRESS(ROW(INDEX('TJ List'!A:A,MATCH(37986,'TJ List'!B:B,-1),0)),11))),"&gt;0")/COUNTIFS(INDIRECT(CONCATENATE(ADDRESS(ROW(INDEX('TJ List'!A:A,MATCH(38717,'TJ List'!B:B,-1)+1,0)),1,1,TRUE,"TJ List"),":",ADDRESS(ROW(INDEX('TJ List'!A:A,MATCH(37986,'TJ List'!B:B,-1),0)),1))),"&lt;&gt;0")</f>
        <v>0.8823529412</v>
      </c>
      <c r="K15" s="126">
        <f t="array" ref="K15">COUNTIFS(INDIRECT(CONCATENATE(ADDRESS(ROW(INDEX('TJ List'!A:A,MATCH(38717,'TJ List'!B:B,-1)+1,0)),11,1,TRUE,"TJ List"),":",ADDRESS(ROW(INDEX('TJ List'!A:A,MATCH(37986,'TJ List'!B:B,-1),0)),11))),"&lt;&gt;X")</f>
        <v>102</v>
      </c>
      <c r="L15" s="127">
        <f t="array" ref="L15">AVERAGEIFS(INDIRECT(CONCATENATE(ADDRESS(ROW(INDEX('TJ List'!A:A,MATCH(38717,'TJ List'!B:B,-1)+1,0)),12,1,TRUE,"TJ List"),":",ADDRESS(ROW(INDEX('TJ List'!A:A,MATCH(37986,'TJ List'!B:B,-1),0)),12))),INDIRECT(CONCATENATE(ADDRESS(ROW(INDEX('TJ List'!A:A,MATCH(38717,'TJ List'!B:B,-1)+1,0)),4,1,TRUE,"TJ List"),":",ADDRESS(ROW(INDEX('TJ List'!A:A,MATCH(37986,'TJ List'!B:B,-1),0)),4))),"MLB",INDIRECT(CONCATENATE(ADDRESS(ROW(INDEX('TJ List'!A:A,MATCH(38717,'TJ List'!B:B,-1)+1,0)),12,1,TRUE,"TJ List"),":",ADDRESS(ROW(INDEX('TJ List'!A:A,MATCH(37986,'TJ List'!B:B,-1),0)),12))),"&gt;0")</f>
        <v>17.61904762</v>
      </c>
      <c r="M15" s="125">
        <f t="array" ref="M15">COUNTIFS(INDIRECT(CONCATENATE(ADDRESS(ROW(INDEX('TJ List'!A:A,MATCH(38717,'TJ List'!B:B,-1)+1,0)),11,1,TRUE,"TJ List"),":",ADDRESS(ROW(INDEX('TJ List'!A:A,MATCH(37986,'TJ List'!B:B,-1),0)),11))),"&gt;0",INDIRECT(CONCATENATE(ADDRESS(ROW(INDEX('TJ List'!A:A,MATCH(38717,'TJ List'!B:B,-1)+1,0)),4,1,TRUE,"TJ List"),":",ADDRESS(ROW(INDEX('TJ List'!A:A,MATCH(37986,'TJ List'!B:B,-1),0)),4))),"MLB")/COUNTIFS(INDIRECT(CONCATENATE(ADDRESS(ROW(INDEX('TJ List'!A:A,MATCH(38717,'TJ List'!B:B,-1)+1,0)),1,1,TRUE,"TJ List"),":",ADDRESS(ROW(INDEX('TJ List'!A:A,MATCH(37986,'TJ List'!B:B,-1),0)),1))),"&lt;&gt;0",INDIRECT(CONCATENATE(ADDRESS(ROW(INDEX('TJ List'!A:A,MATCH(38717,'TJ List'!B:B,-1)+1,0)),4,1,TRUE,"TJ List"),":",ADDRESS(ROW(INDEX('TJ List'!A:A,MATCH(37986,'TJ List'!B:B,-1),0)),4))),"MLB")</f>
        <v>0.7666666667</v>
      </c>
      <c r="N15" s="128">
        <f t="array" ref="N15">COUNTIFS(INDIRECT(CONCATENATE(ADDRESS(ROW(INDEX('TJ List'!A:A,MATCH(38717,'TJ List'!B:B,-1)+1,0)),11,1,TRUE,"TJ List"),":",ADDRESS(ROW(INDEX('TJ List'!A:A,MATCH(37986,'TJ List'!B:B,-1),0)),11))),"&lt;&gt;X",INDIRECT(CONCATENATE(ADDRESS(ROW(INDEX('TJ List'!A:A,MATCH(38717,'TJ List'!B:B,-1)+1,0)),4,1,TRUE,"TJ List"),":",ADDRESS(ROW(INDEX('TJ List'!A:A,MATCH(37986,'TJ List'!B:B,-1),0)),4))),"MLB")</f>
        <v>30</v>
      </c>
    </row>
    <row r="16">
      <c r="A16" s="119">
        <v>2002.0</v>
      </c>
      <c r="B16" s="120">
        <v>2003.0</v>
      </c>
      <c r="C16" s="121">
        <f>IF(COUNTIFS('TJ List'!$L:$L,"&gt;0",'TJ List'!$S:$S,"&gt;="&amp;$A16,'TJ List'!$S:$S,"&lt;="&amp;$B16,'TJ List'!$T:$T,"&gt;="&amp;C$2,'TJ List'!$T:$T,"&lt;="&amp;C$3)&gt;0,SUMIFS('TJ List'!$L:$L,'TJ List'!$S:$S,"&gt;="&amp;$A16,'TJ List'!$S:$S,"&lt;="&amp;$B16,'TJ List'!$T:$T,"&gt;="&amp;C$2,'TJ List'!$T:$T,"&lt;="&amp;C$3)/COUNTIFS('TJ List'!$L:$L,"&gt;0",'TJ List'!$S:$S,"&gt;="&amp;$A16,'TJ List'!$S:$S,"&lt;="&amp;$B16,'TJ List'!$T:$T,"&gt;="&amp;C$2,'TJ List'!$T:$T,"&lt;="&amp;C$3),"N/A")</f>
        <v>26.5</v>
      </c>
      <c r="D16" s="121">
        <f>IF(COUNTIFS('TJ List'!$L:$L,"&gt;0",'TJ List'!$S:$S,"&gt;="&amp;$A16,'TJ List'!$S:$S,"&lt;="&amp;$B16,'TJ List'!$T:$T,"&gt;="&amp;D$2,'TJ List'!$T:$T,"&lt;="&amp;D$3)&gt;0,SUMIFS('TJ List'!$L:$L,'TJ List'!$S:$S,"&gt;="&amp;$A16,'TJ List'!$S:$S,"&lt;="&amp;$B16,'TJ List'!$T:$T,"&gt;="&amp;D$2,'TJ List'!$T:$T,"&lt;="&amp;D$3)/COUNTIFS('TJ List'!$L:$L,"&gt;0",'TJ List'!$S:$S,"&gt;="&amp;$A16,'TJ List'!$S:$S,"&lt;="&amp;$B16,'TJ List'!$T:$T,"&gt;="&amp;D$2,'TJ List'!$T:$T,"&lt;="&amp;D$3),"N/A")</f>
        <v>19.36363636</v>
      </c>
      <c r="E16" s="121">
        <f>IF(COUNTIFS('TJ List'!$L:$L,"&gt;0",'TJ List'!$S:$S,"&gt;="&amp;$A16,'TJ List'!$S:$S,"&lt;="&amp;$B16,'TJ List'!$T:$T,"&gt;="&amp;E$2,'TJ List'!$T:$T,"&lt;="&amp;E$3)&gt;0,SUMIFS('TJ List'!$L:$L,'TJ List'!$S:$S,"&gt;="&amp;$A16,'TJ List'!$S:$S,"&lt;="&amp;$B16,'TJ List'!$T:$T,"&gt;="&amp;E$2,'TJ List'!$T:$T,"&lt;="&amp;E$3)/COUNTIFS('TJ List'!$L:$L,"&gt;0",'TJ List'!$S:$S,"&gt;="&amp;$A16,'TJ List'!$S:$S,"&lt;="&amp;$B16,'TJ List'!$T:$T,"&gt;="&amp;E$2,'TJ List'!$T:$T,"&lt;="&amp;E$3),"N/A")</f>
        <v>18.66666667</v>
      </c>
      <c r="F16" s="122">
        <f>IF(COUNTIFS('TJ List'!$L:$L,"&gt;0",'TJ List'!$S:$S,"&gt;="&amp;$A16,'TJ List'!$S:$S,"&lt;="&amp;$B16,'TJ List'!$T:$T,"&gt;="&amp;F$2,'TJ List'!$T:$T,"&lt;="&amp;F$3)&gt;0,SUMIFS('TJ List'!$L:$L,'TJ List'!$S:$S,"&gt;="&amp;$A16,'TJ List'!$S:$S,"&lt;="&amp;$B16,'TJ List'!$T:$T,"&gt;="&amp;F$2,'TJ List'!$T:$T,"&lt;="&amp;F$3)/COUNTIFS('TJ List'!$L:$L,"&gt;0",'TJ List'!$S:$S,"&gt;="&amp;$A16,'TJ List'!$S:$S,"&lt;="&amp;$B16,'TJ List'!$T:$T,"&gt;="&amp;F$2,'TJ List'!$T:$T,"&lt;="&amp;F$3),"N/A")</f>
        <v>13</v>
      </c>
      <c r="G16" s="123">
        <f t="array" ref="G16">AVERAGE(INDIRECT(CONCATENATE(ADDRESS(ROW(INDEX('TJ List'!A:A,MATCH(37986,'TJ List'!B:B,-1)+1,0)),12,1,TRUE,"TJ List"),":",ADDRESS(ROW(INDEX('TJ List'!A:A,MATCH(37256,'TJ List'!B:B,-1),0)),12))))</f>
        <v>18.69230769</v>
      </c>
      <c r="H16" s="124">
        <f t="array" ref="H16">MEDIAN(INDIRECT(CONCATENATE(ADDRESS(ROW(INDEX('TJ List'!A:A,MATCH(37986,'TJ List'!B:B,-1)+1,0)),12,1,TRUE,"TJ List"),":",ADDRESS(ROW(INDEX('TJ List'!A:A,MATCH(37256,'TJ List'!B:B,-1),0)),12))))</f>
        <v>18.5</v>
      </c>
      <c r="I16" s="124">
        <f t="array" ref="I16">MODE(INDIRECT(CONCATENATE(ADDRESS(ROW(INDEX('TJ List'!A:A,MATCH(37986,'TJ List'!B:B,-1)+1,0)),12,1,TRUE,"TJ List"),":",ADDRESS(ROW(INDEX('TJ List'!A:A,MATCH(37256,'TJ List'!B:B,-1),0)),12))))</f>
        <v>12</v>
      </c>
      <c r="J16" s="125">
        <f t="array" ref="J16">COUNTIFS(INDIRECT(CONCATENATE(ADDRESS(ROW(INDEX('TJ List'!A:A,MATCH(37986,'TJ List'!B:B,-1)+1,0)),11,1,TRUE,"TJ List"),":",ADDRESS(ROW(INDEX('TJ List'!A:A,MATCH(37256,'TJ List'!B:B,-1),0)),11))),"&gt;0")/COUNTIFS(INDIRECT(CONCATENATE(ADDRESS(ROW(INDEX('TJ List'!A:A,MATCH(37986,'TJ List'!B:B,-1)+1,0)),1,1,TRUE,"TJ List"),":",ADDRESS(ROW(INDEX('TJ List'!A:A,MATCH(37256,'TJ List'!B:B,-1),0)),1))),"&lt;&gt;0")</f>
        <v>0.8795180723</v>
      </c>
      <c r="K16" s="126">
        <f t="array" ref="K16">COUNTIFS(INDIRECT(CONCATENATE(ADDRESS(ROW(INDEX('TJ List'!A:A,MATCH(37986,'TJ List'!B:B,-1)+1,0)),11,1,TRUE,"TJ List"),":",ADDRESS(ROW(INDEX('TJ List'!A:A,MATCH(37256,'TJ List'!B:B,-1),0)),11))),"&lt;&gt;X")</f>
        <v>83</v>
      </c>
      <c r="L16" s="127">
        <f t="array" ref="L16">AVERAGEIFS(INDIRECT(CONCATENATE(ADDRESS(ROW(INDEX('TJ List'!A:A,MATCH(37986,'TJ List'!B:B,-1)+1,0)),12,1,TRUE,"TJ List"),":",ADDRESS(ROW(INDEX('TJ List'!A:A,MATCH(37256,'TJ List'!B:B,-1),0)),12))),INDIRECT(CONCATENATE(ADDRESS(ROW(INDEX('TJ List'!A:A,MATCH(37986,'TJ List'!B:B,-1)+1,0)),4,1,TRUE,"TJ List"),":",ADDRESS(ROW(INDEX('TJ List'!A:A,MATCH(37256,'TJ List'!B:B,-1),0)),4))),"MLB",INDIRECT(CONCATENATE(ADDRESS(ROW(INDEX('TJ List'!A:A,MATCH(37986,'TJ List'!B:B,-1)+1,0)),12,1,TRUE,"TJ List"),":",ADDRESS(ROW(INDEX('TJ List'!A:A,MATCH(37256,'TJ List'!B:B,-1),0)),12))),"&gt;0")</f>
        <v>17.95238095</v>
      </c>
      <c r="M16" s="125">
        <f t="array" ref="M16">COUNTIFS(INDIRECT(CONCATENATE(ADDRESS(ROW(INDEX('TJ List'!A:A,MATCH(37986,'TJ List'!B:B,-1)+1,0)),11,1,TRUE,"TJ List"),":",ADDRESS(ROW(INDEX('TJ List'!A:A,MATCH(37256,'TJ List'!B:B,-1),0)),11))),"&gt;0",INDIRECT(CONCATENATE(ADDRESS(ROW(INDEX('TJ List'!A:A,MATCH(37986,'TJ List'!B:B,-1)+1,0)),4,1,TRUE,"TJ List"),":",ADDRESS(ROW(INDEX('TJ List'!A:A,MATCH(37256,'TJ List'!B:B,-1),0)),4))),"MLB")/COUNTIFS(INDIRECT(CONCATENATE(ADDRESS(ROW(INDEX('TJ List'!A:A,MATCH(37986,'TJ List'!B:B,-1)+1,0)),1,1,TRUE,"TJ List"),":",ADDRESS(ROW(INDEX('TJ List'!A:A,MATCH(37256,'TJ List'!B:B,-1),0)),1))),"&lt;&gt;0",INDIRECT(CONCATENATE(ADDRESS(ROW(INDEX('TJ List'!A:A,MATCH(37986,'TJ List'!B:B,-1)+1,0)),4,1,TRUE,"TJ List"),":",ADDRESS(ROW(INDEX('TJ List'!A:A,MATCH(37256,'TJ List'!B:B,-1),0)),4))),"MLB")</f>
        <v>0.7352941176</v>
      </c>
      <c r="N16" s="128">
        <f t="array" ref="N16">COUNTIFS(INDIRECT(CONCATENATE(ADDRESS(ROW(INDEX('TJ List'!A:A,MATCH(37986,'TJ List'!B:B,-1)+1,0)),11,1,TRUE,"TJ List"),":",ADDRESS(ROW(INDEX('TJ List'!A:A,MATCH(37256,'TJ List'!B:B,-1),0)),11))),"&lt;&gt;X",INDIRECT(CONCATENATE(ADDRESS(ROW(INDEX('TJ List'!A:A,MATCH(37986,'TJ List'!B:B,-1)+1,0)),4,1,TRUE,"TJ List"),":",ADDRESS(ROW(INDEX('TJ List'!A:A,MATCH(37256,'TJ List'!B:B,-1),0)),4))),"MLB")</f>
        <v>34</v>
      </c>
    </row>
    <row r="17">
      <c r="A17" s="119">
        <v>2000.0</v>
      </c>
      <c r="B17" s="120">
        <v>2001.0</v>
      </c>
      <c r="C17" s="121">
        <f>IF(COUNTIFS('TJ List'!$L:$L,"&gt;0",'TJ List'!$S:$S,"&gt;="&amp;$A17,'TJ List'!$S:$S,"&lt;="&amp;$B17,'TJ List'!$T:$T,"&gt;="&amp;C$2,'TJ List'!$T:$T,"&lt;="&amp;C$3)&gt;0,SUMIFS('TJ List'!$L:$L,'TJ List'!$S:$S,"&gt;="&amp;$A17,'TJ List'!$S:$S,"&lt;="&amp;$B17,'TJ List'!$T:$T,"&gt;="&amp;C$2,'TJ List'!$T:$T,"&lt;="&amp;C$3)/COUNTIFS('TJ List'!$L:$L,"&gt;0",'TJ List'!$S:$S,"&gt;="&amp;$A17,'TJ List'!$S:$S,"&lt;="&amp;$B17,'TJ List'!$T:$T,"&gt;="&amp;C$2,'TJ List'!$T:$T,"&lt;="&amp;C$3),"N/A")</f>
        <v>14</v>
      </c>
      <c r="D17" s="121">
        <f>IF(COUNTIFS('TJ List'!$L:$L,"&gt;0",'TJ List'!$S:$S,"&gt;="&amp;$A17,'TJ List'!$S:$S,"&lt;="&amp;$B17,'TJ List'!$T:$T,"&gt;="&amp;D$2,'TJ List'!$T:$T,"&lt;="&amp;D$3)&gt;0,SUMIFS('TJ List'!$L:$L,'TJ List'!$S:$S,"&gt;="&amp;$A17,'TJ List'!$S:$S,"&lt;="&amp;$B17,'TJ List'!$T:$T,"&gt;="&amp;D$2,'TJ List'!$T:$T,"&lt;="&amp;D$3)/COUNTIFS('TJ List'!$L:$L,"&gt;0",'TJ List'!$S:$S,"&gt;="&amp;$A17,'TJ List'!$S:$S,"&lt;="&amp;$B17,'TJ List'!$T:$T,"&gt;="&amp;D$2,'TJ List'!$T:$T,"&lt;="&amp;D$3),"N/A")</f>
        <v>13.77777778</v>
      </c>
      <c r="E17" s="121">
        <f>IF(COUNTIFS('TJ List'!$L:$L,"&gt;0",'TJ List'!$S:$S,"&gt;="&amp;$A17,'TJ List'!$S:$S,"&lt;="&amp;$B17,'TJ List'!$T:$T,"&gt;="&amp;E$2,'TJ List'!$T:$T,"&lt;="&amp;E$3)&gt;0,SUMIFS('TJ List'!$L:$L,'TJ List'!$S:$S,"&gt;="&amp;$A17,'TJ List'!$S:$S,"&lt;="&amp;$B17,'TJ List'!$T:$T,"&gt;="&amp;E$2,'TJ List'!$T:$T,"&lt;="&amp;E$3)/COUNTIFS('TJ List'!$L:$L,"&gt;0",'TJ List'!$S:$S,"&gt;="&amp;$A17,'TJ List'!$S:$S,"&lt;="&amp;$B17,'TJ List'!$T:$T,"&gt;="&amp;E$2,'TJ List'!$T:$T,"&lt;="&amp;E$3),"N/A")</f>
        <v>15.6</v>
      </c>
      <c r="F17" s="122">
        <f>IF(COUNTIFS('TJ List'!$L:$L,"&gt;0",'TJ List'!$S:$S,"&gt;="&amp;$A17,'TJ List'!$S:$S,"&lt;="&amp;$B17,'TJ List'!$T:$T,"&gt;="&amp;F$2,'TJ List'!$T:$T,"&lt;="&amp;F$3)&gt;0,SUMIFS('TJ List'!$L:$L,'TJ List'!$S:$S,"&gt;="&amp;$A17,'TJ List'!$S:$S,"&lt;="&amp;$B17,'TJ List'!$T:$T,"&gt;="&amp;F$2,'TJ List'!$T:$T,"&lt;="&amp;F$3)/COUNTIFS('TJ List'!$L:$L,"&gt;0",'TJ List'!$S:$S,"&gt;="&amp;$A17,'TJ List'!$S:$S,"&lt;="&amp;$B17,'TJ List'!$T:$T,"&gt;="&amp;F$2,'TJ List'!$T:$T,"&lt;="&amp;F$3),"N/A")</f>
        <v>18</v>
      </c>
      <c r="G17" s="123">
        <f t="array" ref="G17">AVERAGE(INDIRECT(CONCATENATE(ADDRESS(ROW(INDEX('TJ List'!A:A,MATCH(37256,'TJ List'!B:B,-1)+1,0)),12,1,TRUE,"TJ List"),":",ADDRESS(ROW(INDEX('TJ List'!A:A,MATCH(36525,'TJ List'!B:B,-1),0)),12))))</f>
        <v>14.625</v>
      </c>
      <c r="H17" s="124">
        <f t="array" ref="H17">MEDIAN(INDIRECT(CONCATENATE(ADDRESS(ROW(INDEX('TJ List'!A:A,MATCH(37256,'TJ List'!B:B,-1)+1,0)),12,1,TRUE,"TJ List"),":",ADDRESS(ROW(INDEX('TJ List'!A:A,MATCH(36525,'TJ List'!B:B,-1),0)),12))))</f>
        <v>13</v>
      </c>
      <c r="I17" s="124">
        <f t="array" ref="I17">MODE(INDIRECT(CONCATENATE(ADDRESS(ROW(INDEX('TJ List'!A:A,MATCH(37256,'TJ List'!B:B,-1)+1,0)),12,1,TRUE,"TJ List"),":",ADDRESS(ROW(INDEX('TJ List'!A:A,MATCH(36525,'TJ List'!B:B,-1),0)),12))))</f>
        <v>12</v>
      </c>
      <c r="J17" s="125">
        <f t="array" ref="J17">COUNTIFS(INDIRECT(CONCATENATE(ADDRESS(ROW(INDEX('TJ List'!A:A,MATCH(37256,'TJ List'!B:B,-1)+1,0)),11,1,TRUE,"TJ List"),":",ADDRESS(ROW(INDEX('TJ List'!A:A,MATCH(36525,'TJ List'!B:B,-1),0)),11))),"&gt;0")/COUNTIFS(INDIRECT(CONCATENATE(ADDRESS(ROW(INDEX('TJ List'!A:A,MATCH(37256,'TJ List'!B:B,-1)+1,0)),1,1,TRUE,"TJ List"),":",ADDRESS(ROW(INDEX('TJ List'!A:A,MATCH(36525,'TJ List'!B:B,-1),0)),1))),"&lt;&gt;0")</f>
        <v>0.8870967742</v>
      </c>
      <c r="K17" s="126">
        <f t="array" ref="K17">COUNTIFS(INDIRECT(CONCATENATE(ADDRESS(ROW(INDEX('TJ List'!A:A,MATCH(37256,'TJ List'!B:B,-1)+1,0)),11,1,TRUE,"TJ List"),":",ADDRESS(ROW(INDEX('TJ List'!A:A,MATCH(36525,'TJ List'!B:B,-1),0)),11))),"&lt;&gt;X")</f>
        <v>62</v>
      </c>
      <c r="L17" s="127">
        <f t="array" ref="L17">AVERAGEIFS(INDIRECT(CONCATENATE(ADDRESS(ROW(INDEX('TJ List'!A:A,MATCH(37256,'TJ List'!B:B,-1)+1,0)),12,1,TRUE,"TJ List"),":",ADDRESS(ROW(INDEX('TJ List'!A:A,MATCH(36525,'TJ List'!B:B,-1),0)),12))),INDIRECT(CONCATENATE(ADDRESS(ROW(INDEX('TJ List'!A:A,MATCH(37256,'TJ List'!B:B,-1)+1,0)),4,1,TRUE,"TJ List"),":",ADDRESS(ROW(INDEX('TJ List'!A:A,MATCH(36525,'TJ List'!B:B,-1),0)),4))),"MLB",INDIRECT(CONCATENATE(ADDRESS(ROW(INDEX('TJ List'!A:A,MATCH(37256,'TJ List'!B:B,-1)+1,0)),12,1,TRUE,"TJ List"),":",ADDRESS(ROW(INDEX('TJ List'!A:A,MATCH(36525,'TJ List'!B:B,-1),0)),12))),"&gt;0")</f>
        <v>14.625</v>
      </c>
      <c r="M17" s="125">
        <f t="array" ref="M17">COUNTIFS(INDIRECT(CONCATENATE(ADDRESS(ROW(INDEX('TJ List'!A:A,MATCH(37256,'TJ List'!B:B,-1)+1,0)),11,1,TRUE,"TJ List"),":",ADDRESS(ROW(INDEX('TJ List'!A:A,MATCH(36525,'TJ List'!B:B,-1),0)),11))),"&gt;0",INDIRECT(CONCATENATE(ADDRESS(ROW(INDEX('TJ List'!A:A,MATCH(37256,'TJ List'!B:B,-1)+1,0)),4,1,TRUE,"TJ List"),":",ADDRESS(ROW(INDEX('TJ List'!A:A,MATCH(36525,'TJ List'!B:B,-1),0)),4))),"MLB")/COUNTIFS(INDIRECT(CONCATENATE(ADDRESS(ROW(INDEX('TJ List'!A:A,MATCH(37256,'TJ List'!B:B,-1)+1,0)),1,1,TRUE,"TJ List"),":",ADDRESS(ROW(INDEX('TJ List'!A:A,MATCH(36525,'TJ List'!B:B,-1),0)),1))),"&lt;&gt;0",INDIRECT(CONCATENATE(ADDRESS(ROW(INDEX('TJ List'!A:A,MATCH(37256,'TJ List'!B:B,-1)+1,0)),4,1,TRUE,"TJ List"),":",ADDRESS(ROW(INDEX('TJ List'!A:A,MATCH(36525,'TJ List'!B:B,-1),0)),4))),"MLB")</f>
        <v>0.8387096774</v>
      </c>
      <c r="N17" s="128">
        <f t="array" ref="N17">COUNTIFS(INDIRECT(CONCATENATE(ADDRESS(ROW(INDEX('TJ List'!A:A,MATCH(37256,'TJ List'!B:B,-1)+1,0)),11,1,TRUE,"TJ List"),":",ADDRESS(ROW(INDEX('TJ List'!A:A,MATCH(36525,'TJ List'!B:B,-1),0)),11))),"&lt;&gt;X",INDIRECT(CONCATENATE(ADDRESS(ROW(INDEX('TJ List'!A:A,MATCH(37256,'TJ List'!B:B,-1)+1,0)),4,1,TRUE,"TJ List"),":",ADDRESS(ROW(INDEX('TJ List'!A:A,MATCH(36525,'TJ List'!B:B,-1),0)),4))),"MLB")</f>
        <v>31</v>
      </c>
    </row>
    <row r="18">
      <c r="A18" s="119">
        <v>1974.0</v>
      </c>
      <c r="B18" s="120">
        <v>1999.0</v>
      </c>
      <c r="C18" s="121">
        <f>IF(COUNTIFS('TJ List'!$L:$L,"&gt;0",'TJ List'!$S:$S,"&gt;="&amp;$A18,'TJ List'!$S:$S,"&lt;="&amp;$B18,'TJ List'!$T:$T,"&gt;="&amp;C$2,'TJ List'!$T:$T,"&lt;="&amp;C$3)&gt;0,SUMIFS('TJ List'!$L:$L,'TJ List'!$S:$S,"&gt;="&amp;$A18,'TJ List'!$S:$S,"&lt;="&amp;$B18,'TJ List'!$T:$T,"&gt;="&amp;C$2,'TJ List'!$T:$T,"&lt;="&amp;C$3)/COUNTIFS('TJ List'!$L:$L,"&gt;0",'TJ List'!$S:$S,"&gt;="&amp;$A18,'TJ List'!$S:$S,"&lt;="&amp;$B18,'TJ List'!$T:$T,"&gt;="&amp;C$2,'TJ List'!$T:$T,"&lt;="&amp;C$3),"N/A")</f>
        <v>19.4</v>
      </c>
      <c r="D18" s="121">
        <f>IF(COUNTIFS('TJ List'!$L:$L,"&gt;0",'TJ List'!$S:$S,"&gt;="&amp;$A18,'TJ List'!$S:$S,"&lt;="&amp;$B18,'TJ List'!$T:$T,"&gt;="&amp;D$2,'TJ List'!$T:$T,"&lt;="&amp;D$3)&gt;0,SUMIFS('TJ List'!$L:$L,'TJ List'!$S:$S,"&gt;="&amp;$A18,'TJ List'!$S:$S,"&lt;="&amp;$B18,'TJ List'!$T:$T,"&gt;="&amp;D$2,'TJ List'!$T:$T,"&lt;="&amp;D$3)/COUNTIFS('TJ List'!$L:$L,"&gt;0",'TJ List'!$S:$S,"&gt;="&amp;$A18,'TJ List'!$S:$S,"&lt;="&amp;$B18,'TJ List'!$T:$T,"&gt;="&amp;D$2,'TJ List'!$T:$T,"&lt;="&amp;D$3),"N/A")</f>
        <v>17.91666667</v>
      </c>
      <c r="E18" s="121">
        <f>IF(COUNTIFS('TJ List'!$L:$L,"&gt;0",'TJ List'!$S:$S,"&gt;="&amp;$A18,'TJ List'!$S:$S,"&lt;="&amp;$B18,'TJ List'!$T:$T,"&gt;="&amp;E$2,'TJ List'!$T:$T,"&lt;="&amp;E$3)&gt;0,SUMIFS('TJ List'!$L:$L,'TJ List'!$S:$S,"&gt;="&amp;$A18,'TJ List'!$S:$S,"&lt;="&amp;$B18,'TJ List'!$T:$T,"&gt;="&amp;E$2,'TJ List'!$T:$T,"&lt;="&amp;E$3)/COUNTIFS('TJ List'!$L:$L,"&gt;0",'TJ List'!$S:$S,"&gt;="&amp;$A18,'TJ List'!$S:$S,"&lt;="&amp;$B18,'TJ List'!$T:$T,"&gt;="&amp;E$2,'TJ List'!$T:$T,"&lt;="&amp;E$3),"N/A")</f>
        <v>17.55172414</v>
      </c>
      <c r="F18" s="122">
        <f>IF(COUNTIFS('TJ List'!$L:$L,"&gt;0",'TJ List'!$S:$S,"&gt;="&amp;$A18,'TJ List'!$S:$S,"&lt;="&amp;$B18,'TJ List'!$T:$T,"&gt;="&amp;F$2,'TJ List'!$T:$T,"&lt;="&amp;F$3)&gt;0,SUMIFS('TJ List'!$L:$L,'TJ List'!$S:$S,"&gt;="&amp;$A18,'TJ List'!$S:$S,"&lt;="&amp;$B18,'TJ List'!$T:$T,"&gt;="&amp;F$2,'TJ List'!$T:$T,"&lt;="&amp;F$3)/COUNTIFS('TJ List'!$L:$L,"&gt;0",'TJ List'!$S:$S,"&gt;="&amp;$A18,'TJ List'!$S:$S,"&lt;="&amp;$B18,'TJ List'!$T:$T,"&gt;="&amp;F$2,'TJ List'!$T:$T,"&lt;="&amp;F$3),"N/A")</f>
        <v>17.25</v>
      </c>
      <c r="G18" s="123">
        <f t="array" ref="G18">AVERAGE(INDIRECT(CONCATENATE(ADDRESS(ROW(INDEX('TJ List'!A:A,MATCH(36525,'TJ List'!B:B,-1)+1,0)),12,1,TRUE,"TJ List"),":",ADDRESS(ROW(INDEX('TJ List'!A:A,MATCH(27030,'TJ List'!B:B,-1)+1,0)),12))))</f>
        <v>17.78787879</v>
      </c>
      <c r="H18" s="124">
        <f t="array" ref="H18">MEDIAN(INDIRECT(CONCATENATE(ADDRESS(ROW(INDEX('TJ List'!A:A,MATCH(36525,'TJ List'!B:B,-1)+1,0)),12,1,TRUE,"TJ List"),":",ADDRESS(ROW(INDEX('TJ List'!A:A,MATCH(27030,'TJ List'!B:B,-1)+1,0)),12))))</f>
        <v>14.5</v>
      </c>
      <c r="I18" s="124">
        <f t="array" ref="I18">MODE(INDIRECT(CONCATENATE(ADDRESS(ROW(INDEX('TJ List'!A:A,MATCH(36525,'TJ List'!B:B,-1)+1,0)),12,1,TRUE,"TJ List"),":",ADDRESS(ROW(INDEX('TJ List'!A:A,MATCH(27030,'TJ List'!B:B,-1)+1,0)),12))))</f>
        <v>13</v>
      </c>
      <c r="J18" s="129">
        <f t="array" ref="J18">COUNTIFS(INDIRECT(CONCATENATE(ADDRESS(ROW(INDEX('TJ List'!A:A,MATCH(36525,'TJ List'!B:B,-1)+1,0)),11,1,TRUE,"TJ List"),":",ADDRESS(ROW(INDEX('TJ List'!A:A,MATCH(27030,'TJ List'!B:B,-1)+1,0)),11))),"&gt;0")/COUNTIFS(INDIRECT(CONCATENATE(ADDRESS(ROW(INDEX('TJ List'!A:A,MATCH(36525,'TJ List'!B:B,-1)+1,0)),1,1,TRUE,"TJ List"),":",ADDRESS(ROW(INDEX('TJ List'!A:A,MATCH(27030,'TJ List'!B:B,-1)+1,0)),1))),"&lt;&gt;0")</f>
        <v>0.8979591837</v>
      </c>
      <c r="K18" s="81">
        <f t="array" ref="K18">COUNTIFS(INDIRECT(CONCATENATE(ADDRESS(ROW(INDEX('TJ List'!A:A,MATCH(36525,'TJ List'!B:B,-1)+1,0)),11,1,TRUE,"TJ List"),":",ADDRESS(ROW(INDEX('TJ List'!A:A,MATCH(27030,'TJ List'!B:B,-1)+1,0)),11))),"&lt;&gt;X")</f>
        <v>148</v>
      </c>
      <c r="L18" s="130">
        <f t="array" ref="L18">AVERAGEIFS(INDIRECT(CONCATENATE(ADDRESS(ROW(INDEX('TJ List'!A:A,MATCH(36525,'TJ List'!B:B,-1)+1,0)),12,1,TRUE,"TJ List"),":",ADDRESS(ROW(INDEX('TJ List'!A:A,MATCH(27030,'TJ List'!B:B,-1)+1,0)),12))),INDIRECT(CONCATENATE(ADDRESS(ROW(INDEX('TJ List'!A:A,MATCH(36525,'TJ List'!B:B,-1)+1,0)),4,1,TRUE,"TJ List"),":",ADDRESS(ROW(INDEX('TJ List'!A:A,MATCH(27030,'TJ List'!B:B,-1)+1,0)),4))),"MLB",INDIRECT(CONCATENATE(ADDRESS(ROW(INDEX('TJ List'!A:A,MATCH(36525,'TJ List'!B:B,-1)+1,0)),12,1,TRUE,"TJ List"),":",ADDRESS(ROW(INDEX('TJ List'!A:A,MATCH(27030,'TJ List'!B:B,-1)+1,0)),12))),"&gt;0")</f>
        <v>17.53846154</v>
      </c>
      <c r="M18" s="129">
        <f t="array" ref="M18">COUNTIFS(INDIRECT(CONCATENATE(ADDRESS(ROW(INDEX('TJ List'!A:A,MATCH(36525,'TJ List'!B:B,-1)+1,0)),11,1,TRUE,"TJ List"),":",ADDRESS(ROW(INDEX('TJ List'!A:A,MATCH(27030,'TJ List'!B:B,-1)+1,0)),11))),"&gt;0",INDIRECT(CONCATENATE(ADDRESS(ROW(INDEX('TJ List'!A:A,MATCH(36525,'TJ List'!B:B,-1)+1,0)),4,1,TRUE,"TJ List"),":",ADDRESS(ROW(INDEX('TJ List'!A:A,MATCH(27030,'TJ List'!B:B,-1)+1,0)),4))),"MLB")/COUNTIFS(INDIRECT(CONCATENATE(ADDRESS(ROW(INDEX('TJ List'!A:A,MATCH(36525,'TJ List'!B:B,-1)+1,0)),1,1,TRUE,"TJ List"),":",ADDRESS(ROW(INDEX('TJ List'!A:A,MATCH(27030,'TJ List'!B:B,-1)+1,0)),1))),"&lt;&gt;0",INDIRECT(CONCATENATE(ADDRESS(ROW(INDEX('TJ List'!A:A,MATCH(36525,'TJ List'!B:B,-1)+1,0)),4,1,TRUE,"TJ List"),":",ADDRESS(ROW(INDEX('TJ List'!A:A,MATCH(27030,'TJ List'!B:B,-1)+1,0)),4))),"MLB")</f>
        <v>0.8452380952</v>
      </c>
      <c r="N18" s="131">
        <f t="array" ref="N18">COUNTIFS(INDIRECT(CONCATENATE(ADDRESS(ROW(INDEX('TJ List'!A:A,MATCH(36525,'TJ List'!B:B,-1)+1,0)),11,1,TRUE,"TJ List"),":",ADDRESS(ROW(INDEX('TJ List'!A:A,MATCH(27030,'TJ List'!B:B,-1)+1,0)),11))),"&lt;&gt;X",INDIRECT(CONCATENATE(ADDRESS(ROW(INDEX('TJ List'!A:A,MATCH(36525,'TJ List'!B:B,-1)+1,0)),4,1,TRUE,"TJ List"),":",ADDRESS(ROW(INDEX('TJ List'!A:A,MATCH(27030,'TJ List'!B:B,-1)+1,0)),4))),"MLB")</f>
        <v>84</v>
      </c>
    </row>
    <row r="19">
      <c r="A19" s="132" t="s">
        <v>5926</v>
      </c>
      <c r="B19" s="133"/>
      <c r="C19" s="134">
        <f>SUMIFS('TJ List'!$L:$L,'TJ List'!$S:$S,"&gt;=1974",'TJ List'!$S:$S,"&lt;=2019",'TJ List'!$T:$T,"&gt;="&amp;C$2,'TJ List'!$T:$T,"&lt;="&amp;C$3)/COUNTIFS('TJ List'!$L:$L,"&gt;0",'TJ List'!$S:$S,"&gt;=1974",'TJ List'!$S:$S,"&lt;=2019",'TJ List'!$T:$T,"&gt;="&amp;C$2,'TJ List'!$T:$T,"&lt;="&amp;C$3)</f>
        <v>18.81395349</v>
      </c>
      <c r="D19" s="135">
        <f>SUMIFS('TJ List'!$L:$L,'TJ List'!$S:$S,"&gt;=1974",'TJ List'!$S:$S,"&lt;=2019",'TJ List'!$T:$T,"&gt;="&amp;D$2,'TJ List'!$T:$T,"&lt;="&amp;D$3)/COUNTIFS('TJ List'!$L:$L,"&gt;0",'TJ List'!$S:$S,"&gt;=1974",'TJ List'!$S:$S,"&lt;=2019",'TJ List'!$T:$T,"&gt;="&amp;D$2,'TJ List'!$T:$T,"&lt;="&amp;D$3)</f>
        <v>18.14893617</v>
      </c>
      <c r="E19" s="135">
        <f>SUMIFS('TJ List'!$L:$L,'TJ List'!$S:$S,"&gt;=1974",'TJ List'!$S:$S,"&lt;=2019",'TJ List'!$T:$T,"&gt;="&amp;E$2,'TJ List'!$T:$T,"&lt;="&amp;E$3)/COUNTIFS('TJ List'!$L:$L,"&gt;0",'TJ List'!$S:$S,"&gt;=1974",'TJ List'!$S:$S,"&lt;=2019",'TJ List'!$T:$T,"&gt;="&amp;E$2,'TJ List'!$T:$T,"&lt;="&amp;E$3)</f>
        <v>18.56508876</v>
      </c>
      <c r="F19" s="136">
        <f>SUMIFS('TJ List'!$L:$L,'TJ List'!$S:$S,"&gt;=1974",'TJ List'!$S:$S,"&lt;=2019",'TJ List'!$T:$T,"&gt;="&amp;F$2,'TJ List'!$T:$T,"&lt;="&amp;F$3)/COUNTIFS('TJ List'!$L:$L,"&gt;0",'TJ List'!$S:$S,"&gt;=1974",'TJ List'!$S:$S,"&lt;=2019",'TJ List'!$T:$T,"&gt;="&amp;F$2,'TJ List'!$T:$T,"&lt;="&amp;F$3)</f>
        <v>18.59756098</v>
      </c>
      <c r="G19" s="137">
        <f t="array" ref="G19">AVERAGE(INDIRECT(CONCATENATE(ADDRESS(ROW(INDEX('TJ List'!A:A,MATCH(43830,'TJ List'!B:B,-1)+1,0)),12,1,TRUE,"TJ List"),":",ADDRESS(ROW(INDEX('TJ List'!A:A,MATCH(27030,'TJ List'!B:B,-1),0)),12))))</f>
        <v>18.41975309</v>
      </c>
      <c r="H19" s="138">
        <f t="array" ref="H19">MEDIAN(INDIRECT(CONCATENATE(ADDRESS(ROW(INDEX('TJ List'!A:A,MATCH(43830,'TJ List'!B:B,-1)+1,0)),12,1,TRUE,"TJ List"),":",ADDRESS(ROW(INDEX('TJ List'!A:A,MATCH(27030,'TJ List'!B:B,-1),0)),12))))</f>
        <v>16</v>
      </c>
      <c r="I19" s="138">
        <f t="array" ref="I19">MODE(INDIRECT(CONCATENATE(ADDRESS(ROW(INDEX('TJ List'!A:A,MATCH(43830,'TJ List'!B:B,-1)+1,0)),12,1,TRUE,"TJ List"),":",ADDRESS(ROW(INDEX('TJ List'!A:A,MATCH(27030,'TJ List'!B:B,-1),0)),12))))</f>
        <v>13</v>
      </c>
      <c r="J19" s="139">
        <f t="array" ref="J19">COUNTIFS(INDIRECT(CONCATENATE(ADDRESS(ROW(INDEX('TJ List'!A:A,MATCH(43830,'TJ List'!B:B,-1)+1,0)),11,1,TRUE,"TJ List"),":",ADDRESS(ROW(INDEX('TJ List'!A:A,MATCH(27030,'TJ List'!B:B,-1),0)),11))),"&gt;0")/COUNTIFS(INDIRECT(CONCATENATE(ADDRESS(ROW(INDEX('TJ List'!A:A,MATCH(43830,'TJ List'!B:B,-1)+1,0)),1,1,TRUE,"TJ List"),":",ADDRESS(ROW(INDEX('TJ List'!A:A,MATCH(27030,'TJ List'!B:B,-1),0)),1))),"&lt;&gt;0")</f>
        <v>0.856199187</v>
      </c>
      <c r="K19" s="140">
        <f t="array" ref="K19">COUNTIFS(INDIRECT(CONCATENATE(ADDRESS(ROW(INDEX('TJ List'!A:A,MATCH(43830,'TJ List'!B:B,-1)+1,0)),11,1,TRUE,"TJ List"),":",ADDRESS(ROW(INDEX('TJ List'!A:A,MATCH(27030,'TJ List'!B:B,-1),0)),11))),"&lt;&gt;X")</f>
        <v>1968</v>
      </c>
      <c r="L19" s="137">
        <f t="array" ref="L19">AVERAGEIFS(INDIRECT(CONCATENATE(ADDRESS(ROW(INDEX('TJ List'!A:A,MATCH(43830,'TJ List'!B:B,-1)+1,0)),12,1,TRUE,"TJ List"),":",ADDRESS(ROW(INDEX('TJ List'!A:A,MATCH(27030,'TJ List'!B:B,-1),0)),12))),INDIRECT(CONCATENATE(ADDRESS(ROW(INDEX('TJ List'!A:A,MATCH(43830,'TJ List'!B:B,-1)+1,0)),4,1,TRUE,"TJ List"),":",ADDRESS(ROW(INDEX('TJ List'!A:A,MATCH(27030,'TJ List'!B:B,-1),0)),4))),"MLB",INDIRECT(CONCATENATE(ADDRESS(ROW(INDEX('TJ List'!A:A,MATCH(43830,'TJ List'!B:B,-1)+1,0)),12,1,TRUE,"TJ List"),":",ADDRESS(ROW(INDEX('TJ List'!A:A,MATCH(27030,'TJ List'!B:B,-1),0)),12))),"&gt;0")</f>
        <v>18.53972603</v>
      </c>
      <c r="M19" s="139">
        <f t="array" ref="M19">COUNTIFS(INDIRECT(CONCATENATE(ADDRESS(ROW(INDEX('TJ List'!A:A,MATCH(43830,'TJ List'!B:B,-1)+1,0)),11,1,TRUE,"TJ List"),":",ADDRESS(ROW(INDEX('TJ List'!A:A,MATCH(27030,'TJ List'!B:B,-1),0)),11))),"&gt;0",INDIRECT(CONCATENATE(ADDRESS(ROW(INDEX('TJ List'!A:A,MATCH(43830,'TJ List'!B:B,-1)+1,0)),4,1,TRUE,"TJ List"),":",ADDRESS(ROW(INDEX('TJ List'!A:A,MATCH(27030,'TJ List'!B:B,-1),0)),4))),"MLB")/COUNTIFS(INDIRECT(CONCATENATE(ADDRESS(ROW(INDEX('TJ List'!A:A,MATCH(43830,'TJ List'!B:B,-1)+1,0)),1,1,TRUE,"TJ List"),":",ADDRESS(ROW(INDEX('TJ List'!A:A,MATCH(27030,'TJ List'!B:B,-1),0)),1))),"&lt;&gt;0",INDIRECT(CONCATENATE(ADDRESS(ROW(INDEX('TJ List'!A:A,MATCH(43830,'TJ List'!B:B,-1)+1,0)),4,1,TRUE,"TJ List"),":",ADDRESS(ROW(INDEX('TJ List'!A:A,MATCH(27030,'TJ List'!B:B,-1),0)),4))),"MLB")</f>
        <v>0.793877551</v>
      </c>
      <c r="N19" s="141">
        <f t="array" ref="N19">COUNTIFS(INDIRECT(CONCATENATE(ADDRESS(ROW(INDEX('TJ List'!A:A,MATCH(43830,'TJ List'!B:B,-1)+1,0)),11,1,TRUE,"TJ List"),":",ADDRESS(ROW(INDEX('TJ List'!A:A,MATCH(27030,'TJ List'!B:B,-1),0)),11))),"&lt;&gt;X",INDIRECT(CONCATENATE(ADDRESS(ROW(INDEX('TJ List'!A:A,MATCH(43830,'TJ List'!B:B,-1)+1,0)),4,1,TRUE,"TJ List"),":",ADDRESS(ROW(INDEX('TJ List'!A:A,MATCH(27030,'TJ List'!B:B,-1),0)),4))),"MLB")</f>
        <v>490</v>
      </c>
    </row>
    <row r="20">
      <c r="H20" s="142"/>
      <c r="I20" s="101"/>
      <c r="J20" s="101"/>
      <c r="K20" s="101"/>
      <c r="L20" s="101"/>
      <c r="M20" s="101"/>
      <c r="N20" s="101"/>
    </row>
    <row r="21">
      <c r="A21" s="103" t="s">
        <v>5927</v>
      </c>
      <c r="B21" s="104"/>
      <c r="C21" s="104"/>
      <c r="D21" s="104"/>
      <c r="E21" s="104"/>
      <c r="F21" s="104"/>
      <c r="G21" s="104"/>
      <c r="H21" s="105"/>
      <c r="I21" s="5"/>
      <c r="K21" s="143" t="s">
        <v>5928</v>
      </c>
      <c r="L21" s="5"/>
      <c r="M21" s="5"/>
      <c r="N21" s="5"/>
    </row>
    <row r="22">
      <c r="A22" s="108" t="s">
        <v>5929</v>
      </c>
      <c r="B22" s="109" t="s">
        <v>5930</v>
      </c>
      <c r="C22" s="103" t="s">
        <v>5915</v>
      </c>
      <c r="D22" s="104"/>
      <c r="E22" s="105"/>
      <c r="F22" s="103" t="s">
        <v>5916</v>
      </c>
      <c r="G22" s="104"/>
      <c r="H22" s="105"/>
      <c r="I22" s="101"/>
      <c r="J22" s="49"/>
      <c r="K22" s="17"/>
      <c r="L22" s="101"/>
      <c r="M22" s="101"/>
      <c r="N22" s="101"/>
    </row>
    <row r="23">
      <c r="A23" s="111"/>
      <c r="B23" s="112"/>
      <c r="C23" s="116" t="s">
        <v>5921</v>
      </c>
      <c r="D23" s="117" t="s">
        <v>5924</v>
      </c>
      <c r="E23" s="118" t="s">
        <v>5925</v>
      </c>
      <c r="F23" s="116" t="s">
        <v>5921</v>
      </c>
      <c r="G23" s="117" t="s">
        <v>5924</v>
      </c>
      <c r="H23" s="118" t="s">
        <v>5925</v>
      </c>
      <c r="I23" s="101"/>
      <c r="J23" s="49"/>
      <c r="M23" s="101"/>
      <c r="N23" s="101"/>
    </row>
    <row r="24">
      <c r="A24" s="119">
        <v>12.0</v>
      </c>
      <c r="B24" s="120">
        <v>17.0</v>
      </c>
      <c r="C24" s="144">
        <f>SUMIFS('TJ List'!$L:$L,'TJ List'!$J:$J,"&gt;="&amp;$A24,'TJ List'!$J:$J,"&lt;="&amp;$B24,'TJ List'!$S:$S,"&lt;=2023")/COUNTIFS('TJ List'!$L:$L,"&gt;0",'TJ List'!$J:$J,"&gt;="&amp;$A24,'TJ List'!$J:$J,"&lt;="&amp;$B24,'TJ List'!$S:$S,"&lt;=2023")</f>
        <v>16.83333333</v>
      </c>
      <c r="D24" s="125">
        <f>COUNTIFS('TJ List'!$K:$K,"&gt;0",'TJ List'!$J:$J,"&gt;="&amp;$A24,'TJ List'!$J:$J,"&lt;="&amp;$B24,'TJ List'!$S:$S,"&lt;=2023")/COUNTIFS('TJ List'!$J:$J,"&gt;="&amp;$A24,'TJ List'!$J:$J,"&lt;="&amp;$B24,'TJ List'!$S:$S,"&lt;=2023")</f>
        <v>0.8977272727</v>
      </c>
      <c r="E24" s="145">
        <f>COUNTIFS('TJ List'!$J:$J,"&gt;="&amp;$A24,'TJ List'!$J:$J,"&lt;="&amp;$B24,'TJ List'!$S:$S,"&lt;=2023")</f>
        <v>88</v>
      </c>
      <c r="F24" s="127" t="str">
        <f>IF(COUNTIFS('TJ List'!$L:$L,"&gt;0",'TJ List'!$J:$J,"&gt;="&amp;$A24,'TJ List'!$J:$J,"&lt;="&amp;$B24,'TJ List'!$D:$D,"MLB",'TJ List'!$S:$S,"&lt;=2023")&gt;0,SUMIFS('TJ List'!$L:$L,'TJ List'!$J:$J,"&gt;="&amp;$A24,'TJ List'!$J:$J,"&lt;="&amp;$B24,'TJ List'!$D:$D,"MLB",'TJ List'!$S:$S,"&lt;=2023")/COUNTIFS('TJ List'!$L:$L,"&gt;0",'TJ List'!$J:$J,"&gt;="&amp;$A24,'TJ List'!$J:$J,"&lt;="&amp;$B24,'TJ List'!$D:$D,"MLB",'TJ List'!$S:$S,"&lt;=2023"),"N/A")</f>
        <v>N/A</v>
      </c>
      <c r="G24" s="125" t="str">
        <f>IF(COUNTIFS('TJ List'!$J:$J,"&gt;="&amp;$A24,'TJ List'!$J:$J,"&lt;="&amp;$B24,'TJ List'!$D:$D,"MLB",'TJ List'!$S:$S,"&lt;=2023")&gt;0,COUNTIFS('TJ List'!$K:$K,"&gt;0",'TJ List'!$J:$J,"&gt;="&amp;$A24,'TJ List'!$D:$D,"MLB",'TJ List'!$J:$J,"&lt;="&amp;$B24,'TJ List'!$S:$S,"&lt;=2023")/COUNTIFS('TJ List'!$J:$J,"&gt;="&amp;$A24,'TJ List'!$J:$J,"&lt;="&amp;$B24,'TJ List'!$D:$D,"MLB",'TJ List'!$S:$S,"&lt;=2023"),"N/A")</f>
        <v>N/A</v>
      </c>
      <c r="H24" s="146">
        <f>COUNTIFS('TJ List'!$J:$J,"&gt;="&amp;$A24,'TJ List'!$J:$J,"&lt;="&amp;$B24,'TJ List'!$D:$D,"MLB",'TJ List'!$S:$S,"&lt;=2023")</f>
        <v>0</v>
      </c>
      <c r="I24" s="101"/>
      <c r="J24" s="49"/>
      <c r="M24" s="101"/>
      <c r="N24" s="101"/>
    </row>
    <row r="25">
      <c r="A25" s="119">
        <v>18.0</v>
      </c>
      <c r="B25" s="120">
        <v>19.0</v>
      </c>
      <c r="C25" s="144">
        <f>SUMIFS('TJ List'!$L:$L,'TJ List'!$J:$J,"&gt;="&amp;$A25,'TJ List'!$J:$J,"&lt;="&amp;$B25,'TJ List'!$S:$S,"&lt;=2023")/COUNTIFS('TJ List'!$L:$L,"&gt;0",'TJ List'!$J:$J,"&gt;="&amp;$A25,'TJ List'!$J:$J,"&lt;="&amp;$B25,'TJ List'!$S:$S,"&lt;=2023")</f>
        <v>18.55102041</v>
      </c>
      <c r="D25" s="125">
        <f>COUNTIFS('TJ List'!$K:$K,"&gt;0",'TJ List'!$J:$J,"&gt;="&amp;$A25,'TJ List'!$J:$J,"&lt;="&amp;$B25,'TJ List'!$S:$S,"&lt;=2023")/COUNTIFS('TJ List'!$J:$J,"&gt;="&amp;$A25,'TJ List'!$J:$J,"&lt;="&amp;$B25,'TJ List'!$S:$S,"&lt;=2023")</f>
        <v>0.9104046243</v>
      </c>
      <c r="E25" s="145">
        <f>COUNTIFS('TJ List'!$J:$J,"&gt;="&amp;$A25,'TJ List'!$J:$J,"&lt;="&amp;$B25,'TJ List'!$S:$S,"&lt;=2023")</f>
        <v>346</v>
      </c>
      <c r="F25" s="127" t="str">
        <f>IF(COUNTIFS('TJ List'!$L:$L,"&gt;0",'TJ List'!$J:$J,"&gt;="&amp;$A25,'TJ List'!$J:$J,"&lt;="&amp;$B25,'TJ List'!$D:$D,"MLB",'TJ List'!$S:$S,"&lt;=2023")&gt;0,SUMIFS('TJ List'!$L:$L,'TJ List'!$J:$J,"&gt;="&amp;$A25,'TJ List'!$J:$J,"&lt;="&amp;$B25,'TJ List'!$D:$D,"MLB",'TJ List'!$S:$S,"&lt;=2023")/COUNTIFS('TJ List'!$L:$L,"&gt;0",'TJ List'!$J:$J,"&gt;="&amp;$A25,'TJ List'!$J:$J,"&lt;="&amp;$B25,'TJ List'!$D:$D,"MLB",'TJ List'!$S:$S,"&lt;=2023"),"N/A")</f>
        <v>N/A</v>
      </c>
      <c r="G25" s="125" t="str">
        <f>IF(COUNTIFS('TJ List'!$J:$J,"&gt;="&amp;$A25,'TJ List'!$J:$J,"&lt;="&amp;$B25,'TJ List'!$D:$D,"MLB",'TJ List'!$S:$S,"&lt;=2023")&gt;0,COUNTIFS('TJ List'!$K:$K,"&gt;0",'TJ List'!$J:$J,"&gt;="&amp;$A25,'TJ List'!$D:$D,"MLB",'TJ List'!$J:$J,"&lt;="&amp;$B25,'TJ List'!$S:$S,"&lt;=2023")/COUNTIFS('TJ List'!$J:$J,"&gt;="&amp;$A25,'TJ List'!$J:$J,"&lt;="&amp;$B25,'TJ List'!$D:$D,"MLB",'TJ List'!$S:$S,"&lt;=2023"),"N/A")</f>
        <v>N/A</v>
      </c>
      <c r="H25" s="146">
        <f>COUNTIFS('TJ List'!$J:$J,"&gt;="&amp;$A25,'TJ List'!$J:$J,"&lt;="&amp;$B25,'TJ List'!$D:$D,"MLB",'TJ List'!$S:$S,"&lt;=2023")</f>
        <v>0</v>
      </c>
      <c r="I25" s="101"/>
      <c r="J25" s="49"/>
      <c r="K25" s="49"/>
      <c r="M25" s="101"/>
      <c r="N25" s="101"/>
    </row>
    <row r="26">
      <c r="A26" s="119">
        <v>20.0</v>
      </c>
      <c r="B26" s="120">
        <v>21.0</v>
      </c>
      <c r="C26" s="144">
        <f>SUMIFS('TJ List'!$L:$L,'TJ List'!$J:$J,"&gt;="&amp;$A26,'TJ List'!$J:$J,"&lt;="&amp;$B26,'TJ List'!$S:$S,"&lt;=2023")/COUNTIFS('TJ List'!$L:$L,"&gt;0",'TJ List'!$J:$J,"&gt;="&amp;$A26,'TJ List'!$J:$J,"&lt;="&amp;$B26,'TJ List'!$S:$S,"&lt;=2023")</f>
        <v>17.81854839</v>
      </c>
      <c r="D26" s="125">
        <f>COUNTIFS('TJ List'!$K:$K,"&gt;0",'TJ List'!$J:$J,"&gt;="&amp;$A26,'TJ List'!$J:$J,"&lt;="&amp;$B26,'TJ List'!$S:$S,"&lt;=2023")/COUNTIFS('TJ List'!$J:$J,"&gt;="&amp;$A26,'TJ List'!$J:$J,"&lt;="&amp;$B26,'TJ List'!$S:$S,"&lt;=2023")</f>
        <v>0.9325259516</v>
      </c>
      <c r="E26" s="145">
        <f>COUNTIFS('TJ List'!$J:$J,"&gt;="&amp;$A26,'TJ List'!$J:$J,"&lt;="&amp;$B26,'TJ List'!$S:$S,"&lt;=2023")</f>
        <v>578</v>
      </c>
      <c r="F26" s="127">
        <f>SUMIFS('TJ List'!$L:$L,'TJ List'!$J:$J,"&gt;="&amp;$A26,'TJ List'!$J:$J,"&lt;="&amp;$B26,'TJ List'!$D:$D,"MLB",'TJ List'!$S:$S,"&lt;=2023")/COUNTIFS('TJ List'!$L:$L,"&gt;0",'TJ List'!$J:$J,"&gt;="&amp;$A26,'TJ List'!$J:$J,"&lt;="&amp;$B26,'TJ List'!$D:$D,"MLB",'TJ List'!$S:$S,"&lt;=2023")</f>
        <v>19.22222222</v>
      </c>
      <c r="G26" s="125">
        <f>COUNTIFS('TJ List'!$K:$K,"&gt;0",'TJ List'!$J:$J,"&gt;="&amp;$A26,'TJ List'!$D:$D,"MLB",'TJ List'!$J:$J,"&lt;="&amp;$B26,'TJ List'!$S:$S,"&lt;=2023")/COUNTIFS('TJ List'!$J:$J,"&gt;="&amp;$A26,'TJ List'!$J:$J,"&lt;="&amp;$B26,'TJ List'!$D:$D,"MLB",'TJ List'!$S:$S,"&lt;=2023")</f>
        <v>1</v>
      </c>
      <c r="H26" s="146">
        <f>COUNTIFS('TJ List'!$J:$J,"&gt;="&amp;$A26,'TJ List'!$J:$J,"&lt;="&amp;$B26,'TJ List'!$D:$D,"MLB",'TJ List'!$S:$S,"&lt;=2023")</f>
        <v>10</v>
      </c>
      <c r="I26" s="101"/>
      <c r="J26" s="49"/>
      <c r="K26" s="49"/>
      <c r="M26" s="101"/>
      <c r="N26" s="101"/>
    </row>
    <row r="27">
      <c r="A27" s="119">
        <v>22.0</v>
      </c>
      <c r="B27" s="120">
        <v>23.0</v>
      </c>
      <c r="C27" s="144">
        <f>SUMIFS('TJ List'!$L:$L,'TJ List'!$J:$J,"&gt;="&amp;$A27,'TJ List'!$J:$J,"&lt;="&amp;$B27,'TJ List'!$S:$S,"&lt;=2023")/COUNTIFS('TJ List'!$L:$L,"&gt;0",'TJ List'!$J:$J,"&gt;="&amp;$A27,'TJ List'!$J:$J,"&lt;="&amp;$B27,'TJ List'!$S:$S,"&lt;=2023")</f>
        <v>18.62546816</v>
      </c>
      <c r="D27" s="125">
        <f>COUNTIFS('TJ List'!$K:$K,"&gt;0",'TJ List'!$J:$J,"&gt;="&amp;$A27,'TJ List'!$J:$J,"&lt;="&amp;$B27,'TJ List'!$S:$S,"&lt;=2023")/COUNTIFS('TJ List'!$J:$J,"&gt;="&amp;$A27,'TJ List'!$J:$J,"&lt;="&amp;$B27,'TJ List'!$S:$S,"&lt;=2023")</f>
        <v>0.86875</v>
      </c>
      <c r="E27" s="145">
        <f>COUNTIFS('TJ List'!$J:$J,"&gt;="&amp;$A27,'TJ List'!$J:$J,"&lt;="&amp;$B27,'TJ List'!$S:$S,"&lt;=2023")</f>
        <v>480</v>
      </c>
      <c r="F27" s="127">
        <f>SUMIFS('TJ List'!$L:$L,'TJ List'!$J:$J,"&gt;="&amp;$A27,'TJ List'!$J:$J,"&lt;="&amp;$B27,'TJ List'!$D:$D,"MLB",'TJ List'!$S:$S,"&lt;=2023")/COUNTIFS('TJ List'!$L:$L,"&gt;0",'TJ List'!$J:$J,"&gt;="&amp;$A27,'TJ List'!$J:$J,"&lt;="&amp;$B27,'TJ List'!$D:$D,"MLB",'TJ List'!$S:$S,"&lt;=2023")</f>
        <v>19.12195122</v>
      </c>
      <c r="G27" s="125">
        <f>COUNTIFS('TJ List'!$K:$K,"&gt;0",'TJ List'!$J:$J,"&gt;="&amp;$A27,'TJ List'!$D:$D,"MLB",'TJ List'!$J:$J,"&lt;="&amp;$B27,'TJ List'!$S:$S,"&lt;=2023")/COUNTIFS('TJ List'!$J:$J,"&gt;="&amp;$A27,'TJ List'!$J:$J,"&lt;="&amp;$B27,'TJ List'!$D:$D,"MLB",'TJ List'!$S:$S,"&lt;=2023")</f>
        <v>0.8490566038</v>
      </c>
      <c r="H27" s="146">
        <f>COUNTIFS('TJ List'!$J:$J,"&gt;="&amp;$A27,'TJ List'!$J:$J,"&lt;="&amp;$B27,'TJ List'!$D:$D,"MLB",'TJ List'!$S:$S,"&lt;=2023")</f>
        <v>53</v>
      </c>
      <c r="I27" s="101"/>
      <c r="J27" s="102"/>
      <c r="M27" s="101"/>
      <c r="N27" s="101"/>
    </row>
    <row r="28">
      <c r="A28" s="119">
        <v>24.0</v>
      </c>
      <c r="B28" s="120">
        <v>25.0</v>
      </c>
      <c r="C28" s="144">
        <f>SUMIFS('TJ List'!$L:$L,'TJ List'!$J:$J,"&gt;="&amp;$A28,'TJ List'!$J:$J,"&lt;="&amp;$B28,'TJ List'!$S:$S,"&lt;=2023")/COUNTIFS('TJ List'!$L:$L,"&gt;0",'TJ List'!$J:$J,"&gt;="&amp;$A28,'TJ List'!$J:$J,"&lt;="&amp;$B28,'TJ List'!$S:$S,"&lt;=2023")</f>
        <v>18.69527897</v>
      </c>
      <c r="D28" s="125">
        <f>COUNTIFS('TJ List'!$K:$K,"&gt;0",'TJ List'!$J:$J,"&gt;="&amp;$A28,'TJ List'!$J:$J,"&lt;="&amp;$B28,'TJ List'!$S:$S,"&lt;=2023")/COUNTIFS('TJ List'!$J:$J,"&gt;="&amp;$A28,'TJ List'!$J:$J,"&lt;="&amp;$B28,'TJ List'!$S:$S,"&lt;=2023")</f>
        <v>0.816</v>
      </c>
      <c r="E28" s="145">
        <f>COUNTIFS('TJ List'!$J:$J,"&gt;="&amp;$A28,'TJ List'!$J:$J,"&lt;="&amp;$B28,'TJ List'!$S:$S,"&lt;=2023")</f>
        <v>375</v>
      </c>
      <c r="F28" s="127">
        <f>SUMIFS('TJ List'!$L:$L,'TJ List'!$J:$J,"&gt;="&amp;$A28,'TJ List'!$J:$J,"&lt;="&amp;$B28,'TJ List'!$D:$D,"MLB",'TJ List'!$S:$S,"&lt;=2023")/COUNTIFS('TJ List'!$L:$L,"&gt;0",'TJ List'!$J:$J,"&gt;="&amp;$A28,'TJ List'!$J:$J,"&lt;="&amp;$B28,'TJ List'!$D:$D,"MLB",'TJ List'!$S:$S,"&lt;=2023")</f>
        <v>19.35227273</v>
      </c>
      <c r="G28" s="125">
        <f>COUNTIFS('TJ List'!$K:$K,"&gt;0",'TJ List'!$J:$J,"&gt;="&amp;$A28,'TJ List'!$D:$D,"MLB",'TJ List'!$J:$J,"&lt;="&amp;$B28,'TJ List'!$S:$S,"&lt;=2023")/COUNTIFS('TJ List'!$J:$J,"&gt;="&amp;$A28,'TJ List'!$J:$J,"&lt;="&amp;$B28,'TJ List'!$D:$D,"MLB",'TJ List'!$S:$S,"&lt;=2023")</f>
        <v>0.8545454545</v>
      </c>
      <c r="H28" s="146">
        <f>COUNTIFS('TJ List'!$J:$J,"&gt;="&amp;$A28,'TJ List'!$J:$J,"&lt;="&amp;$B28,'TJ List'!$D:$D,"MLB",'TJ List'!$S:$S,"&lt;=2023")</f>
        <v>110</v>
      </c>
      <c r="I28" s="101"/>
      <c r="K28" s="101"/>
      <c r="L28" s="101"/>
      <c r="M28" s="101"/>
      <c r="N28" s="101"/>
    </row>
    <row r="29">
      <c r="A29" s="119">
        <v>26.0</v>
      </c>
      <c r="B29" s="120">
        <v>27.0</v>
      </c>
      <c r="C29" s="144">
        <f>SUMIFS('TJ List'!$L:$L,'TJ List'!$J:$J,"&gt;="&amp;$A29,'TJ List'!$J:$J,"&lt;="&amp;$B29,'TJ List'!$S:$S,"&lt;=2023")/COUNTIFS('TJ List'!$L:$L,"&gt;0",'TJ List'!$J:$J,"&gt;="&amp;$A29,'TJ List'!$J:$J,"&lt;="&amp;$B29,'TJ List'!$S:$S,"&lt;=2023")</f>
        <v>19.3483871</v>
      </c>
      <c r="D29" s="125">
        <f>COUNTIFS('TJ List'!$K:$K,"&gt;0",'TJ List'!$J:$J,"&gt;="&amp;$A29,'TJ List'!$J:$J,"&lt;="&amp;$B29,'TJ List'!$S:$S,"&lt;=2023")/COUNTIFS('TJ List'!$J:$J,"&gt;="&amp;$A29,'TJ List'!$J:$J,"&lt;="&amp;$B29,'TJ List'!$S:$S,"&lt;=2023")</f>
        <v>0.7265306122</v>
      </c>
      <c r="E29" s="145">
        <f>COUNTIFS('TJ List'!$J:$J,"&gt;="&amp;$A29,'TJ List'!$J:$J,"&lt;="&amp;$B29,'TJ List'!$S:$S,"&lt;=2023")</f>
        <v>245</v>
      </c>
      <c r="F29" s="127">
        <f>SUMIFS('TJ List'!$L:$L,'TJ List'!$J:$J,"&gt;="&amp;$A29,'TJ List'!$J:$J,"&lt;="&amp;$B29,'TJ List'!$D:$D,"MLB",'TJ List'!$S:$S,"&lt;=2023")/COUNTIFS('TJ List'!$L:$L,"&gt;0",'TJ List'!$J:$J,"&gt;="&amp;$A29,'TJ List'!$J:$J,"&lt;="&amp;$B29,'TJ List'!$D:$D,"MLB",'TJ List'!$S:$S,"&lt;=2023")</f>
        <v>20.1047619</v>
      </c>
      <c r="G29" s="125">
        <f>COUNTIFS('TJ List'!$K:$K,"&gt;0",'TJ List'!$J:$J,"&gt;="&amp;$A29,'TJ List'!$D:$D,"MLB",'TJ List'!$J:$J,"&lt;="&amp;$B29,'TJ List'!$S:$S,"&lt;=2023")/COUNTIFS('TJ List'!$J:$J,"&gt;="&amp;$A29,'TJ List'!$J:$J,"&lt;="&amp;$B29,'TJ List'!$D:$D,"MLB",'TJ List'!$S:$S,"&lt;=2023")</f>
        <v>0.7925925926</v>
      </c>
      <c r="H29" s="146">
        <f>COUNTIFS('TJ List'!$J:$J,"&gt;="&amp;$A29,'TJ List'!$J:$J,"&lt;="&amp;$B29,'TJ List'!$D:$D,"MLB",'TJ List'!$S:$S,"&lt;=2023")</f>
        <v>135</v>
      </c>
      <c r="I29" s="101"/>
      <c r="K29" s="101"/>
      <c r="L29" s="101"/>
      <c r="M29" s="101"/>
      <c r="N29" s="101"/>
    </row>
    <row r="30">
      <c r="A30" s="119">
        <v>28.0</v>
      </c>
      <c r="B30" s="120">
        <v>29.0</v>
      </c>
      <c r="C30" s="144">
        <f>SUMIFS('TJ List'!$L:$L,'TJ List'!$J:$J,"&gt;="&amp;$A30,'TJ List'!$J:$J,"&lt;="&amp;$B30,'TJ List'!$S:$S,"&lt;=2023")/COUNTIFS('TJ List'!$L:$L,"&gt;0",'TJ List'!$J:$J,"&gt;="&amp;$A30,'TJ List'!$J:$J,"&lt;="&amp;$B30,'TJ List'!$S:$S,"&lt;=2023")</f>
        <v>18.24603175</v>
      </c>
      <c r="D30" s="125">
        <f>COUNTIFS('TJ List'!$K:$K,"&gt;0",'TJ List'!$J:$J,"&gt;="&amp;$A30,'TJ List'!$J:$J,"&lt;="&amp;$B30,'TJ List'!$S:$S,"&lt;=2023")/COUNTIFS('TJ List'!$J:$J,"&gt;="&amp;$A30,'TJ List'!$J:$J,"&lt;="&amp;$B30,'TJ List'!$S:$S,"&lt;=2023")</f>
        <v>0.7621621622</v>
      </c>
      <c r="E30" s="145">
        <f>COUNTIFS('TJ List'!$J:$J,"&gt;="&amp;$A30,'TJ List'!$J:$J,"&lt;="&amp;$B30,'TJ List'!$S:$S,"&lt;=2023")</f>
        <v>185</v>
      </c>
      <c r="F30" s="127">
        <f>SUMIFS('TJ List'!$L:$L,'TJ List'!$J:$J,"&gt;="&amp;$A30,'TJ List'!$J:$J,"&lt;="&amp;$B30,'TJ List'!$D:$D,"MLB",'TJ List'!$S:$S,"&lt;=2023")/COUNTIFS('TJ List'!$L:$L,"&gt;0",'TJ List'!$J:$J,"&gt;="&amp;$A30,'TJ List'!$J:$J,"&lt;="&amp;$B30,'TJ List'!$D:$D,"MLB",'TJ List'!$S:$S,"&lt;=2023")</f>
        <v>18.09433962</v>
      </c>
      <c r="G30" s="125">
        <f>COUNTIFS('TJ List'!$K:$K,"&gt;0",'TJ List'!$J:$J,"&gt;="&amp;$A30,'TJ List'!$D:$D,"MLB",'TJ List'!$J:$J,"&lt;="&amp;$B30,'TJ List'!$S:$S,"&lt;=2023")/COUNTIFS('TJ List'!$J:$J,"&gt;="&amp;$A30,'TJ List'!$J:$J,"&lt;="&amp;$B30,'TJ List'!$D:$D,"MLB",'TJ List'!$S:$S,"&lt;=2023")</f>
        <v>0.7816901408</v>
      </c>
      <c r="H30" s="146">
        <f>COUNTIFS('TJ List'!$J:$J,"&gt;="&amp;$A30,'TJ List'!$J:$J,"&lt;="&amp;$B30,'TJ List'!$D:$D,"MLB",'TJ List'!$S:$S,"&lt;=2023")</f>
        <v>142</v>
      </c>
      <c r="I30" s="101"/>
      <c r="K30" s="101"/>
      <c r="L30" s="101"/>
      <c r="M30" s="101"/>
      <c r="N30" s="101"/>
    </row>
    <row r="31">
      <c r="A31" s="119">
        <v>30.0</v>
      </c>
      <c r="B31" s="120">
        <v>31.0</v>
      </c>
      <c r="C31" s="144">
        <f>SUMIFS('TJ List'!$L:$L,'TJ List'!$J:$J,"&gt;="&amp;$A31,'TJ List'!$J:$J,"&lt;="&amp;$B31,'TJ List'!$S:$S,"&lt;=2023")/COUNTIFS('TJ List'!$L:$L,"&gt;0",'TJ List'!$J:$J,"&gt;="&amp;$A31,'TJ List'!$J:$J,"&lt;="&amp;$B31,'TJ List'!$S:$S,"&lt;=2023")</f>
        <v>18.0877193</v>
      </c>
      <c r="D31" s="125">
        <f>COUNTIFS('TJ List'!$K:$K,"&gt;0",'TJ List'!$J:$J,"&gt;="&amp;$A31,'TJ List'!$J:$J,"&lt;="&amp;$B31,'TJ List'!$S:$S,"&lt;=2023")/COUNTIFS('TJ List'!$J:$J,"&gt;="&amp;$A31,'TJ List'!$J:$J,"&lt;="&amp;$B31,'TJ List'!$S:$S,"&lt;=2023")</f>
        <v>0.743902439</v>
      </c>
      <c r="E31" s="145">
        <f>COUNTIFS('TJ List'!$J:$J,"&gt;="&amp;$A31,'TJ List'!$J:$J,"&lt;="&amp;$B31,'TJ List'!$S:$S,"&lt;=2023")</f>
        <v>82</v>
      </c>
      <c r="F31" s="127">
        <f>SUMIFS('TJ List'!$L:$L,'TJ List'!$J:$J,"&gt;="&amp;$A31,'TJ List'!$J:$J,"&lt;="&amp;$B31,'TJ List'!$D:$D,"MLB",'TJ List'!$S:$S,"&lt;=2023")/COUNTIFS('TJ List'!$L:$L,"&gt;0",'TJ List'!$J:$J,"&gt;="&amp;$A31,'TJ List'!$J:$J,"&lt;="&amp;$B31,'TJ List'!$D:$D,"MLB",'TJ List'!$S:$S,"&lt;=2023")</f>
        <v>18.01960784</v>
      </c>
      <c r="G31" s="125">
        <f>COUNTIFS('TJ List'!$K:$K,"&gt;0",'TJ List'!$J:$J,"&gt;="&amp;$A31,'TJ List'!$D:$D,"MLB",'TJ List'!$J:$J,"&lt;="&amp;$B31,'TJ List'!$S:$S,"&lt;=2023")/COUNTIFS('TJ List'!$J:$J,"&gt;="&amp;$A31,'TJ List'!$J:$J,"&lt;="&amp;$B31,'TJ List'!$D:$D,"MLB",'TJ List'!$S:$S,"&lt;=2023")</f>
        <v>0.7910447761</v>
      </c>
      <c r="H31" s="146">
        <f>COUNTIFS('TJ List'!$J:$J,"&gt;="&amp;$A31,'TJ List'!$J:$J,"&lt;="&amp;$B31,'TJ List'!$D:$D,"MLB",'TJ List'!$S:$S,"&lt;=2023")</f>
        <v>67</v>
      </c>
      <c r="I31" s="101"/>
      <c r="K31" s="101"/>
      <c r="L31" s="101"/>
      <c r="M31" s="101"/>
      <c r="N31" s="101"/>
    </row>
    <row r="32">
      <c r="A32" s="119">
        <v>32.0</v>
      </c>
      <c r="B32" s="120">
        <v>33.0</v>
      </c>
      <c r="C32" s="144">
        <f>SUMIFS('TJ List'!$L:$L,'TJ List'!$J:$J,"&gt;="&amp;$A32,'TJ List'!$J:$J,"&lt;="&amp;$B32,'TJ List'!$S:$S,"&lt;=2023")/COUNTIFS('TJ List'!$L:$L,"&gt;0",'TJ List'!$J:$J,"&gt;="&amp;$A32,'TJ List'!$J:$J,"&lt;="&amp;$B32,'TJ List'!$S:$S,"&lt;=2023")</f>
        <v>15.55555556</v>
      </c>
      <c r="D32" s="125">
        <f>COUNTIFS('TJ List'!$K:$K,"&gt;0",'TJ List'!$J:$J,"&gt;="&amp;$A32,'TJ List'!$J:$J,"&lt;="&amp;$B32,'TJ List'!$S:$S,"&lt;=2023")/COUNTIFS('TJ List'!$J:$J,"&gt;="&amp;$A32,'TJ List'!$J:$J,"&lt;="&amp;$B32,'TJ List'!$S:$S,"&lt;=2023")</f>
        <v>0.7407407407</v>
      </c>
      <c r="E32" s="145">
        <f>COUNTIFS('TJ List'!$J:$J,"&gt;="&amp;$A32,'TJ List'!$J:$J,"&lt;="&amp;$B32,'TJ List'!$S:$S,"&lt;=2023")</f>
        <v>54</v>
      </c>
      <c r="F32" s="127">
        <f>SUMIFS('TJ List'!$L:$L,'TJ List'!$J:$J,"&gt;="&amp;$A32,'TJ List'!$J:$J,"&lt;="&amp;$B32,'TJ List'!$D:$D,"MLB",'TJ List'!$S:$S,"&lt;=2023")/COUNTIFS('TJ List'!$L:$L,"&gt;0",'TJ List'!$J:$J,"&gt;="&amp;$A32,'TJ List'!$J:$J,"&lt;="&amp;$B32,'TJ List'!$D:$D,"MLB",'TJ List'!$S:$S,"&lt;=2023")</f>
        <v>15.60606061</v>
      </c>
      <c r="G32" s="125">
        <f>COUNTIFS('TJ List'!$K:$K,"&gt;0",'TJ List'!$J:$J,"&gt;="&amp;$A32,'TJ List'!$D:$D,"MLB",'TJ List'!$J:$J,"&lt;="&amp;$B32,'TJ List'!$S:$S,"&lt;=2023")/COUNTIFS('TJ List'!$J:$J,"&gt;="&amp;$A32,'TJ List'!$J:$J,"&lt;="&amp;$B32,'TJ List'!$D:$D,"MLB",'TJ List'!$S:$S,"&lt;=2023")</f>
        <v>0.7954545455</v>
      </c>
      <c r="H32" s="146">
        <f>COUNTIFS('TJ List'!$J:$J,"&gt;="&amp;$A32,'TJ List'!$J:$J,"&lt;="&amp;$B32,'TJ List'!$D:$D,"MLB",'TJ List'!$S:$S,"&lt;=2023")</f>
        <v>44</v>
      </c>
      <c r="I32" s="101"/>
      <c r="K32" s="101"/>
      <c r="L32" s="101"/>
      <c r="M32" s="101"/>
      <c r="N32" s="101"/>
    </row>
    <row r="33">
      <c r="A33" s="119">
        <v>34.0</v>
      </c>
      <c r="B33" s="120">
        <v>35.0</v>
      </c>
      <c r="C33" s="144">
        <f>SUMIFS('TJ List'!$L:$L,'TJ List'!$J:$J,"&gt;="&amp;$A33,'TJ List'!$J:$J,"&lt;="&amp;$B33,'TJ List'!$S:$S,"&lt;=2023")/COUNTIFS('TJ List'!$L:$L,"&gt;0",'TJ List'!$J:$J,"&gt;="&amp;$A33,'TJ List'!$J:$J,"&lt;="&amp;$B33,'TJ List'!$S:$S,"&lt;=2023")</f>
        <v>18.63636364</v>
      </c>
      <c r="D33" s="125">
        <f>COUNTIFS('TJ List'!$K:$K,"&gt;0",'TJ List'!$J:$J,"&gt;="&amp;$A33,'TJ List'!$J:$J,"&lt;="&amp;$B33,'TJ List'!$S:$S,"&lt;=2023")/COUNTIFS('TJ List'!$J:$J,"&gt;="&amp;$A33,'TJ List'!$J:$J,"&lt;="&amp;$B33,'TJ List'!$S:$S,"&lt;=2023")</f>
        <v>0.6944444444</v>
      </c>
      <c r="E33" s="145">
        <f>COUNTIFS('TJ List'!$J:$J,"&gt;="&amp;$A33,'TJ List'!$J:$J,"&lt;="&amp;$B33,'TJ List'!$S:$S,"&lt;=2023")</f>
        <v>36</v>
      </c>
      <c r="F33" s="127">
        <f>SUMIFS('TJ List'!$L:$L,'TJ List'!$J:$J,"&gt;="&amp;$A33,'TJ List'!$J:$J,"&lt;="&amp;$B33,'TJ List'!$D:$D,"MLB",'TJ List'!$S:$S,"&lt;=2023")/COUNTIFS('TJ List'!$L:$L,"&gt;0",'TJ List'!$J:$J,"&gt;="&amp;$A33,'TJ List'!$J:$J,"&lt;="&amp;$B33,'TJ List'!$D:$D,"MLB",'TJ List'!$S:$S,"&lt;=2023")</f>
        <v>18.63636364</v>
      </c>
      <c r="G33" s="125">
        <f>COUNTIFS('TJ List'!$K:$K,"&gt;0",'TJ List'!$J:$J,"&gt;="&amp;$A33,'TJ List'!$D:$D,"MLB",'TJ List'!$J:$J,"&lt;="&amp;$B33,'TJ List'!$S:$S,"&lt;=2023")/COUNTIFS('TJ List'!$J:$J,"&gt;="&amp;$A33,'TJ List'!$J:$J,"&lt;="&amp;$B33,'TJ List'!$D:$D,"MLB",'TJ List'!$S:$S,"&lt;=2023")</f>
        <v>0.6944444444</v>
      </c>
      <c r="H33" s="146">
        <f>COUNTIFS('TJ List'!$J:$J,"&gt;="&amp;$A33,'TJ List'!$J:$J,"&lt;="&amp;$B33,'TJ List'!$D:$D,"MLB",'TJ List'!$S:$S,"&lt;=2023")</f>
        <v>36</v>
      </c>
      <c r="I33" s="101"/>
      <c r="K33" s="101"/>
      <c r="L33" s="101"/>
      <c r="M33" s="101"/>
      <c r="N33" s="101"/>
    </row>
    <row r="34">
      <c r="A34" s="147">
        <v>36.0</v>
      </c>
      <c r="B34" s="148">
        <v>50.0</v>
      </c>
      <c r="C34" s="149">
        <f>SUMIFS('TJ List'!$L:$L,'TJ List'!$J:$J,"&gt;="&amp;$A34,'TJ List'!$J:$J,"&lt;="&amp;$B34,'TJ List'!$S:$S,"&lt;=2023")/COUNTIFS('TJ List'!$L:$L,"&gt;0",'TJ List'!$J:$J,"&gt;="&amp;$A34,'TJ List'!$J:$J,"&lt;="&amp;$B34,'TJ List'!$S:$S,"&lt;=2023")</f>
        <v>15.70588235</v>
      </c>
      <c r="D34" s="150">
        <f>COUNTIFS('TJ List'!$K:$K,"&gt;0",'TJ List'!$J:$J,"&gt;="&amp;$A34,'TJ List'!$J:$J,"&lt;="&amp;$B34,'TJ List'!$S:$S,"&lt;=2023")/COUNTIFS('TJ List'!$J:$J,"&gt;="&amp;$A34,'TJ List'!$J:$J,"&lt;="&amp;$B34,'TJ List'!$S:$S,"&lt;=2023")</f>
        <v>0.85</v>
      </c>
      <c r="E34" s="151">
        <f>COUNTIFS('TJ List'!$J:$J,"&gt;="&amp;$A34,'TJ List'!$J:$J,"&lt;="&amp;$B34,'TJ List'!$S:$S,"&lt;=2023")</f>
        <v>20</v>
      </c>
      <c r="F34" s="127">
        <f>SUMIFS('TJ List'!$L:$L,'TJ List'!$J:$J,"&gt;="&amp;$A34,'TJ List'!$J:$J,"&lt;="&amp;$B34,'TJ List'!$D:$D,"MLB",'TJ List'!$S:$S,"&lt;=2023")/COUNTIFS('TJ List'!$L:$L,"&gt;0",'TJ List'!$J:$J,"&gt;="&amp;$A34,'TJ List'!$J:$J,"&lt;="&amp;$B34,'TJ List'!$D:$D,"MLB",'TJ List'!$S:$S,"&lt;=2023")</f>
        <v>15.9375</v>
      </c>
      <c r="G34" s="150">
        <f>COUNTIFS('TJ List'!$K:$K,"&gt;0",'TJ List'!$J:$J,"&gt;="&amp;$A34,'TJ List'!$D:$D,"MLB",'TJ List'!$J:$J,"&lt;="&amp;$B34,'TJ List'!$S:$S,"&lt;=2023")/COUNTIFS('TJ List'!$J:$J,"&gt;="&amp;$A34,'TJ List'!$J:$J,"&lt;="&amp;$B34,'TJ List'!$D:$D,"MLB",'TJ List'!$S:$S,"&lt;=2023")</f>
        <v>0.8421052632</v>
      </c>
      <c r="H34" s="152">
        <f>COUNTIFS('TJ List'!$J:$J,"&gt;="&amp;$A34,'TJ List'!$J:$J,"&lt;="&amp;$B34,'TJ List'!$D:$D,"MLB",'TJ List'!$S:$S,"&lt;=2023")</f>
        <v>19</v>
      </c>
      <c r="I34" s="101"/>
      <c r="K34" s="101"/>
      <c r="L34" s="101"/>
      <c r="M34" s="101"/>
      <c r="N34" s="101"/>
    </row>
    <row r="35">
      <c r="A35" s="153" t="s">
        <v>5931</v>
      </c>
      <c r="B35" s="133"/>
      <c r="C35" s="154">
        <f>SUMIFS('TJ List'!$L:$L,'TJ List'!$J:$J,"&gt;=12",'TJ List'!$J:$J,"&lt;=50",'TJ List'!$S:$S,"&lt;=2023")/COUNTIFS('TJ List'!$L:$L,"&gt;0",'TJ List'!$J:$J,"&gt;=12",'TJ List'!$J:$J,"&lt;=50",'TJ List'!$S:$S,"&lt;=2023")</f>
        <v>18.35877262</v>
      </c>
      <c r="D35" s="155">
        <f>COUNTIFS('TJ List'!$K:$K,"&gt;0",'TJ List'!$J:$J,"&gt;=12",'TJ List'!$J:$J,"&lt;=50",'TJ List'!$S:$S,"&lt;=2023")/COUNTIFS('TJ List'!$J:$J,"&gt;=12",'TJ List'!$J:$J,"&lt;=50",'TJ List'!$S:$S,"&lt;=2023")</f>
        <v>0.8509441543</v>
      </c>
      <c r="E35" s="156">
        <f>COUNTIFS('TJ List'!$J:$J,"&gt;=12",'TJ List'!$J:$J,"&lt;=50",'TJ List'!$S:$S,"&lt;=2023")</f>
        <v>2489</v>
      </c>
      <c r="F35" s="157">
        <f>SUMIFS('TJ List'!$L:$L,'TJ List'!$J:$J,"&gt;=12",'TJ List'!$J:$J,"&lt;=50",'TJ List'!$D:$D,"MLB",'TJ List'!$S:$S,"&lt;=2023")/COUNTIFS('TJ List'!$L:$L,"&gt;0",'TJ List'!$J:$J,"&gt;=12",'TJ List'!$J:$J,"&lt;=50",'TJ List'!$D:$D,"MLB",'TJ List'!$S:$S,"&lt;=2023")</f>
        <v>18.6581741</v>
      </c>
      <c r="G35" s="155">
        <f>COUNTIFS('TJ List'!$K:$K,"&gt;0",'TJ List'!$J:$J,"&gt;=12",'TJ List'!$D:$D,"MLB",'TJ List'!$J:$J,"&lt;=50",'TJ List'!$S:$S,"&lt;=2023")/COUNTIFS('TJ List'!$J:$J,"&gt;=12",'TJ List'!$J:$J,"&lt;=50",'TJ List'!$D:$D,"MLB",'TJ List'!$S:$S,"&lt;=2023")</f>
        <v>0.8051948052</v>
      </c>
      <c r="H35" s="156">
        <f>COUNTIFS('TJ List'!$J:$J,"&gt;=12",'TJ List'!$J:$J,"&lt;=50",'TJ List'!$D:$D,"MLB",'TJ List'!$S:$S,"&lt;=2023")</f>
        <v>616</v>
      </c>
      <c r="I35" s="101"/>
      <c r="K35" s="101"/>
      <c r="L35" s="101"/>
      <c r="M35" s="101"/>
      <c r="N35" s="101"/>
    </row>
    <row r="36">
      <c r="A36" s="13"/>
      <c r="I36" s="101"/>
      <c r="K36" s="101"/>
      <c r="L36" s="101"/>
      <c r="M36" s="101"/>
      <c r="N36" s="101"/>
    </row>
    <row r="37">
      <c r="I37" s="101"/>
      <c r="J37" s="101"/>
      <c r="K37" s="101"/>
      <c r="L37" s="101"/>
      <c r="M37" s="101"/>
      <c r="N37" s="101"/>
    </row>
    <row r="38">
      <c r="I38" s="101"/>
      <c r="J38" s="101"/>
      <c r="K38" s="101"/>
      <c r="L38" s="101"/>
      <c r="M38" s="101"/>
      <c r="N38" s="101"/>
    </row>
    <row r="39">
      <c r="I39" s="101"/>
      <c r="J39" s="101"/>
      <c r="K39" s="101"/>
      <c r="L39" s="101"/>
      <c r="M39" s="101"/>
      <c r="N39" s="101"/>
    </row>
    <row r="40">
      <c r="I40" s="101"/>
      <c r="J40" s="101"/>
      <c r="K40" s="101"/>
      <c r="L40" s="101"/>
      <c r="M40" s="101"/>
      <c r="N40" s="101"/>
    </row>
    <row r="41">
      <c r="I41" s="101"/>
      <c r="J41" s="101"/>
      <c r="K41" s="101"/>
      <c r="L41" s="101"/>
      <c r="M41" s="101"/>
      <c r="N41" s="101"/>
    </row>
    <row r="42">
      <c r="I42" s="101"/>
      <c r="J42" s="101"/>
      <c r="K42" s="101"/>
      <c r="L42" s="101"/>
      <c r="M42" s="101"/>
      <c r="N42" s="101"/>
    </row>
    <row r="43">
      <c r="I43" s="101"/>
      <c r="J43" s="101"/>
      <c r="K43" s="101"/>
      <c r="L43" s="101"/>
      <c r="M43" s="101"/>
      <c r="N43" s="101"/>
    </row>
    <row r="44">
      <c r="I44" s="101"/>
      <c r="J44" s="101"/>
      <c r="K44" s="101"/>
      <c r="L44" s="101"/>
      <c r="M44" s="101"/>
      <c r="N44" s="101"/>
    </row>
    <row r="45">
      <c r="I45" s="101"/>
      <c r="J45" s="101"/>
      <c r="K45" s="101"/>
      <c r="L45" s="101"/>
      <c r="M45" s="101"/>
      <c r="N45" s="101"/>
    </row>
    <row r="46">
      <c r="I46" s="101"/>
      <c r="J46" s="101"/>
      <c r="K46" s="101"/>
      <c r="L46" s="101"/>
      <c r="M46" s="101"/>
      <c r="N46" s="101"/>
    </row>
    <row r="47">
      <c r="I47" s="101"/>
      <c r="J47" s="101"/>
      <c r="K47" s="101"/>
      <c r="L47" s="101"/>
      <c r="M47" s="101"/>
      <c r="N47" s="101"/>
    </row>
  </sheetData>
  <mergeCells count="13">
    <mergeCell ref="A19:B19"/>
    <mergeCell ref="A22:A23"/>
    <mergeCell ref="B22:B23"/>
    <mergeCell ref="A35:B35"/>
    <mergeCell ref="C22:E22"/>
    <mergeCell ref="F22:H22"/>
    <mergeCell ref="A1:N1"/>
    <mergeCell ref="A4:A5"/>
    <mergeCell ref="B4:B5"/>
    <mergeCell ref="C4:F4"/>
    <mergeCell ref="G4:K4"/>
    <mergeCell ref="L4:N4"/>
    <mergeCell ref="A21:H2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5"/>
    <col customWidth="1" min="2" max="2" width="4.38"/>
    <col customWidth="1" min="3" max="5" width="4.88"/>
    <col customWidth="1" min="6" max="13" width="4.75"/>
    <col customWidth="1" hidden="1" min="14" max="15" width="11.5"/>
    <col customWidth="1" hidden="1" min="16" max="16" width="8.38"/>
    <col customWidth="1" hidden="1" min="17" max="17" width="12.63"/>
  </cols>
  <sheetData>
    <row r="1">
      <c r="A1" s="81" t="s">
        <v>5932</v>
      </c>
      <c r="B1" s="81" t="s">
        <v>5933</v>
      </c>
      <c r="N1" s="158"/>
      <c r="O1" s="158"/>
      <c r="P1" s="158"/>
      <c r="Q1" s="158"/>
      <c r="R1" s="82"/>
      <c r="S1" s="82"/>
      <c r="T1" s="82"/>
      <c r="U1" s="82"/>
      <c r="V1" s="82"/>
      <c r="W1" s="82"/>
      <c r="X1" s="82"/>
      <c r="Y1" s="82"/>
      <c r="Z1" s="82"/>
      <c r="AA1" s="82"/>
      <c r="AB1" s="82"/>
      <c r="AC1" s="82"/>
      <c r="AD1" s="82"/>
      <c r="AE1" s="82"/>
      <c r="AF1" s="82"/>
      <c r="AG1" s="82"/>
      <c r="AH1" s="82"/>
      <c r="AI1" s="82"/>
      <c r="AJ1" s="82"/>
      <c r="AK1" s="82"/>
    </row>
    <row r="2">
      <c r="B2" s="159" t="s">
        <v>38</v>
      </c>
      <c r="C2" s="81" t="s">
        <v>5934</v>
      </c>
      <c r="J2" s="81" t="s">
        <v>5935</v>
      </c>
      <c r="M2" s="159" t="s">
        <v>4774</v>
      </c>
      <c r="N2" s="160"/>
      <c r="O2" s="160" t="s">
        <v>5936</v>
      </c>
      <c r="P2" s="81" t="s">
        <v>5937</v>
      </c>
      <c r="R2" s="82"/>
      <c r="S2" s="82"/>
      <c r="T2" s="82"/>
      <c r="U2" s="82"/>
      <c r="V2" s="82"/>
      <c r="W2" s="82"/>
      <c r="X2" s="82"/>
      <c r="Y2" s="82"/>
      <c r="Z2" s="82"/>
      <c r="AA2" s="82"/>
      <c r="AB2" s="82"/>
      <c r="AC2" s="82"/>
      <c r="AD2" s="82"/>
      <c r="AE2" s="82"/>
      <c r="AF2" s="82"/>
      <c r="AG2" s="82"/>
      <c r="AH2" s="82"/>
      <c r="AI2" s="82"/>
      <c r="AJ2" s="82"/>
      <c r="AK2" s="82"/>
    </row>
    <row r="3">
      <c r="C3" s="81" t="s">
        <v>5934</v>
      </c>
      <c r="D3" s="81" t="s">
        <v>58</v>
      </c>
      <c r="E3" s="81" t="s">
        <v>77</v>
      </c>
      <c r="F3" s="81" t="s">
        <v>88</v>
      </c>
      <c r="G3" s="81" t="s">
        <v>97</v>
      </c>
      <c r="H3" s="81" t="s">
        <v>709</v>
      </c>
      <c r="I3" s="81" t="s">
        <v>221</v>
      </c>
      <c r="J3" s="81" t="s">
        <v>5935</v>
      </c>
      <c r="K3" s="81" t="s">
        <v>93</v>
      </c>
      <c r="L3" s="81" t="s">
        <v>213</v>
      </c>
      <c r="N3" s="160" t="s">
        <v>5938</v>
      </c>
      <c r="O3" s="160" t="s">
        <v>5939</v>
      </c>
      <c r="P3" s="81" t="s">
        <v>5939</v>
      </c>
      <c r="Q3" s="81" t="s">
        <v>5854</v>
      </c>
      <c r="R3" s="82"/>
      <c r="S3" s="82"/>
      <c r="T3" s="82"/>
      <c r="U3" s="82"/>
      <c r="V3" s="82"/>
      <c r="W3" s="82"/>
      <c r="X3" s="82"/>
      <c r="Y3" s="82"/>
      <c r="Z3" s="82"/>
      <c r="AA3" s="82"/>
      <c r="AB3" s="82"/>
      <c r="AC3" s="82"/>
      <c r="AD3" s="82"/>
      <c r="AE3" s="82"/>
      <c r="AF3" s="82"/>
      <c r="AG3" s="82"/>
      <c r="AH3" s="82"/>
      <c r="AI3" s="82"/>
      <c r="AJ3" s="82"/>
      <c r="AK3" s="82"/>
    </row>
    <row r="4">
      <c r="A4" s="11" t="s">
        <v>101</v>
      </c>
      <c r="B4" s="161">
        <f>COUNTIFS('TJ List'!C:C,A4,'TJ List'!D:D,"MLB")</f>
        <v>21</v>
      </c>
      <c r="C4" s="161">
        <f t="shared" ref="C4:C33" si="1">SUM(D4:I4)</f>
        <v>23</v>
      </c>
      <c r="D4" s="30">
        <f>COUNTIFS('TJ List'!C:C,A4,'TJ List'!D:D,"AAA")</f>
        <v>8</v>
      </c>
      <c r="E4" s="30">
        <f>COUNTIFS('TJ List'!C:C,A4,'TJ List'!D:D,"AA")</f>
        <v>6</v>
      </c>
      <c r="F4" s="30">
        <f>COUNTIFS('TJ List'!C:C,A4,'TJ List'!D:D,"A+")</f>
        <v>2</v>
      </c>
      <c r="G4" s="30">
        <f>COUNTIFS('TJ List'!C:C,A4,'TJ List'!D:D,"A")</f>
        <v>4</v>
      </c>
      <c r="H4" s="30">
        <f>COUNTIFS('TJ List'!C:C,A4,'TJ List'!D:D,"A-")</f>
        <v>2</v>
      </c>
      <c r="I4" s="30">
        <f>COUNTIFS('TJ List'!C:C,A4,'TJ List'!D:D,"Rk")</f>
        <v>1</v>
      </c>
      <c r="J4" s="161">
        <f t="shared" ref="J4:J33" si="2">SUM(K4:L4)</f>
        <v>24</v>
      </c>
      <c r="K4" s="30">
        <f>COUNTIFS('TJ List'!C:C,A4,'TJ List'!D:D,"Coll")</f>
        <v>17</v>
      </c>
      <c r="L4" s="30">
        <f>COUNTIFS('TJ List'!C:C,A4,'TJ List'!D:D,"HS")</f>
        <v>7</v>
      </c>
      <c r="M4" s="161">
        <f t="shared" ref="M4:M33" si="3">SUM(B4,C4,J4)</f>
        <v>68</v>
      </c>
      <c r="N4" s="75"/>
      <c r="O4" s="75">
        <f>AVERAGEIFS('TJ List'!L:L,'TJ List'!C:C,A4,'TJ List'!D:D,"MLB",'TJ List'!L:L,"&gt;0",'TJ List'!S:S,"&gt;=2010")</f>
        <v>19.30769231</v>
      </c>
      <c r="P4" s="30"/>
    </row>
    <row r="5">
      <c r="A5" s="11" t="s">
        <v>116</v>
      </c>
      <c r="B5" s="161">
        <f>COUNTIFS('TJ List'!C:C,A5,'TJ List'!D:D,"MLB")</f>
        <v>30</v>
      </c>
      <c r="C5" s="161">
        <f t="shared" si="1"/>
        <v>48</v>
      </c>
      <c r="D5" s="30">
        <f>COUNTIFS('TJ List'!C:C,A5,'TJ List'!D:D,"AAA")</f>
        <v>15</v>
      </c>
      <c r="E5" s="30">
        <f>COUNTIFS('TJ List'!C:C,A5,'TJ List'!D:D,"AA")</f>
        <v>10</v>
      </c>
      <c r="F5" s="30">
        <f>COUNTIFS('TJ List'!C:C,A5,'TJ List'!D:D,"A+")</f>
        <v>7</v>
      </c>
      <c r="G5" s="30">
        <f>COUNTIFS('TJ List'!C:C,A5,'TJ List'!D:D,"A")</f>
        <v>10</v>
      </c>
      <c r="H5" s="162">
        <f>COUNTIFS('TJ List'!C:C,A5,'TJ List'!D:D,"A-")</f>
        <v>0</v>
      </c>
      <c r="I5" s="30">
        <f>COUNTIFS('TJ List'!C:C,A5,'TJ List'!D:D,"Rk")</f>
        <v>6</v>
      </c>
      <c r="J5" s="161">
        <f t="shared" si="2"/>
        <v>15</v>
      </c>
      <c r="K5" s="30">
        <f>COUNTIFS('TJ List'!C:C,A5,'TJ List'!D:D,"Coll")</f>
        <v>11</v>
      </c>
      <c r="L5" s="30">
        <f>COUNTIFS('TJ List'!C:C,A5,'TJ List'!D:D,"HS")</f>
        <v>4</v>
      </c>
      <c r="M5" s="161">
        <f t="shared" si="3"/>
        <v>93</v>
      </c>
      <c r="N5" s="163">
        <v>1.0</v>
      </c>
      <c r="O5" s="75">
        <f>AVERAGEIFS('TJ List'!L:L,'TJ List'!C:C,A5,'TJ List'!D:D,"MLB",'TJ List'!L:L,"&gt;0",'TJ List'!S:S,"&gt;=2010")</f>
        <v>22.58333333</v>
      </c>
      <c r="P5" s="30"/>
    </row>
    <row r="6">
      <c r="A6" s="11" t="s">
        <v>138</v>
      </c>
      <c r="B6" s="161">
        <f>COUNTIFS('TJ List'!C:C,A6,'TJ List'!D:D,"MLB")</f>
        <v>18</v>
      </c>
      <c r="C6" s="161">
        <f t="shared" si="1"/>
        <v>32</v>
      </c>
      <c r="D6" s="30">
        <f>COUNTIFS('TJ List'!C:C,A6,'TJ List'!D:D,"AAA")</f>
        <v>10</v>
      </c>
      <c r="E6" s="30">
        <f>COUNTIFS('TJ List'!C:C,A6,'TJ List'!D:D,"AA")</f>
        <v>10</v>
      </c>
      <c r="F6" s="30">
        <f>COUNTIFS('TJ List'!C:C,A6,'TJ List'!D:D,"A+")</f>
        <v>3</v>
      </c>
      <c r="G6" s="30">
        <f>COUNTIFS('TJ List'!C:C,A6,'TJ List'!D:D,"A")</f>
        <v>2</v>
      </c>
      <c r="H6" s="30">
        <f>COUNTIFS('TJ List'!C:C,A6,'TJ List'!D:D,"A-")</f>
        <v>2</v>
      </c>
      <c r="I6" s="30">
        <f>COUNTIFS('TJ List'!C:C,A6,'TJ List'!D:D,"Rk")</f>
        <v>5</v>
      </c>
      <c r="J6" s="161">
        <f t="shared" si="2"/>
        <v>17</v>
      </c>
      <c r="K6" s="30">
        <f>COUNTIFS('TJ List'!C:C,A6,'TJ List'!D:D,"Coll")</f>
        <v>9</v>
      </c>
      <c r="L6" s="30">
        <f>COUNTIFS('TJ List'!C:C,A6,'TJ List'!D:D,"HS")</f>
        <v>8</v>
      </c>
      <c r="M6" s="161">
        <f t="shared" si="3"/>
        <v>67</v>
      </c>
      <c r="N6" s="75"/>
      <c r="O6" s="75">
        <f>AVERAGEIFS('TJ List'!L:L,'TJ List'!C:C,A6,'TJ List'!D:D,"MLB",'TJ List'!L:L,"&gt;0",'TJ List'!S:S,"&gt;=2010")</f>
        <v>18.44444444</v>
      </c>
      <c r="P6" s="30"/>
    </row>
    <row r="7">
      <c r="A7" s="11" t="s">
        <v>72</v>
      </c>
      <c r="B7" s="161">
        <f>COUNTIFS('TJ List'!C:C,A7,'TJ List'!D:D,"MLB")</f>
        <v>19</v>
      </c>
      <c r="C7" s="161">
        <f t="shared" si="1"/>
        <v>46</v>
      </c>
      <c r="D7" s="30">
        <f>COUNTIFS('TJ List'!C:C,A7,'TJ List'!D:D,"AAA")</f>
        <v>7</v>
      </c>
      <c r="E7" s="30">
        <f>COUNTIFS('TJ List'!C:C,A7,'TJ List'!D:D,"AA")</f>
        <v>14</v>
      </c>
      <c r="F7" s="30">
        <f>COUNTIFS('TJ List'!C:C,A7,'TJ List'!D:D,"A+")</f>
        <v>10</v>
      </c>
      <c r="G7" s="30">
        <f>COUNTIFS('TJ List'!C:C,A7,'TJ List'!D:D,"A")</f>
        <v>8</v>
      </c>
      <c r="H7" s="30">
        <f>COUNTIFS('TJ List'!C:C,A7,'TJ List'!D:D,"A-")</f>
        <v>4</v>
      </c>
      <c r="I7" s="30">
        <f>COUNTIFS('TJ List'!C:C,A7,'TJ List'!D:D,"Rk")</f>
        <v>3</v>
      </c>
      <c r="J7" s="161">
        <f t="shared" si="2"/>
        <v>28</v>
      </c>
      <c r="K7" s="30">
        <f>COUNTIFS('TJ List'!C:C,A7,'TJ List'!D:D,"Coll")</f>
        <v>18</v>
      </c>
      <c r="L7" s="30">
        <f>COUNTIFS('TJ List'!C:C,A7,'TJ List'!D:D,"HS")</f>
        <v>10</v>
      </c>
      <c r="M7" s="161">
        <f t="shared" si="3"/>
        <v>93</v>
      </c>
      <c r="N7" s="75"/>
      <c r="O7" s="75">
        <f>AVERAGEIFS('TJ List'!L:L,'TJ List'!C:C,A7,'TJ List'!D:D,"MLB",'TJ List'!L:L,"&gt;0",'TJ List'!S:S,"&gt;=2010")</f>
        <v>14.6</v>
      </c>
      <c r="P7" s="30"/>
    </row>
    <row r="8">
      <c r="A8" s="11" t="s">
        <v>167</v>
      </c>
      <c r="B8" s="161">
        <f>COUNTIFS('TJ List'!C:C,A8,'TJ List'!D:D,"MLB")</f>
        <v>14</v>
      </c>
      <c r="C8" s="161">
        <f t="shared" si="1"/>
        <v>51</v>
      </c>
      <c r="D8" s="30">
        <f>COUNTIFS('TJ List'!C:C,A8,'TJ List'!D:D,"AAA")</f>
        <v>12</v>
      </c>
      <c r="E8" s="30">
        <f>COUNTIFS('TJ List'!C:C,A8,'TJ List'!D:D,"AA")</f>
        <v>9</v>
      </c>
      <c r="F8" s="30">
        <f>COUNTIFS('TJ List'!C:C,A8,'TJ List'!D:D,"A+")</f>
        <v>11</v>
      </c>
      <c r="G8" s="30">
        <f>COUNTIFS('TJ List'!C:C,A8,'TJ List'!D:D,"A")</f>
        <v>6</v>
      </c>
      <c r="H8" s="30">
        <f>COUNTIFS('TJ List'!C:C,A8,'TJ List'!D:D,"A-")</f>
        <v>3</v>
      </c>
      <c r="I8" s="30">
        <f>COUNTIFS('TJ List'!C:C,A8,'TJ List'!D:D,"Rk")</f>
        <v>10</v>
      </c>
      <c r="J8" s="161">
        <f t="shared" si="2"/>
        <v>31</v>
      </c>
      <c r="K8" s="30">
        <f>COUNTIFS('TJ List'!C:C,A8,'TJ List'!D:D,"Coll")</f>
        <v>20</v>
      </c>
      <c r="L8" s="30">
        <f>COUNTIFS('TJ List'!C:C,A8,'TJ List'!D:D,"HS")</f>
        <v>11</v>
      </c>
      <c r="M8" s="161">
        <f t="shared" si="3"/>
        <v>96</v>
      </c>
      <c r="N8" s="75"/>
      <c r="O8" s="75">
        <f>AVERAGEIFS('TJ List'!L:L,'TJ List'!C:C,A8,'TJ List'!D:D,"MLB",'TJ List'!L:L,"&gt;0",'TJ List'!S:S,"&gt;=2010")</f>
        <v>30</v>
      </c>
      <c r="P8" s="30"/>
    </row>
    <row r="9">
      <c r="A9" s="11" t="s">
        <v>143</v>
      </c>
      <c r="B9" s="161">
        <f>COUNTIFS('TJ List'!C:C,A9,'TJ List'!D:D,"MLB")</f>
        <v>19</v>
      </c>
      <c r="C9" s="161">
        <f t="shared" si="1"/>
        <v>47</v>
      </c>
      <c r="D9" s="30">
        <f>COUNTIFS('TJ List'!C:C,A9,'TJ List'!D:D,"AAA")</f>
        <v>17</v>
      </c>
      <c r="E9" s="30">
        <f>COUNTIFS('TJ List'!C:C,A9,'TJ List'!D:D,"AA")</f>
        <v>8</v>
      </c>
      <c r="F9" s="30">
        <f>COUNTIFS('TJ List'!C:C,A9,'TJ List'!D:D,"A+")</f>
        <v>5</v>
      </c>
      <c r="G9" s="30">
        <f>COUNTIFS('TJ List'!C:C,A9,'TJ List'!D:D,"A")</f>
        <v>9</v>
      </c>
      <c r="H9" s="30">
        <f>COUNTIFS('TJ List'!C:C,A9,'TJ List'!D:D,"A-")</f>
        <v>0</v>
      </c>
      <c r="I9" s="30">
        <f>COUNTIFS('TJ List'!C:C,A9,'TJ List'!D:D,"Rk")</f>
        <v>8</v>
      </c>
      <c r="J9" s="161">
        <f t="shared" si="2"/>
        <v>24</v>
      </c>
      <c r="K9" s="30">
        <f>COUNTIFS('TJ List'!C:C,A9,'TJ List'!D:D,"Coll")</f>
        <v>16</v>
      </c>
      <c r="L9" s="30">
        <f>COUNTIFS('TJ List'!C:C,A9,'TJ List'!D:D,"HS")</f>
        <v>8</v>
      </c>
      <c r="M9" s="161">
        <f t="shared" si="3"/>
        <v>90</v>
      </c>
      <c r="N9" s="163">
        <v>1.0</v>
      </c>
      <c r="O9" s="75">
        <f>AVERAGEIFS('TJ List'!L:L,'TJ List'!C:C,A9,'TJ List'!D:D,"MLB",'TJ List'!L:L,"&gt;0",'TJ List'!S:S,"&gt;=2010")</f>
        <v>18.625</v>
      </c>
      <c r="P9" s="30"/>
    </row>
    <row r="10">
      <c r="A10" s="11" t="s">
        <v>162</v>
      </c>
      <c r="B10" s="161">
        <f>COUNTIFS('TJ List'!C:C,A10,'TJ List'!D:D,"MLB")</f>
        <v>26</v>
      </c>
      <c r="C10" s="161">
        <f t="shared" si="1"/>
        <v>47</v>
      </c>
      <c r="D10" s="30">
        <f>COUNTIFS('TJ List'!C:C,A10,'TJ List'!D:D,"AAA")</f>
        <v>8</v>
      </c>
      <c r="E10" s="30">
        <f>COUNTIFS('TJ List'!C:C,A10,'TJ List'!D:D,"AA")</f>
        <v>4</v>
      </c>
      <c r="F10" s="30">
        <f>COUNTIFS('TJ List'!C:C,A10,'TJ List'!D:D,"A+")</f>
        <v>7</v>
      </c>
      <c r="G10" s="30">
        <f>COUNTIFS('TJ List'!C:C,A10,'TJ List'!D:D,"A")</f>
        <v>16</v>
      </c>
      <c r="H10" s="30">
        <f>COUNTIFS('TJ List'!C:C,A10,'TJ List'!D:D,"A-")</f>
        <v>0</v>
      </c>
      <c r="I10" s="30">
        <f>COUNTIFS('TJ List'!C:C,A10,'TJ List'!D:D,"Rk")</f>
        <v>12</v>
      </c>
      <c r="J10" s="161">
        <f t="shared" si="2"/>
        <v>22</v>
      </c>
      <c r="K10" s="30">
        <f>COUNTIFS('TJ List'!C:C,A10,'TJ List'!D:D,"Coll")</f>
        <v>14</v>
      </c>
      <c r="L10" s="30">
        <f>COUNTIFS('TJ List'!C:C,A10,'TJ List'!D:D,"HS")</f>
        <v>8</v>
      </c>
      <c r="M10" s="161">
        <f t="shared" si="3"/>
        <v>95</v>
      </c>
      <c r="N10" s="163">
        <v>1.0</v>
      </c>
      <c r="O10" s="75">
        <f>AVERAGEIFS('TJ List'!L:L,'TJ List'!C:C,A10,'TJ List'!D:D,"MLB",'TJ List'!L:L,"&gt;0",'TJ List'!S:S,"&gt;=2010")</f>
        <v>22.88888889</v>
      </c>
      <c r="P10" s="164" t="s">
        <v>5940</v>
      </c>
      <c r="Q10" s="70" t="s">
        <v>5941</v>
      </c>
    </row>
    <row r="11">
      <c r="A11" s="11" t="s">
        <v>44</v>
      </c>
      <c r="B11" s="161">
        <f>COUNTIFS('TJ List'!C:C,A11,'TJ List'!D:D,"MLB")</f>
        <v>20</v>
      </c>
      <c r="C11" s="161">
        <f t="shared" si="1"/>
        <v>52</v>
      </c>
      <c r="D11" s="30">
        <f>COUNTIFS('TJ List'!C:C,A11,'TJ List'!D:D,"AAA")</f>
        <v>9</v>
      </c>
      <c r="E11" s="30">
        <f>COUNTIFS('TJ List'!C:C,A11,'TJ List'!D:D,"AA")</f>
        <v>7</v>
      </c>
      <c r="F11" s="30">
        <f>COUNTIFS('TJ List'!C:C,A11,'TJ List'!D:D,"A+")</f>
        <v>5</v>
      </c>
      <c r="G11" s="30">
        <f>COUNTIFS('TJ List'!C:C,A11,'TJ List'!D:D,"A")</f>
        <v>8</v>
      </c>
      <c r="H11" s="30">
        <f>COUNTIFS('TJ List'!C:C,A11,'TJ List'!D:D,"A-")</f>
        <v>5</v>
      </c>
      <c r="I11" s="30">
        <f>COUNTIFS('TJ List'!C:C,A11,'TJ List'!D:D,"Rk")</f>
        <v>18</v>
      </c>
      <c r="J11" s="161">
        <f t="shared" si="2"/>
        <v>32</v>
      </c>
      <c r="K11" s="30">
        <f>COUNTIFS('TJ List'!C:C,A11,'TJ List'!D:D,"Coll")</f>
        <v>20</v>
      </c>
      <c r="L11" s="30">
        <f>COUNTIFS('TJ List'!C:C,A11,'TJ List'!D:D,"HS")</f>
        <v>12</v>
      </c>
      <c r="M11" s="161">
        <f t="shared" si="3"/>
        <v>104</v>
      </c>
      <c r="N11" s="75"/>
      <c r="O11" s="75">
        <f>AVERAGEIFS('TJ List'!L:L,'TJ List'!C:C,A11,'TJ List'!D:D,"MLB",'TJ List'!L:L,"&gt;0",'TJ List'!S:S,"&gt;=2010")</f>
        <v>22.85714286</v>
      </c>
      <c r="P11" s="30"/>
    </row>
    <row r="12">
      <c r="A12" s="11" t="s">
        <v>192</v>
      </c>
      <c r="B12" s="161">
        <f>COUNTIFS('TJ List'!C:C,A12,'TJ List'!D:D,"MLB")</f>
        <v>15</v>
      </c>
      <c r="C12" s="161">
        <f t="shared" si="1"/>
        <v>27</v>
      </c>
      <c r="D12" s="30">
        <f>COUNTIFS('TJ List'!C:C,A12,'TJ List'!D:D,"AAA")</f>
        <v>5</v>
      </c>
      <c r="E12" s="30">
        <f>COUNTIFS('TJ List'!C:C,A12,'TJ List'!D:D,"AA")</f>
        <v>7</v>
      </c>
      <c r="F12" s="30">
        <f>COUNTIFS('TJ List'!C:C,A12,'TJ List'!D:D,"A+")</f>
        <v>4</v>
      </c>
      <c r="G12" s="30">
        <f>COUNTIFS('TJ List'!C:C,A12,'TJ List'!D:D,"A")</f>
        <v>6</v>
      </c>
      <c r="H12" s="30">
        <f>COUNTIFS('TJ List'!C:C,A12,'TJ List'!D:D,"A-")</f>
        <v>2</v>
      </c>
      <c r="I12" s="30">
        <f>COUNTIFS('TJ List'!C:C,A12,'TJ List'!D:D,"Rk")</f>
        <v>3</v>
      </c>
      <c r="J12" s="161">
        <f t="shared" si="2"/>
        <v>19</v>
      </c>
      <c r="K12" s="30">
        <f>COUNTIFS('TJ List'!C:C,A12,'TJ List'!D:D,"Coll")</f>
        <v>14</v>
      </c>
      <c r="L12" s="30">
        <f>COUNTIFS('TJ List'!C:C,A12,'TJ List'!D:D,"HS")</f>
        <v>5</v>
      </c>
      <c r="M12" s="161">
        <f t="shared" si="3"/>
        <v>61</v>
      </c>
      <c r="N12" s="75"/>
      <c r="O12" s="75">
        <f>AVERAGEIFS('TJ List'!L:L,'TJ List'!C:C,A12,'TJ List'!D:D,"MLB",'TJ List'!L:L,"&gt;0",'TJ List'!S:S,"&gt;=2010")</f>
        <v>16.4</v>
      </c>
      <c r="P12" s="30"/>
    </row>
    <row r="13">
      <c r="A13" s="11" t="s">
        <v>111</v>
      </c>
      <c r="B13" s="161">
        <f>COUNTIFS('TJ List'!C:C,A13,'TJ List'!D:D,"MLB")</f>
        <v>22</v>
      </c>
      <c r="C13" s="161">
        <f t="shared" si="1"/>
        <v>53</v>
      </c>
      <c r="D13" s="30">
        <f>COUNTIFS('TJ List'!C:C,A13,'TJ List'!D:D,"AAA")</f>
        <v>13</v>
      </c>
      <c r="E13" s="30">
        <f>COUNTIFS('TJ List'!C:C,A13,'TJ List'!D:D,"AA")</f>
        <v>17</v>
      </c>
      <c r="F13" s="30">
        <f>COUNTIFS('TJ List'!C:C,A13,'TJ List'!D:D,"A+")</f>
        <v>9</v>
      </c>
      <c r="G13" s="30">
        <f>COUNTIFS('TJ List'!C:C,A13,'TJ List'!D:D,"A")</f>
        <v>8</v>
      </c>
      <c r="H13" s="30">
        <f>COUNTIFS('TJ List'!C:C,A13,'TJ List'!D:D,"A-")</f>
        <v>0</v>
      </c>
      <c r="I13" s="30">
        <f>COUNTIFS('TJ List'!C:C,A13,'TJ List'!D:D,"Rk")</f>
        <v>6</v>
      </c>
      <c r="J13" s="161">
        <f t="shared" si="2"/>
        <v>18</v>
      </c>
      <c r="K13" s="30">
        <f>COUNTIFS('TJ List'!C:C,A13,'TJ List'!D:D,"Coll")</f>
        <v>15</v>
      </c>
      <c r="L13" s="30">
        <f>COUNTIFS('TJ List'!C:C,A13,'TJ List'!D:D,"HS")</f>
        <v>3</v>
      </c>
      <c r="M13" s="161">
        <f t="shared" si="3"/>
        <v>93</v>
      </c>
      <c r="N13" s="75"/>
      <c r="O13" s="75">
        <f>AVERAGEIFS('TJ List'!L:L,'TJ List'!C:C,A13,'TJ List'!D:D,"MLB",'TJ List'!L:L,"&gt;0",'TJ List'!S:S,"&gt;=2010")</f>
        <v>18</v>
      </c>
      <c r="P13" s="30"/>
    </row>
    <row r="14">
      <c r="A14" s="11" t="s">
        <v>52</v>
      </c>
      <c r="B14" s="161">
        <f>COUNTIFS('TJ List'!C:C,A14,'TJ List'!D:D,"MLB")</f>
        <v>19</v>
      </c>
      <c r="C14" s="161">
        <f t="shared" si="1"/>
        <v>30</v>
      </c>
      <c r="D14" s="30">
        <f>COUNTIFS('TJ List'!C:C,A14,'TJ List'!D:D,"AAA")</f>
        <v>8</v>
      </c>
      <c r="E14" s="30">
        <f>COUNTIFS('TJ List'!C:C,A14,'TJ List'!D:D,"AA")</f>
        <v>7</v>
      </c>
      <c r="F14" s="30">
        <f>COUNTIFS('TJ List'!C:C,A14,'TJ List'!D:D,"A+")</f>
        <v>6</v>
      </c>
      <c r="G14" s="30">
        <f>COUNTIFS('TJ List'!C:C,A14,'TJ List'!D:D,"A")</f>
        <v>4</v>
      </c>
      <c r="H14" s="30">
        <f>COUNTIFS('TJ List'!C:C,A14,'TJ List'!D:D,"A-")</f>
        <v>2</v>
      </c>
      <c r="I14" s="30">
        <f>COUNTIFS('TJ List'!C:C,A14,'TJ List'!D:D,"Rk")</f>
        <v>3</v>
      </c>
      <c r="J14" s="161">
        <f t="shared" si="2"/>
        <v>20</v>
      </c>
      <c r="K14" s="30">
        <f>COUNTIFS('TJ List'!C:C,A14,'TJ List'!D:D,"Coll")</f>
        <v>13</v>
      </c>
      <c r="L14" s="30">
        <f>COUNTIFS('TJ List'!C:C,A14,'TJ List'!D:D,"HS")</f>
        <v>7</v>
      </c>
      <c r="M14" s="161">
        <f t="shared" si="3"/>
        <v>69</v>
      </c>
      <c r="N14" s="75"/>
      <c r="O14" s="75">
        <f>AVERAGEIFS('TJ List'!L:L,'TJ List'!C:C,A14,'TJ List'!D:D,"MLB",'TJ List'!L:L,"&gt;0",'TJ List'!S:S,"&gt;=2010")</f>
        <v>27.66666667</v>
      </c>
      <c r="P14" s="30"/>
    </row>
    <row r="15">
      <c r="A15" s="11" t="s">
        <v>358</v>
      </c>
      <c r="B15" s="161">
        <f>COUNTIFS('TJ List'!C:C,A15,'TJ List'!D:D,"MLB")</f>
        <v>25</v>
      </c>
      <c r="C15" s="161">
        <f t="shared" si="1"/>
        <v>40</v>
      </c>
      <c r="D15" s="30">
        <f>COUNTIFS('TJ List'!C:C,A15,'TJ List'!D:D,"AAA")</f>
        <v>3</v>
      </c>
      <c r="E15" s="30">
        <f>COUNTIFS('TJ List'!C:C,A15,'TJ List'!D:D,"AA")</f>
        <v>10</v>
      </c>
      <c r="F15" s="30">
        <f>COUNTIFS('TJ List'!C:C,A15,'TJ List'!D:D,"A+")</f>
        <v>8</v>
      </c>
      <c r="G15" s="30">
        <f>COUNTIFS('TJ List'!C:C,A15,'TJ List'!D:D,"A")</f>
        <v>11</v>
      </c>
      <c r="H15" s="30">
        <f>COUNTIFS('TJ List'!C:C,A15,'TJ List'!D:D,"A-")</f>
        <v>0</v>
      </c>
      <c r="I15" s="30">
        <f>COUNTIFS('TJ List'!C:C,A15,'TJ List'!D:D,"Rk")</f>
        <v>8</v>
      </c>
      <c r="J15" s="161">
        <f t="shared" si="2"/>
        <v>25</v>
      </c>
      <c r="K15" s="30">
        <f>COUNTIFS('TJ List'!C:C,A15,'TJ List'!D:D,"Coll")</f>
        <v>16</v>
      </c>
      <c r="L15" s="30">
        <f>COUNTIFS('TJ List'!C:C,A15,'TJ List'!D:D,"HS")</f>
        <v>9</v>
      </c>
      <c r="M15" s="161">
        <f t="shared" si="3"/>
        <v>90</v>
      </c>
      <c r="N15" s="163">
        <v>1.0</v>
      </c>
      <c r="O15" s="75">
        <f>AVERAGEIFS('TJ List'!L:L,'TJ List'!C:C,A15,'TJ List'!D:D,"MLB",'TJ List'!L:L,"&gt;0",'TJ List'!S:S,"&gt;=2010")</f>
        <v>18.76923077</v>
      </c>
      <c r="P15" s="30"/>
    </row>
    <row r="16">
      <c r="A16" s="11" t="s">
        <v>346</v>
      </c>
      <c r="B16" s="161">
        <f>COUNTIFS('TJ List'!C:C,A16,'TJ List'!D:D,"MLB")</f>
        <v>27</v>
      </c>
      <c r="C16" s="161">
        <f t="shared" si="1"/>
        <v>37</v>
      </c>
      <c r="D16" s="30">
        <f>COUNTIFS('TJ List'!C:C,A16,'TJ List'!D:D,"AAA")</f>
        <v>6</v>
      </c>
      <c r="E16" s="30">
        <f>COUNTIFS('TJ List'!C:C,A16,'TJ List'!D:D,"AA")</f>
        <v>3</v>
      </c>
      <c r="F16" s="30">
        <f>COUNTIFS('TJ List'!C:C,A16,'TJ List'!D:D,"A+")</f>
        <v>8</v>
      </c>
      <c r="G16" s="30">
        <f>COUNTIFS('TJ List'!C:C,A16,'TJ List'!D:D,"A")</f>
        <v>5</v>
      </c>
      <c r="H16" s="30">
        <f>COUNTIFS('TJ List'!C:C,A16,'TJ List'!D:D,"A-")</f>
        <v>0</v>
      </c>
      <c r="I16" s="30">
        <f>COUNTIFS('TJ List'!C:C,A16,'TJ List'!D:D,"Rk")</f>
        <v>15</v>
      </c>
      <c r="J16" s="161">
        <f t="shared" si="2"/>
        <v>31</v>
      </c>
      <c r="K16" s="30">
        <f>COUNTIFS('TJ List'!C:C,A16,'TJ List'!D:D,"Coll")</f>
        <v>21</v>
      </c>
      <c r="L16" s="30">
        <f>COUNTIFS('TJ List'!C:C,A16,'TJ List'!D:D,"HS")</f>
        <v>10</v>
      </c>
      <c r="M16" s="161">
        <f t="shared" si="3"/>
        <v>95</v>
      </c>
      <c r="N16" s="163">
        <v>1.0</v>
      </c>
      <c r="O16" s="75">
        <f>AVERAGEIFS('TJ List'!L:L,'TJ List'!C:C,A16,'TJ List'!D:D,"MLB",'TJ List'!L:L,"&gt;0",'TJ List'!S:S,"&gt;=2010")</f>
        <v>19.76470588</v>
      </c>
      <c r="P16" s="30"/>
    </row>
    <row r="17">
      <c r="A17" s="11" t="s">
        <v>126</v>
      </c>
      <c r="B17" s="161">
        <f>COUNTIFS('TJ List'!C:C,A17,'TJ List'!D:D,"MLB")</f>
        <v>28</v>
      </c>
      <c r="C17" s="161">
        <f t="shared" si="1"/>
        <v>42</v>
      </c>
      <c r="D17" s="30">
        <f>COUNTIFS('TJ List'!C:C,A17,'TJ List'!D:D,"AAA")</f>
        <v>11</v>
      </c>
      <c r="E17" s="30">
        <f>COUNTIFS('TJ List'!C:C,A17,'TJ List'!D:D,"AA")</f>
        <v>9</v>
      </c>
      <c r="F17" s="30">
        <f>COUNTIFS('TJ List'!C:C,A17,'TJ List'!D:D,"A+")</f>
        <v>8</v>
      </c>
      <c r="G17" s="30">
        <f>COUNTIFS('TJ List'!C:C,A17,'TJ List'!D:D,"A")</f>
        <v>5</v>
      </c>
      <c r="H17" s="30">
        <f>COUNTIFS('TJ List'!C:C,A17,'TJ List'!D:D,"A-")</f>
        <v>0</v>
      </c>
      <c r="I17" s="30">
        <f>COUNTIFS('TJ List'!C:C,A17,'TJ List'!D:D,"Rk")</f>
        <v>9</v>
      </c>
      <c r="J17" s="161">
        <f t="shared" si="2"/>
        <v>45</v>
      </c>
      <c r="K17" s="30">
        <f>COUNTIFS('TJ List'!C:C,A17,'TJ List'!D:D,"Coll")</f>
        <v>33</v>
      </c>
      <c r="L17" s="30">
        <f>COUNTIFS('TJ List'!C:C,A17,'TJ List'!D:D,"HS")</f>
        <v>12</v>
      </c>
      <c r="M17" s="161">
        <f t="shared" si="3"/>
        <v>115</v>
      </c>
      <c r="N17" s="163">
        <v>1.0</v>
      </c>
      <c r="O17" s="75">
        <f>AVERAGEIFS('TJ List'!L:L,'TJ List'!C:C,A17,'TJ List'!D:D,"MLB",'TJ List'!L:L,"&gt;0",'TJ List'!S:S,"&gt;=2010")</f>
        <v>18</v>
      </c>
      <c r="P17" s="30"/>
    </row>
    <row r="18">
      <c r="A18" s="11" t="s">
        <v>37</v>
      </c>
      <c r="B18" s="161">
        <f>COUNTIFS('TJ List'!C:C,A18,'TJ List'!D:D,"MLB")</f>
        <v>26</v>
      </c>
      <c r="C18" s="161">
        <f t="shared" si="1"/>
        <v>40</v>
      </c>
      <c r="D18" s="30">
        <f>COUNTIFS('TJ List'!C:C,A18,'TJ List'!D:D,"AAA")</f>
        <v>7</v>
      </c>
      <c r="E18" s="30">
        <f>COUNTIFS('TJ List'!C:C,A18,'TJ List'!D:D,"AA")</f>
        <v>8</v>
      </c>
      <c r="F18" s="30">
        <f>COUNTIFS('TJ List'!C:C,A18,'TJ List'!D:D,"A+")</f>
        <v>6</v>
      </c>
      <c r="G18" s="30">
        <f>COUNTIFS('TJ List'!C:C,A18,'TJ List'!D:D,"A")</f>
        <v>13</v>
      </c>
      <c r="H18" s="30">
        <f>COUNTIFS('TJ List'!C:C,A18,'TJ List'!D:D,"A-")</f>
        <v>1</v>
      </c>
      <c r="I18" s="30">
        <f>COUNTIFS('TJ List'!C:C,A18,'TJ List'!D:D,"Rk")</f>
        <v>5</v>
      </c>
      <c r="J18" s="161">
        <f t="shared" si="2"/>
        <v>21</v>
      </c>
      <c r="K18" s="30">
        <f>COUNTIFS('TJ List'!C:C,A18,'TJ List'!D:D,"Coll")</f>
        <v>15</v>
      </c>
      <c r="L18" s="30">
        <f>COUNTIFS('TJ List'!C:C,A18,'TJ List'!D:D,"HS")</f>
        <v>6</v>
      </c>
      <c r="M18" s="161">
        <f t="shared" si="3"/>
        <v>87</v>
      </c>
      <c r="N18" s="75"/>
      <c r="O18" s="75">
        <f>AVERAGEIFS('TJ List'!L:L,'TJ List'!C:C,A18,'TJ List'!D:D,"MLB",'TJ List'!L:L,"&gt;0",'TJ List'!S:S,"&gt;=2010")</f>
        <v>17.83333333</v>
      </c>
      <c r="P18" s="30"/>
    </row>
    <row r="19">
      <c r="A19" s="11" t="s">
        <v>55</v>
      </c>
      <c r="B19" s="161">
        <f>COUNTIFS('TJ List'!C:C,A19,'TJ List'!D:D,"MLB")</f>
        <v>19</v>
      </c>
      <c r="C19" s="161">
        <f t="shared" si="1"/>
        <v>57</v>
      </c>
      <c r="D19" s="30">
        <f>COUNTIFS('TJ List'!C:C,A19,'TJ List'!D:D,"AAA")</f>
        <v>6</v>
      </c>
      <c r="E19" s="30">
        <f>COUNTIFS('TJ List'!C:C,A19,'TJ List'!D:D,"AA")</f>
        <v>13</v>
      </c>
      <c r="F19" s="30">
        <f>COUNTIFS('TJ List'!C:C,A19,'TJ List'!D:D,"A+")</f>
        <v>8</v>
      </c>
      <c r="G19" s="30">
        <f>COUNTIFS('TJ List'!C:C,A19,'TJ List'!D:D,"A")</f>
        <v>12</v>
      </c>
      <c r="H19" s="30">
        <f>COUNTIFS('TJ List'!C:C,A19,'TJ List'!D:D,"A-")</f>
        <v>0</v>
      </c>
      <c r="I19" s="30">
        <f>COUNTIFS('TJ List'!C:C,A19,'TJ List'!D:D,"Rk")</f>
        <v>18</v>
      </c>
      <c r="J19" s="161">
        <f t="shared" si="2"/>
        <v>26</v>
      </c>
      <c r="K19" s="30">
        <f>COUNTIFS('TJ List'!C:C,A19,'TJ List'!D:D,"Coll")</f>
        <v>20</v>
      </c>
      <c r="L19" s="30">
        <f>COUNTIFS('TJ List'!C:C,A19,'TJ List'!D:D,"HS")</f>
        <v>6</v>
      </c>
      <c r="M19" s="161">
        <f t="shared" si="3"/>
        <v>102</v>
      </c>
      <c r="N19" s="163">
        <v>1.0</v>
      </c>
      <c r="O19" s="75">
        <f>AVERAGEIFS('TJ List'!L:L,'TJ List'!C:C,A19,'TJ List'!D:D,"MLB",'TJ List'!L:L,"&gt;0",'TJ List'!S:S,"&gt;=2010")</f>
        <v>24.2</v>
      </c>
      <c r="P19" s="30"/>
    </row>
    <row r="20">
      <c r="A20" s="11" t="s">
        <v>103</v>
      </c>
      <c r="B20" s="161">
        <f>COUNTIFS('TJ List'!C:C,A20,'TJ List'!D:D,"MLB")</f>
        <v>17</v>
      </c>
      <c r="C20" s="161">
        <f t="shared" si="1"/>
        <v>44</v>
      </c>
      <c r="D20" s="30">
        <f>COUNTIFS('TJ List'!C:C,A20,'TJ List'!D:D,"AAA")</f>
        <v>5</v>
      </c>
      <c r="E20" s="30">
        <f>COUNTIFS('TJ List'!C:C,A20,'TJ List'!D:D,"AA")</f>
        <v>10</v>
      </c>
      <c r="F20" s="30">
        <f>COUNTIFS('TJ List'!C:C,A20,'TJ List'!D:D,"A+")</f>
        <v>6</v>
      </c>
      <c r="G20" s="30">
        <f>COUNTIFS('TJ List'!C:C,A20,'TJ List'!D:D,"A")</f>
        <v>6</v>
      </c>
      <c r="H20" s="30">
        <f>COUNTIFS('TJ List'!C:C,A20,'TJ List'!D:D,"A-")</f>
        <v>0</v>
      </c>
      <c r="I20" s="30">
        <f>COUNTIFS('TJ List'!C:C,A20,'TJ List'!D:D,"Rk")</f>
        <v>17</v>
      </c>
      <c r="J20" s="161">
        <f t="shared" si="2"/>
        <v>25</v>
      </c>
      <c r="K20" s="30">
        <f>COUNTIFS('TJ List'!C:C,A20,'TJ List'!D:D,"Coll")</f>
        <v>19</v>
      </c>
      <c r="L20" s="30">
        <f>COUNTIFS('TJ List'!C:C,A20,'TJ List'!D:D,"HS")</f>
        <v>6</v>
      </c>
      <c r="M20" s="161">
        <f t="shared" si="3"/>
        <v>86</v>
      </c>
      <c r="N20" s="163">
        <v>1.0</v>
      </c>
      <c r="O20" s="75">
        <f>AVERAGEIFS('TJ List'!L:L,'TJ List'!C:C,A20,'TJ List'!D:D,"MLB",'TJ List'!L:L,"&gt;0",'TJ List'!S:S,"&gt;=2010")</f>
        <v>16.875</v>
      </c>
      <c r="P20" s="30"/>
    </row>
    <row r="21">
      <c r="A21" s="11" t="s">
        <v>49</v>
      </c>
      <c r="B21" s="161">
        <f>COUNTIFS('TJ List'!C:C,A21,'TJ List'!D:D,"MLB")</f>
        <v>32</v>
      </c>
      <c r="C21" s="161">
        <f t="shared" si="1"/>
        <v>66</v>
      </c>
      <c r="D21" s="30">
        <f>COUNTIFS('TJ List'!C:C,A21,'TJ List'!D:D,"AAA")</f>
        <v>13</v>
      </c>
      <c r="E21" s="30">
        <f>COUNTIFS('TJ List'!C:C,A21,'TJ List'!D:D,"AA")</f>
        <v>9</v>
      </c>
      <c r="F21" s="30">
        <f>COUNTIFS('TJ List'!C:C,A21,'TJ List'!D:D,"A+")</f>
        <v>12</v>
      </c>
      <c r="G21" s="30">
        <f>COUNTIFS('TJ List'!C:C,A21,'TJ List'!D:D,"A")</f>
        <v>18</v>
      </c>
      <c r="H21" s="30">
        <f>COUNTIFS('TJ List'!C:C,A21,'TJ List'!D:D,"A-")</f>
        <v>6</v>
      </c>
      <c r="I21" s="30">
        <f>COUNTIFS('TJ List'!C:C,A21,'TJ List'!D:D,"Rk")</f>
        <v>8</v>
      </c>
      <c r="J21" s="161">
        <f t="shared" si="2"/>
        <v>14</v>
      </c>
      <c r="K21" s="30">
        <f>COUNTIFS('TJ List'!C:C,A21,'TJ List'!D:D,"Coll")</f>
        <v>5</v>
      </c>
      <c r="L21" s="30">
        <f>COUNTIFS('TJ List'!C:C,A21,'TJ List'!D:D,"HS")</f>
        <v>9</v>
      </c>
      <c r="M21" s="161">
        <f t="shared" si="3"/>
        <v>112</v>
      </c>
      <c r="N21" s="75"/>
      <c r="O21" s="75">
        <f>AVERAGEIFS('TJ List'!L:L,'TJ List'!C:C,A21,'TJ List'!D:D,"MLB",'TJ List'!L:L,"&gt;0",'TJ List'!S:S,"&gt;=2010")</f>
        <v>16.85714286</v>
      </c>
      <c r="P21" s="164" t="s">
        <v>5942</v>
      </c>
      <c r="Q21" s="70" t="s">
        <v>5943</v>
      </c>
    </row>
    <row r="22">
      <c r="A22" s="11" t="s">
        <v>108</v>
      </c>
      <c r="B22" s="161">
        <f>COUNTIFS('TJ List'!C:C,A22,'TJ List'!D:D,"MLB")</f>
        <v>24</v>
      </c>
      <c r="C22" s="161">
        <f t="shared" si="1"/>
        <v>54</v>
      </c>
      <c r="D22" s="30">
        <f>COUNTIFS('TJ List'!C:C,A22,'TJ List'!D:D,"AAA")</f>
        <v>14</v>
      </c>
      <c r="E22" s="30">
        <f>COUNTIFS('TJ List'!C:C,A22,'TJ List'!D:D,"AA")</f>
        <v>6</v>
      </c>
      <c r="F22" s="30">
        <f>COUNTIFS('TJ List'!C:C,A22,'TJ List'!D:D,"A+")</f>
        <v>8</v>
      </c>
      <c r="G22" s="30">
        <f>COUNTIFS('TJ List'!C:C,A22,'TJ List'!D:D,"A")</f>
        <v>11</v>
      </c>
      <c r="H22" s="30">
        <f>COUNTIFS('TJ List'!C:C,A22,'TJ List'!D:D,"A-")</f>
        <v>7</v>
      </c>
      <c r="I22" s="30">
        <f>COUNTIFS('TJ List'!C:C,A22,'TJ List'!D:D,"Rk")</f>
        <v>8</v>
      </c>
      <c r="J22" s="161">
        <f t="shared" si="2"/>
        <v>29</v>
      </c>
      <c r="K22" s="30">
        <f>COUNTIFS('TJ List'!C:C,A22,'TJ List'!D:D,"Coll")</f>
        <v>19</v>
      </c>
      <c r="L22" s="30">
        <f>COUNTIFS('TJ List'!C:C,A22,'TJ List'!D:D,"HS")</f>
        <v>10</v>
      </c>
      <c r="M22" s="161">
        <f t="shared" si="3"/>
        <v>107</v>
      </c>
      <c r="N22" s="75"/>
      <c r="O22" s="75">
        <f>AVERAGEIFS('TJ List'!L:L,'TJ List'!C:C,A22,'TJ List'!D:D,"MLB",'TJ List'!L:L,"&gt;0",'TJ List'!S:S,"&gt;=2010")</f>
        <v>16.4</v>
      </c>
      <c r="P22" s="30"/>
    </row>
    <row r="23">
      <c r="A23" s="11" t="s">
        <v>274</v>
      </c>
      <c r="B23" s="161">
        <f>COUNTIFS('TJ List'!C:C,A23,'TJ List'!D:D,"MLB")</f>
        <v>27</v>
      </c>
      <c r="C23" s="161">
        <f t="shared" si="1"/>
        <v>31</v>
      </c>
      <c r="D23" s="30">
        <f>COUNTIFS('TJ List'!C:C,A23,'TJ List'!D:D,"AAA")</f>
        <v>3</v>
      </c>
      <c r="E23" s="30">
        <f>COUNTIFS('TJ List'!C:C,A23,'TJ List'!D:D,"AA")</f>
        <v>7</v>
      </c>
      <c r="F23" s="30">
        <f>COUNTIFS('TJ List'!C:C,A23,'TJ List'!D:D,"A+")</f>
        <v>9</v>
      </c>
      <c r="G23" s="30">
        <f>COUNTIFS('TJ List'!C:C,A23,'TJ List'!D:D,"A")</f>
        <v>8</v>
      </c>
      <c r="H23" s="30">
        <f>COUNTIFS('TJ List'!C:C,A23,'TJ List'!D:D,"A-")</f>
        <v>2</v>
      </c>
      <c r="I23" s="30">
        <f>COUNTIFS('TJ List'!C:C,A23,'TJ List'!D:D,"Rk")</f>
        <v>2</v>
      </c>
      <c r="J23" s="161">
        <f t="shared" si="2"/>
        <v>16</v>
      </c>
      <c r="K23" s="30">
        <f>COUNTIFS('TJ List'!C:C,A23,'TJ List'!D:D,"Coll")</f>
        <v>13</v>
      </c>
      <c r="L23" s="30">
        <f>COUNTIFS('TJ List'!C:C,A23,'TJ List'!D:D,"HS")</f>
        <v>3</v>
      </c>
      <c r="M23" s="161">
        <f t="shared" si="3"/>
        <v>74</v>
      </c>
      <c r="N23" s="75"/>
      <c r="O23" s="75">
        <f>AVERAGEIFS('TJ List'!L:L,'TJ List'!C:C,A23,'TJ List'!D:D,"MLB",'TJ List'!L:L,"&gt;0",'TJ List'!S:S,"&gt;=2010")</f>
        <v>22.125</v>
      </c>
      <c r="P23" s="30"/>
    </row>
    <row r="24">
      <c r="A24" s="11" t="s">
        <v>150</v>
      </c>
      <c r="B24" s="161">
        <f>COUNTIFS('TJ List'!C:C,A24,'TJ List'!D:D,"MLB")</f>
        <v>22</v>
      </c>
      <c r="C24" s="161">
        <f t="shared" si="1"/>
        <v>40</v>
      </c>
      <c r="D24" s="30">
        <f>COUNTIFS('TJ List'!C:C,A24,'TJ List'!D:D,"AAA")</f>
        <v>6</v>
      </c>
      <c r="E24" s="30">
        <f>COUNTIFS('TJ List'!C:C,A24,'TJ List'!D:D,"AA")</f>
        <v>9</v>
      </c>
      <c r="F24" s="30">
        <f>COUNTIFS('TJ List'!C:C,A24,'TJ List'!D:D,"A+")</f>
        <v>8</v>
      </c>
      <c r="G24" s="30">
        <f>COUNTIFS('TJ List'!C:C,A24,'TJ List'!D:D,"A")</f>
        <v>9</v>
      </c>
      <c r="H24" s="30">
        <f>COUNTIFS('TJ List'!C:C,A24,'TJ List'!D:D,"A-")</f>
        <v>2</v>
      </c>
      <c r="I24" s="30">
        <f>COUNTIFS('TJ List'!C:C,A24,'TJ List'!D:D,"Rk")</f>
        <v>6</v>
      </c>
      <c r="J24" s="161">
        <f t="shared" si="2"/>
        <v>14</v>
      </c>
      <c r="K24" s="30">
        <f>COUNTIFS('TJ List'!C:C,A24,'TJ List'!D:D,"Coll")</f>
        <v>12</v>
      </c>
      <c r="L24" s="30">
        <f>COUNTIFS('TJ List'!C:C,A24,'TJ List'!D:D,"HS")</f>
        <v>2</v>
      </c>
      <c r="M24" s="161">
        <f t="shared" si="3"/>
        <v>76</v>
      </c>
      <c r="N24" s="75"/>
      <c r="O24" s="75">
        <f>AVERAGEIFS('TJ List'!L:L,'TJ List'!C:C,A24,'TJ List'!D:D,"MLB",'TJ List'!L:L,"&gt;0",'TJ List'!S:S,"&gt;=2010")</f>
        <v>14</v>
      </c>
      <c r="P24" s="30"/>
    </row>
    <row r="25">
      <c r="A25" s="11" t="s">
        <v>362</v>
      </c>
      <c r="B25" s="161">
        <f>COUNTIFS('TJ List'!C:C,A25,'TJ List'!D:D,"MLB")</f>
        <v>22</v>
      </c>
      <c r="C25" s="161">
        <f t="shared" si="1"/>
        <v>39</v>
      </c>
      <c r="D25" s="30">
        <f>COUNTIFS('TJ List'!C:C,A25,'TJ List'!D:D,"AAA")</f>
        <v>12</v>
      </c>
      <c r="E25" s="30">
        <f>COUNTIFS('TJ List'!C:C,A25,'TJ List'!D:D,"AA")</f>
        <v>3</v>
      </c>
      <c r="F25" s="30">
        <f>COUNTIFS('TJ List'!C:C,A25,'TJ List'!D:D,"A+")</f>
        <v>5</v>
      </c>
      <c r="G25" s="30">
        <f>COUNTIFS('TJ List'!C:C,A25,'TJ List'!D:D,"A")</f>
        <v>7</v>
      </c>
      <c r="H25" s="30">
        <f>COUNTIFS('TJ List'!C:C,A25,'TJ List'!D:D,"A-")</f>
        <v>2</v>
      </c>
      <c r="I25" s="30">
        <f>COUNTIFS('TJ List'!C:C,A25,'TJ List'!D:D,"Rk")</f>
        <v>10</v>
      </c>
      <c r="J25" s="161">
        <f t="shared" si="2"/>
        <v>22</v>
      </c>
      <c r="K25" s="30">
        <f>COUNTIFS('TJ List'!C:C,A25,'TJ List'!D:D,"Coll")</f>
        <v>15</v>
      </c>
      <c r="L25" s="30">
        <f>COUNTIFS('TJ List'!C:C,A25,'TJ List'!D:D,"HS")</f>
        <v>7</v>
      </c>
      <c r="M25" s="161">
        <f t="shared" si="3"/>
        <v>83</v>
      </c>
      <c r="N25" s="75"/>
      <c r="O25" s="75">
        <f>AVERAGEIFS('TJ List'!L:L,'TJ List'!C:C,A25,'TJ List'!D:D,"MLB",'TJ List'!L:L,"&gt;0",'TJ List'!S:S,"&gt;=2010")</f>
        <v>23.84615385</v>
      </c>
      <c r="P25" s="30"/>
    </row>
    <row r="26">
      <c r="A26" s="11" t="s">
        <v>175</v>
      </c>
      <c r="B26" s="161">
        <f>COUNTIFS('TJ List'!C:C,A26,'TJ List'!D:D,"MLB")</f>
        <v>37</v>
      </c>
      <c r="C26" s="161">
        <f t="shared" si="1"/>
        <v>45</v>
      </c>
      <c r="D26" s="30">
        <f>COUNTIFS('TJ List'!C:C,A26,'TJ List'!D:D,"AAA")</f>
        <v>6</v>
      </c>
      <c r="E26" s="30">
        <f>COUNTIFS('TJ List'!C:C,A26,'TJ List'!D:D,"AA")</f>
        <v>10</v>
      </c>
      <c r="F26" s="30">
        <f>COUNTIFS('TJ List'!C:C,A26,'TJ List'!D:D,"A+")</f>
        <v>8</v>
      </c>
      <c r="G26" s="30">
        <f>COUNTIFS('TJ List'!C:C,A26,'TJ List'!D:D,"A")</f>
        <v>13</v>
      </c>
      <c r="H26" s="30">
        <f>COUNTIFS('TJ List'!C:C,A26,'TJ List'!D:D,"A-")</f>
        <v>4</v>
      </c>
      <c r="I26" s="30">
        <f>COUNTIFS('TJ List'!C:C,A26,'TJ List'!D:D,"Rk")</f>
        <v>4</v>
      </c>
      <c r="J26" s="161">
        <f t="shared" si="2"/>
        <v>24</v>
      </c>
      <c r="K26" s="30">
        <f>COUNTIFS('TJ List'!C:C,A26,'TJ List'!D:D,"Coll")</f>
        <v>19</v>
      </c>
      <c r="L26" s="30">
        <f>COUNTIFS('TJ List'!C:C,A26,'TJ List'!D:D,"HS")</f>
        <v>5</v>
      </c>
      <c r="M26" s="161">
        <f t="shared" si="3"/>
        <v>106</v>
      </c>
      <c r="N26" s="75"/>
      <c r="O26" s="75">
        <f>AVERAGEIFS('TJ List'!L:L,'TJ List'!C:C,A26,'TJ List'!D:D,"MLB",'TJ List'!L:L,"&gt;0",'TJ List'!S:S,"&gt;=2010")</f>
        <v>23.47368421</v>
      </c>
      <c r="P26" s="30"/>
    </row>
    <row r="27">
      <c r="A27" s="11" t="s">
        <v>230</v>
      </c>
      <c r="B27" s="161">
        <f>COUNTIFS('TJ List'!C:C,A27,'TJ List'!D:D,"MLB")</f>
        <v>24</v>
      </c>
      <c r="C27" s="161">
        <f t="shared" si="1"/>
        <v>29</v>
      </c>
      <c r="D27" s="30">
        <f>COUNTIFS('TJ List'!C:C,A27,'TJ List'!D:D,"AAA")</f>
        <v>3</v>
      </c>
      <c r="E27" s="30">
        <f>COUNTIFS('TJ List'!C:C,A27,'TJ List'!D:D,"AA")</f>
        <v>6</v>
      </c>
      <c r="F27" s="30">
        <f>COUNTIFS('TJ List'!C:C,A27,'TJ List'!D:D,"A+")</f>
        <v>3</v>
      </c>
      <c r="G27" s="30">
        <f>COUNTIFS('TJ List'!C:C,A27,'TJ List'!D:D,"A")</f>
        <v>6</v>
      </c>
      <c r="H27" s="30">
        <f>COUNTIFS('TJ List'!C:C,A27,'TJ List'!D:D,"A-")</f>
        <v>3</v>
      </c>
      <c r="I27" s="30">
        <f>COUNTIFS('TJ List'!C:C,A27,'TJ List'!D:D,"Rk")</f>
        <v>8</v>
      </c>
      <c r="J27" s="161">
        <f t="shared" si="2"/>
        <v>21</v>
      </c>
      <c r="K27" s="30">
        <f>COUNTIFS('TJ List'!C:C,A27,'TJ List'!D:D,"Coll")</f>
        <v>13</v>
      </c>
      <c r="L27" s="30">
        <f>COUNTIFS('TJ List'!C:C,A27,'TJ List'!D:D,"HS")</f>
        <v>8</v>
      </c>
      <c r="M27" s="161">
        <f t="shared" si="3"/>
        <v>74</v>
      </c>
      <c r="N27" s="75"/>
      <c r="O27" s="75">
        <f>AVERAGEIFS('TJ List'!L:L,'TJ List'!C:C,A27,'TJ List'!D:D,"MLB",'TJ List'!L:L,"&gt;0",'TJ List'!S:S,"&gt;=2010")</f>
        <v>18.5</v>
      </c>
      <c r="P27" s="30"/>
    </row>
    <row r="28">
      <c r="A28" s="11" t="s">
        <v>62</v>
      </c>
      <c r="B28" s="161">
        <f>COUNTIFS('TJ List'!C:C,A28,'TJ List'!D:D,"MLB")</f>
        <v>15</v>
      </c>
      <c r="C28" s="161">
        <f t="shared" si="1"/>
        <v>52</v>
      </c>
      <c r="D28" s="30">
        <f>COUNTIFS('TJ List'!C:C,A28,'TJ List'!D:D,"AAA")</f>
        <v>9</v>
      </c>
      <c r="E28" s="30">
        <f>COUNTIFS('TJ List'!C:C,A28,'TJ List'!D:D,"AA")</f>
        <v>8</v>
      </c>
      <c r="F28" s="30">
        <f>COUNTIFS('TJ List'!C:C,A28,'TJ List'!D:D,"A+")</f>
        <v>15</v>
      </c>
      <c r="G28" s="30">
        <f>COUNTIFS('TJ List'!C:C,A28,'TJ List'!D:D,"A")</f>
        <v>6</v>
      </c>
      <c r="H28" s="30">
        <f>COUNTIFS('TJ List'!C:C,A28,'TJ List'!D:D,"A-")</f>
        <v>4</v>
      </c>
      <c r="I28" s="30">
        <f>COUNTIFS('TJ List'!C:C,A28,'TJ List'!D:D,"Rk")</f>
        <v>10</v>
      </c>
      <c r="J28" s="161">
        <f t="shared" si="2"/>
        <v>20</v>
      </c>
      <c r="K28" s="30">
        <f>COUNTIFS('TJ List'!C:C,A28,'TJ List'!D:D,"Coll")</f>
        <v>17</v>
      </c>
      <c r="L28" s="30">
        <f>COUNTIFS('TJ List'!C:C,A28,'TJ List'!D:D,"HS")</f>
        <v>3</v>
      </c>
      <c r="M28" s="161">
        <f t="shared" si="3"/>
        <v>87</v>
      </c>
      <c r="N28" s="75"/>
      <c r="O28" s="75">
        <f>AVERAGEIFS('TJ List'!L:L,'TJ List'!C:C,A28,'TJ List'!D:D,"MLB",'TJ List'!L:L,"&gt;0",'TJ List'!S:S,"&gt;=2010")</f>
        <v>13.71428571</v>
      </c>
      <c r="P28" s="30"/>
    </row>
    <row r="29">
      <c r="A29" s="11" t="s">
        <v>83</v>
      </c>
      <c r="B29" s="161">
        <f>COUNTIFS('TJ List'!C:C,A29,'TJ List'!D:D,"MLB")</f>
        <v>28</v>
      </c>
      <c r="C29" s="161">
        <f t="shared" si="1"/>
        <v>33</v>
      </c>
      <c r="D29" s="30">
        <f>COUNTIFS('TJ List'!C:C,A29,'TJ List'!D:D,"AAA")</f>
        <v>9</v>
      </c>
      <c r="E29" s="30">
        <f>COUNTIFS('TJ List'!C:C,A29,'TJ List'!D:D,"AA")</f>
        <v>11</v>
      </c>
      <c r="F29" s="30">
        <f>COUNTIFS('TJ List'!C:C,A29,'TJ List'!D:D,"A+")</f>
        <v>5</v>
      </c>
      <c r="G29" s="30">
        <f>COUNTIFS('TJ List'!C:C,A29,'TJ List'!D:D,"A")</f>
        <v>3</v>
      </c>
      <c r="H29" s="30">
        <f>COUNTIFS('TJ List'!C:C,A29,'TJ List'!D:D,"A-")</f>
        <v>0</v>
      </c>
      <c r="I29" s="30">
        <f>COUNTIFS('TJ List'!C:C,A29,'TJ List'!D:D,"Rk")</f>
        <v>5</v>
      </c>
      <c r="J29" s="161">
        <f t="shared" si="2"/>
        <v>19</v>
      </c>
      <c r="K29" s="30">
        <f>COUNTIFS('TJ List'!C:C,A29,'TJ List'!D:D,"Coll")</f>
        <v>17</v>
      </c>
      <c r="L29" s="30">
        <f>COUNTIFS('TJ List'!C:C,A29,'TJ List'!D:D,"HS")</f>
        <v>2</v>
      </c>
      <c r="M29" s="161">
        <f t="shared" si="3"/>
        <v>80</v>
      </c>
      <c r="N29" s="75"/>
      <c r="O29" s="75">
        <f>AVERAGEIFS('TJ List'!L:L,'TJ List'!C:C,A29,'TJ List'!D:D,"MLB",'TJ List'!L:L,"&gt;0",'TJ List'!S:S,"&gt;=2010")</f>
        <v>14.5</v>
      </c>
      <c r="P29" s="30"/>
    </row>
    <row r="30">
      <c r="A30" s="11" t="s">
        <v>156</v>
      </c>
      <c r="B30" s="161">
        <f>COUNTIFS('TJ List'!C:C,A30,'TJ List'!D:D,"MLB")</f>
        <v>18</v>
      </c>
      <c r="C30" s="161">
        <f t="shared" si="1"/>
        <v>38</v>
      </c>
      <c r="D30" s="30">
        <f>COUNTIFS('TJ List'!C:C,A30,'TJ List'!D:D,"AAA")</f>
        <v>8</v>
      </c>
      <c r="E30" s="30">
        <f>COUNTIFS('TJ List'!C:C,A30,'TJ List'!D:D,"AA")</f>
        <v>8</v>
      </c>
      <c r="F30" s="30">
        <f>COUNTIFS('TJ List'!C:C,A30,'TJ List'!D:D,"A+")</f>
        <v>6</v>
      </c>
      <c r="G30" s="30">
        <f>COUNTIFS('TJ List'!C:C,A30,'TJ List'!D:D,"A")</f>
        <v>7</v>
      </c>
      <c r="H30" s="30">
        <f>COUNTIFS('TJ List'!C:C,A30,'TJ List'!D:D,"A-")</f>
        <v>5</v>
      </c>
      <c r="I30" s="30">
        <f>COUNTIFS('TJ List'!C:C,A30,'TJ List'!D:D,"Rk")</f>
        <v>4</v>
      </c>
      <c r="J30" s="161">
        <f t="shared" si="2"/>
        <v>17</v>
      </c>
      <c r="K30" s="30">
        <f>COUNTIFS('TJ List'!C:C,A30,'TJ List'!D:D,"Coll")</f>
        <v>12</v>
      </c>
      <c r="L30" s="30">
        <f>COUNTIFS('TJ List'!C:C,A30,'TJ List'!D:D,"HS")</f>
        <v>5</v>
      </c>
      <c r="M30" s="161">
        <f t="shared" si="3"/>
        <v>73</v>
      </c>
      <c r="N30" s="75"/>
      <c r="O30" s="75">
        <f>AVERAGEIFS('TJ List'!L:L,'TJ List'!C:C,A30,'TJ List'!D:D,"MLB",'TJ List'!L:L,"&gt;0",'TJ List'!S:S,"&gt;=2010")</f>
        <v>17.55555556</v>
      </c>
      <c r="P30" s="30"/>
    </row>
    <row r="31">
      <c r="A31" s="11" t="s">
        <v>186</v>
      </c>
      <c r="B31" s="161">
        <f>COUNTIFS('TJ List'!C:C,A31,'TJ List'!D:D,"MLB")</f>
        <v>20</v>
      </c>
      <c r="C31" s="161">
        <f t="shared" si="1"/>
        <v>64</v>
      </c>
      <c r="D31" s="30">
        <f>COUNTIFS('TJ List'!C:C,A31,'TJ List'!D:D,"AAA")</f>
        <v>7</v>
      </c>
      <c r="E31" s="30">
        <f>COUNTIFS('TJ List'!C:C,A31,'TJ List'!D:D,"AA")</f>
        <v>14</v>
      </c>
      <c r="F31" s="30">
        <f>COUNTIFS('TJ List'!C:C,A31,'TJ List'!D:D,"A+")</f>
        <v>14</v>
      </c>
      <c r="G31" s="30">
        <f>COUNTIFS('TJ List'!C:C,A31,'TJ List'!D:D,"A")</f>
        <v>11</v>
      </c>
      <c r="H31" s="30">
        <f>COUNTIFS('TJ List'!C:C,A31,'TJ List'!D:D,"A-")</f>
        <v>8</v>
      </c>
      <c r="I31" s="30">
        <f>COUNTIFS('TJ List'!C:C,A31,'TJ List'!D:D,"Rk")</f>
        <v>10</v>
      </c>
      <c r="J31" s="161">
        <f t="shared" si="2"/>
        <v>31</v>
      </c>
      <c r="K31" s="30">
        <f>COUNTIFS('TJ List'!C:C,A31,'TJ List'!D:D,"Coll")</f>
        <v>16</v>
      </c>
      <c r="L31" s="30">
        <f>COUNTIFS('TJ List'!C:C,A31,'TJ List'!D:D,"HS")</f>
        <v>15</v>
      </c>
      <c r="M31" s="161">
        <f t="shared" si="3"/>
        <v>115</v>
      </c>
      <c r="N31" s="75"/>
      <c r="O31" s="75">
        <f>AVERAGEIFS('TJ List'!L:L,'TJ List'!C:C,A31,'TJ List'!D:D,"MLB",'TJ List'!L:L,"&gt;0",'TJ List'!S:S,"&gt;=2010")</f>
        <v>15.71428571</v>
      </c>
      <c r="P31" s="30"/>
    </row>
    <row r="32">
      <c r="A32" s="11" t="s">
        <v>235</v>
      </c>
      <c r="B32" s="161">
        <f>COUNTIFS('TJ List'!C:C,A32,'TJ List'!D:D,"MLB")</f>
        <v>17</v>
      </c>
      <c r="C32" s="161">
        <f t="shared" si="1"/>
        <v>49</v>
      </c>
      <c r="D32" s="30">
        <f>COUNTIFS('TJ List'!C:C,A32,'TJ List'!D:D,"AAA")</f>
        <v>8</v>
      </c>
      <c r="E32" s="30">
        <f>COUNTIFS('TJ List'!C:C,A32,'TJ List'!D:D,"AA")</f>
        <v>10</v>
      </c>
      <c r="F32" s="30">
        <f>COUNTIFS('TJ List'!C:C,A32,'TJ List'!D:D,"A+")</f>
        <v>9</v>
      </c>
      <c r="G32" s="30">
        <f>COUNTIFS('TJ List'!C:C,A32,'TJ List'!D:D,"A")</f>
        <v>13</v>
      </c>
      <c r="H32" s="30">
        <f>COUNTIFS('TJ List'!C:C,A32,'TJ List'!D:D,"A-")</f>
        <v>3</v>
      </c>
      <c r="I32" s="30">
        <f>COUNTIFS('TJ List'!C:C,A32,'TJ List'!D:D,"Rk")</f>
        <v>6</v>
      </c>
      <c r="J32" s="161">
        <f t="shared" si="2"/>
        <v>18</v>
      </c>
      <c r="K32" s="30">
        <f>COUNTIFS('TJ List'!C:C,A32,'TJ List'!D:D,"Coll")</f>
        <v>14</v>
      </c>
      <c r="L32" s="30">
        <f>COUNTIFS('TJ List'!C:C,A32,'TJ List'!D:D,"HS")</f>
        <v>4</v>
      </c>
      <c r="M32" s="161">
        <f t="shared" si="3"/>
        <v>84</v>
      </c>
      <c r="N32" s="75"/>
      <c r="O32" s="75">
        <f>AVERAGEIFS('TJ List'!L:L,'TJ List'!C:C,A32,'TJ List'!D:D,"MLB",'TJ List'!L:L,"&gt;0",'TJ List'!S:S,"&gt;=2010")</f>
        <v>19.5</v>
      </c>
      <c r="P32" s="164" t="s">
        <v>5944</v>
      </c>
      <c r="Q32" s="70" t="s">
        <v>5945</v>
      </c>
    </row>
    <row r="33">
      <c r="A33" s="11" t="s">
        <v>76</v>
      </c>
      <c r="B33" s="161">
        <f>COUNTIFS('TJ List'!C:C,A33,'TJ List'!D:D,"MLB")</f>
        <v>28</v>
      </c>
      <c r="C33" s="161">
        <f t="shared" si="1"/>
        <v>38</v>
      </c>
      <c r="D33" s="30">
        <f>COUNTIFS('TJ List'!C:C,A33,'TJ List'!D:D,"AAA")</f>
        <v>5</v>
      </c>
      <c r="E33" s="30">
        <f>COUNTIFS('TJ List'!C:C,A33,'TJ List'!D:D,"AA")</f>
        <v>10</v>
      </c>
      <c r="F33" s="30">
        <f>COUNTIFS('TJ List'!C:C,A33,'TJ List'!D:D,"A+")</f>
        <v>7</v>
      </c>
      <c r="G33" s="30">
        <f>COUNTIFS('TJ List'!C:C,A33,'TJ List'!D:D,"A")</f>
        <v>7</v>
      </c>
      <c r="H33" s="30">
        <f>COUNTIFS('TJ List'!C:C,A33,'TJ List'!D:D,"A-")</f>
        <v>4</v>
      </c>
      <c r="I33" s="30">
        <f>COUNTIFS('TJ List'!C:C,A33,'TJ List'!D:D,"Rk")</f>
        <v>5</v>
      </c>
      <c r="J33" s="161">
        <f t="shared" si="2"/>
        <v>24</v>
      </c>
      <c r="K33" s="30">
        <f>COUNTIFS('TJ List'!C:C,A33,'TJ List'!D:D,"Coll")</f>
        <v>12</v>
      </c>
      <c r="L33" s="30">
        <f>COUNTIFS('TJ List'!C:C,A33,'TJ List'!D:D,"HS")</f>
        <v>12</v>
      </c>
      <c r="M33" s="161">
        <f t="shared" si="3"/>
        <v>90</v>
      </c>
      <c r="N33" s="75"/>
      <c r="O33" s="75">
        <f>AVERAGEIFS('TJ List'!L:L,'TJ List'!C:C,A33,'TJ List'!D:D,"MLB",'TJ List'!L:L,"&gt;0",'TJ List'!S:S,"&gt;=2010")</f>
        <v>20.75</v>
      </c>
      <c r="P33" s="30"/>
    </row>
    <row r="34">
      <c r="A34" s="81" t="s">
        <v>5946</v>
      </c>
      <c r="B34" s="91">
        <f t="shared" ref="B34:M34" si="4">SUM(B4:B33)</f>
        <v>679</v>
      </c>
      <c r="C34" s="91">
        <f t="shared" si="4"/>
        <v>1294</v>
      </c>
      <c r="D34" s="91">
        <f t="shared" si="4"/>
        <v>253</v>
      </c>
      <c r="E34" s="91">
        <f t="shared" si="4"/>
        <v>263</v>
      </c>
      <c r="F34" s="91">
        <f t="shared" si="4"/>
        <v>222</v>
      </c>
      <c r="G34" s="91">
        <f t="shared" si="4"/>
        <v>252</v>
      </c>
      <c r="H34" s="91">
        <f t="shared" si="4"/>
        <v>71</v>
      </c>
      <c r="I34" s="91">
        <f t="shared" si="4"/>
        <v>233</v>
      </c>
      <c r="J34" s="91">
        <f t="shared" si="4"/>
        <v>692</v>
      </c>
      <c r="K34" s="91">
        <f t="shared" si="4"/>
        <v>475</v>
      </c>
      <c r="L34" s="91">
        <f t="shared" si="4"/>
        <v>217</v>
      </c>
      <c r="M34" s="91">
        <f t="shared" si="4"/>
        <v>2665</v>
      </c>
      <c r="N34" s="165"/>
      <c r="O34" s="165"/>
      <c r="P34" s="91"/>
    </row>
    <row r="35">
      <c r="B35" s="161"/>
      <c r="C35" s="30"/>
      <c r="D35" s="30"/>
      <c r="E35" s="30"/>
      <c r="F35" s="30"/>
      <c r="G35" s="30"/>
      <c r="H35" s="30"/>
      <c r="I35" s="30"/>
      <c r="J35" s="30"/>
      <c r="K35" s="30"/>
      <c r="L35" s="30"/>
      <c r="M35" s="30"/>
      <c r="N35" s="75"/>
      <c r="O35" s="75"/>
      <c r="P35" s="30"/>
    </row>
    <row r="36">
      <c r="B36" s="161"/>
      <c r="C36" s="30"/>
      <c r="D36" s="30"/>
      <c r="E36" s="30"/>
      <c r="F36" s="30"/>
      <c r="G36" s="30"/>
      <c r="H36" s="30"/>
      <c r="I36" s="30"/>
      <c r="J36" s="30"/>
      <c r="K36" s="30"/>
      <c r="L36" s="30"/>
      <c r="M36" s="30"/>
      <c r="N36" s="75"/>
      <c r="O36" s="75"/>
      <c r="P36" s="30"/>
    </row>
    <row r="37">
      <c r="B37" s="161"/>
      <c r="C37" s="30"/>
      <c r="D37" s="30"/>
      <c r="E37" s="30"/>
      <c r="F37" s="30"/>
      <c r="G37" s="30"/>
      <c r="H37" s="30"/>
      <c r="I37" s="30"/>
      <c r="J37" s="30"/>
      <c r="K37" s="30"/>
      <c r="L37" s="30"/>
      <c r="M37" s="30"/>
      <c r="N37" s="75"/>
      <c r="O37" s="75"/>
      <c r="P37" s="30"/>
    </row>
    <row r="38">
      <c r="B38" s="161"/>
      <c r="C38" s="30"/>
      <c r="D38" s="30"/>
      <c r="E38" s="30"/>
      <c r="F38" s="30"/>
      <c r="G38" s="30"/>
      <c r="H38" s="30"/>
      <c r="I38" s="30"/>
      <c r="J38" s="30"/>
      <c r="K38" s="30"/>
      <c r="L38" s="30"/>
      <c r="M38" s="30"/>
      <c r="N38" s="75"/>
      <c r="O38" s="75"/>
      <c r="P38" s="30"/>
    </row>
    <row r="39">
      <c r="B39" s="161"/>
      <c r="C39" s="30"/>
      <c r="D39" s="30"/>
      <c r="E39" s="30"/>
      <c r="F39" s="30"/>
      <c r="G39" s="30"/>
      <c r="H39" s="30"/>
      <c r="I39" s="30"/>
      <c r="J39" s="30"/>
      <c r="K39" s="30"/>
      <c r="L39" s="30"/>
      <c r="M39" s="30"/>
      <c r="N39" s="75"/>
      <c r="O39" s="75"/>
      <c r="P39" s="30"/>
    </row>
    <row r="40">
      <c r="B40" s="161"/>
      <c r="C40" s="30"/>
      <c r="D40" s="30"/>
      <c r="E40" s="30"/>
      <c r="F40" s="30"/>
      <c r="G40" s="30"/>
      <c r="H40" s="30"/>
      <c r="I40" s="30"/>
      <c r="J40" s="30"/>
      <c r="K40" s="30"/>
      <c r="L40" s="30"/>
      <c r="M40" s="30"/>
      <c r="N40" s="75"/>
      <c r="O40" s="75"/>
      <c r="P40" s="30"/>
    </row>
    <row r="41">
      <c r="B41" s="161"/>
      <c r="C41" s="30"/>
      <c r="D41" s="30"/>
      <c r="E41" s="30"/>
      <c r="F41" s="30"/>
      <c r="G41" s="30"/>
      <c r="H41" s="30"/>
      <c r="I41" s="30"/>
      <c r="J41" s="30"/>
      <c r="K41" s="30"/>
      <c r="L41" s="30"/>
      <c r="M41" s="30"/>
      <c r="N41" s="75"/>
      <c r="O41" s="75"/>
      <c r="P41" s="30"/>
    </row>
    <row r="42">
      <c r="B42" s="161"/>
      <c r="C42" s="30"/>
      <c r="D42" s="30"/>
      <c r="E42" s="30"/>
      <c r="F42" s="30"/>
      <c r="G42" s="30"/>
      <c r="H42" s="30"/>
      <c r="I42" s="30"/>
      <c r="J42" s="30"/>
      <c r="K42" s="30"/>
      <c r="L42" s="30"/>
      <c r="M42" s="30"/>
      <c r="N42" s="75"/>
      <c r="O42" s="75"/>
      <c r="P42" s="30"/>
    </row>
    <row r="43">
      <c r="B43" s="161"/>
      <c r="C43" s="30"/>
      <c r="D43" s="30"/>
      <c r="E43" s="30"/>
      <c r="F43" s="30"/>
      <c r="G43" s="30"/>
      <c r="H43" s="30"/>
      <c r="I43" s="30"/>
      <c r="J43" s="30"/>
      <c r="K43" s="30"/>
      <c r="L43" s="30"/>
      <c r="M43" s="30"/>
      <c r="N43" s="75"/>
      <c r="O43" s="75"/>
      <c r="P43" s="30"/>
    </row>
    <row r="44">
      <c r="B44" s="161"/>
      <c r="C44" s="30"/>
      <c r="D44" s="30"/>
      <c r="E44" s="30"/>
      <c r="F44" s="30"/>
      <c r="G44" s="30"/>
      <c r="H44" s="30"/>
      <c r="I44" s="30"/>
      <c r="J44" s="30"/>
      <c r="K44" s="30"/>
      <c r="L44" s="30"/>
      <c r="M44" s="30"/>
      <c r="N44" s="75"/>
      <c r="O44" s="75"/>
      <c r="P44" s="30"/>
    </row>
    <row r="45">
      <c r="B45" s="161"/>
      <c r="C45" s="30"/>
      <c r="D45" s="30"/>
      <c r="E45" s="30"/>
      <c r="F45" s="30"/>
      <c r="G45" s="30"/>
      <c r="H45" s="30"/>
      <c r="I45" s="30"/>
      <c r="J45" s="30"/>
      <c r="K45" s="30"/>
      <c r="L45" s="30"/>
      <c r="M45" s="30"/>
      <c r="N45" s="75"/>
      <c r="O45" s="75"/>
      <c r="P45" s="30"/>
    </row>
    <row r="46">
      <c r="B46" s="161"/>
      <c r="C46" s="30"/>
      <c r="D46" s="30"/>
      <c r="E46" s="30"/>
      <c r="F46" s="30"/>
      <c r="G46" s="30"/>
      <c r="H46" s="30"/>
      <c r="I46" s="30"/>
      <c r="J46" s="30"/>
      <c r="K46" s="30"/>
      <c r="L46" s="30"/>
      <c r="M46" s="30"/>
      <c r="N46" s="75"/>
      <c r="O46" s="75"/>
      <c r="P46" s="30"/>
    </row>
    <row r="47">
      <c r="B47" s="161"/>
      <c r="C47" s="30"/>
      <c r="D47" s="30"/>
      <c r="E47" s="30"/>
      <c r="F47" s="30"/>
      <c r="G47" s="30"/>
      <c r="H47" s="30"/>
      <c r="I47" s="30"/>
      <c r="J47" s="30"/>
      <c r="K47" s="30"/>
      <c r="L47" s="30"/>
      <c r="M47" s="30"/>
      <c r="N47" s="75"/>
      <c r="O47" s="75"/>
      <c r="P47" s="30"/>
    </row>
    <row r="48">
      <c r="B48" s="161"/>
      <c r="C48" s="30"/>
      <c r="D48" s="30"/>
      <c r="E48" s="30"/>
      <c r="F48" s="30"/>
      <c r="G48" s="30"/>
      <c r="H48" s="30"/>
      <c r="I48" s="30"/>
      <c r="J48" s="30"/>
      <c r="K48" s="30"/>
      <c r="L48" s="30"/>
      <c r="M48" s="30"/>
      <c r="N48" s="75"/>
      <c r="O48" s="75"/>
      <c r="P48" s="30"/>
    </row>
    <row r="49">
      <c r="B49" s="161"/>
      <c r="C49" s="30"/>
      <c r="D49" s="30"/>
      <c r="E49" s="30"/>
      <c r="F49" s="30"/>
      <c r="G49" s="30"/>
      <c r="H49" s="30"/>
      <c r="I49" s="30"/>
      <c r="J49" s="30"/>
      <c r="K49" s="30"/>
      <c r="L49" s="30"/>
      <c r="M49" s="30"/>
      <c r="N49" s="75"/>
      <c r="O49" s="75"/>
      <c r="P49" s="30"/>
    </row>
    <row r="50">
      <c r="B50" s="161"/>
      <c r="C50" s="30"/>
      <c r="D50" s="30"/>
      <c r="E50" s="30"/>
      <c r="F50" s="30"/>
      <c r="G50" s="30"/>
      <c r="H50" s="30"/>
      <c r="I50" s="30"/>
      <c r="J50" s="30"/>
      <c r="K50" s="30"/>
      <c r="L50" s="30"/>
      <c r="M50" s="30"/>
      <c r="N50" s="75"/>
      <c r="O50" s="75"/>
      <c r="P50" s="30"/>
    </row>
    <row r="51">
      <c r="B51" s="161"/>
      <c r="C51" s="30"/>
      <c r="D51" s="30"/>
      <c r="E51" s="30"/>
      <c r="F51" s="30"/>
      <c r="G51" s="30"/>
      <c r="H51" s="30"/>
      <c r="I51" s="30"/>
      <c r="J51" s="30"/>
      <c r="K51" s="30"/>
      <c r="L51" s="30"/>
      <c r="M51" s="30"/>
      <c r="N51" s="75"/>
      <c r="O51" s="75"/>
      <c r="P51" s="30"/>
    </row>
    <row r="52">
      <c r="B52" s="161"/>
      <c r="C52" s="30"/>
      <c r="D52" s="30"/>
      <c r="E52" s="30"/>
      <c r="F52" s="30"/>
      <c r="G52" s="30"/>
      <c r="H52" s="30"/>
      <c r="I52" s="30"/>
      <c r="J52" s="30"/>
      <c r="K52" s="30"/>
      <c r="L52" s="30"/>
      <c r="M52" s="30"/>
      <c r="N52" s="75"/>
      <c r="O52" s="75"/>
      <c r="P52" s="30"/>
    </row>
    <row r="53">
      <c r="B53" s="161"/>
      <c r="C53" s="30"/>
      <c r="D53" s="30"/>
      <c r="E53" s="30"/>
      <c r="F53" s="30"/>
      <c r="G53" s="30"/>
      <c r="H53" s="30"/>
      <c r="I53" s="30"/>
      <c r="J53" s="30"/>
      <c r="K53" s="30"/>
      <c r="L53" s="30"/>
      <c r="M53" s="30"/>
      <c r="N53" s="75"/>
      <c r="O53" s="75"/>
      <c r="P53" s="30"/>
    </row>
    <row r="54">
      <c r="B54" s="161"/>
      <c r="C54" s="30"/>
      <c r="D54" s="30"/>
      <c r="E54" s="30"/>
      <c r="F54" s="30"/>
      <c r="G54" s="30"/>
      <c r="H54" s="30"/>
      <c r="I54" s="30"/>
      <c r="J54" s="30"/>
      <c r="K54" s="30"/>
      <c r="L54" s="30"/>
      <c r="M54" s="30"/>
      <c r="N54" s="75"/>
      <c r="O54" s="75"/>
      <c r="P54" s="30"/>
    </row>
    <row r="55">
      <c r="B55" s="161"/>
      <c r="C55" s="30"/>
      <c r="D55" s="30"/>
      <c r="E55" s="30"/>
      <c r="F55" s="30"/>
      <c r="G55" s="30"/>
      <c r="H55" s="30"/>
      <c r="I55" s="30"/>
      <c r="J55" s="30"/>
      <c r="K55" s="30"/>
      <c r="L55" s="30"/>
      <c r="M55" s="30"/>
      <c r="N55" s="75"/>
      <c r="O55" s="75"/>
      <c r="P55" s="30"/>
    </row>
    <row r="56">
      <c r="B56" s="161"/>
      <c r="C56" s="30"/>
      <c r="D56" s="30"/>
      <c r="E56" s="30"/>
      <c r="F56" s="30"/>
      <c r="G56" s="30"/>
      <c r="H56" s="30"/>
      <c r="I56" s="30"/>
      <c r="J56" s="30"/>
      <c r="K56" s="30"/>
      <c r="L56" s="30"/>
      <c r="M56" s="30"/>
      <c r="N56" s="75"/>
      <c r="O56" s="75"/>
      <c r="P56" s="30"/>
    </row>
    <row r="57">
      <c r="B57" s="161"/>
      <c r="C57" s="30"/>
      <c r="D57" s="30"/>
      <c r="E57" s="30"/>
      <c r="F57" s="30"/>
      <c r="G57" s="30"/>
      <c r="H57" s="30"/>
      <c r="I57" s="30"/>
      <c r="J57" s="30"/>
      <c r="K57" s="30"/>
      <c r="L57" s="30"/>
      <c r="M57" s="30"/>
      <c r="N57" s="75"/>
      <c r="O57" s="75"/>
      <c r="P57" s="30"/>
    </row>
    <row r="58">
      <c r="B58" s="161"/>
      <c r="C58" s="30"/>
      <c r="D58" s="30"/>
      <c r="E58" s="30"/>
      <c r="F58" s="30"/>
      <c r="G58" s="30"/>
      <c r="H58" s="30"/>
      <c r="I58" s="30"/>
      <c r="J58" s="30"/>
      <c r="K58" s="30"/>
      <c r="L58" s="30"/>
      <c r="M58" s="30"/>
      <c r="N58" s="75"/>
      <c r="O58" s="75"/>
      <c r="P58" s="30"/>
    </row>
    <row r="59">
      <c r="B59" s="161"/>
      <c r="C59" s="30"/>
      <c r="D59" s="30"/>
      <c r="E59" s="30"/>
      <c r="F59" s="30"/>
      <c r="G59" s="30"/>
      <c r="H59" s="30"/>
      <c r="I59" s="30"/>
      <c r="J59" s="30"/>
      <c r="K59" s="30"/>
      <c r="L59" s="30"/>
      <c r="M59" s="30"/>
      <c r="N59" s="75"/>
      <c r="O59" s="75"/>
      <c r="P59" s="30"/>
    </row>
    <row r="60">
      <c r="B60" s="161"/>
      <c r="C60" s="30"/>
      <c r="D60" s="30"/>
      <c r="E60" s="30"/>
      <c r="F60" s="30"/>
      <c r="G60" s="30"/>
      <c r="H60" s="30"/>
      <c r="I60" s="30"/>
      <c r="J60" s="30"/>
      <c r="K60" s="30"/>
      <c r="L60" s="30"/>
      <c r="M60" s="30"/>
      <c r="N60" s="75"/>
      <c r="O60" s="75"/>
      <c r="P60" s="30"/>
    </row>
    <row r="61">
      <c r="B61" s="161"/>
      <c r="C61" s="30"/>
      <c r="D61" s="30"/>
      <c r="E61" s="30"/>
      <c r="F61" s="30"/>
      <c r="G61" s="30"/>
      <c r="H61" s="30"/>
      <c r="I61" s="30"/>
      <c r="J61" s="30"/>
      <c r="K61" s="30"/>
      <c r="L61" s="30"/>
      <c r="M61" s="30"/>
      <c r="N61" s="75"/>
      <c r="O61" s="75"/>
      <c r="P61" s="30"/>
    </row>
    <row r="62">
      <c r="B62" s="161"/>
      <c r="C62" s="30"/>
      <c r="D62" s="30"/>
      <c r="E62" s="30"/>
      <c r="F62" s="30"/>
      <c r="G62" s="30"/>
      <c r="H62" s="30"/>
      <c r="I62" s="30"/>
      <c r="J62" s="30"/>
      <c r="K62" s="30"/>
      <c r="L62" s="30"/>
      <c r="M62" s="30"/>
      <c r="N62" s="75"/>
      <c r="O62" s="75"/>
      <c r="P62" s="30"/>
    </row>
    <row r="63">
      <c r="B63" s="161"/>
      <c r="C63" s="30"/>
      <c r="D63" s="30"/>
      <c r="E63" s="30"/>
      <c r="F63" s="30"/>
      <c r="G63" s="30"/>
      <c r="H63" s="30"/>
      <c r="I63" s="30"/>
      <c r="J63" s="30"/>
      <c r="K63" s="30"/>
      <c r="L63" s="30"/>
      <c r="M63" s="30"/>
      <c r="N63" s="75"/>
      <c r="O63" s="75"/>
      <c r="P63" s="30"/>
    </row>
    <row r="64">
      <c r="B64" s="161"/>
      <c r="C64" s="30"/>
      <c r="D64" s="30"/>
      <c r="E64" s="30"/>
      <c r="F64" s="30"/>
      <c r="G64" s="30"/>
      <c r="H64" s="30"/>
      <c r="I64" s="30"/>
      <c r="J64" s="30"/>
      <c r="K64" s="30"/>
      <c r="L64" s="30"/>
      <c r="M64" s="30"/>
      <c r="N64" s="75"/>
      <c r="O64" s="75"/>
      <c r="P64" s="30"/>
    </row>
    <row r="65">
      <c r="B65" s="161"/>
      <c r="C65" s="30"/>
      <c r="D65" s="30"/>
      <c r="E65" s="30"/>
      <c r="F65" s="30"/>
      <c r="G65" s="30"/>
      <c r="H65" s="30"/>
      <c r="I65" s="30"/>
      <c r="J65" s="30"/>
      <c r="K65" s="30"/>
      <c r="L65" s="30"/>
      <c r="M65" s="30"/>
      <c r="N65" s="75"/>
      <c r="O65" s="75"/>
      <c r="P65" s="30"/>
    </row>
    <row r="66">
      <c r="B66" s="161"/>
      <c r="C66" s="30"/>
      <c r="D66" s="30"/>
      <c r="E66" s="30"/>
      <c r="F66" s="30"/>
      <c r="G66" s="30"/>
      <c r="H66" s="30"/>
      <c r="I66" s="30"/>
      <c r="J66" s="30"/>
      <c r="K66" s="30"/>
      <c r="L66" s="30"/>
      <c r="M66" s="30"/>
      <c r="N66" s="75"/>
      <c r="O66" s="75"/>
      <c r="P66" s="30"/>
    </row>
    <row r="67">
      <c r="B67" s="161"/>
      <c r="C67" s="30"/>
      <c r="D67" s="30"/>
      <c r="E67" s="30"/>
      <c r="F67" s="30"/>
      <c r="G67" s="30"/>
      <c r="H67" s="30"/>
      <c r="I67" s="30"/>
      <c r="J67" s="30"/>
      <c r="K67" s="30"/>
      <c r="L67" s="30"/>
      <c r="M67" s="30"/>
      <c r="N67" s="75"/>
      <c r="O67" s="75"/>
      <c r="P67" s="30"/>
    </row>
    <row r="68">
      <c r="B68" s="161"/>
      <c r="C68" s="30"/>
      <c r="D68" s="30"/>
      <c r="E68" s="30"/>
      <c r="F68" s="30"/>
      <c r="G68" s="30"/>
      <c r="H68" s="30"/>
      <c r="I68" s="30"/>
      <c r="J68" s="30"/>
      <c r="K68" s="30"/>
      <c r="L68" s="30"/>
      <c r="M68" s="30"/>
      <c r="N68" s="75"/>
      <c r="O68" s="75"/>
      <c r="P68" s="30"/>
    </row>
    <row r="69">
      <c r="B69" s="161"/>
      <c r="C69" s="30"/>
      <c r="D69" s="30"/>
      <c r="E69" s="30"/>
      <c r="F69" s="30"/>
      <c r="G69" s="30"/>
      <c r="H69" s="30"/>
      <c r="I69" s="30"/>
      <c r="J69" s="30"/>
      <c r="K69" s="30"/>
      <c r="L69" s="30"/>
      <c r="M69" s="30"/>
      <c r="N69" s="75"/>
      <c r="O69" s="75"/>
      <c r="P69" s="30"/>
    </row>
    <row r="70">
      <c r="B70" s="161"/>
      <c r="C70" s="30"/>
      <c r="D70" s="30"/>
      <c r="E70" s="30"/>
      <c r="F70" s="30"/>
      <c r="G70" s="30"/>
      <c r="H70" s="30"/>
      <c r="I70" s="30"/>
      <c r="J70" s="30"/>
      <c r="K70" s="30"/>
      <c r="L70" s="30"/>
      <c r="M70" s="30"/>
      <c r="N70" s="75"/>
      <c r="O70" s="75"/>
      <c r="P70" s="30"/>
    </row>
    <row r="71">
      <c r="B71" s="161"/>
      <c r="C71" s="30"/>
      <c r="D71" s="30"/>
      <c r="E71" s="30"/>
      <c r="F71" s="30"/>
      <c r="G71" s="30"/>
      <c r="H71" s="30"/>
      <c r="I71" s="30"/>
      <c r="J71" s="30"/>
      <c r="K71" s="30"/>
      <c r="L71" s="30"/>
      <c r="M71" s="30"/>
      <c r="N71" s="75"/>
      <c r="O71" s="75"/>
      <c r="P71" s="30"/>
    </row>
    <row r="72">
      <c r="B72" s="161"/>
      <c r="C72" s="30"/>
      <c r="D72" s="30"/>
      <c r="E72" s="30"/>
      <c r="F72" s="30"/>
      <c r="G72" s="30"/>
      <c r="H72" s="30"/>
      <c r="I72" s="30"/>
      <c r="J72" s="30"/>
      <c r="K72" s="30"/>
      <c r="L72" s="30"/>
      <c r="M72" s="30"/>
      <c r="N72" s="75"/>
      <c r="O72" s="75"/>
      <c r="P72" s="30"/>
    </row>
    <row r="73">
      <c r="B73" s="161"/>
      <c r="C73" s="30"/>
      <c r="D73" s="30"/>
      <c r="E73" s="30"/>
      <c r="F73" s="30"/>
      <c r="G73" s="30"/>
      <c r="H73" s="30"/>
      <c r="I73" s="30"/>
      <c r="J73" s="30"/>
      <c r="K73" s="30"/>
      <c r="L73" s="30"/>
      <c r="M73" s="30"/>
      <c r="N73" s="75"/>
      <c r="O73" s="75"/>
      <c r="P73" s="30"/>
    </row>
    <row r="74">
      <c r="B74" s="161"/>
      <c r="C74" s="30"/>
      <c r="D74" s="30"/>
      <c r="E74" s="30"/>
      <c r="F74" s="30"/>
      <c r="G74" s="30"/>
      <c r="H74" s="30"/>
      <c r="I74" s="30"/>
      <c r="J74" s="30"/>
      <c r="K74" s="30"/>
      <c r="L74" s="30"/>
      <c r="M74" s="30"/>
      <c r="N74" s="75"/>
      <c r="O74" s="75"/>
      <c r="P74" s="30"/>
    </row>
    <row r="75">
      <c r="B75" s="161"/>
      <c r="C75" s="30"/>
      <c r="D75" s="30"/>
      <c r="E75" s="30"/>
      <c r="F75" s="30"/>
      <c r="G75" s="30"/>
      <c r="H75" s="30"/>
      <c r="I75" s="30"/>
      <c r="J75" s="30"/>
      <c r="K75" s="30"/>
      <c r="L75" s="30"/>
      <c r="M75" s="30"/>
      <c r="N75" s="75"/>
      <c r="O75" s="75"/>
      <c r="P75" s="30"/>
    </row>
    <row r="76">
      <c r="B76" s="161"/>
      <c r="C76" s="30"/>
      <c r="D76" s="30"/>
      <c r="E76" s="30"/>
      <c r="F76" s="30"/>
      <c r="G76" s="30"/>
      <c r="H76" s="30"/>
      <c r="I76" s="30"/>
      <c r="J76" s="30"/>
      <c r="K76" s="30"/>
      <c r="L76" s="30"/>
      <c r="M76" s="30"/>
      <c r="N76" s="75"/>
      <c r="O76" s="75"/>
      <c r="P76" s="30"/>
    </row>
    <row r="77">
      <c r="B77" s="161"/>
      <c r="C77" s="30"/>
      <c r="D77" s="30"/>
      <c r="E77" s="30"/>
      <c r="F77" s="30"/>
      <c r="G77" s="30"/>
      <c r="H77" s="30"/>
      <c r="I77" s="30"/>
      <c r="J77" s="30"/>
      <c r="K77" s="30"/>
      <c r="L77" s="30"/>
      <c r="M77" s="30"/>
      <c r="N77" s="75"/>
      <c r="O77" s="75"/>
      <c r="P77" s="30"/>
    </row>
    <row r="78">
      <c r="B78" s="161"/>
      <c r="C78" s="30"/>
      <c r="D78" s="30"/>
      <c r="E78" s="30"/>
      <c r="F78" s="30"/>
      <c r="G78" s="30"/>
      <c r="H78" s="30"/>
      <c r="I78" s="30"/>
      <c r="J78" s="30"/>
      <c r="K78" s="30"/>
      <c r="L78" s="30"/>
      <c r="M78" s="30"/>
      <c r="N78" s="75"/>
      <c r="O78" s="75"/>
      <c r="P78" s="30"/>
    </row>
    <row r="79">
      <c r="B79" s="161"/>
      <c r="C79" s="30"/>
      <c r="D79" s="30"/>
      <c r="E79" s="30"/>
      <c r="F79" s="30"/>
      <c r="G79" s="30"/>
      <c r="H79" s="30"/>
      <c r="I79" s="30"/>
      <c r="J79" s="30"/>
      <c r="K79" s="30"/>
      <c r="L79" s="30"/>
      <c r="M79" s="30"/>
      <c r="N79" s="75"/>
      <c r="O79" s="75"/>
      <c r="P79" s="30"/>
    </row>
    <row r="80">
      <c r="B80" s="161"/>
      <c r="C80" s="30"/>
      <c r="D80" s="30"/>
      <c r="E80" s="30"/>
      <c r="F80" s="30"/>
      <c r="G80" s="30"/>
      <c r="H80" s="30"/>
      <c r="I80" s="30"/>
      <c r="J80" s="30"/>
      <c r="K80" s="30"/>
      <c r="L80" s="30"/>
      <c r="M80" s="30"/>
      <c r="N80" s="75"/>
      <c r="O80" s="75"/>
      <c r="P80" s="30"/>
    </row>
    <row r="81">
      <c r="B81" s="161"/>
      <c r="C81" s="30"/>
      <c r="D81" s="30"/>
      <c r="E81" s="30"/>
      <c r="F81" s="30"/>
      <c r="G81" s="30"/>
      <c r="H81" s="30"/>
      <c r="I81" s="30"/>
      <c r="J81" s="30"/>
      <c r="K81" s="30"/>
      <c r="L81" s="30"/>
      <c r="M81" s="30"/>
      <c r="N81" s="75"/>
      <c r="O81" s="75"/>
      <c r="P81" s="30"/>
    </row>
    <row r="82">
      <c r="B82" s="161"/>
      <c r="C82" s="30"/>
      <c r="D82" s="30"/>
      <c r="E82" s="30"/>
      <c r="F82" s="30"/>
      <c r="G82" s="30"/>
      <c r="H82" s="30"/>
      <c r="I82" s="30"/>
      <c r="J82" s="30"/>
      <c r="K82" s="30"/>
      <c r="L82" s="30"/>
      <c r="M82" s="30"/>
      <c r="N82" s="75"/>
      <c r="O82" s="75"/>
      <c r="P82" s="30"/>
    </row>
    <row r="83">
      <c r="B83" s="161"/>
      <c r="C83" s="30"/>
      <c r="D83" s="30"/>
      <c r="E83" s="30"/>
      <c r="F83" s="30"/>
      <c r="G83" s="30"/>
      <c r="H83" s="30"/>
      <c r="I83" s="30"/>
      <c r="J83" s="30"/>
      <c r="K83" s="30"/>
      <c r="L83" s="30"/>
      <c r="M83" s="30"/>
      <c r="N83" s="75"/>
      <c r="O83" s="75"/>
      <c r="P83" s="30"/>
    </row>
    <row r="84">
      <c r="B84" s="161"/>
      <c r="C84" s="30"/>
      <c r="D84" s="30"/>
      <c r="E84" s="30"/>
      <c r="F84" s="30"/>
      <c r="G84" s="30"/>
      <c r="H84" s="30"/>
      <c r="I84" s="30"/>
      <c r="J84" s="30"/>
      <c r="K84" s="30"/>
      <c r="L84" s="30"/>
      <c r="M84" s="30"/>
      <c r="N84" s="75"/>
      <c r="O84" s="75"/>
      <c r="P84" s="30"/>
    </row>
    <row r="85">
      <c r="B85" s="161"/>
      <c r="C85" s="30"/>
      <c r="D85" s="30"/>
      <c r="E85" s="30"/>
      <c r="F85" s="30"/>
      <c r="G85" s="30"/>
      <c r="H85" s="30"/>
      <c r="I85" s="30"/>
      <c r="J85" s="30"/>
      <c r="K85" s="30"/>
      <c r="L85" s="30"/>
      <c r="M85" s="30"/>
      <c r="N85" s="75"/>
      <c r="O85" s="75"/>
      <c r="P85" s="30"/>
    </row>
    <row r="86">
      <c r="B86" s="161"/>
      <c r="C86" s="30"/>
      <c r="D86" s="30"/>
      <c r="E86" s="30"/>
      <c r="F86" s="30"/>
      <c r="G86" s="30"/>
      <c r="H86" s="30"/>
      <c r="I86" s="30"/>
      <c r="J86" s="30"/>
      <c r="K86" s="30"/>
      <c r="L86" s="30"/>
      <c r="M86" s="30"/>
      <c r="N86" s="75"/>
      <c r="O86" s="75"/>
      <c r="P86" s="30"/>
    </row>
    <row r="87">
      <c r="B87" s="161"/>
      <c r="C87" s="30"/>
      <c r="D87" s="30"/>
      <c r="E87" s="30"/>
      <c r="F87" s="30"/>
      <c r="G87" s="30"/>
      <c r="H87" s="30"/>
      <c r="I87" s="30"/>
      <c r="J87" s="30"/>
      <c r="K87" s="30"/>
      <c r="L87" s="30"/>
      <c r="M87" s="30"/>
      <c r="N87" s="75"/>
      <c r="O87" s="75"/>
      <c r="P87" s="30"/>
    </row>
    <row r="88">
      <c r="B88" s="161"/>
      <c r="C88" s="30"/>
      <c r="D88" s="30"/>
      <c r="E88" s="30"/>
      <c r="F88" s="30"/>
      <c r="G88" s="30"/>
      <c r="H88" s="30"/>
      <c r="I88" s="30"/>
      <c r="J88" s="30"/>
      <c r="K88" s="30"/>
      <c r="L88" s="30"/>
      <c r="M88" s="30"/>
      <c r="N88" s="75"/>
      <c r="O88" s="75"/>
      <c r="P88" s="30"/>
    </row>
    <row r="89">
      <c r="B89" s="161"/>
      <c r="C89" s="30"/>
      <c r="D89" s="30"/>
      <c r="E89" s="30"/>
      <c r="F89" s="30"/>
      <c r="G89" s="30"/>
      <c r="H89" s="30"/>
      <c r="I89" s="30"/>
      <c r="J89" s="30"/>
      <c r="K89" s="30"/>
      <c r="L89" s="30"/>
      <c r="M89" s="30"/>
      <c r="N89" s="75"/>
      <c r="O89" s="75"/>
      <c r="P89" s="30"/>
    </row>
    <row r="90">
      <c r="B90" s="161"/>
      <c r="C90" s="30"/>
      <c r="D90" s="30"/>
      <c r="E90" s="30"/>
      <c r="F90" s="30"/>
      <c r="G90" s="30"/>
      <c r="H90" s="30"/>
      <c r="I90" s="30"/>
      <c r="J90" s="30"/>
      <c r="K90" s="30"/>
      <c r="L90" s="30"/>
      <c r="M90" s="30"/>
      <c r="N90" s="75"/>
      <c r="O90" s="75"/>
      <c r="P90" s="30"/>
    </row>
    <row r="91">
      <c r="B91" s="161"/>
      <c r="C91" s="30"/>
      <c r="D91" s="30"/>
      <c r="E91" s="30"/>
      <c r="F91" s="30"/>
      <c r="G91" s="30"/>
      <c r="H91" s="30"/>
      <c r="I91" s="30"/>
      <c r="J91" s="30"/>
      <c r="K91" s="30"/>
      <c r="L91" s="30"/>
      <c r="M91" s="30"/>
      <c r="N91" s="75"/>
      <c r="O91" s="75"/>
      <c r="P91" s="30"/>
    </row>
    <row r="92">
      <c r="B92" s="161"/>
      <c r="C92" s="30"/>
      <c r="D92" s="30"/>
      <c r="E92" s="30"/>
      <c r="F92" s="30"/>
      <c r="G92" s="30"/>
      <c r="H92" s="30"/>
      <c r="I92" s="30"/>
      <c r="J92" s="30"/>
      <c r="K92" s="30"/>
      <c r="L92" s="30"/>
      <c r="M92" s="30"/>
      <c r="N92" s="75"/>
      <c r="O92" s="75"/>
      <c r="P92" s="30"/>
    </row>
    <row r="93">
      <c r="B93" s="161"/>
      <c r="C93" s="30"/>
      <c r="D93" s="30"/>
      <c r="E93" s="30"/>
      <c r="F93" s="30"/>
      <c r="G93" s="30"/>
      <c r="H93" s="30"/>
      <c r="I93" s="30"/>
      <c r="J93" s="30"/>
      <c r="K93" s="30"/>
      <c r="L93" s="30"/>
      <c r="M93" s="30"/>
      <c r="N93" s="75"/>
      <c r="O93" s="75"/>
      <c r="P93" s="30"/>
    </row>
    <row r="94">
      <c r="B94" s="161"/>
      <c r="C94" s="30"/>
      <c r="D94" s="30"/>
      <c r="E94" s="30"/>
      <c r="F94" s="30"/>
      <c r="G94" s="30"/>
      <c r="H94" s="30"/>
      <c r="I94" s="30"/>
      <c r="J94" s="30"/>
      <c r="K94" s="30"/>
      <c r="L94" s="30"/>
      <c r="M94" s="30"/>
      <c r="N94" s="75"/>
      <c r="O94" s="75"/>
      <c r="P94" s="30"/>
    </row>
    <row r="95">
      <c r="B95" s="161"/>
      <c r="C95" s="30"/>
      <c r="D95" s="30"/>
      <c r="E95" s="30"/>
      <c r="F95" s="30"/>
      <c r="G95" s="30"/>
      <c r="H95" s="30"/>
      <c r="I95" s="30"/>
      <c r="J95" s="30"/>
      <c r="K95" s="30"/>
      <c r="L95" s="30"/>
      <c r="M95" s="30"/>
      <c r="N95" s="75"/>
      <c r="O95" s="75"/>
      <c r="P95" s="30"/>
    </row>
    <row r="96">
      <c r="B96" s="161"/>
      <c r="C96" s="30"/>
      <c r="D96" s="30"/>
      <c r="E96" s="30"/>
      <c r="F96" s="30"/>
      <c r="G96" s="30"/>
      <c r="H96" s="30"/>
      <c r="I96" s="30"/>
      <c r="J96" s="30"/>
      <c r="K96" s="30"/>
      <c r="L96" s="30"/>
      <c r="M96" s="30"/>
      <c r="N96" s="75"/>
      <c r="O96" s="75"/>
      <c r="P96" s="30"/>
    </row>
    <row r="97">
      <c r="B97" s="161"/>
      <c r="C97" s="30"/>
      <c r="D97" s="30"/>
      <c r="E97" s="30"/>
      <c r="F97" s="30"/>
      <c r="G97" s="30"/>
      <c r="H97" s="30"/>
      <c r="I97" s="30"/>
      <c r="J97" s="30"/>
      <c r="K97" s="30"/>
      <c r="L97" s="30"/>
      <c r="M97" s="30"/>
      <c r="N97" s="75"/>
      <c r="O97" s="75"/>
      <c r="P97" s="30"/>
    </row>
    <row r="98">
      <c r="B98" s="161"/>
      <c r="C98" s="30"/>
      <c r="D98" s="30"/>
      <c r="E98" s="30"/>
      <c r="F98" s="30"/>
      <c r="G98" s="30"/>
      <c r="H98" s="30"/>
      <c r="I98" s="30"/>
      <c r="J98" s="30"/>
      <c r="K98" s="30"/>
      <c r="L98" s="30"/>
      <c r="M98" s="30"/>
      <c r="N98" s="75"/>
      <c r="O98" s="75"/>
      <c r="P98" s="30"/>
    </row>
    <row r="99">
      <c r="B99" s="161"/>
      <c r="C99" s="30"/>
      <c r="D99" s="30"/>
      <c r="E99" s="30"/>
      <c r="F99" s="30"/>
      <c r="G99" s="30"/>
      <c r="H99" s="30"/>
      <c r="I99" s="30"/>
      <c r="J99" s="30"/>
      <c r="K99" s="30"/>
      <c r="L99" s="30"/>
      <c r="M99" s="30"/>
      <c r="N99" s="75"/>
      <c r="O99" s="75"/>
      <c r="P99" s="30"/>
    </row>
    <row r="100">
      <c r="B100" s="161"/>
      <c r="C100" s="30"/>
      <c r="D100" s="30"/>
      <c r="E100" s="30"/>
      <c r="F100" s="30"/>
      <c r="G100" s="30"/>
      <c r="H100" s="30"/>
      <c r="I100" s="30"/>
      <c r="J100" s="30"/>
      <c r="K100" s="30"/>
      <c r="L100" s="30"/>
      <c r="M100" s="30"/>
      <c r="N100" s="75"/>
      <c r="O100" s="75"/>
      <c r="P100" s="30"/>
    </row>
    <row r="101">
      <c r="B101" s="161"/>
      <c r="C101" s="30"/>
      <c r="D101" s="30"/>
      <c r="E101" s="30"/>
      <c r="F101" s="30"/>
      <c r="G101" s="30"/>
      <c r="H101" s="30"/>
      <c r="I101" s="30"/>
      <c r="J101" s="30"/>
      <c r="K101" s="30"/>
      <c r="L101" s="30"/>
      <c r="M101" s="30"/>
      <c r="N101" s="75"/>
      <c r="O101" s="75"/>
      <c r="P101" s="30"/>
    </row>
    <row r="102">
      <c r="B102" s="161"/>
      <c r="C102" s="30"/>
      <c r="D102" s="30"/>
      <c r="E102" s="30"/>
      <c r="F102" s="30"/>
      <c r="G102" s="30"/>
      <c r="H102" s="30"/>
      <c r="I102" s="30"/>
      <c r="J102" s="30"/>
      <c r="K102" s="30"/>
      <c r="L102" s="30"/>
      <c r="M102" s="30"/>
      <c r="N102" s="75"/>
      <c r="O102" s="75"/>
      <c r="P102" s="30"/>
    </row>
    <row r="103">
      <c r="B103" s="161"/>
      <c r="C103" s="30"/>
      <c r="D103" s="30"/>
      <c r="E103" s="30"/>
      <c r="F103" s="30"/>
      <c r="G103" s="30"/>
      <c r="H103" s="30"/>
      <c r="I103" s="30"/>
      <c r="J103" s="30"/>
      <c r="K103" s="30"/>
      <c r="L103" s="30"/>
      <c r="M103" s="30"/>
      <c r="N103" s="75"/>
      <c r="O103" s="75"/>
      <c r="P103" s="30"/>
    </row>
    <row r="104">
      <c r="B104" s="161"/>
      <c r="C104" s="30"/>
      <c r="D104" s="30"/>
      <c r="E104" s="30"/>
      <c r="F104" s="30"/>
      <c r="G104" s="30"/>
      <c r="H104" s="30"/>
      <c r="I104" s="30"/>
      <c r="J104" s="30"/>
      <c r="K104" s="30"/>
      <c r="L104" s="30"/>
      <c r="M104" s="30"/>
      <c r="N104" s="75"/>
      <c r="O104" s="75"/>
      <c r="P104" s="30"/>
    </row>
    <row r="105">
      <c r="B105" s="161"/>
      <c r="C105" s="30"/>
      <c r="D105" s="30"/>
      <c r="E105" s="30"/>
      <c r="F105" s="30"/>
      <c r="G105" s="30"/>
      <c r="H105" s="30"/>
      <c r="I105" s="30"/>
      <c r="J105" s="30"/>
      <c r="K105" s="30"/>
      <c r="L105" s="30"/>
      <c r="M105" s="30"/>
      <c r="N105" s="75"/>
      <c r="O105" s="75"/>
      <c r="P105" s="30"/>
    </row>
    <row r="106">
      <c r="B106" s="161"/>
      <c r="C106" s="30"/>
      <c r="D106" s="30"/>
      <c r="E106" s="30"/>
      <c r="F106" s="30"/>
      <c r="G106" s="30"/>
      <c r="H106" s="30"/>
      <c r="I106" s="30"/>
      <c r="J106" s="30"/>
      <c r="K106" s="30"/>
      <c r="L106" s="30"/>
      <c r="M106" s="30"/>
      <c r="N106" s="75"/>
      <c r="O106" s="75"/>
      <c r="P106" s="30"/>
    </row>
    <row r="107">
      <c r="B107" s="161"/>
      <c r="C107" s="30"/>
      <c r="D107" s="30"/>
      <c r="E107" s="30"/>
      <c r="F107" s="30"/>
      <c r="G107" s="30"/>
      <c r="H107" s="30"/>
      <c r="I107" s="30"/>
      <c r="J107" s="30"/>
      <c r="K107" s="30"/>
      <c r="L107" s="30"/>
      <c r="M107" s="30"/>
      <c r="N107" s="75"/>
      <c r="O107" s="75"/>
      <c r="P107" s="30"/>
    </row>
    <row r="108">
      <c r="B108" s="161"/>
      <c r="C108" s="30"/>
      <c r="D108" s="30"/>
      <c r="E108" s="30"/>
      <c r="F108" s="30"/>
      <c r="G108" s="30"/>
      <c r="H108" s="30"/>
      <c r="I108" s="30"/>
      <c r="J108" s="30"/>
      <c r="K108" s="30"/>
      <c r="L108" s="30"/>
      <c r="M108" s="30"/>
      <c r="N108" s="75"/>
      <c r="O108" s="75"/>
      <c r="P108" s="30"/>
    </row>
    <row r="109">
      <c r="B109" s="161"/>
      <c r="C109" s="30"/>
      <c r="D109" s="30"/>
      <c r="E109" s="30"/>
      <c r="F109" s="30"/>
      <c r="G109" s="30"/>
      <c r="H109" s="30"/>
      <c r="I109" s="30"/>
      <c r="J109" s="30"/>
      <c r="K109" s="30"/>
      <c r="L109" s="30"/>
      <c r="M109" s="30"/>
      <c r="N109" s="75"/>
      <c r="O109" s="75"/>
      <c r="P109" s="30"/>
    </row>
    <row r="110">
      <c r="B110" s="161"/>
      <c r="C110" s="30"/>
      <c r="D110" s="30"/>
      <c r="E110" s="30"/>
      <c r="F110" s="30"/>
      <c r="G110" s="30"/>
      <c r="H110" s="30"/>
      <c r="I110" s="30"/>
      <c r="J110" s="30"/>
      <c r="K110" s="30"/>
      <c r="L110" s="30"/>
      <c r="M110" s="30"/>
      <c r="N110" s="75"/>
      <c r="O110" s="75"/>
      <c r="P110" s="30"/>
    </row>
    <row r="111">
      <c r="B111" s="161"/>
      <c r="C111" s="30"/>
      <c r="D111" s="30"/>
      <c r="E111" s="30"/>
      <c r="F111" s="30"/>
      <c r="G111" s="30"/>
      <c r="H111" s="30"/>
      <c r="I111" s="30"/>
      <c r="J111" s="30"/>
      <c r="K111" s="30"/>
      <c r="L111" s="30"/>
      <c r="M111" s="30"/>
      <c r="N111" s="75"/>
      <c r="O111" s="75"/>
      <c r="P111" s="30"/>
    </row>
    <row r="112">
      <c r="B112" s="161"/>
      <c r="C112" s="30"/>
      <c r="D112" s="30"/>
      <c r="E112" s="30"/>
      <c r="F112" s="30"/>
      <c r="G112" s="30"/>
      <c r="H112" s="30"/>
      <c r="I112" s="30"/>
      <c r="J112" s="30"/>
      <c r="K112" s="30"/>
      <c r="L112" s="30"/>
      <c r="M112" s="30"/>
      <c r="N112" s="75"/>
      <c r="O112" s="75"/>
      <c r="P112" s="30"/>
    </row>
    <row r="113">
      <c r="B113" s="161"/>
      <c r="C113" s="30"/>
      <c r="D113" s="30"/>
      <c r="E113" s="30"/>
      <c r="F113" s="30"/>
      <c r="G113" s="30"/>
      <c r="H113" s="30"/>
      <c r="I113" s="30"/>
      <c r="J113" s="30"/>
      <c r="K113" s="30"/>
      <c r="L113" s="30"/>
      <c r="M113" s="30"/>
      <c r="N113" s="75"/>
      <c r="O113" s="75"/>
      <c r="P113" s="30"/>
    </row>
    <row r="114">
      <c r="B114" s="161"/>
      <c r="C114" s="30"/>
      <c r="D114" s="30"/>
      <c r="E114" s="30"/>
      <c r="F114" s="30"/>
      <c r="G114" s="30"/>
      <c r="H114" s="30"/>
      <c r="I114" s="30"/>
      <c r="J114" s="30"/>
      <c r="K114" s="30"/>
      <c r="L114" s="30"/>
      <c r="M114" s="30"/>
      <c r="N114" s="75"/>
      <c r="O114" s="75"/>
      <c r="P114" s="30"/>
    </row>
    <row r="115">
      <c r="B115" s="161"/>
      <c r="C115" s="30"/>
      <c r="D115" s="30"/>
      <c r="E115" s="30"/>
      <c r="F115" s="30"/>
      <c r="G115" s="30"/>
      <c r="H115" s="30"/>
      <c r="I115" s="30"/>
      <c r="J115" s="30"/>
      <c r="K115" s="30"/>
      <c r="L115" s="30"/>
      <c r="M115" s="30"/>
      <c r="N115" s="75"/>
      <c r="O115" s="75"/>
      <c r="P115" s="30"/>
    </row>
    <row r="116">
      <c r="B116" s="161"/>
      <c r="C116" s="30"/>
      <c r="D116" s="30"/>
      <c r="E116" s="30"/>
      <c r="F116" s="30"/>
      <c r="G116" s="30"/>
      <c r="H116" s="30"/>
      <c r="I116" s="30"/>
      <c r="J116" s="30"/>
      <c r="K116" s="30"/>
      <c r="L116" s="30"/>
      <c r="M116" s="30"/>
      <c r="N116" s="75"/>
      <c r="O116" s="75"/>
      <c r="P116" s="30"/>
    </row>
    <row r="117">
      <c r="B117" s="161"/>
      <c r="C117" s="30"/>
      <c r="D117" s="30"/>
      <c r="E117" s="30"/>
      <c r="F117" s="30"/>
      <c r="G117" s="30"/>
      <c r="H117" s="30"/>
      <c r="I117" s="30"/>
      <c r="J117" s="30"/>
      <c r="K117" s="30"/>
      <c r="L117" s="30"/>
      <c r="M117" s="30"/>
      <c r="N117" s="75"/>
      <c r="O117" s="75"/>
      <c r="P117" s="30"/>
    </row>
    <row r="118">
      <c r="B118" s="161"/>
      <c r="C118" s="30"/>
      <c r="D118" s="30"/>
      <c r="E118" s="30"/>
      <c r="F118" s="30"/>
      <c r="G118" s="30"/>
      <c r="H118" s="30"/>
      <c r="I118" s="30"/>
      <c r="J118" s="30"/>
      <c r="K118" s="30"/>
      <c r="L118" s="30"/>
      <c r="M118" s="30"/>
      <c r="N118" s="75"/>
      <c r="O118" s="75"/>
      <c r="P118" s="30"/>
    </row>
    <row r="119">
      <c r="B119" s="161"/>
      <c r="C119" s="30"/>
      <c r="D119" s="30"/>
      <c r="E119" s="30"/>
      <c r="F119" s="30"/>
      <c r="G119" s="30"/>
      <c r="H119" s="30"/>
      <c r="I119" s="30"/>
      <c r="J119" s="30"/>
      <c r="K119" s="30"/>
      <c r="L119" s="30"/>
      <c r="M119" s="30"/>
      <c r="N119" s="75"/>
      <c r="O119" s="75"/>
      <c r="P119" s="30"/>
    </row>
    <row r="120">
      <c r="B120" s="161"/>
      <c r="C120" s="30"/>
      <c r="D120" s="30"/>
      <c r="E120" s="30"/>
      <c r="F120" s="30"/>
      <c r="G120" s="30"/>
      <c r="H120" s="30"/>
      <c r="I120" s="30"/>
      <c r="J120" s="30"/>
      <c r="K120" s="30"/>
      <c r="L120" s="30"/>
      <c r="M120" s="30"/>
      <c r="N120" s="75"/>
      <c r="O120" s="75"/>
      <c r="P120" s="30"/>
    </row>
    <row r="121">
      <c r="B121" s="161"/>
      <c r="C121" s="30"/>
      <c r="D121" s="30"/>
      <c r="E121" s="30"/>
      <c r="F121" s="30"/>
      <c r="G121" s="30"/>
      <c r="H121" s="30"/>
      <c r="I121" s="30"/>
      <c r="J121" s="30"/>
      <c r="K121" s="30"/>
      <c r="L121" s="30"/>
      <c r="M121" s="30"/>
      <c r="N121" s="75"/>
      <c r="O121" s="75"/>
      <c r="P121" s="30"/>
    </row>
    <row r="122">
      <c r="B122" s="161"/>
      <c r="C122" s="30"/>
      <c r="D122" s="30"/>
      <c r="E122" s="30"/>
      <c r="F122" s="30"/>
      <c r="G122" s="30"/>
      <c r="H122" s="30"/>
      <c r="I122" s="30"/>
      <c r="J122" s="30"/>
      <c r="K122" s="30"/>
      <c r="L122" s="30"/>
      <c r="M122" s="30"/>
      <c r="N122" s="75"/>
      <c r="O122" s="75"/>
      <c r="P122" s="30"/>
    </row>
    <row r="123">
      <c r="B123" s="161"/>
      <c r="C123" s="30"/>
      <c r="D123" s="30"/>
      <c r="E123" s="30"/>
      <c r="F123" s="30"/>
      <c r="G123" s="30"/>
      <c r="H123" s="30"/>
      <c r="I123" s="30"/>
      <c r="J123" s="30"/>
      <c r="K123" s="30"/>
      <c r="L123" s="30"/>
      <c r="M123" s="30"/>
      <c r="N123" s="75"/>
      <c r="O123" s="75"/>
      <c r="P123" s="30"/>
    </row>
    <row r="124">
      <c r="B124" s="161"/>
      <c r="C124" s="30"/>
      <c r="D124" s="30"/>
      <c r="E124" s="30"/>
      <c r="F124" s="30"/>
      <c r="G124" s="30"/>
      <c r="H124" s="30"/>
      <c r="I124" s="30"/>
      <c r="J124" s="30"/>
      <c r="K124" s="30"/>
      <c r="L124" s="30"/>
      <c r="M124" s="30"/>
      <c r="N124" s="75"/>
      <c r="O124" s="75"/>
      <c r="P124" s="30"/>
    </row>
    <row r="125">
      <c r="B125" s="161"/>
      <c r="C125" s="30"/>
      <c r="D125" s="30"/>
      <c r="E125" s="30"/>
      <c r="F125" s="30"/>
      <c r="G125" s="30"/>
      <c r="H125" s="30"/>
      <c r="I125" s="30"/>
      <c r="J125" s="30"/>
      <c r="K125" s="30"/>
      <c r="L125" s="30"/>
      <c r="M125" s="30"/>
      <c r="N125" s="75"/>
      <c r="O125" s="75"/>
      <c r="P125" s="30"/>
    </row>
    <row r="126">
      <c r="B126" s="161"/>
      <c r="C126" s="30"/>
      <c r="D126" s="30"/>
      <c r="E126" s="30"/>
      <c r="F126" s="30"/>
      <c r="G126" s="30"/>
      <c r="H126" s="30"/>
      <c r="I126" s="30"/>
      <c r="J126" s="30"/>
      <c r="K126" s="30"/>
      <c r="L126" s="30"/>
      <c r="M126" s="30"/>
      <c r="N126" s="75"/>
      <c r="O126" s="75"/>
      <c r="P126" s="30"/>
    </row>
    <row r="127">
      <c r="B127" s="161"/>
      <c r="C127" s="30"/>
      <c r="D127" s="30"/>
      <c r="E127" s="30"/>
      <c r="F127" s="30"/>
      <c r="G127" s="30"/>
      <c r="H127" s="30"/>
      <c r="I127" s="30"/>
      <c r="J127" s="30"/>
      <c r="K127" s="30"/>
      <c r="L127" s="30"/>
      <c r="M127" s="30"/>
      <c r="N127" s="75"/>
      <c r="O127" s="75"/>
      <c r="P127" s="30"/>
    </row>
    <row r="128">
      <c r="B128" s="161"/>
      <c r="C128" s="30"/>
      <c r="D128" s="30"/>
      <c r="E128" s="30"/>
      <c r="F128" s="30"/>
      <c r="G128" s="30"/>
      <c r="H128" s="30"/>
      <c r="I128" s="30"/>
      <c r="J128" s="30"/>
      <c r="K128" s="30"/>
      <c r="L128" s="30"/>
      <c r="M128" s="30"/>
      <c r="N128" s="75"/>
      <c r="O128" s="75"/>
      <c r="P128" s="30"/>
    </row>
    <row r="129">
      <c r="B129" s="161"/>
      <c r="C129" s="30"/>
      <c r="D129" s="30"/>
      <c r="E129" s="30"/>
      <c r="F129" s="30"/>
      <c r="G129" s="30"/>
      <c r="H129" s="30"/>
      <c r="I129" s="30"/>
      <c r="J129" s="30"/>
      <c r="K129" s="30"/>
      <c r="L129" s="30"/>
      <c r="M129" s="30"/>
      <c r="N129" s="75"/>
      <c r="O129" s="75"/>
      <c r="P129" s="30"/>
    </row>
    <row r="130">
      <c r="B130" s="161"/>
      <c r="C130" s="30"/>
      <c r="D130" s="30"/>
      <c r="E130" s="30"/>
      <c r="F130" s="30"/>
      <c r="G130" s="30"/>
      <c r="H130" s="30"/>
      <c r="I130" s="30"/>
      <c r="J130" s="30"/>
      <c r="K130" s="30"/>
      <c r="L130" s="30"/>
      <c r="M130" s="30"/>
      <c r="N130" s="75"/>
      <c r="O130" s="75"/>
      <c r="P130" s="30"/>
    </row>
    <row r="131">
      <c r="B131" s="161"/>
      <c r="C131" s="30"/>
      <c r="D131" s="30"/>
      <c r="E131" s="30"/>
      <c r="F131" s="30"/>
      <c r="G131" s="30"/>
      <c r="H131" s="30"/>
      <c r="I131" s="30"/>
      <c r="J131" s="30"/>
      <c r="K131" s="30"/>
      <c r="L131" s="30"/>
      <c r="M131" s="30"/>
      <c r="N131" s="75"/>
      <c r="O131" s="75"/>
      <c r="P131" s="30"/>
    </row>
    <row r="132">
      <c r="B132" s="161"/>
      <c r="C132" s="30"/>
      <c r="D132" s="30"/>
      <c r="E132" s="30"/>
      <c r="F132" s="30"/>
      <c r="G132" s="30"/>
      <c r="H132" s="30"/>
      <c r="I132" s="30"/>
      <c r="J132" s="30"/>
      <c r="K132" s="30"/>
      <c r="L132" s="30"/>
      <c r="M132" s="30"/>
      <c r="N132" s="75"/>
      <c r="O132" s="75"/>
      <c r="P132" s="30"/>
    </row>
    <row r="133">
      <c r="B133" s="161"/>
      <c r="C133" s="30"/>
      <c r="D133" s="30"/>
      <c r="E133" s="30"/>
      <c r="F133" s="30"/>
      <c r="G133" s="30"/>
      <c r="H133" s="30"/>
      <c r="I133" s="30"/>
      <c r="J133" s="30"/>
      <c r="K133" s="30"/>
      <c r="L133" s="30"/>
      <c r="M133" s="30"/>
      <c r="N133" s="75"/>
      <c r="O133" s="75"/>
      <c r="P133" s="30"/>
    </row>
    <row r="134">
      <c r="B134" s="161"/>
      <c r="C134" s="30"/>
      <c r="D134" s="30"/>
      <c r="E134" s="30"/>
      <c r="F134" s="30"/>
      <c r="G134" s="30"/>
      <c r="H134" s="30"/>
      <c r="I134" s="30"/>
      <c r="J134" s="30"/>
      <c r="K134" s="30"/>
      <c r="L134" s="30"/>
      <c r="M134" s="30"/>
      <c r="N134" s="75"/>
      <c r="O134" s="75"/>
      <c r="P134" s="30"/>
    </row>
    <row r="135">
      <c r="B135" s="161"/>
      <c r="C135" s="30"/>
      <c r="D135" s="30"/>
      <c r="E135" s="30"/>
      <c r="F135" s="30"/>
      <c r="G135" s="30"/>
      <c r="H135" s="30"/>
      <c r="I135" s="30"/>
      <c r="J135" s="30"/>
      <c r="K135" s="30"/>
      <c r="L135" s="30"/>
      <c r="M135" s="30"/>
      <c r="N135" s="75"/>
      <c r="O135" s="75"/>
      <c r="P135" s="30"/>
    </row>
    <row r="136">
      <c r="B136" s="161"/>
      <c r="C136" s="30"/>
      <c r="D136" s="30"/>
      <c r="E136" s="30"/>
      <c r="F136" s="30"/>
      <c r="G136" s="30"/>
      <c r="H136" s="30"/>
      <c r="I136" s="30"/>
      <c r="J136" s="30"/>
      <c r="K136" s="30"/>
      <c r="L136" s="30"/>
      <c r="M136" s="30"/>
      <c r="N136" s="75"/>
      <c r="O136" s="75"/>
      <c r="P136" s="30"/>
    </row>
    <row r="137">
      <c r="B137" s="161"/>
      <c r="C137" s="30"/>
      <c r="D137" s="30"/>
      <c r="E137" s="30"/>
      <c r="F137" s="30"/>
      <c r="G137" s="30"/>
      <c r="H137" s="30"/>
      <c r="I137" s="30"/>
      <c r="J137" s="30"/>
      <c r="K137" s="30"/>
      <c r="L137" s="30"/>
      <c r="M137" s="30"/>
      <c r="N137" s="75"/>
      <c r="O137" s="75"/>
      <c r="P137" s="30"/>
    </row>
    <row r="138">
      <c r="B138" s="161"/>
      <c r="C138" s="30"/>
      <c r="D138" s="30"/>
      <c r="E138" s="30"/>
      <c r="F138" s="30"/>
      <c r="G138" s="30"/>
      <c r="H138" s="30"/>
      <c r="I138" s="30"/>
      <c r="J138" s="30"/>
      <c r="K138" s="30"/>
      <c r="L138" s="30"/>
      <c r="M138" s="30"/>
      <c r="N138" s="75"/>
      <c r="O138" s="75"/>
      <c r="P138" s="30"/>
    </row>
    <row r="139">
      <c r="B139" s="161"/>
      <c r="C139" s="30"/>
      <c r="D139" s="30"/>
      <c r="E139" s="30"/>
      <c r="F139" s="30"/>
      <c r="G139" s="30"/>
      <c r="H139" s="30"/>
      <c r="I139" s="30"/>
      <c r="J139" s="30"/>
      <c r="K139" s="30"/>
      <c r="L139" s="30"/>
      <c r="M139" s="30"/>
      <c r="N139" s="75"/>
      <c r="O139" s="75"/>
      <c r="P139" s="30"/>
    </row>
    <row r="140">
      <c r="B140" s="161"/>
      <c r="C140" s="30"/>
      <c r="D140" s="30"/>
      <c r="E140" s="30"/>
      <c r="F140" s="30"/>
      <c r="G140" s="30"/>
      <c r="H140" s="30"/>
      <c r="I140" s="30"/>
      <c r="J140" s="30"/>
      <c r="K140" s="30"/>
      <c r="L140" s="30"/>
      <c r="M140" s="30"/>
      <c r="N140" s="75"/>
      <c r="O140" s="75"/>
      <c r="P140" s="30"/>
    </row>
    <row r="141">
      <c r="B141" s="161"/>
      <c r="C141" s="30"/>
      <c r="D141" s="30"/>
      <c r="E141" s="30"/>
      <c r="F141" s="30"/>
      <c r="G141" s="30"/>
      <c r="H141" s="30"/>
      <c r="I141" s="30"/>
      <c r="J141" s="30"/>
      <c r="K141" s="30"/>
      <c r="L141" s="30"/>
      <c r="M141" s="30"/>
      <c r="N141" s="75"/>
      <c r="O141" s="75"/>
      <c r="P141" s="30"/>
    </row>
    <row r="142">
      <c r="B142" s="161"/>
      <c r="C142" s="30"/>
      <c r="D142" s="30"/>
      <c r="E142" s="30"/>
      <c r="F142" s="30"/>
      <c r="G142" s="30"/>
      <c r="H142" s="30"/>
      <c r="I142" s="30"/>
      <c r="J142" s="30"/>
      <c r="K142" s="30"/>
      <c r="L142" s="30"/>
      <c r="M142" s="30"/>
      <c r="N142" s="75"/>
      <c r="O142" s="75"/>
      <c r="P142" s="30"/>
    </row>
    <row r="143">
      <c r="B143" s="161"/>
      <c r="C143" s="30"/>
      <c r="D143" s="30"/>
      <c r="E143" s="30"/>
      <c r="F143" s="30"/>
      <c r="G143" s="30"/>
      <c r="H143" s="30"/>
      <c r="I143" s="30"/>
      <c r="J143" s="30"/>
      <c r="K143" s="30"/>
      <c r="L143" s="30"/>
      <c r="M143" s="30"/>
      <c r="N143" s="75"/>
      <c r="O143" s="75"/>
      <c r="P143" s="30"/>
    </row>
    <row r="144">
      <c r="B144" s="161"/>
      <c r="C144" s="30"/>
      <c r="D144" s="30"/>
      <c r="E144" s="30"/>
      <c r="F144" s="30"/>
      <c r="G144" s="30"/>
      <c r="H144" s="30"/>
      <c r="I144" s="30"/>
      <c r="J144" s="30"/>
      <c r="K144" s="30"/>
      <c r="L144" s="30"/>
      <c r="M144" s="30"/>
      <c r="N144" s="75"/>
      <c r="O144" s="75"/>
      <c r="P144" s="30"/>
    </row>
    <row r="145">
      <c r="B145" s="161"/>
      <c r="C145" s="30"/>
      <c r="D145" s="30"/>
      <c r="E145" s="30"/>
      <c r="F145" s="30"/>
      <c r="G145" s="30"/>
      <c r="H145" s="30"/>
      <c r="I145" s="30"/>
      <c r="J145" s="30"/>
      <c r="K145" s="30"/>
      <c r="L145" s="30"/>
      <c r="M145" s="30"/>
      <c r="N145" s="75"/>
      <c r="O145" s="75"/>
      <c r="P145" s="30"/>
    </row>
    <row r="146">
      <c r="B146" s="161"/>
      <c r="C146" s="30"/>
      <c r="D146" s="30"/>
      <c r="E146" s="30"/>
      <c r="F146" s="30"/>
      <c r="G146" s="30"/>
      <c r="H146" s="30"/>
      <c r="I146" s="30"/>
      <c r="J146" s="30"/>
      <c r="K146" s="30"/>
      <c r="L146" s="30"/>
      <c r="M146" s="30"/>
      <c r="N146" s="75"/>
      <c r="O146" s="75"/>
      <c r="P146" s="30"/>
    </row>
    <row r="147">
      <c r="B147" s="161"/>
      <c r="C147" s="30"/>
      <c r="D147" s="30"/>
      <c r="E147" s="30"/>
      <c r="F147" s="30"/>
      <c r="G147" s="30"/>
      <c r="H147" s="30"/>
      <c r="I147" s="30"/>
      <c r="J147" s="30"/>
      <c r="K147" s="30"/>
      <c r="L147" s="30"/>
      <c r="M147" s="30"/>
      <c r="N147" s="75"/>
      <c r="O147" s="75"/>
      <c r="P147" s="30"/>
    </row>
    <row r="148">
      <c r="B148" s="161"/>
      <c r="C148" s="30"/>
      <c r="D148" s="30"/>
      <c r="E148" s="30"/>
      <c r="F148" s="30"/>
      <c r="G148" s="30"/>
      <c r="H148" s="30"/>
      <c r="I148" s="30"/>
      <c r="J148" s="30"/>
      <c r="K148" s="30"/>
      <c r="L148" s="30"/>
      <c r="M148" s="30"/>
      <c r="N148" s="75"/>
      <c r="O148" s="75"/>
      <c r="P148" s="30"/>
    </row>
    <row r="149">
      <c r="B149" s="161"/>
      <c r="C149" s="30"/>
      <c r="D149" s="30"/>
      <c r="E149" s="30"/>
      <c r="F149" s="30"/>
      <c r="G149" s="30"/>
      <c r="H149" s="30"/>
      <c r="I149" s="30"/>
      <c r="J149" s="30"/>
      <c r="K149" s="30"/>
      <c r="L149" s="30"/>
      <c r="M149" s="30"/>
      <c r="N149" s="75"/>
      <c r="O149" s="75"/>
      <c r="P149" s="30"/>
    </row>
    <row r="150">
      <c r="B150" s="161"/>
      <c r="C150" s="30"/>
      <c r="D150" s="30"/>
      <c r="E150" s="30"/>
      <c r="F150" s="30"/>
      <c r="G150" s="30"/>
      <c r="H150" s="30"/>
      <c r="I150" s="30"/>
      <c r="J150" s="30"/>
      <c r="K150" s="30"/>
      <c r="L150" s="30"/>
      <c r="M150" s="30"/>
      <c r="N150" s="75"/>
      <c r="O150" s="75"/>
      <c r="P150" s="30"/>
    </row>
    <row r="151">
      <c r="B151" s="161"/>
      <c r="C151" s="30"/>
      <c r="D151" s="30"/>
      <c r="E151" s="30"/>
      <c r="F151" s="30"/>
      <c r="G151" s="30"/>
      <c r="H151" s="30"/>
      <c r="I151" s="30"/>
      <c r="J151" s="30"/>
      <c r="K151" s="30"/>
      <c r="L151" s="30"/>
      <c r="M151" s="30"/>
      <c r="N151" s="75"/>
      <c r="O151" s="75"/>
      <c r="P151" s="30"/>
    </row>
    <row r="152">
      <c r="B152" s="161"/>
      <c r="C152" s="30"/>
      <c r="D152" s="30"/>
      <c r="E152" s="30"/>
      <c r="F152" s="30"/>
      <c r="G152" s="30"/>
      <c r="H152" s="30"/>
      <c r="I152" s="30"/>
      <c r="J152" s="30"/>
      <c r="K152" s="30"/>
      <c r="L152" s="30"/>
      <c r="M152" s="30"/>
      <c r="N152" s="75"/>
      <c r="O152" s="75"/>
      <c r="P152" s="30"/>
    </row>
    <row r="153">
      <c r="B153" s="161"/>
      <c r="C153" s="30"/>
      <c r="D153" s="30"/>
      <c r="E153" s="30"/>
      <c r="F153" s="30"/>
      <c r="G153" s="30"/>
      <c r="H153" s="30"/>
      <c r="I153" s="30"/>
      <c r="J153" s="30"/>
      <c r="K153" s="30"/>
      <c r="L153" s="30"/>
      <c r="M153" s="30"/>
      <c r="N153" s="75"/>
      <c r="O153" s="75"/>
      <c r="P153" s="30"/>
    </row>
    <row r="154">
      <c r="B154" s="161"/>
      <c r="C154" s="30"/>
      <c r="D154" s="30"/>
      <c r="E154" s="30"/>
      <c r="F154" s="30"/>
      <c r="G154" s="30"/>
      <c r="H154" s="30"/>
      <c r="I154" s="30"/>
      <c r="J154" s="30"/>
      <c r="K154" s="30"/>
      <c r="L154" s="30"/>
      <c r="M154" s="30"/>
      <c r="N154" s="75"/>
      <c r="O154" s="75"/>
      <c r="P154" s="30"/>
    </row>
    <row r="155">
      <c r="B155" s="161"/>
      <c r="C155" s="30"/>
      <c r="D155" s="30"/>
      <c r="E155" s="30"/>
      <c r="F155" s="30"/>
      <c r="G155" s="30"/>
      <c r="H155" s="30"/>
      <c r="I155" s="30"/>
      <c r="J155" s="30"/>
      <c r="K155" s="30"/>
      <c r="L155" s="30"/>
      <c r="M155" s="30"/>
      <c r="N155" s="75"/>
      <c r="O155" s="75"/>
      <c r="P155" s="30"/>
    </row>
    <row r="156">
      <c r="B156" s="161"/>
      <c r="C156" s="30"/>
      <c r="D156" s="30"/>
      <c r="E156" s="30"/>
      <c r="F156" s="30"/>
      <c r="G156" s="30"/>
      <c r="H156" s="30"/>
      <c r="I156" s="30"/>
      <c r="J156" s="30"/>
      <c r="K156" s="30"/>
      <c r="L156" s="30"/>
      <c r="M156" s="30"/>
      <c r="N156" s="75"/>
      <c r="O156" s="75"/>
      <c r="P156" s="30"/>
    </row>
    <row r="157">
      <c r="B157" s="161"/>
      <c r="C157" s="30"/>
      <c r="D157" s="30"/>
      <c r="E157" s="30"/>
      <c r="F157" s="30"/>
      <c r="G157" s="30"/>
      <c r="H157" s="30"/>
      <c r="I157" s="30"/>
      <c r="J157" s="30"/>
      <c r="K157" s="30"/>
      <c r="L157" s="30"/>
      <c r="M157" s="30"/>
      <c r="N157" s="75"/>
      <c r="O157" s="75"/>
      <c r="P157" s="30"/>
    </row>
    <row r="158">
      <c r="B158" s="161"/>
      <c r="C158" s="30"/>
      <c r="D158" s="30"/>
      <c r="E158" s="30"/>
      <c r="F158" s="30"/>
      <c r="G158" s="30"/>
      <c r="H158" s="30"/>
      <c r="I158" s="30"/>
      <c r="J158" s="30"/>
      <c r="K158" s="30"/>
      <c r="L158" s="30"/>
      <c r="M158" s="30"/>
      <c r="N158" s="75"/>
      <c r="O158" s="75"/>
      <c r="P158" s="30"/>
    </row>
    <row r="159">
      <c r="B159" s="161"/>
      <c r="C159" s="30"/>
      <c r="D159" s="30"/>
      <c r="E159" s="30"/>
      <c r="F159" s="30"/>
      <c r="G159" s="30"/>
      <c r="H159" s="30"/>
      <c r="I159" s="30"/>
      <c r="J159" s="30"/>
      <c r="K159" s="30"/>
      <c r="L159" s="30"/>
      <c r="M159" s="30"/>
      <c r="N159" s="75"/>
      <c r="O159" s="75"/>
      <c r="P159" s="30"/>
    </row>
    <row r="160">
      <c r="B160" s="161"/>
      <c r="C160" s="30"/>
      <c r="D160" s="30"/>
      <c r="E160" s="30"/>
      <c r="F160" s="30"/>
      <c r="G160" s="30"/>
      <c r="H160" s="30"/>
      <c r="I160" s="30"/>
      <c r="J160" s="30"/>
      <c r="K160" s="30"/>
      <c r="L160" s="30"/>
      <c r="M160" s="30"/>
      <c r="N160" s="75"/>
      <c r="O160" s="75"/>
      <c r="P160" s="30"/>
    </row>
    <row r="161">
      <c r="B161" s="161"/>
      <c r="C161" s="30"/>
      <c r="D161" s="30"/>
      <c r="E161" s="30"/>
      <c r="F161" s="30"/>
      <c r="G161" s="30"/>
      <c r="H161" s="30"/>
      <c r="I161" s="30"/>
      <c r="J161" s="30"/>
      <c r="K161" s="30"/>
      <c r="L161" s="30"/>
      <c r="M161" s="30"/>
      <c r="N161" s="75"/>
      <c r="O161" s="75"/>
      <c r="P161" s="30"/>
    </row>
    <row r="162">
      <c r="B162" s="161"/>
      <c r="C162" s="30"/>
      <c r="D162" s="30"/>
      <c r="E162" s="30"/>
      <c r="F162" s="30"/>
      <c r="G162" s="30"/>
      <c r="H162" s="30"/>
      <c r="I162" s="30"/>
      <c r="J162" s="30"/>
      <c r="K162" s="30"/>
      <c r="L162" s="30"/>
      <c r="M162" s="30"/>
      <c r="N162" s="75"/>
      <c r="O162" s="75"/>
      <c r="P162" s="30"/>
    </row>
    <row r="163">
      <c r="B163" s="161"/>
      <c r="C163" s="30"/>
      <c r="D163" s="30"/>
      <c r="E163" s="30"/>
      <c r="F163" s="30"/>
      <c r="G163" s="30"/>
      <c r="H163" s="30"/>
      <c r="I163" s="30"/>
      <c r="J163" s="30"/>
      <c r="K163" s="30"/>
      <c r="L163" s="30"/>
      <c r="M163" s="30"/>
      <c r="N163" s="75"/>
      <c r="O163" s="75"/>
      <c r="P163" s="30"/>
    </row>
    <row r="164">
      <c r="B164" s="161"/>
      <c r="C164" s="30"/>
      <c r="D164" s="30"/>
      <c r="E164" s="30"/>
      <c r="F164" s="30"/>
      <c r="G164" s="30"/>
      <c r="H164" s="30"/>
      <c r="I164" s="30"/>
      <c r="J164" s="30"/>
      <c r="K164" s="30"/>
      <c r="L164" s="30"/>
      <c r="M164" s="30"/>
      <c r="N164" s="75"/>
      <c r="O164" s="75"/>
      <c r="P164" s="30"/>
    </row>
    <row r="165">
      <c r="B165" s="161"/>
      <c r="C165" s="30"/>
      <c r="D165" s="30"/>
      <c r="E165" s="30"/>
      <c r="F165" s="30"/>
      <c r="G165" s="30"/>
      <c r="H165" s="30"/>
      <c r="I165" s="30"/>
      <c r="J165" s="30"/>
      <c r="K165" s="30"/>
      <c r="L165" s="30"/>
      <c r="M165" s="30"/>
      <c r="N165" s="75"/>
      <c r="O165" s="75"/>
      <c r="P165" s="30"/>
    </row>
    <row r="166">
      <c r="B166" s="161"/>
      <c r="C166" s="30"/>
      <c r="D166" s="30"/>
      <c r="E166" s="30"/>
      <c r="F166" s="30"/>
      <c r="G166" s="30"/>
      <c r="H166" s="30"/>
      <c r="I166" s="30"/>
      <c r="J166" s="30"/>
      <c r="K166" s="30"/>
      <c r="L166" s="30"/>
      <c r="M166" s="30"/>
      <c r="N166" s="75"/>
      <c r="O166" s="75"/>
      <c r="P166" s="30"/>
    </row>
    <row r="167">
      <c r="B167" s="161"/>
      <c r="C167" s="30"/>
      <c r="D167" s="30"/>
      <c r="E167" s="30"/>
      <c r="F167" s="30"/>
      <c r="G167" s="30"/>
      <c r="H167" s="30"/>
      <c r="I167" s="30"/>
      <c r="J167" s="30"/>
      <c r="K167" s="30"/>
      <c r="L167" s="30"/>
      <c r="M167" s="30"/>
      <c r="N167" s="75"/>
      <c r="O167" s="75"/>
      <c r="P167" s="30"/>
    </row>
    <row r="168">
      <c r="B168" s="161"/>
      <c r="C168" s="30"/>
      <c r="D168" s="30"/>
      <c r="E168" s="30"/>
      <c r="F168" s="30"/>
      <c r="G168" s="30"/>
      <c r="H168" s="30"/>
      <c r="I168" s="30"/>
      <c r="J168" s="30"/>
      <c r="K168" s="30"/>
      <c r="L168" s="30"/>
      <c r="M168" s="30"/>
      <c r="N168" s="75"/>
      <c r="O168" s="75"/>
      <c r="P168" s="30"/>
    </row>
    <row r="169">
      <c r="B169" s="161"/>
      <c r="C169" s="30"/>
      <c r="D169" s="30"/>
      <c r="E169" s="30"/>
      <c r="F169" s="30"/>
      <c r="G169" s="30"/>
      <c r="H169" s="30"/>
      <c r="I169" s="30"/>
      <c r="J169" s="30"/>
      <c r="K169" s="30"/>
      <c r="L169" s="30"/>
      <c r="M169" s="30"/>
      <c r="N169" s="75"/>
      <c r="O169" s="75"/>
      <c r="P169" s="30"/>
    </row>
    <row r="170">
      <c r="B170" s="161"/>
      <c r="C170" s="30"/>
      <c r="D170" s="30"/>
      <c r="E170" s="30"/>
      <c r="F170" s="30"/>
      <c r="G170" s="30"/>
      <c r="H170" s="30"/>
      <c r="I170" s="30"/>
      <c r="J170" s="30"/>
      <c r="K170" s="30"/>
      <c r="L170" s="30"/>
      <c r="M170" s="30"/>
      <c r="N170" s="75"/>
      <c r="O170" s="75"/>
      <c r="P170" s="30"/>
    </row>
    <row r="171">
      <c r="B171" s="161"/>
      <c r="C171" s="30"/>
      <c r="D171" s="30"/>
      <c r="E171" s="30"/>
      <c r="F171" s="30"/>
      <c r="G171" s="30"/>
      <c r="H171" s="30"/>
      <c r="I171" s="30"/>
      <c r="J171" s="30"/>
      <c r="K171" s="30"/>
      <c r="L171" s="30"/>
      <c r="M171" s="30"/>
      <c r="N171" s="75"/>
      <c r="O171" s="75"/>
      <c r="P171" s="30"/>
    </row>
    <row r="172">
      <c r="B172" s="161"/>
      <c r="C172" s="30"/>
      <c r="D172" s="30"/>
      <c r="E172" s="30"/>
      <c r="F172" s="30"/>
      <c r="G172" s="30"/>
      <c r="H172" s="30"/>
      <c r="I172" s="30"/>
      <c r="J172" s="30"/>
      <c r="K172" s="30"/>
      <c r="L172" s="30"/>
      <c r="M172" s="30"/>
      <c r="N172" s="75"/>
      <c r="O172" s="75"/>
      <c r="P172" s="30"/>
    </row>
    <row r="173">
      <c r="B173" s="161"/>
      <c r="C173" s="30"/>
      <c r="D173" s="30"/>
      <c r="E173" s="30"/>
      <c r="F173" s="30"/>
      <c r="G173" s="30"/>
      <c r="H173" s="30"/>
      <c r="I173" s="30"/>
      <c r="J173" s="30"/>
      <c r="K173" s="30"/>
      <c r="L173" s="30"/>
      <c r="M173" s="30"/>
      <c r="N173" s="75"/>
      <c r="O173" s="75"/>
      <c r="P173" s="30"/>
    </row>
    <row r="174">
      <c r="B174" s="161"/>
      <c r="C174" s="30"/>
      <c r="D174" s="30"/>
      <c r="E174" s="30"/>
      <c r="F174" s="30"/>
      <c r="G174" s="30"/>
      <c r="H174" s="30"/>
      <c r="I174" s="30"/>
      <c r="J174" s="30"/>
      <c r="K174" s="30"/>
      <c r="L174" s="30"/>
      <c r="M174" s="30"/>
      <c r="N174" s="75"/>
      <c r="O174" s="75"/>
      <c r="P174" s="30"/>
    </row>
    <row r="175">
      <c r="B175" s="161"/>
      <c r="C175" s="30"/>
      <c r="D175" s="30"/>
      <c r="E175" s="30"/>
      <c r="F175" s="30"/>
      <c r="G175" s="30"/>
      <c r="H175" s="30"/>
      <c r="I175" s="30"/>
      <c r="J175" s="30"/>
      <c r="K175" s="30"/>
      <c r="L175" s="30"/>
      <c r="M175" s="30"/>
      <c r="N175" s="75"/>
      <c r="O175" s="75"/>
      <c r="P175" s="30"/>
    </row>
    <row r="176">
      <c r="B176" s="161"/>
      <c r="C176" s="30"/>
      <c r="D176" s="30"/>
      <c r="E176" s="30"/>
      <c r="F176" s="30"/>
      <c r="G176" s="30"/>
      <c r="H176" s="30"/>
      <c r="I176" s="30"/>
      <c r="J176" s="30"/>
      <c r="K176" s="30"/>
      <c r="L176" s="30"/>
      <c r="M176" s="30"/>
      <c r="N176" s="75"/>
      <c r="O176" s="75"/>
      <c r="P176" s="30"/>
    </row>
    <row r="177">
      <c r="B177" s="161"/>
      <c r="C177" s="30"/>
      <c r="D177" s="30"/>
      <c r="E177" s="30"/>
      <c r="F177" s="30"/>
      <c r="G177" s="30"/>
      <c r="H177" s="30"/>
      <c r="I177" s="30"/>
      <c r="J177" s="30"/>
      <c r="K177" s="30"/>
      <c r="L177" s="30"/>
      <c r="M177" s="30"/>
      <c r="N177" s="75"/>
      <c r="O177" s="75"/>
      <c r="P177" s="30"/>
    </row>
    <row r="178">
      <c r="B178" s="161"/>
      <c r="C178" s="30"/>
      <c r="D178" s="30"/>
      <c r="E178" s="30"/>
      <c r="F178" s="30"/>
      <c r="G178" s="30"/>
      <c r="H178" s="30"/>
      <c r="I178" s="30"/>
      <c r="J178" s="30"/>
      <c r="K178" s="30"/>
      <c r="L178" s="30"/>
      <c r="M178" s="30"/>
      <c r="N178" s="75"/>
      <c r="O178" s="75"/>
      <c r="P178" s="30"/>
    </row>
    <row r="179">
      <c r="B179" s="161"/>
      <c r="C179" s="30"/>
      <c r="D179" s="30"/>
      <c r="E179" s="30"/>
      <c r="F179" s="30"/>
      <c r="G179" s="30"/>
      <c r="H179" s="30"/>
      <c r="I179" s="30"/>
      <c r="J179" s="30"/>
      <c r="K179" s="30"/>
      <c r="L179" s="30"/>
      <c r="M179" s="30"/>
      <c r="N179" s="75"/>
      <c r="O179" s="75"/>
      <c r="P179" s="30"/>
    </row>
    <row r="180">
      <c r="B180" s="161"/>
      <c r="C180" s="30"/>
      <c r="D180" s="30"/>
      <c r="E180" s="30"/>
      <c r="F180" s="30"/>
      <c r="G180" s="30"/>
      <c r="H180" s="30"/>
      <c r="I180" s="30"/>
      <c r="J180" s="30"/>
      <c r="K180" s="30"/>
      <c r="L180" s="30"/>
      <c r="M180" s="30"/>
      <c r="N180" s="75"/>
      <c r="O180" s="75"/>
      <c r="P180" s="30"/>
    </row>
    <row r="181">
      <c r="B181" s="161"/>
      <c r="C181" s="30"/>
      <c r="D181" s="30"/>
      <c r="E181" s="30"/>
      <c r="F181" s="30"/>
      <c r="G181" s="30"/>
      <c r="H181" s="30"/>
      <c r="I181" s="30"/>
      <c r="J181" s="30"/>
      <c r="K181" s="30"/>
      <c r="L181" s="30"/>
      <c r="M181" s="30"/>
      <c r="N181" s="75"/>
      <c r="O181" s="75"/>
      <c r="P181" s="30"/>
    </row>
    <row r="182">
      <c r="B182" s="161"/>
      <c r="C182" s="30"/>
      <c r="D182" s="30"/>
      <c r="E182" s="30"/>
      <c r="F182" s="30"/>
      <c r="G182" s="30"/>
      <c r="H182" s="30"/>
      <c r="I182" s="30"/>
      <c r="J182" s="30"/>
      <c r="K182" s="30"/>
      <c r="L182" s="30"/>
      <c r="M182" s="30"/>
      <c r="N182" s="75"/>
      <c r="O182" s="75"/>
      <c r="P182" s="30"/>
    </row>
    <row r="183">
      <c r="B183" s="161"/>
      <c r="C183" s="30"/>
      <c r="D183" s="30"/>
      <c r="E183" s="30"/>
      <c r="F183" s="30"/>
      <c r="G183" s="30"/>
      <c r="H183" s="30"/>
      <c r="I183" s="30"/>
      <c r="J183" s="30"/>
      <c r="K183" s="30"/>
      <c r="L183" s="30"/>
      <c r="M183" s="30"/>
      <c r="N183" s="75"/>
      <c r="O183" s="75"/>
      <c r="P183" s="30"/>
    </row>
    <row r="184">
      <c r="B184" s="161"/>
      <c r="C184" s="30"/>
      <c r="D184" s="30"/>
      <c r="E184" s="30"/>
      <c r="F184" s="30"/>
      <c r="G184" s="30"/>
      <c r="H184" s="30"/>
      <c r="I184" s="30"/>
      <c r="J184" s="30"/>
      <c r="K184" s="30"/>
      <c r="L184" s="30"/>
      <c r="M184" s="30"/>
      <c r="N184" s="75"/>
      <c r="O184" s="75"/>
      <c r="P184" s="30"/>
    </row>
    <row r="185">
      <c r="B185" s="161"/>
      <c r="C185" s="30"/>
      <c r="D185" s="30"/>
      <c r="E185" s="30"/>
      <c r="F185" s="30"/>
      <c r="G185" s="30"/>
      <c r="H185" s="30"/>
      <c r="I185" s="30"/>
      <c r="J185" s="30"/>
      <c r="K185" s="30"/>
      <c r="L185" s="30"/>
      <c r="M185" s="30"/>
      <c r="N185" s="75"/>
      <c r="O185" s="75"/>
      <c r="P185" s="30"/>
    </row>
    <row r="186">
      <c r="B186" s="161"/>
      <c r="C186" s="30"/>
      <c r="D186" s="30"/>
      <c r="E186" s="30"/>
      <c r="F186" s="30"/>
      <c r="G186" s="30"/>
      <c r="H186" s="30"/>
      <c r="I186" s="30"/>
      <c r="J186" s="30"/>
      <c r="K186" s="30"/>
      <c r="L186" s="30"/>
      <c r="M186" s="30"/>
      <c r="N186" s="75"/>
      <c r="O186" s="75"/>
      <c r="P186" s="30"/>
    </row>
    <row r="187">
      <c r="B187" s="161"/>
      <c r="C187" s="30"/>
      <c r="D187" s="30"/>
      <c r="E187" s="30"/>
      <c r="F187" s="30"/>
      <c r="G187" s="30"/>
      <c r="H187" s="30"/>
      <c r="I187" s="30"/>
      <c r="J187" s="30"/>
      <c r="K187" s="30"/>
      <c r="L187" s="30"/>
      <c r="M187" s="30"/>
      <c r="N187" s="75"/>
      <c r="O187" s="75"/>
      <c r="P187" s="30"/>
    </row>
    <row r="188">
      <c r="B188" s="161"/>
      <c r="C188" s="30"/>
      <c r="D188" s="30"/>
      <c r="E188" s="30"/>
      <c r="F188" s="30"/>
      <c r="G188" s="30"/>
      <c r="H188" s="30"/>
      <c r="I188" s="30"/>
      <c r="J188" s="30"/>
      <c r="K188" s="30"/>
      <c r="L188" s="30"/>
      <c r="M188" s="30"/>
      <c r="N188" s="75"/>
      <c r="O188" s="75"/>
      <c r="P188" s="30"/>
    </row>
    <row r="189">
      <c r="B189" s="161"/>
      <c r="C189" s="30"/>
      <c r="D189" s="30"/>
      <c r="E189" s="30"/>
      <c r="F189" s="30"/>
      <c r="G189" s="30"/>
      <c r="H189" s="30"/>
      <c r="I189" s="30"/>
      <c r="J189" s="30"/>
      <c r="K189" s="30"/>
      <c r="L189" s="30"/>
      <c r="M189" s="30"/>
      <c r="N189" s="75"/>
      <c r="O189" s="75"/>
      <c r="P189" s="30"/>
    </row>
    <row r="190">
      <c r="B190" s="161"/>
      <c r="C190" s="30"/>
      <c r="D190" s="30"/>
      <c r="E190" s="30"/>
      <c r="F190" s="30"/>
      <c r="G190" s="30"/>
      <c r="H190" s="30"/>
      <c r="I190" s="30"/>
      <c r="J190" s="30"/>
      <c r="K190" s="30"/>
      <c r="L190" s="30"/>
      <c r="M190" s="30"/>
      <c r="N190" s="75"/>
      <c r="O190" s="75"/>
      <c r="P190" s="30"/>
    </row>
    <row r="191">
      <c r="B191" s="161"/>
      <c r="C191" s="30"/>
      <c r="D191" s="30"/>
      <c r="E191" s="30"/>
      <c r="F191" s="30"/>
      <c r="G191" s="30"/>
      <c r="H191" s="30"/>
      <c r="I191" s="30"/>
      <c r="J191" s="30"/>
      <c r="K191" s="30"/>
      <c r="L191" s="30"/>
      <c r="M191" s="30"/>
      <c r="N191" s="75"/>
      <c r="O191" s="75"/>
      <c r="P191" s="30"/>
    </row>
    <row r="192">
      <c r="B192" s="161"/>
      <c r="C192" s="30"/>
      <c r="D192" s="30"/>
      <c r="E192" s="30"/>
      <c r="F192" s="30"/>
      <c r="G192" s="30"/>
      <c r="H192" s="30"/>
      <c r="I192" s="30"/>
      <c r="J192" s="30"/>
      <c r="K192" s="30"/>
      <c r="L192" s="30"/>
      <c r="M192" s="30"/>
      <c r="N192" s="75"/>
      <c r="O192" s="75"/>
      <c r="P192" s="30"/>
    </row>
    <row r="193">
      <c r="B193" s="161"/>
      <c r="C193" s="30"/>
      <c r="D193" s="30"/>
      <c r="E193" s="30"/>
      <c r="F193" s="30"/>
      <c r="G193" s="30"/>
      <c r="H193" s="30"/>
      <c r="I193" s="30"/>
      <c r="J193" s="30"/>
      <c r="K193" s="30"/>
      <c r="L193" s="30"/>
      <c r="M193" s="30"/>
      <c r="N193" s="75"/>
      <c r="O193" s="75"/>
      <c r="P193" s="30"/>
    </row>
    <row r="194">
      <c r="B194" s="161"/>
      <c r="C194" s="30"/>
      <c r="D194" s="30"/>
      <c r="E194" s="30"/>
      <c r="F194" s="30"/>
      <c r="G194" s="30"/>
      <c r="H194" s="30"/>
      <c r="I194" s="30"/>
      <c r="J194" s="30"/>
      <c r="K194" s="30"/>
      <c r="L194" s="30"/>
      <c r="M194" s="30"/>
      <c r="N194" s="75"/>
      <c r="O194" s="75"/>
      <c r="P194" s="30"/>
    </row>
    <row r="195">
      <c r="B195" s="161"/>
      <c r="C195" s="30"/>
      <c r="D195" s="30"/>
      <c r="E195" s="30"/>
      <c r="F195" s="30"/>
      <c r="G195" s="30"/>
      <c r="H195" s="30"/>
      <c r="I195" s="30"/>
      <c r="J195" s="30"/>
      <c r="K195" s="30"/>
      <c r="L195" s="30"/>
      <c r="M195" s="30"/>
      <c r="N195" s="75"/>
      <c r="O195" s="75"/>
      <c r="P195" s="30"/>
    </row>
    <row r="196">
      <c r="B196" s="161"/>
      <c r="C196" s="30"/>
      <c r="D196" s="30"/>
      <c r="E196" s="30"/>
      <c r="F196" s="30"/>
      <c r="G196" s="30"/>
      <c r="H196" s="30"/>
      <c r="I196" s="30"/>
      <c r="J196" s="30"/>
      <c r="K196" s="30"/>
      <c r="L196" s="30"/>
      <c r="M196" s="30"/>
      <c r="N196" s="75"/>
      <c r="O196" s="75"/>
      <c r="P196" s="30"/>
    </row>
    <row r="197">
      <c r="B197" s="161"/>
      <c r="C197" s="30"/>
      <c r="D197" s="30"/>
      <c r="E197" s="30"/>
      <c r="F197" s="30"/>
      <c r="G197" s="30"/>
      <c r="H197" s="30"/>
      <c r="I197" s="30"/>
      <c r="J197" s="30"/>
      <c r="K197" s="30"/>
      <c r="L197" s="30"/>
      <c r="M197" s="30"/>
      <c r="N197" s="75"/>
      <c r="O197" s="75"/>
      <c r="P197" s="30"/>
    </row>
    <row r="198">
      <c r="B198" s="161"/>
      <c r="C198" s="30"/>
      <c r="D198" s="30"/>
      <c r="E198" s="30"/>
      <c r="F198" s="30"/>
      <c r="G198" s="30"/>
      <c r="H198" s="30"/>
      <c r="I198" s="30"/>
      <c r="J198" s="30"/>
      <c r="K198" s="30"/>
      <c r="L198" s="30"/>
      <c r="M198" s="30"/>
      <c r="N198" s="75"/>
      <c r="O198" s="75"/>
      <c r="P198" s="30"/>
    </row>
    <row r="199">
      <c r="B199" s="161"/>
      <c r="C199" s="30"/>
      <c r="D199" s="30"/>
      <c r="E199" s="30"/>
      <c r="F199" s="30"/>
      <c r="G199" s="30"/>
      <c r="H199" s="30"/>
      <c r="I199" s="30"/>
      <c r="J199" s="30"/>
      <c r="K199" s="30"/>
      <c r="L199" s="30"/>
      <c r="M199" s="30"/>
      <c r="N199" s="75"/>
      <c r="O199" s="75"/>
      <c r="P199" s="30"/>
    </row>
    <row r="200">
      <c r="B200" s="161"/>
      <c r="C200" s="30"/>
      <c r="D200" s="30"/>
      <c r="E200" s="30"/>
      <c r="F200" s="30"/>
      <c r="G200" s="30"/>
      <c r="H200" s="30"/>
      <c r="I200" s="30"/>
      <c r="J200" s="30"/>
      <c r="K200" s="30"/>
      <c r="L200" s="30"/>
      <c r="M200" s="30"/>
      <c r="N200" s="75"/>
      <c r="O200" s="75"/>
      <c r="P200" s="30"/>
    </row>
    <row r="201">
      <c r="B201" s="161"/>
      <c r="C201" s="30"/>
      <c r="D201" s="30"/>
      <c r="E201" s="30"/>
      <c r="F201" s="30"/>
      <c r="G201" s="30"/>
      <c r="H201" s="30"/>
      <c r="I201" s="30"/>
      <c r="J201" s="30"/>
      <c r="K201" s="30"/>
      <c r="L201" s="30"/>
      <c r="M201" s="30"/>
      <c r="N201" s="75"/>
      <c r="O201" s="75"/>
      <c r="P201" s="30"/>
    </row>
    <row r="202">
      <c r="B202" s="161"/>
      <c r="C202" s="30"/>
      <c r="D202" s="30"/>
      <c r="E202" s="30"/>
      <c r="F202" s="30"/>
      <c r="G202" s="30"/>
      <c r="H202" s="30"/>
      <c r="I202" s="30"/>
      <c r="J202" s="30"/>
      <c r="K202" s="30"/>
      <c r="L202" s="30"/>
      <c r="M202" s="30"/>
      <c r="N202" s="75"/>
      <c r="O202" s="75"/>
      <c r="P202" s="30"/>
    </row>
    <row r="203">
      <c r="B203" s="161"/>
      <c r="C203" s="30"/>
      <c r="D203" s="30"/>
      <c r="E203" s="30"/>
      <c r="F203" s="30"/>
      <c r="G203" s="30"/>
      <c r="H203" s="30"/>
      <c r="I203" s="30"/>
      <c r="J203" s="30"/>
      <c r="K203" s="30"/>
      <c r="L203" s="30"/>
      <c r="M203" s="30"/>
      <c r="N203" s="75"/>
      <c r="O203" s="75"/>
      <c r="P203" s="30"/>
    </row>
    <row r="204">
      <c r="B204" s="161"/>
      <c r="C204" s="30"/>
      <c r="D204" s="30"/>
      <c r="E204" s="30"/>
      <c r="F204" s="30"/>
      <c r="G204" s="30"/>
      <c r="H204" s="30"/>
      <c r="I204" s="30"/>
      <c r="J204" s="30"/>
      <c r="K204" s="30"/>
      <c r="L204" s="30"/>
      <c r="M204" s="30"/>
      <c r="N204" s="75"/>
      <c r="O204" s="75"/>
      <c r="P204" s="30"/>
    </row>
    <row r="205">
      <c r="B205" s="161"/>
      <c r="C205" s="30"/>
      <c r="D205" s="30"/>
      <c r="E205" s="30"/>
      <c r="F205" s="30"/>
      <c r="G205" s="30"/>
      <c r="H205" s="30"/>
      <c r="I205" s="30"/>
      <c r="J205" s="30"/>
      <c r="K205" s="30"/>
      <c r="L205" s="30"/>
      <c r="M205" s="30"/>
      <c r="N205" s="75"/>
      <c r="O205" s="75"/>
      <c r="P205" s="30"/>
    </row>
    <row r="206">
      <c r="B206" s="161"/>
      <c r="C206" s="30"/>
      <c r="D206" s="30"/>
      <c r="E206" s="30"/>
      <c r="F206" s="30"/>
      <c r="G206" s="30"/>
      <c r="H206" s="30"/>
      <c r="I206" s="30"/>
      <c r="J206" s="30"/>
      <c r="K206" s="30"/>
      <c r="L206" s="30"/>
      <c r="M206" s="30"/>
      <c r="N206" s="75"/>
      <c r="O206" s="75"/>
      <c r="P206" s="30"/>
    </row>
    <row r="207">
      <c r="B207" s="161"/>
      <c r="C207" s="30"/>
      <c r="D207" s="30"/>
      <c r="E207" s="30"/>
      <c r="F207" s="30"/>
      <c r="G207" s="30"/>
      <c r="H207" s="30"/>
      <c r="I207" s="30"/>
      <c r="J207" s="30"/>
      <c r="K207" s="30"/>
      <c r="L207" s="30"/>
      <c r="M207" s="30"/>
      <c r="N207" s="75"/>
      <c r="O207" s="75"/>
      <c r="P207" s="30"/>
    </row>
    <row r="208">
      <c r="B208" s="161"/>
      <c r="C208" s="30"/>
      <c r="D208" s="30"/>
      <c r="E208" s="30"/>
      <c r="F208" s="30"/>
      <c r="G208" s="30"/>
      <c r="H208" s="30"/>
      <c r="I208" s="30"/>
      <c r="J208" s="30"/>
      <c r="K208" s="30"/>
      <c r="L208" s="30"/>
      <c r="M208" s="30"/>
      <c r="N208" s="75"/>
      <c r="O208" s="75"/>
      <c r="P208" s="30"/>
    </row>
    <row r="209">
      <c r="B209" s="161"/>
      <c r="C209" s="30"/>
      <c r="D209" s="30"/>
      <c r="E209" s="30"/>
      <c r="F209" s="30"/>
      <c r="G209" s="30"/>
      <c r="H209" s="30"/>
      <c r="I209" s="30"/>
      <c r="J209" s="30"/>
      <c r="K209" s="30"/>
      <c r="L209" s="30"/>
      <c r="M209" s="30"/>
      <c r="N209" s="75"/>
      <c r="O209" s="75"/>
      <c r="P209" s="30"/>
    </row>
    <row r="210">
      <c r="B210" s="161"/>
      <c r="C210" s="30"/>
      <c r="D210" s="30"/>
      <c r="E210" s="30"/>
      <c r="F210" s="30"/>
      <c r="G210" s="30"/>
      <c r="H210" s="30"/>
      <c r="I210" s="30"/>
      <c r="J210" s="30"/>
      <c r="K210" s="30"/>
      <c r="L210" s="30"/>
      <c r="M210" s="30"/>
      <c r="N210" s="75"/>
      <c r="O210" s="75"/>
      <c r="P210" s="30"/>
    </row>
    <row r="211">
      <c r="B211" s="161"/>
      <c r="C211" s="30"/>
      <c r="D211" s="30"/>
      <c r="E211" s="30"/>
      <c r="F211" s="30"/>
      <c r="G211" s="30"/>
      <c r="H211" s="30"/>
      <c r="I211" s="30"/>
      <c r="J211" s="30"/>
      <c r="K211" s="30"/>
      <c r="L211" s="30"/>
      <c r="M211" s="30"/>
      <c r="N211" s="75"/>
      <c r="O211" s="75"/>
      <c r="P211" s="30"/>
    </row>
    <row r="212">
      <c r="B212" s="161"/>
      <c r="C212" s="30"/>
      <c r="D212" s="30"/>
      <c r="E212" s="30"/>
      <c r="F212" s="30"/>
      <c r="G212" s="30"/>
      <c r="H212" s="30"/>
      <c r="I212" s="30"/>
      <c r="J212" s="30"/>
      <c r="K212" s="30"/>
      <c r="L212" s="30"/>
      <c r="M212" s="30"/>
      <c r="N212" s="75"/>
      <c r="O212" s="75"/>
      <c r="P212" s="30"/>
    </row>
    <row r="213">
      <c r="B213" s="161"/>
      <c r="C213" s="30"/>
      <c r="D213" s="30"/>
      <c r="E213" s="30"/>
      <c r="F213" s="30"/>
      <c r="G213" s="30"/>
      <c r="H213" s="30"/>
      <c r="I213" s="30"/>
      <c r="J213" s="30"/>
      <c r="K213" s="30"/>
      <c r="L213" s="30"/>
      <c r="M213" s="30"/>
      <c r="N213" s="75"/>
      <c r="O213" s="75"/>
      <c r="P213" s="30"/>
    </row>
    <row r="214">
      <c r="B214" s="161"/>
      <c r="C214" s="30"/>
      <c r="D214" s="30"/>
      <c r="E214" s="30"/>
      <c r="F214" s="30"/>
      <c r="G214" s="30"/>
      <c r="H214" s="30"/>
      <c r="I214" s="30"/>
      <c r="J214" s="30"/>
      <c r="K214" s="30"/>
      <c r="L214" s="30"/>
      <c r="M214" s="30"/>
      <c r="N214" s="75"/>
      <c r="O214" s="75"/>
      <c r="P214" s="30"/>
    </row>
    <row r="215">
      <c r="B215" s="161"/>
      <c r="C215" s="30"/>
      <c r="D215" s="30"/>
      <c r="E215" s="30"/>
      <c r="F215" s="30"/>
      <c r="G215" s="30"/>
      <c r="H215" s="30"/>
      <c r="I215" s="30"/>
      <c r="J215" s="30"/>
      <c r="K215" s="30"/>
      <c r="L215" s="30"/>
      <c r="M215" s="30"/>
      <c r="N215" s="75"/>
      <c r="O215" s="75"/>
      <c r="P215" s="30"/>
    </row>
    <row r="216">
      <c r="B216" s="161"/>
      <c r="C216" s="30"/>
      <c r="D216" s="30"/>
      <c r="E216" s="30"/>
      <c r="F216" s="30"/>
      <c r="G216" s="30"/>
      <c r="H216" s="30"/>
      <c r="I216" s="30"/>
      <c r="J216" s="30"/>
      <c r="K216" s="30"/>
      <c r="L216" s="30"/>
      <c r="M216" s="30"/>
      <c r="N216" s="75"/>
      <c r="O216" s="75"/>
      <c r="P216" s="30"/>
    </row>
    <row r="217">
      <c r="B217" s="161"/>
      <c r="C217" s="30"/>
      <c r="D217" s="30"/>
      <c r="E217" s="30"/>
      <c r="F217" s="30"/>
      <c r="G217" s="30"/>
      <c r="H217" s="30"/>
      <c r="I217" s="30"/>
      <c r="J217" s="30"/>
      <c r="K217" s="30"/>
      <c r="L217" s="30"/>
      <c r="M217" s="30"/>
      <c r="N217" s="75"/>
      <c r="O217" s="75"/>
      <c r="P217" s="30"/>
    </row>
    <row r="218">
      <c r="B218" s="161"/>
      <c r="C218" s="30"/>
      <c r="D218" s="30"/>
      <c r="E218" s="30"/>
      <c r="F218" s="30"/>
      <c r="G218" s="30"/>
      <c r="H218" s="30"/>
      <c r="I218" s="30"/>
      <c r="J218" s="30"/>
      <c r="K218" s="30"/>
      <c r="L218" s="30"/>
      <c r="M218" s="30"/>
      <c r="N218" s="75"/>
      <c r="O218" s="75"/>
      <c r="P218" s="30"/>
    </row>
    <row r="219">
      <c r="B219" s="161"/>
      <c r="C219" s="30"/>
      <c r="D219" s="30"/>
      <c r="E219" s="30"/>
      <c r="F219" s="30"/>
      <c r="G219" s="30"/>
      <c r="H219" s="30"/>
      <c r="I219" s="30"/>
      <c r="J219" s="30"/>
      <c r="K219" s="30"/>
      <c r="L219" s="30"/>
      <c r="M219" s="30"/>
      <c r="N219" s="75"/>
      <c r="O219" s="75"/>
      <c r="P219" s="30"/>
    </row>
    <row r="220">
      <c r="B220" s="161"/>
      <c r="C220" s="30"/>
      <c r="D220" s="30"/>
      <c r="E220" s="30"/>
      <c r="F220" s="30"/>
      <c r="G220" s="30"/>
      <c r="H220" s="30"/>
      <c r="I220" s="30"/>
      <c r="J220" s="30"/>
      <c r="K220" s="30"/>
      <c r="L220" s="30"/>
      <c r="M220" s="30"/>
      <c r="N220" s="75"/>
      <c r="O220" s="75"/>
      <c r="P220" s="30"/>
    </row>
    <row r="221">
      <c r="B221" s="161"/>
      <c r="C221" s="30"/>
      <c r="D221" s="30"/>
      <c r="E221" s="30"/>
      <c r="F221" s="30"/>
      <c r="G221" s="30"/>
      <c r="H221" s="30"/>
      <c r="I221" s="30"/>
      <c r="J221" s="30"/>
      <c r="K221" s="30"/>
      <c r="L221" s="30"/>
      <c r="M221" s="30"/>
      <c r="N221" s="75"/>
      <c r="O221" s="75"/>
      <c r="P221" s="30"/>
    </row>
    <row r="222">
      <c r="B222" s="161"/>
      <c r="C222" s="30"/>
      <c r="D222" s="30"/>
      <c r="E222" s="30"/>
      <c r="F222" s="30"/>
      <c r="G222" s="30"/>
      <c r="H222" s="30"/>
      <c r="I222" s="30"/>
      <c r="J222" s="30"/>
      <c r="K222" s="30"/>
      <c r="L222" s="30"/>
      <c r="M222" s="30"/>
      <c r="N222" s="75"/>
      <c r="O222" s="75"/>
      <c r="P222" s="30"/>
    </row>
    <row r="223">
      <c r="B223" s="161"/>
      <c r="C223" s="30"/>
      <c r="D223" s="30"/>
      <c r="E223" s="30"/>
      <c r="F223" s="30"/>
      <c r="G223" s="30"/>
      <c r="H223" s="30"/>
      <c r="I223" s="30"/>
      <c r="J223" s="30"/>
      <c r="K223" s="30"/>
      <c r="L223" s="30"/>
      <c r="M223" s="30"/>
      <c r="N223" s="75"/>
      <c r="O223" s="75"/>
      <c r="P223" s="30"/>
    </row>
    <row r="224">
      <c r="B224" s="161"/>
      <c r="C224" s="30"/>
      <c r="D224" s="30"/>
      <c r="E224" s="30"/>
      <c r="F224" s="30"/>
      <c r="G224" s="30"/>
      <c r="H224" s="30"/>
      <c r="I224" s="30"/>
      <c r="J224" s="30"/>
      <c r="K224" s="30"/>
      <c r="L224" s="30"/>
      <c r="M224" s="30"/>
      <c r="N224" s="75"/>
      <c r="O224" s="75"/>
      <c r="P224" s="30"/>
    </row>
    <row r="225">
      <c r="B225" s="161"/>
      <c r="C225" s="30"/>
      <c r="D225" s="30"/>
      <c r="E225" s="30"/>
      <c r="F225" s="30"/>
      <c r="G225" s="30"/>
      <c r="H225" s="30"/>
      <c r="I225" s="30"/>
      <c r="J225" s="30"/>
      <c r="K225" s="30"/>
      <c r="L225" s="30"/>
      <c r="M225" s="30"/>
      <c r="N225" s="75"/>
      <c r="O225" s="75"/>
      <c r="P225" s="30"/>
    </row>
    <row r="226">
      <c r="B226" s="161"/>
      <c r="C226" s="30"/>
      <c r="D226" s="30"/>
      <c r="E226" s="30"/>
      <c r="F226" s="30"/>
      <c r="G226" s="30"/>
      <c r="H226" s="30"/>
      <c r="I226" s="30"/>
      <c r="J226" s="30"/>
      <c r="K226" s="30"/>
      <c r="L226" s="30"/>
      <c r="M226" s="30"/>
      <c r="N226" s="75"/>
      <c r="O226" s="75"/>
      <c r="P226" s="30"/>
    </row>
    <row r="227">
      <c r="B227" s="161"/>
      <c r="C227" s="30"/>
      <c r="D227" s="30"/>
      <c r="E227" s="30"/>
      <c r="F227" s="30"/>
      <c r="G227" s="30"/>
      <c r="H227" s="30"/>
      <c r="I227" s="30"/>
      <c r="J227" s="30"/>
      <c r="K227" s="30"/>
      <c r="L227" s="30"/>
      <c r="M227" s="30"/>
      <c r="N227" s="75"/>
      <c r="O227" s="75"/>
      <c r="P227" s="30"/>
    </row>
    <row r="228">
      <c r="B228" s="161"/>
      <c r="C228" s="30"/>
      <c r="D228" s="30"/>
      <c r="E228" s="30"/>
      <c r="F228" s="30"/>
      <c r="G228" s="30"/>
      <c r="H228" s="30"/>
      <c r="I228" s="30"/>
      <c r="J228" s="30"/>
      <c r="K228" s="30"/>
      <c r="L228" s="30"/>
      <c r="M228" s="30"/>
      <c r="N228" s="75"/>
      <c r="O228" s="75"/>
      <c r="P228" s="30"/>
    </row>
    <row r="229">
      <c r="B229" s="161"/>
      <c r="C229" s="30"/>
      <c r="D229" s="30"/>
      <c r="E229" s="30"/>
      <c r="F229" s="30"/>
      <c r="G229" s="30"/>
      <c r="H229" s="30"/>
      <c r="I229" s="30"/>
      <c r="J229" s="30"/>
      <c r="K229" s="30"/>
      <c r="L229" s="30"/>
      <c r="M229" s="30"/>
      <c r="N229" s="75"/>
      <c r="O229" s="75"/>
      <c r="P229" s="30"/>
    </row>
    <row r="230">
      <c r="B230" s="161"/>
      <c r="C230" s="30"/>
      <c r="D230" s="30"/>
      <c r="E230" s="30"/>
      <c r="F230" s="30"/>
      <c r="G230" s="30"/>
      <c r="H230" s="30"/>
      <c r="I230" s="30"/>
      <c r="J230" s="30"/>
      <c r="K230" s="30"/>
      <c r="L230" s="30"/>
      <c r="M230" s="30"/>
      <c r="N230" s="75"/>
      <c r="O230" s="75"/>
      <c r="P230" s="30"/>
    </row>
    <row r="231">
      <c r="B231" s="161"/>
      <c r="C231" s="30"/>
      <c r="D231" s="30"/>
      <c r="E231" s="30"/>
      <c r="F231" s="30"/>
      <c r="G231" s="30"/>
      <c r="H231" s="30"/>
      <c r="I231" s="30"/>
      <c r="J231" s="30"/>
      <c r="K231" s="30"/>
      <c r="L231" s="30"/>
      <c r="M231" s="30"/>
      <c r="N231" s="75"/>
      <c r="O231" s="75"/>
      <c r="P231" s="30"/>
    </row>
    <row r="232">
      <c r="B232" s="161"/>
      <c r="C232" s="30"/>
      <c r="D232" s="30"/>
      <c r="E232" s="30"/>
      <c r="F232" s="30"/>
      <c r="G232" s="30"/>
      <c r="H232" s="30"/>
      <c r="I232" s="30"/>
      <c r="J232" s="30"/>
      <c r="K232" s="30"/>
      <c r="L232" s="30"/>
      <c r="M232" s="30"/>
      <c r="N232" s="75"/>
      <c r="O232" s="75"/>
      <c r="P232" s="30"/>
    </row>
    <row r="233">
      <c r="B233" s="161"/>
      <c r="C233" s="30"/>
      <c r="D233" s="30"/>
      <c r="E233" s="30"/>
      <c r="F233" s="30"/>
      <c r="G233" s="30"/>
      <c r="H233" s="30"/>
      <c r="I233" s="30"/>
      <c r="J233" s="30"/>
      <c r="K233" s="30"/>
      <c r="L233" s="30"/>
      <c r="M233" s="30"/>
      <c r="N233" s="75"/>
      <c r="O233" s="75"/>
      <c r="P233" s="30"/>
    </row>
    <row r="234">
      <c r="B234" s="161"/>
      <c r="C234" s="30"/>
      <c r="D234" s="30"/>
      <c r="E234" s="30"/>
      <c r="F234" s="30"/>
      <c r="G234" s="30"/>
      <c r="H234" s="30"/>
      <c r="I234" s="30"/>
      <c r="J234" s="30"/>
      <c r="K234" s="30"/>
      <c r="L234" s="30"/>
      <c r="M234" s="30"/>
      <c r="N234" s="75"/>
      <c r="O234" s="75"/>
      <c r="P234" s="30"/>
    </row>
    <row r="235">
      <c r="B235" s="161"/>
      <c r="C235" s="30"/>
      <c r="D235" s="30"/>
      <c r="E235" s="30"/>
      <c r="F235" s="30"/>
      <c r="G235" s="30"/>
      <c r="H235" s="30"/>
      <c r="I235" s="30"/>
      <c r="J235" s="30"/>
      <c r="K235" s="30"/>
      <c r="L235" s="30"/>
      <c r="M235" s="30"/>
      <c r="N235" s="75"/>
      <c r="O235" s="75"/>
      <c r="P235" s="30"/>
    </row>
    <row r="236">
      <c r="B236" s="161"/>
      <c r="C236" s="30"/>
      <c r="D236" s="30"/>
      <c r="E236" s="30"/>
      <c r="F236" s="30"/>
      <c r="G236" s="30"/>
      <c r="H236" s="30"/>
      <c r="I236" s="30"/>
      <c r="J236" s="30"/>
      <c r="K236" s="30"/>
      <c r="L236" s="30"/>
      <c r="M236" s="30"/>
      <c r="N236" s="75"/>
      <c r="O236" s="75"/>
      <c r="P236" s="30"/>
    </row>
    <row r="237">
      <c r="B237" s="161"/>
      <c r="C237" s="30"/>
      <c r="D237" s="30"/>
      <c r="E237" s="30"/>
      <c r="F237" s="30"/>
      <c r="G237" s="30"/>
      <c r="H237" s="30"/>
      <c r="I237" s="30"/>
      <c r="J237" s="30"/>
      <c r="K237" s="30"/>
      <c r="L237" s="30"/>
      <c r="M237" s="30"/>
      <c r="N237" s="75"/>
      <c r="O237" s="75"/>
      <c r="P237" s="30"/>
    </row>
    <row r="238">
      <c r="B238" s="161"/>
      <c r="C238" s="30"/>
      <c r="D238" s="30"/>
      <c r="E238" s="30"/>
      <c r="F238" s="30"/>
      <c r="G238" s="30"/>
      <c r="H238" s="30"/>
      <c r="I238" s="30"/>
      <c r="J238" s="30"/>
      <c r="K238" s="30"/>
      <c r="L238" s="30"/>
      <c r="M238" s="30"/>
      <c r="N238" s="75"/>
      <c r="O238" s="75"/>
      <c r="P238" s="30"/>
    </row>
    <row r="239">
      <c r="B239" s="161"/>
      <c r="C239" s="30"/>
      <c r="D239" s="30"/>
      <c r="E239" s="30"/>
      <c r="F239" s="30"/>
      <c r="G239" s="30"/>
      <c r="H239" s="30"/>
      <c r="I239" s="30"/>
      <c r="J239" s="30"/>
      <c r="K239" s="30"/>
      <c r="L239" s="30"/>
      <c r="M239" s="30"/>
      <c r="N239" s="75"/>
      <c r="O239" s="75"/>
      <c r="P239" s="30"/>
    </row>
    <row r="240">
      <c r="B240" s="161"/>
      <c r="C240" s="30"/>
      <c r="D240" s="30"/>
      <c r="E240" s="30"/>
      <c r="F240" s="30"/>
      <c r="G240" s="30"/>
      <c r="H240" s="30"/>
      <c r="I240" s="30"/>
      <c r="J240" s="30"/>
      <c r="K240" s="30"/>
      <c r="L240" s="30"/>
      <c r="M240" s="30"/>
      <c r="N240" s="75"/>
      <c r="O240" s="75"/>
      <c r="P240" s="30"/>
    </row>
    <row r="241">
      <c r="B241" s="161"/>
      <c r="C241" s="30"/>
      <c r="D241" s="30"/>
      <c r="E241" s="30"/>
      <c r="F241" s="30"/>
      <c r="G241" s="30"/>
      <c r="H241" s="30"/>
      <c r="I241" s="30"/>
      <c r="J241" s="30"/>
      <c r="K241" s="30"/>
      <c r="L241" s="30"/>
      <c r="M241" s="30"/>
      <c r="N241" s="75"/>
      <c r="O241" s="75"/>
      <c r="P241" s="30"/>
    </row>
    <row r="242">
      <c r="B242" s="161"/>
      <c r="C242" s="30"/>
      <c r="D242" s="30"/>
      <c r="E242" s="30"/>
      <c r="F242" s="30"/>
      <c r="G242" s="30"/>
      <c r="H242" s="30"/>
      <c r="I242" s="30"/>
      <c r="J242" s="30"/>
      <c r="K242" s="30"/>
      <c r="L242" s="30"/>
      <c r="M242" s="30"/>
      <c r="N242" s="75"/>
      <c r="O242" s="75"/>
      <c r="P242" s="30"/>
    </row>
    <row r="243">
      <c r="B243" s="161"/>
      <c r="C243" s="30"/>
      <c r="D243" s="30"/>
      <c r="E243" s="30"/>
      <c r="F243" s="30"/>
      <c r="G243" s="30"/>
      <c r="H243" s="30"/>
      <c r="I243" s="30"/>
      <c r="J243" s="30"/>
      <c r="K243" s="30"/>
      <c r="L243" s="30"/>
      <c r="M243" s="30"/>
      <c r="N243" s="75"/>
      <c r="O243" s="75"/>
      <c r="P243" s="30"/>
    </row>
    <row r="244">
      <c r="B244" s="161"/>
      <c r="C244" s="30"/>
      <c r="D244" s="30"/>
      <c r="E244" s="30"/>
      <c r="F244" s="30"/>
      <c r="G244" s="30"/>
      <c r="H244" s="30"/>
      <c r="I244" s="30"/>
      <c r="J244" s="30"/>
      <c r="K244" s="30"/>
      <c r="L244" s="30"/>
      <c r="M244" s="30"/>
      <c r="N244" s="75"/>
      <c r="O244" s="75"/>
      <c r="P244" s="30"/>
    </row>
    <row r="245">
      <c r="B245" s="161"/>
      <c r="C245" s="30"/>
      <c r="D245" s="30"/>
      <c r="E245" s="30"/>
      <c r="F245" s="30"/>
      <c r="G245" s="30"/>
      <c r="H245" s="30"/>
      <c r="I245" s="30"/>
      <c r="J245" s="30"/>
      <c r="K245" s="30"/>
      <c r="L245" s="30"/>
      <c r="M245" s="30"/>
      <c r="N245" s="75"/>
      <c r="O245" s="75"/>
      <c r="P245" s="30"/>
    </row>
    <row r="246">
      <c r="B246" s="161"/>
      <c r="C246" s="30"/>
      <c r="D246" s="30"/>
      <c r="E246" s="30"/>
      <c r="F246" s="30"/>
      <c r="G246" s="30"/>
      <c r="H246" s="30"/>
      <c r="I246" s="30"/>
      <c r="J246" s="30"/>
      <c r="K246" s="30"/>
      <c r="L246" s="30"/>
      <c r="M246" s="30"/>
      <c r="N246" s="75"/>
      <c r="O246" s="75"/>
      <c r="P246" s="30"/>
    </row>
    <row r="247">
      <c r="B247" s="161"/>
      <c r="C247" s="30"/>
      <c r="D247" s="30"/>
      <c r="E247" s="30"/>
      <c r="F247" s="30"/>
      <c r="G247" s="30"/>
      <c r="H247" s="30"/>
      <c r="I247" s="30"/>
      <c r="J247" s="30"/>
      <c r="K247" s="30"/>
      <c r="L247" s="30"/>
      <c r="M247" s="30"/>
      <c r="N247" s="75"/>
      <c r="O247" s="75"/>
      <c r="P247" s="30"/>
    </row>
    <row r="248">
      <c r="B248" s="161"/>
      <c r="C248" s="30"/>
      <c r="D248" s="30"/>
      <c r="E248" s="30"/>
      <c r="F248" s="30"/>
      <c r="G248" s="30"/>
      <c r="H248" s="30"/>
      <c r="I248" s="30"/>
      <c r="J248" s="30"/>
      <c r="K248" s="30"/>
      <c r="L248" s="30"/>
      <c r="M248" s="30"/>
      <c r="N248" s="75"/>
      <c r="O248" s="75"/>
      <c r="P248" s="30"/>
    </row>
    <row r="249">
      <c r="B249" s="161"/>
      <c r="C249" s="30"/>
      <c r="D249" s="30"/>
      <c r="E249" s="30"/>
      <c r="F249" s="30"/>
      <c r="G249" s="30"/>
      <c r="H249" s="30"/>
      <c r="I249" s="30"/>
      <c r="J249" s="30"/>
      <c r="K249" s="30"/>
      <c r="L249" s="30"/>
      <c r="M249" s="30"/>
      <c r="N249" s="75"/>
      <c r="O249" s="75"/>
      <c r="P249" s="30"/>
    </row>
    <row r="250">
      <c r="B250" s="161"/>
      <c r="C250" s="30"/>
      <c r="D250" s="30"/>
      <c r="E250" s="30"/>
      <c r="F250" s="30"/>
      <c r="G250" s="30"/>
      <c r="H250" s="30"/>
      <c r="I250" s="30"/>
      <c r="J250" s="30"/>
      <c r="K250" s="30"/>
      <c r="L250" s="30"/>
      <c r="M250" s="30"/>
      <c r="N250" s="75"/>
      <c r="O250" s="75"/>
      <c r="P250" s="30"/>
    </row>
    <row r="251">
      <c r="B251" s="161"/>
      <c r="C251" s="30"/>
      <c r="D251" s="30"/>
      <c r="E251" s="30"/>
      <c r="F251" s="30"/>
      <c r="G251" s="30"/>
      <c r="H251" s="30"/>
      <c r="I251" s="30"/>
      <c r="J251" s="30"/>
      <c r="K251" s="30"/>
      <c r="L251" s="30"/>
      <c r="M251" s="30"/>
      <c r="N251" s="75"/>
      <c r="O251" s="75"/>
      <c r="P251" s="30"/>
    </row>
    <row r="252">
      <c r="B252" s="161"/>
      <c r="C252" s="30"/>
      <c r="D252" s="30"/>
      <c r="E252" s="30"/>
      <c r="F252" s="30"/>
      <c r="G252" s="30"/>
      <c r="H252" s="30"/>
      <c r="I252" s="30"/>
      <c r="J252" s="30"/>
      <c r="K252" s="30"/>
      <c r="L252" s="30"/>
      <c r="M252" s="30"/>
      <c r="N252" s="75"/>
      <c r="O252" s="75"/>
      <c r="P252" s="30"/>
    </row>
    <row r="253">
      <c r="B253" s="161"/>
      <c r="C253" s="30"/>
      <c r="D253" s="30"/>
      <c r="E253" s="30"/>
      <c r="F253" s="30"/>
      <c r="G253" s="30"/>
      <c r="H253" s="30"/>
      <c r="I253" s="30"/>
      <c r="J253" s="30"/>
      <c r="K253" s="30"/>
      <c r="L253" s="30"/>
      <c r="M253" s="30"/>
      <c r="N253" s="75"/>
      <c r="O253" s="75"/>
      <c r="P253" s="30"/>
    </row>
    <row r="254">
      <c r="B254" s="161"/>
      <c r="C254" s="30"/>
      <c r="D254" s="30"/>
      <c r="E254" s="30"/>
      <c r="F254" s="30"/>
      <c r="G254" s="30"/>
      <c r="H254" s="30"/>
      <c r="I254" s="30"/>
      <c r="J254" s="30"/>
      <c r="K254" s="30"/>
      <c r="L254" s="30"/>
      <c r="M254" s="30"/>
      <c r="N254" s="75"/>
      <c r="O254" s="75"/>
      <c r="P254" s="30"/>
    </row>
    <row r="255">
      <c r="B255" s="161"/>
      <c r="C255" s="30"/>
      <c r="D255" s="30"/>
      <c r="E255" s="30"/>
      <c r="F255" s="30"/>
      <c r="G255" s="30"/>
      <c r="H255" s="30"/>
      <c r="I255" s="30"/>
      <c r="J255" s="30"/>
      <c r="K255" s="30"/>
      <c r="L255" s="30"/>
      <c r="M255" s="30"/>
      <c r="N255" s="75"/>
      <c r="O255" s="75"/>
      <c r="P255" s="30"/>
    </row>
    <row r="256">
      <c r="B256" s="161"/>
      <c r="C256" s="30"/>
      <c r="D256" s="30"/>
      <c r="E256" s="30"/>
      <c r="F256" s="30"/>
      <c r="G256" s="30"/>
      <c r="H256" s="30"/>
      <c r="I256" s="30"/>
      <c r="J256" s="30"/>
      <c r="K256" s="30"/>
      <c r="L256" s="30"/>
      <c r="M256" s="30"/>
      <c r="N256" s="75"/>
      <c r="O256" s="75"/>
      <c r="P256" s="30"/>
    </row>
    <row r="257">
      <c r="B257" s="161"/>
      <c r="C257" s="30"/>
      <c r="D257" s="30"/>
      <c r="E257" s="30"/>
      <c r="F257" s="30"/>
      <c r="G257" s="30"/>
      <c r="H257" s="30"/>
      <c r="I257" s="30"/>
      <c r="J257" s="30"/>
      <c r="K257" s="30"/>
      <c r="L257" s="30"/>
      <c r="M257" s="30"/>
      <c r="N257" s="75"/>
      <c r="O257" s="75"/>
      <c r="P257" s="30"/>
    </row>
    <row r="258">
      <c r="B258" s="161"/>
      <c r="C258" s="30"/>
      <c r="D258" s="30"/>
      <c r="E258" s="30"/>
      <c r="F258" s="30"/>
      <c r="G258" s="30"/>
      <c r="H258" s="30"/>
      <c r="I258" s="30"/>
      <c r="J258" s="30"/>
      <c r="K258" s="30"/>
      <c r="L258" s="30"/>
      <c r="M258" s="30"/>
      <c r="N258" s="75"/>
      <c r="O258" s="75"/>
      <c r="P258" s="30"/>
    </row>
    <row r="259">
      <c r="B259" s="161"/>
      <c r="C259" s="30"/>
      <c r="D259" s="30"/>
      <c r="E259" s="30"/>
      <c r="F259" s="30"/>
      <c r="G259" s="30"/>
      <c r="H259" s="30"/>
      <c r="I259" s="30"/>
      <c r="J259" s="30"/>
      <c r="K259" s="30"/>
      <c r="L259" s="30"/>
      <c r="M259" s="30"/>
      <c r="N259" s="75"/>
      <c r="O259" s="75"/>
      <c r="P259" s="30"/>
    </row>
    <row r="260">
      <c r="B260" s="161"/>
      <c r="C260" s="30"/>
      <c r="D260" s="30"/>
      <c r="E260" s="30"/>
      <c r="F260" s="30"/>
      <c r="G260" s="30"/>
      <c r="H260" s="30"/>
      <c r="I260" s="30"/>
      <c r="J260" s="30"/>
      <c r="K260" s="30"/>
      <c r="L260" s="30"/>
      <c r="M260" s="30"/>
      <c r="N260" s="75"/>
      <c r="O260" s="75"/>
      <c r="P260" s="30"/>
    </row>
    <row r="261">
      <c r="B261" s="161"/>
      <c r="C261" s="30"/>
      <c r="D261" s="30"/>
      <c r="E261" s="30"/>
      <c r="F261" s="30"/>
      <c r="G261" s="30"/>
      <c r="H261" s="30"/>
      <c r="I261" s="30"/>
      <c r="J261" s="30"/>
      <c r="K261" s="30"/>
      <c r="L261" s="30"/>
      <c r="M261" s="30"/>
      <c r="N261" s="75"/>
      <c r="O261" s="75"/>
      <c r="P261" s="30"/>
    </row>
    <row r="262">
      <c r="B262" s="161"/>
      <c r="C262" s="30"/>
      <c r="D262" s="30"/>
      <c r="E262" s="30"/>
      <c r="F262" s="30"/>
      <c r="G262" s="30"/>
      <c r="H262" s="30"/>
      <c r="I262" s="30"/>
      <c r="J262" s="30"/>
      <c r="K262" s="30"/>
      <c r="L262" s="30"/>
      <c r="M262" s="30"/>
      <c r="N262" s="75"/>
      <c r="O262" s="75"/>
      <c r="P262" s="30"/>
    </row>
    <row r="263">
      <c r="B263" s="161"/>
      <c r="C263" s="30"/>
      <c r="D263" s="30"/>
      <c r="E263" s="30"/>
      <c r="F263" s="30"/>
      <c r="G263" s="30"/>
      <c r="H263" s="30"/>
      <c r="I263" s="30"/>
      <c r="J263" s="30"/>
      <c r="K263" s="30"/>
      <c r="L263" s="30"/>
      <c r="M263" s="30"/>
      <c r="N263" s="75"/>
      <c r="O263" s="75"/>
      <c r="P263" s="30"/>
    </row>
    <row r="264">
      <c r="B264" s="161"/>
      <c r="C264" s="30"/>
      <c r="D264" s="30"/>
      <c r="E264" s="30"/>
      <c r="F264" s="30"/>
      <c r="G264" s="30"/>
      <c r="H264" s="30"/>
      <c r="I264" s="30"/>
      <c r="J264" s="30"/>
      <c r="K264" s="30"/>
      <c r="L264" s="30"/>
      <c r="M264" s="30"/>
      <c r="N264" s="75"/>
      <c r="O264" s="75"/>
      <c r="P264" s="30"/>
    </row>
    <row r="265">
      <c r="B265" s="161"/>
      <c r="C265" s="30"/>
      <c r="D265" s="30"/>
      <c r="E265" s="30"/>
      <c r="F265" s="30"/>
      <c r="G265" s="30"/>
      <c r="H265" s="30"/>
      <c r="I265" s="30"/>
      <c r="J265" s="30"/>
      <c r="K265" s="30"/>
      <c r="L265" s="30"/>
      <c r="M265" s="30"/>
      <c r="N265" s="75"/>
      <c r="O265" s="75"/>
      <c r="P265" s="30"/>
    </row>
    <row r="266">
      <c r="B266" s="161"/>
      <c r="C266" s="30"/>
      <c r="D266" s="30"/>
      <c r="E266" s="30"/>
      <c r="F266" s="30"/>
      <c r="G266" s="30"/>
      <c r="H266" s="30"/>
      <c r="I266" s="30"/>
      <c r="J266" s="30"/>
      <c r="K266" s="30"/>
      <c r="L266" s="30"/>
      <c r="M266" s="30"/>
      <c r="N266" s="75"/>
      <c r="O266" s="75"/>
      <c r="P266" s="30"/>
    </row>
    <row r="267">
      <c r="B267" s="161"/>
      <c r="C267" s="30"/>
      <c r="D267" s="30"/>
      <c r="E267" s="30"/>
      <c r="F267" s="30"/>
      <c r="G267" s="30"/>
      <c r="H267" s="30"/>
      <c r="I267" s="30"/>
      <c r="J267" s="30"/>
      <c r="K267" s="30"/>
      <c r="L267" s="30"/>
      <c r="M267" s="30"/>
      <c r="N267" s="75"/>
      <c r="O267" s="75"/>
      <c r="P267" s="30"/>
    </row>
    <row r="268">
      <c r="B268" s="161"/>
      <c r="C268" s="30"/>
      <c r="D268" s="30"/>
      <c r="E268" s="30"/>
      <c r="F268" s="30"/>
      <c r="G268" s="30"/>
      <c r="H268" s="30"/>
      <c r="I268" s="30"/>
      <c r="J268" s="30"/>
      <c r="K268" s="30"/>
      <c r="L268" s="30"/>
      <c r="M268" s="30"/>
      <c r="N268" s="75"/>
      <c r="O268" s="75"/>
      <c r="P268" s="30"/>
    </row>
    <row r="269">
      <c r="B269" s="161"/>
      <c r="C269" s="30"/>
      <c r="D269" s="30"/>
      <c r="E269" s="30"/>
      <c r="F269" s="30"/>
      <c r="G269" s="30"/>
      <c r="H269" s="30"/>
      <c r="I269" s="30"/>
      <c r="J269" s="30"/>
      <c r="K269" s="30"/>
      <c r="L269" s="30"/>
      <c r="M269" s="30"/>
      <c r="N269" s="75"/>
      <c r="O269" s="75"/>
      <c r="P269" s="30"/>
    </row>
    <row r="270">
      <c r="B270" s="161"/>
      <c r="C270" s="30"/>
      <c r="D270" s="30"/>
      <c r="E270" s="30"/>
      <c r="F270" s="30"/>
      <c r="G270" s="30"/>
      <c r="H270" s="30"/>
      <c r="I270" s="30"/>
      <c r="J270" s="30"/>
      <c r="K270" s="30"/>
      <c r="L270" s="30"/>
      <c r="M270" s="30"/>
      <c r="N270" s="75"/>
      <c r="O270" s="75"/>
      <c r="P270" s="30"/>
    </row>
    <row r="271">
      <c r="B271" s="161"/>
      <c r="C271" s="30"/>
      <c r="D271" s="30"/>
      <c r="E271" s="30"/>
      <c r="F271" s="30"/>
      <c r="G271" s="30"/>
      <c r="H271" s="30"/>
      <c r="I271" s="30"/>
      <c r="J271" s="30"/>
      <c r="K271" s="30"/>
      <c r="L271" s="30"/>
      <c r="M271" s="30"/>
      <c r="N271" s="75"/>
      <c r="O271" s="75"/>
      <c r="P271" s="30"/>
    </row>
    <row r="272">
      <c r="B272" s="161"/>
      <c r="C272" s="30"/>
      <c r="D272" s="30"/>
      <c r="E272" s="30"/>
      <c r="F272" s="30"/>
      <c r="G272" s="30"/>
      <c r="H272" s="30"/>
      <c r="I272" s="30"/>
      <c r="J272" s="30"/>
      <c r="K272" s="30"/>
      <c r="L272" s="30"/>
      <c r="M272" s="30"/>
      <c r="N272" s="75"/>
      <c r="O272" s="75"/>
      <c r="P272" s="30"/>
    </row>
    <row r="273">
      <c r="B273" s="161"/>
      <c r="C273" s="30"/>
      <c r="D273" s="30"/>
      <c r="E273" s="30"/>
      <c r="F273" s="30"/>
      <c r="G273" s="30"/>
      <c r="H273" s="30"/>
      <c r="I273" s="30"/>
      <c r="J273" s="30"/>
      <c r="K273" s="30"/>
      <c r="L273" s="30"/>
      <c r="M273" s="30"/>
      <c r="N273" s="75"/>
      <c r="O273" s="75"/>
      <c r="P273" s="30"/>
    </row>
    <row r="274">
      <c r="B274" s="161"/>
      <c r="C274" s="30"/>
      <c r="D274" s="30"/>
      <c r="E274" s="30"/>
      <c r="F274" s="30"/>
      <c r="G274" s="30"/>
      <c r="H274" s="30"/>
      <c r="I274" s="30"/>
      <c r="J274" s="30"/>
      <c r="K274" s="30"/>
      <c r="L274" s="30"/>
      <c r="M274" s="30"/>
      <c r="N274" s="75"/>
      <c r="O274" s="75"/>
      <c r="P274" s="30"/>
    </row>
    <row r="275">
      <c r="B275" s="161"/>
      <c r="C275" s="30"/>
      <c r="D275" s="30"/>
      <c r="E275" s="30"/>
      <c r="F275" s="30"/>
      <c r="G275" s="30"/>
      <c r="H275" s="30"/>
      <c r="I275" s="30"/>
      <c r="J275" s="30"/>
      <c r="K275" s="30"/>
      <c r="L275" s="30"/>
      <c r="M275" s="30"/>
      <c r="N275" s="75"/>
      <c r="O275" s="75"/>
      <c r="P275" s="30"/>
    </row>
    <row r="276">
      <c r="B276" s="161"/>
      <c r="C276" s="30"/>
      <c r="D276" s="30"/>
      <c r="E276" s="30"/>
      <c r="F276" s="30"/>
      <c r="G276" s="30"/>
      <c r="H276" s="30"/>
      <c r="I276" s="30"/>
      <c r="J276" s="30"/>
      <c r="K276" s="30"/>
      <c r="L276" s="30"/>
      <c r="M276" s="30"/>
      <c r="N276" s="75"/>
      <c r="O276" s="75"/>
      <c r="P276" s="30"/>
    </row>
    <row r="277">
      <c r="B277" s="161"/>
      <c r="C277" s="30"/>
      <c r="D277" s="30"/>
      <c r="E277" s="30"/>
      <c r="F277" s="30"/>
      <c r="G277" s="30"/>
      <c r="H277" s="30"/>
      <c r="I277" s="30"/>
      <c r="J277" s="30"/>
      <c r="K277" s="30"/>
      <c r="L277" s="30"/>
      <c r="M277" s="30"/>
      <c r="N277" s="75"/>
      <c r="O277" s="75"/>
      <c r="P277" s="30"/>
    </row>
    <row r="278">
      <c r="B278" s="161"/>
      <c r="C278" s="30"/>
      <c r="D278" s="30"/>
      <c r="E278" s="30"/>
      <c r="F278" s="30"/>
      <c r="G278" s="30"/>
      <c r="H278" s="30"/>
      <c r="I278" s="30"/>
      <c r="J278" s="30"/>
      <c r="K278" s="30"/>
      <c r="L278" s="30"/>
      <c r="M278" s="30"/>
      <c r="N278" s="75"/>
      <c r="O278" s="75"/>
      <c r="P278" s="30"/>
    </row>
    <row r="279">
      <c r="B279" s="161"/>
      <c r="C279" s="30"/>
      <c r="D279" s="30"/>
      <c r="E279" s="30"/>
      <c r="F279" s="30"/>
      <c r="G279" s="30"/>
      <c r="H279" s="30"/>
      <c r="I279" s="30"/>
      <c r="J279" s="30"/>
      <c r="K279" s="30"/>
      <c r="L279" s="30"/>
      <c r="M279" s="30"/>
      <c r="N279" s="75"/>
      <c r="O279" s="75"/>
      <c r="P279" s="30"/>
    </row>
    <row r="280">
      <c r="B280" s="161"/>
      <c r="C280" s="30"/>
      <c r="D280" s="30"/>
      <c r="E280" s="30"/>
      <c r="F280" s="30"/>
      <c r="G280" s="30"/>
      <c r="H280" s="30"/>
      <c r="I280" s="30"/>
      <c r="J280" s="30"/>
      <c r="K280" s="30"/>
      <c r="L280" s="30"/>
      <c r="M280" s="30"/>
      <c r="N280" s="75"/>
      <c r="O280" s="75"/>
      <c r="P280" s="30"/>
    </row>
    <row r="281">
      <c r="B281" s="161"/>
      <c r="C281" s="30"/>
      <c r="D281" s="30"/>
      <c r="E281" s="30"/>
      <c r="F281" s="30"/>
      <c r="G281" s="30"/>
      <c r="H281" s="30"/>
      <c r="I281" s="30"/>
      <c r="J281" s="30"/>
      <c r="K281" s="30"/>
      <c r="L281" s="30"/>
      <c r="M281" s="30"/>
      <c r="N281" s="75"/>
      <c r="O281" s="75"/>
      <c r="P281" s="30"/>
    </row>
    <row r="282">
      <c r="B282" s="161"/>
      <c r="C282" s="30"/>
      <c r="D282" s="30"/>
      <c r="E282" s="30"/>
      <c r="F282" s="30"/>
      <c r="G282" s="30"/>
      <c r="H282" s="30"/>
      <c r="I282" s="30"/>
      <c r="J282" s="30"/>
      <c r="K282" s="30"/>
      <c r="L282" s="30"/>
      <c r="M282" s="30"/>
      <c r="N282" s="75"/>
      <c r="O282" s="75"/>
      <c r="P282" s="30"/>
    </row>
    <row r="283">
      <c r="B283" s="161"/>
      <c r="C283" s="30"/>
      <c r="D283" s="30"/>
      <c r="E283" s="30"/>
      <c r="F283" s="30"/>
      <c r="G283" s="30"/>
      <c r="H283" s="30"/>
      <c r="I283" s="30"/>
      <c r="J283" s="30"/>
      <c r="K283" s="30"/>
      <c r="L283" s="30"/>
      <c r="M283" s="30"/>
      <c r="N283" s="75"/>
      <c r="O283" s="75"/>
      <c r="P283" s="30"/>
    </row>
    <row r="284">
      <c r="B284" s="161"/>
      <c r="C284" s="30"/>
      <c r="D284" s="30"/>
      <c r="E284" s="30"/>
      <c r="F284" s="30"/>
      <c r="G284" s="30"/>
      <c r="H284" s="30"/>
      <c r="I284" s="30"/>
      <c r="J284" s="30"/>
      <c r="K284" s="30"/>
      <c r="L284" s="30"/>
      <c r="M284" s="30"/>
      <c r="N284" s="75"/>
      <c r="O284" s="75"/>
      <c r="P284" s="30"/>
    </row>
    <row r="285">
      <c r="B285" s="161"/>
      <c r="C285" s="30"/>
      <c r="D285" s="30"/>
      <c r="E285" s="30"/>
      <c r="F285" s="30"/>
      <c r="G285" s="30"/>
      <c r="H285" s="30"/>
      <c r="I285" s="30"/>
      <c r="J285" s="30"/>
      <c r="K285" s="30"/>
      <c r="L285" s="30"/>
      <c r="M285" s="30"/>
      <c r="N285" s="75"/>
      <c r="O285" s="75"/>
      <c r="P285" s="30"/>
    </row>
    <row r="286">
      <c r="B286" s="161"/>
      <c r="C286" s="30"/>
      <c r="D286" s="30"/>
      <c r="E286" s="30"/>
      <c r="F286" s="30"/>
      <c r="G286" s="30"/>
      <c r="H286" s="30"/>
      <c r="I286" s="30"/>
      <c r="J286" s="30"/>
      <c r="K286" s="30"/>
      <c r="L286" s="30"/>
      <c r="M286" s="30"/>
      <c r="N286" s="75"/>
      <c r="O286" s="75"/>
      <c r="P286" s="30"/>
    </row>
    <row r="287">
      <c r="B287" s="161"/>
      <c r="C287" s="30"/>
      <c r="D287" s="30"/>
      <c r="E287" s="30"/>
      <c r="F287" s="30"/>
      <c r="G287" s="30"/>
      <c r="H287" s="30"/>
      <c r="I287" s="30"/>
      <c r="J287" s="30"/>
      <c r="K287" s="30"/>
      <c r="L287" s="30"/>
      <c r="M287" s="30"/>
      <c r="N287" s="75"/>
      <c r="O287" s="75"/>
      <c r="P287" s="30"/>
    </row>
    <row r="288">
      <c r="B288" s="161"/>
      <c r="C288" s="30"/>
      <c r="D288" s="30"/>
      <c r="E288" s="30"/>
      <c r="F288" s="30"/>
      <c r="G288" s="30"/>
      <c r="H288" s="30"/>
      <c r="I288" s="30"/>
      <c r="J288" s="30"/>
      <c r="K288" s="30"/>
      <c r="L288" s="30"/>
      <c r="M288" s="30"/>
      <c r="N288" s="75"/>
      <c r="O288" s="75"/>
      <c r="P288" s="30"/>
    </row>
    <row r="289">
      <c r="B289" s="161"/>
      <c r="C289" s="30"/>
      <c r="D289" s="30"/>
      <c r="E289" s="30"/>
      <c r="F289" s="30"/>
      <c r="G289" s="30"/>
      <c r="H289" s="30"/>
      <c r="I289" s="30"/>
      <c r="J289" s="30"/>
      <c r="K289" s="30"/>
      <c r="L289" s="30"/>
      <c r="M289" s="30"/>
      <c r="N289" s="75"/>
      <c r="O289" s="75"/>
      <c r="P289" s="30"/>
    </row>
    <row r="290">
      <c r="B290" s="161"/>
      <c r="C290" s="30"/>
      <c r="D290" s="30"/>
      <c r="E290" s="30"/>
      <c r="F290" s="30"/>
      <c r="G290" s="30"/>
      <c r="H290" s="30"/>
      <c r="I290" s="30"/>
      <c r="J290" s="30"/>
      <c r="K290" s="30"/>
      <c r="L290" s="30"/>
      <c r="M290" s="30"/>
      <c r="N290" s="75"/>
      <c r="O290" s="75"/>
      <c r="P290" s="30"/>
    </row>
    <row r="291">
      <c r="B291" s="161"/>
      <c r="C291" s="30"/>
      <c r="D291" s="30"/>
      <c r="E291" s="30"/>
      <c r="F291" s="30"/>
      <c r="G291" s="30"/>
      <c r="H291" s="30"/>
      <c r="I291" s="30"/>
      <c r="J291" s="30"/>
      <c r="K291" s="30"/>
      <c r="L291" s="30"/>
      <c r="M291" s="30"/>
      <c r="N291" s="75"/>
      <c r="O291" s="75"/>
      <c r="P291" s="30"/>
    </row>
    <row r="292">
      <c r="B292" s="161"/>
      <c r="C292" s="30"/>
      <c r="D292" s="30"/>
      <c r="E292" s="30"/>
      <c r="F292" s="30"/>
      <c r="G292" s="30"/>
      <c r="H292" s="30"/>
      <c r="I292" s="30"/>
      <c r="J292" s="30"/>
      <c r="K292" s="30"/>
      <c r="L292" s="30"/>
      <c r="M292" s="30"/>
      <c r="N292" s="75"/>
      <c r="O292" s="75"/>
      <c r="P292" s="30"/>
    </row>
    <row r="293">
      <c r="B293" s="161"/>
      <c r="C293" s="30"/>
      <c r="D293" s="30"/>
      <c r="E293" s="30"/>
      <c r="F293" s="30"/>
      <c r="G293" s="30"/>
      <c r="H293" s="30"/>
      <c r="I293" s="30"/>
      <c r="J293" s="30"/>
      <c r="K293" s="30"/>
      <c r="L293" s="30"/>
      <c r="M293" s="30"/>
      <c r="N293" s="75"/>
      <c r="O293" s="75"/>
      <c r="P293" s="30"/>
    </row>
    <row r="294">
      <c r="B294" s="161"/>
      <c r="C294" s="30"/>
      <c r="D294" s="30"/>
      <c r="E294" s="30"/>
      <c r="F294" s="30"/>
      <c r="G294" s="30"/>
      <c r="H294" s="30"/>
      <c r="I294" s="30"/>
      <c r="J294" s="30"/>
      <c r="K294" s="30"/>
      <c r="L294" s="30"/>
      <c r="M294" s="30"/>
      <c r="N294" s="75"/>
      <c r="O294" s="75"/>
      <c r="P294" s="30"/>
    </row>
    <row r="295">
      <c r="B295" s="161"/>
      <c r="C295" s="30"/>
      <c r="D295" s="30"/>
      <c r="E295" s="30"/>
      <c r="F295" s="30"/>
      <c r="G295" s="30"/>
      <c r="H295" s="30"/>
      <c r="I295" s="30"/>
      <c r="J295" s="30"/>
      <c r="K295" s="30"/>
      <c r="L295" s="30"/>
      <c r="M295" s="30"/>
      <c r="N295" s="75"/>
      <c r="O295" s="75"/>
      <c r="P295" s="30"/>
    </row>
    <row r="296">
      <c r="B296" s="161"/>
      <c r="C296" s="30"/>
      <c r="D296" s="30"/>
      <c r="E296" s="30"/>
      <c r="F296" s="30"/>
      <c r="G296" s="30"/>
      <c r="H296" s="30"/>
      <c r="I296" s="30"/>
      <c r="J296" s="30"/>
      <c r="K296" s="30"/>
      <c r="L296" s="30"/>
      <c r="M296" s="30"/>
      <c r="N296" s="75"/>
      <c r="O296" s="75"/>
      <c r="P296" s="30"/>
    </row>
    <row r="297">
      <c r="B297" s="161"/>
      <c r="C297" s="30"/>
      <c r="D297" s="30"/>
      <c r="E297" s="30"/>
      <c r="F297" s="30"/>
      <c r="G297" s="30"/>
      <c r="H297" s="30"/>
      <c r="I297" s="30"/>
      <c r="J297" s="30"/>
      <c r="K297" s="30"/>
      <c r="L297" s="30"/>
      <c r="M297" s="30"/>
      <c r="N297" s="75"/>
      <c r="O297" s="75"/>
      <c r="P297" s="30"/>
    </row>
    <row r="298">
      <c r="B298" s="161"/>
      <c r="C298" s="30"/>
      <c r="D298" s="30"/>
      <c r="E298" s="30"/>
      <c r="F298" s="30"/>
      <c r="G298" s="30"/>
      <c r="H298" s="30"/>
      <c r="I298" s="30"/>
      <c r="J298" s="30"/>
      <c r="K298" s="30"/>
      <c r="L298" s="30"/>
      <c r="M298" s="30"/>
      <c r="N298" s="75"/>
      <c r="O298" s="75"/>
      <c r="P298" s="30"/>
    </row>
    <row r="299">
      <c r="B299" s="161"/>
      <c r="C299" s="30"/>
      <c r="D299" s="30"/>
      <c r="E299" s="30"/>
      <c r="F299" s="30"/>
      <c r="G299" s="30"/>
      <c r="H299" s="30"/>
      <c r="I299" s="30"/>
      <c r="J299" s="30"/>
      <c r="K299" s="30"/>
      <c r="L299" s="30"/>
      <c r="M299" s="30"/>
      <c r="N299" s="75"/>
      <c r="O299" s="75"/>
      <c r="P299" s="30"/>
    </row>
    <row r="300">
      <c r="B300" s="161"/>
      <c r="C300" s="30"/>
      <c r="D300" s="30"/>
      <c r="E300" s="30"/>
      <c r="F300" s="30"/>
      <c r="G300" s="30"/>
      <c r="H300" s="30"/>
      <c r="I300" s="30"/>
      <c r="J300" s="30"/>
      <c r="K300" s="30"/>
      <c r="L300" s="30"/>
      <c r="M300" s="30"/>
      <c r="N300" s="75"/>
      <c r="O300" s="75"/>
      <c r="P300" s="30"/>
    </row>
    <row r="301">
      <c r="B301" s="161"/>
      <c r="C301" s="30"/>
      <c r="D301" s="30"/>
      <c r="E301" s="30"/>
      <c r="F301" s="30"/>
      <c r="G301" s="30"/>
      <c r="H301" s="30"/>
      <c r="I301" s="30"/>
      <c r="J301" s="30"/>
      <c r="K301" s="30"/>
      <c r="L301" s="30"/>
      <c r="M301" s="30"/>
      <c r="N301" s="75"/>
      <c r="O301" s="75"/>
      <c r="P301" s="30"/>
    </row>
    <row r="302">
      <c r="B302" s="161"/>
      <c r="C302" s="30"/>
      <c r="D302" s="30"/>
      <c r="E302" s="30"/>
      <c r="F302" s="30"/>
      <c r="G302" s="30"/>
      <c r="H302" s="30"/>
      <c r="I302" s="30"/>
      <c r="J302" s="30"/>
      <c r="K302" s="30"/>
      <c r="L302" s="30"/>
      <c r="M302" s="30"/>
      <c r="N302" s="75"/>
      <c r="O302" s="75"/>
      <c r="P302" s="30"/>
    </row>
    <row r="303">
      <c r="B303" s="161"/>
      <c r="C303" s="30"/>
      <c r="D303" s="30"/>
      <c r="E303" s="30"/>
      <c r="F303" s="30"/>
      <c r="G303" s="30"/>
      <c r="H303" s="30"/>
      <c r="I303" s="30"/>
      <c r="J303" s="30"/>
      <c r="K303" s="30"/>
      <c r="L303" s="30"/>
      <c r="M303" s="30"/>
      <c r="N303" s="75"/>
      <c r="O303" s="75"/>
      <c r="P303" s="30"/>
    </row>
    <row r="304">
      <c r="B304" s="161"/>
      <c r="C304" s="30"/>
      <c r="D304" s="30"/>
      <c r="E304" s="30"/>
      <c r="F304" s="30"/>
      <c r="G304" s="30"/>
      <c r="H304" s="30"/>
      <c r="I304" s="30"/>
      <c r="J304" s="30"/>
      <c r="K304" s="30"/>
      <c r="L304" s="30"/>
      <c r="M304" s="30"/>
      <c r="N304" s="75"/>
      <c r="O304" s="75"/>
      <c r="P304" s="30"/>
    </row>
    <row r="305">
      <c r="B305" s="161"/>
      <c r="C305" s="30"/>
      <c r="D305" s="30"/>
      <c r="E305" s="30"/>
      <c r="F305" s="30"/>
      <c r="G305" s="30"/>
      <c r="H305" s="30"/>
      <c r="I305" s="30"/>
      <c r="J305" s="30"/>
      <c r="K305" s="30"/>
      <c r="L305" s="30"/>
      <c r="M305" s="30"/>
      <c r="N305" s="75"/>
      <c r="O305" s="75"/>
      <c r="P305" s="30"/>
    </row>
    <row r="306">
      <c r="B306" s="161"/>
      <c r="C306" s="30"/>
      <c r="D306" s="30"/>
      <c r="E306" s="30"/>
      <c r="F306" s="30"/>
      <c r="G306" s="30"/>
      <c r="H306" s="30"/>
      <c r="I306" s="30"/>
      <c r="J306" s="30"/>
      <c r="K306" s="30"/>
      <c r="L306" s="30"/>
      <c r="M306" s="30"/>
      <c r="N306" s="75"/>
      <c r="O306" s="75"/>
      <c r="P306" s="30"/>
    </row>
    <row r="307">
      <c r="B307" s="161"/>
      <c r="C307" s="30"/>
      <c r="D307" s="30"/>
      <c r="E307" s="30"/>
      <c r="F307" s="30"/>
      <c r="G307" s="30"/>
      <c r="H307" s="30"/>
      <c r="I307" s="30"/>
      <c r="J307" s="30"/>
      <c r="K307" s="30"/>
      <c r="L307" s="30"/>
      <c r="M307" s="30"/>
      <c r="N307" s="75"/>
      <c r="O307" s="75"/>
      <c r="P307" s="30"/>
    </row>
    <row r="308">
      <c r="B308" s="161"/>
      <c r="C308" s="30"/>
      <c r="D308" s="30"/>
      <c r="E308" s="30"/>
      <c r="F308" s="30"/>
      <c r="G308" s="30"/>
      <c r="H308" s="30"/>
      <c r="I308" s="30"/>
      <c r="J308" s="30"/>
      <c r="K308" s="30"/>
      <c r="L308" s="30"/>
      <c r="M308" s="30"/>
      <c r="N308" s="75"/>
      <c r="O308" s="75"/>
      <c r="P308" s="30"/>
    </row>
    <row r="309">
      <c r="B309" s="161"/>
      <c r="C309" s="30"/>
      <c r="D309" s="30"/>
      <c r="E309" s="30"/>
      <c r="F309" s="30"/>
      <c r="G309" s="30"/>
      <c r="H309" s="30"/>
      <c r="I309" s="30"/>
      <c r="J309" s="30"/>
      <c r="K309" s="30"/>
      <c r="L309" s="30"/>
      <c r="M309" s="30"/>
      <c r="N309" s="75"/>
      <c r="O309" s="75"/>
      <c r="P309" s="30"/>
    </row>
    <row r="310">
      <c r="B310" s="161"/>
      <c r="C310" s="30"/>
      <c r="D310" s="30"/>
      <c r="E310" s="30"/>
      <c r="F310" s="30"/>
      <c r="G310" s="30"/>
      <c r="H310" s="30"/>
      <c r="I310" s="30"/>
      <c r="J310" s="30"/>
      <c r="K310" s="30"/>
      <c r="L310" s="30"/>
      <c r="M310" s="30"/>
      <c r="N310" s="75"/>
      <c r="O310" s="75"/>
      <c r="P310" s="30"/>
    </row>
    <row r="311">
      <c r="B311" s="161"/>
      <c r="C311" s="30"/>
      <c r="D311" s="30"/>
      <c r="E311" s="30"/>
      <c r="F311" s="30"/>
      <c r="G311" s="30"/>
      <c r="H311" s="30"/>
      <c r="I311" s="30"/>
      <c r="J311" s="30"/>
      <c r="K311" s="30"/>
      <c r="L311" s="30"/>
      <c r="M311" s="30"/>
      <c r="N311" s="75"/>
      <c r="O311" s="75"/>
      <c r="P311" s="30"/>
    </row>
    <row r="312">
      <c r="B312" s="161"/>
      <c r="C312" s="30"/>
      <c r="D312" s="30"/>
      <c r="E312" s="30"/>
      <c r="F312" s="30"/>
      <c r="G312" s="30"/>
      <c r="H312" s="30"/>
      <c r="I312" s="30"/>
      <c r="J312" s="30"/>
      <c r="K312" s="30"/>
      <c r="L312" s="30"/>
      <c r="M312" s="30"/>
      <c r="N312" s="75"/>
      <c r="O312" s="75"/>
      <c r="P312" s="30"/>
    </row>
    <row r="313">
      <c r="B313" s="161"/>
      <c r="C313" s="30"/>
      <c r="D313" s="30"/>
      <c r="E313" s="30"/>
      <c r="F313" s="30"/>
      <c r="G313" s="30"/>
      <c r="H313" s="30"/>
      <c r="I313" s="30"/>
      <c r="J313" s="30"/>
      <c r="K313" s="30"/>
      <c r="L313" s="30"/>
      <c r="M313" s="30"/>
      <c r="N313" s="75"/>
      <c r="O313" s="75"/>
      <c r="P313" s="30"/>
    </row>
    <row r="314">
      <c r="B314" s="161"/>
      <c r="C314" s="30"/>
      <c r="D314" s="30"/>
      <c r="E314" s="30"/>
      <c r="F314" s="30"/>
      <c r="G314" s="30"/>
      <c r="H314" s="30"/>
      <c r="I314" s="30"/>
      <c r="J314" s="30"/>
      <c r="K314" s="30"/>
      <c r="L314" s="30"/>
      <c r="M314" s="30"/>
      <c r="N314" s="75"/>
      <c r="O314" s="75"/>
      <c r="P314" s="30"/>
    </row>
    <row r="315">
      <c r="B315" s="161"/>
      <c r="C315" s="30"/>
      <c r="D315" s="30"/>
      <c r="E315" s="30"/>
      <c r="F315" s="30"/>
      <c r="G315" s="30"/>
      <c r="H315" s="30"/>
      <c r="I315" s="30"/>
      <c r="J315" s="30"/>
      <c r="K315" s="30"/>
      <c r="L315" s="30"/>
      <c r="M315" s="30"/>
      <c r="N315" s="75"/>
      <c r="O315" s="75"/>
      <c r="P315" s="30"/>
    </row>
    <row r="316">
      <c r="B316" s="161"/>
      <c r="C316" s="30"/>
      <c r="D316" s="30"/>
      <c r="E316" s="30"/>
      <c r="F316" s="30"/>
      <c r="G316" s="30"/>
      <c r="H316" s="30"/>
      <c r="I316" s="30"/>
      <c r="J316" s="30"/>
      <c r="K316" s="30"/>
      <c r="L316" s="30"/>
      <c r="M316" s="30"/>
      <c r="N316" s="75"/>
      <c r="O316" s="75"/>
      <c r="P316" s="30"/>
    </row>
    <row r="317">
      <c r="B317" s="161"/>
      <c r="C317" s="30"/>
      <c r="D317" s="30"/>
      <c r="E317" s="30"/>
      <c r="F317" s="30"/>
      <c r="G317" s="30"/>
      <c r="H317" s="30"/>
      <c r="I317" s="30"/>
      <c r="J317" s="30"/>
      <c r="K317" s="30"/>
      <c r="L317" s="30"/>
      <c r="M317" s="30"/>
      <c r="N317" s="75"/>
      <c r="O317" s="75"/>
      <c r="P317" s="30"/>
    </row>
    <row r="318">
      <c r="B318" s="161"/>
      <c r="C318" s="30"/>
      <c r="D318" s="30"/>
      <c r="E318" s="30"/>
      <c r="F318" s="30"/>
      <c r="G318" s="30"/>
      <c r="H318" s="30"/>
      <c r="I318" s="30"/>
      <c r="J318" s="30"/>
      <c r="K318" s="30"/>
      <c r="L318" s="30"/>
      <c r="M318" s="30"/>
      <c r="N318" s="75"/>
      <c r="O318" s="75"/>
      <c r="P318" s="30"/>
    </row>
    <row r="319">
      <c r="B319" s="161"/>
      <c r="C319" s="30"/>
      <c r="D319" s="30"/>
      <c r="E319" s="30"/>
      <c r="F319" s="30"/>
      <c r="G319" s="30"/>
      <c r="H319" s="30"/>
      <c r="I319" s="30"/>
      <c r="J319" s="30"/>
      <c r="K319" s="30"/>
      <c r="L319" s="30"/>
      <c r="M319" s="30"/>
      <c r="N319" s="75"/>
      <c r="O319" s="75"/>
      <c r="P319" s="30"/>
    </row>
    <row r="320">
      <c r="B320" s="161"/>
      <c r="C320" s="30"/>
      <c r="D320" s="30"/>
      <c r="E320" s="30"/>
      <c r="F320" s="30"/>
      <c r="G320" s="30"/>
      <c r="H320" s="30"/>
      <c r="I320" s="30"/>
      <c r="J320" s="30"/>
      <c r="K320" s="30"/>
      <c r="L320" s="30"/>
      <c r="M320" s="30"/>
      <c r="N320" s="75"/>
      <c r="O320" s="75"/>
      <c r="P320" s="30"/>
    </row>
    <row r="321">
      <c r="B321" s="161"/>
      <c r="C321" s="30"/>
      <c r="D321" s="30"/>
      <c r="E321" s="30"/>
      <c r="F321" s="30"/>
      <c r="G321" s="30"/>
      <c r="H321" s="30"/>
      <c r="I321" s="30"/>
      <c r="J321" s="30"/>
      <c r="K321" s="30"/>
      <c r="L321" s="30"/>
      <c r="M321" s="30"/>
      <c r="N321" s="75"/>
      <c r="O321" s="75"/>
      <c r="P321" s="30"/>
    </row>
    <row r="322">
      <c r="B322" s="161"/>
      <c r="C322" s="30"/>
      <c r="D322" s="30"/>
      <c r="E322" s="30"/>
      <c r="F322" s="30"/>
      <c r="G322" s="30"/>
      <c r="H322" s="30"/>
      <c r="I322" s="30"/>
      <c r="J322" s="30"/>
      <c r="K322" s="30"/>
      <c r="L322" s="30"/>
      <c r="M322" s="30"/>
      <c r="N322" s="75"/>
      <c r="O322" s="75"/>
      <c r="P322" s="30"/>
    </row>
    <row r="323">
      <c r="B323" s="161"/>
      <c r="C323" s="30"/>
      <c r="D323" s="30"/>
      <c r="E323" s="30"/>
      <c r="F323" s="30"/>
      <c r="G323" s="30"/>
      <c r="H323" s="30"/>
      <c r="I323" s="30"/>
      <c r="J323" s="30"/>
      <c r="K323" s="30"/>
      <c r="L323" s="30"/>
      <c r="M323" s="30"/>
      <c r="N323" s="75"/>
      <c r="O323" s="75"/>
      <c r="P323" s="30"/>
    </row>
    <row r="324">
      <c r="B324" s="161"/>
      <c r="C324" s="30"/>
      <c r="D324" s="30"/>
      <c r="E324" s="30"/>
      <c r="F324" s="30"/>
      <c r="G324" s="30"/>
      <c r="H324" s="30"/>
      <c r="I324" s="30"/>
      <c r="J324" s="30"/>
      <c r="K324" s="30"/>
      <c r="L324" s="30"/>
      <c r="M324" s="30"/>
      <c r="N324" s="75"/>
      <c r="O324" s="75"/>
      <c r="P324" s="30"/>
    </row>
    <row r="325">
      <c r="B325" s="161"/>
      <c r="C325" s="30"/>
      <c r="D325" s="30"/>
      <c r="E325" s="30"/>
      <c r="F325" s="30"/>
      <c r="G325" s="30"/>
      <c r="H325" s="30"/>
      <c r="I325" s="30"/>
      <c r="J325" s="30"/>
      <c r="K325" s="30"/>
      <c r="L325" s="30"/>
      <c r="M325" s="30"/>
      <c r="N325" s="75"/>
      <c r="O325" s="75"/>
      <c r="P325" s="30"/>
    </row>
    <row r="326">
      <c r="B326" s="161"/>
      <c r="C326" s="30"/>
      <c r="D326" s="30"/>
      <c r="E326" s="30"/>
      <c r="F326" s="30"/>
      <c r="G326" s="30"/>
      <c r="H326" s="30"/>
      <c r="I326" s="30"/>
      <c r="J326" s="30"/>
      <c r="K326" s="30"/>
      <c r="L326" s="30"/>
      <c r="M326" s="30"/>
      <c r="N326" s="75"/>
      <c r="O326" s="75"/>
      <c r="P326" s="30"/>
    </row>
    <row r="327">
      <c r="B327" s="161"/>
      <c r="C327" s="30"/>
      <c r="D327" s="30"/>
      <c r="E327" s="30"/>
      <c r="F327" s="30"/>
      <c r="G327" s="30"/>
      <c r="H327" s="30"/>
      <c r="I327" s="30"/>
      <c r="J327" s="30"/>
      <c r="K327" s="30"/>
      <c r="L327" s="30"/>
      <c r="M327" s="30"/>
      <c r="N327" s="75"/>
      <c r="O327" s="75"/>
      <c r="P327" s="30"/>
    </row>
    <row r="328">
      <c r="B328" s="161"/>
      <c r="C328" s="30"/>
      <c r="D328" s="30"/>
      <c r="E328" s="30"/>
      <c r="F328" s="30"/>
      <c r="G328" s="30"/>
      <c r="H328" s="30"/>
      <c r="I328" s="30"/>
      <c r="J328" s="30"/>
      <c r="K328" s="30"/>
      <c r="L328" s="30"/>
      <c r="M328" s="30"/>
      <c r="N328" s="75"/>
      <c r="O328" s="75"/>
      <c r="P328" s="30"/>
    </row>
    <row r="329">
      <c r="B329" s="161"/>
      <c r="C329" s="30"/>
      <c r="D329" s="30"/>
      <c r="E329" s="30"/>
      <c r="F329" s="30"/>
      <c r="G329" s="30"/>
      <c r="H329" s="30"/>
      <c r="I329" s="30"/>
      <c r="J329" s="30"/>
      <c r="K329" s="30"/>
      <c r="L329" s="30"/>
      <c r="M329" s="30"/>
      <c r="N329" s="75"/>
      <c r="O329" s="75"/>
      <c r="P329" s="30"/>
    </row>
    <row r="330">
      <c r="B330" s="161"/>
      <c r="C330" s="30"/>
      <c r="D330" s="30"/>
      <c r="E330" s="30"/>
      <c r="F330" s="30"/>
      <c r="G330" s="30"/>
      <c r="H330" s="30"/>
      <c r="I330" s="30"/>
      <c r="J330" s="30"/>
      <c r="K330" s="30"/>
      <c r="L330" s="30"/>
      <c r="M330" s="30"/>
      <c r="N330" s="75"/>
      <c r="O330" s="75"/>
      <c r="P330" s="30"/>
    </row>
    <row r="331">
      <c r="B331" s="161"/>
      <c r="C331" s="30"/>
      <c r="D331" s="30"/>
      <c r="E331" s="30"/>
      <c r="F331" s="30"/>
      <c r="G331" s="30"/>
      <c r="H331" s="30"/>
      <c r="I331" s="30"/>
      <c r="J331" s="30"/>
      <c r="K331" s="30"/>
      <c r="L331" s="30"/>
      <c r="M331" s="30"/>
      <c r="N331" s="75"/>
      <c r="O331" s="75"/>
      <c r="P331" s="30"/>
    </row>
    <row r="332">
      <c r="B332" s="161"/>
      <c r="C332" s="30"/>
      <c r="D332" s="30"/>
      <c r="E332" s="30"/>
      <c r="F332" s="30"/>
      <c r="G332" s="30"/>
      <c r="H332" s="30"/>
      <c r="I332" s="30"/>
      <c r="J332" s="30"/>
      <c r="K332" s="30"/>
      <c r="L332" s="30"/>
      <c r="M332" s="30"/>
      <c r="N332" s="75"/>
      <c r="O332" s="75"/>
      <c r="P332" s="30"/>
    </row>
    <row r="333">
      <c r="B333" s="161"/>
      <c r="C333" s="30"/>
      <c r="D333" s="30"/>
      <c r="E333" s="30"/>
      <c r="F333" s="30"/>
      <c r="G333" s="30"/>
      <c r="H333" s="30"/>
      <c r="I333" s="30"/>
      <c r="J333" s="30"/>
      <c r="K333" s="30"/>
      <c r="L333" s="30"/>
      <c r="M333" s="30"/>
      <c r="N333" s="75"/>
      <c r="O333" s="75"/>
      <c r="P333" s="30"/>
    </row>
    <row r="334">
      <c r="B334" s="161"/>
      <c r="C334" s="30"/>
      <c r="D334" s="30"/>
      <c r="E334" s="30"/>
      <c r="F334" s="30"/>
      <c r="G334" s="30"/>
      <c r="H334" s="30"/>
      <c r="I334" s="30"/>
      <c r="J334" s="30"/>
      <c r="K334" s="30"/>
      <c r="L334" s="30"/>
      <c r="M334" s="30"/>
      <c r="N334" s="75"/>
      <c r="O334" s="75"/>
      <c r="P334" s="30"/>
    </row>
    <row r="335">
      <c r="B335" s="161"/>
      <c r="C335" s="30"/>
      <c r="D335" s="30"/>
      <c r="E335" s="30"/>
      <c r="F335" s="30"/>
      <c r="G335" s="30"/>
      <c r="H335" s="30"/>
      <c r="I335" s="30"/>
      <c r="J335" s="30"/>
      <c r="K335" s="30"/>
      <c r="L335" s="30"/>
      <c r="M335" s="30"/>
      <c r="N335" s="75"/>
      <c r="O335" s="75"/>
      <c r="P335" s="30"/>
    </row>
    <row r="336">
      <c r="B336" s="161"/>
      <c r="C336" s="30"/>
      <c r="D336" s="30"/>
      <c r="E336" s="30"/>
      <c r="F336" s="30"/>
      <c r="G336" s="30"/>
      <c r="H336" s="30"/>
      <c r="I336" s="30"/>
      <c r="J336" s="30"/>
      <c r="K336" s="30"/>
      <c r="L336" s="30"/>
      <c r="M336" s="30"/>
      <c r="N336" s="75"/>
      <c r="O336" s="75"/>
      <c r="P336" s="30"/>
    </row>
    <row r="337">
      <c r="B337" s="161"/>
      <c r="C337" s="30"/>
      <c r="D337" s="30"/>
      <c r="E337" s="30"/>
      <c r="F337" s="30"/>
      <c r="G337" s="30"/>
      <c r="H337" s="30"/>
      <c r="I337" s="30"/>
      <c r="J337" s="30"/>
      <c r="K337" s="30"/>
      <c r="L337" s="30"/>
      <c r="M337" s="30"/>
      <c r="N337" s="75"/>
      <c r="O337" s="75"/>
      <c r="P337" s="30"/>
    </row>
    <row r="338">
      <c r="B338" s="161"/>
      <c r="C338" s="30"/>
      <c r="D338" s="30"/>
      <c r="E338" s="30"/>
      <c r="F338" s="30"/>
      <c r="G338" s="30"/>
      <c r="H338" s="30"/>
      <c r="I338" s="30"/>
      <c r="J338" s="30"/>
      <c r="K338" s="30"/>
      <c r="L338" s="30"/>
      <c r="M338" s="30"/>
      <c r="N338" s="75"/>
      <c r="O338" s="75"/>
      <c r="P338" s="30"/>
    </row>
    <row r="339">
      <c r="B339" s="161"/>
      <c r="C339" s="30"/>
      <c r="D339" s="30"/>
      <c r="E339" s="30"/>
      <c r="F339" s="30"/>
      <c r="G339" s="30"/>
      <c r="H339" s="30"/>
      <c r="I339" s="30"/>
      <c r="J339" s="30"/>
      <c r="K339" s="30"/>
      <c r="L339" s="30"/>
      <c r="M339" s="30"/>
      <c r="N339" s="75"/>
      <c r="O339" s="75"/>
      <c r="P339" s="30"/>
    </row>
    <row r="340">
      <c r="B340" s="161"/>
      <c r="C340" s="30"/>
      <c r="D340" s="30"/>
      <c r="E340" s="30"/>
      <c r="F340" s="30"/>
      <c r="G340" s="30"/>
      <c r="H340" s="30"/>
      <c r="I340" s="30"/>
      <c r="J340" s="30"/>
      <c r="K340" s="30"/>
      <c r="L340" s="30"/>
      <c r="M340" s="30"/>
      <c r="N340" s="75"/>
      <c r="O340" s="75"/>
      <c r="P340" s="30"/>
    </row>
    <row r="341">
      <c r="B341" s="161"/>
      <c r="C341" s="30"/>
      <c r="D341" s="30"/>
      <c r="E341" s="30"/>
      <c r="F341" s="30"/>
      <c r="G341" s="30"/>
      <c r="H341" s="30"/>
      <c r="I341" s="30"/>
      <c r="J341" s="30"/>
      <c r="K341" s="30"/>
      <c r="L341" s="30"/>
      <c r="M341" s="30"/>
      <c r="N341" s="75"/>
      <c r="O341" s="75"/>
      <c r="P341" s="30"/>
    </row>
    <row r="342">
      <c r="B342" s="161"/>
      <c r="C342" s="30"/>
      <c r="D342" s="30"/>
      <c r="E342" s="30"/>
      <c r="F342" s="30"/>
      <c r="G342" s="30"/>
      <c r="H342" s="30"/>
      <c r="I342" s="30"/>
      <c r="J342" s="30"/>
      <c r="K342" s="30"/>
      <c r="L342" s="30"/>
      <c r="M342" s="30"/>
      <c r="N342" s="75"/>
      <c r="O342" s="75"/>
      <c r="P342" s="30"/>
    </row>
    <row r="343">
      <c r="B343" s="161"/>
      <c r="C343" s="30"/>
      <c r="D343" s="30"/>
      <c r="E343" s="30"/>
      <c r="F343" s="30"/>
      <c r="G343" s="30"/>
      <c r="H343" s="30"/>
      <c r="I343" s="30"/>
      <c r="J343" s="30"/>
      <c r="K343" s="30"/>
      <c r="L343" s="30"/>
      <c r="M343" s="30"/>
      <c r="N343" s="75"/>
      <c r="O343" s="75"/>
      <c r="P343" s="30"/>
    </row>
    <row r="344">
      <c r="B344" s="161"/>
      <c r="C344" s="30"/>
      <c r="D344" s="30"/>
      <c r="E344" s="30"/>
      <c r="F344" s="30"/>
      <c r="G344" s="30"/>
      <c r="H344" s="30"/>
      <c r="I344" s="30"/>
      <c r="J344" s="30"/>
      <c r="K344" s="30"/>
      <c r="L344" s="30"/>
      <c r="M344" s="30"/>
      <c r="N344" s="75"/>
      <c r="O344" s="75"/>
      <c r="P344" s="30"/>
    </row>
    <row r="345">
      <c r="B345" s="161"/>
      <c r="C345" s="30"/>
      <c r="D345" s="30"/>
      <c r="E345" s="30"/>
      <c r="F345" s="30"/>
      <c r="G345" s="30"/>
      <c r="H345" s="30"/>
      <c r="I345" s="30"/>
      <c r="J345" s="30"/>
      <c r="K345" s="30"/>
      <c r="L345" s="30"/>
      <c r="M345" s="30"/>
      <c r="N345" s="75"/>
      <c r="O345" s="75"/>
      <c r="P345" s="30"/>
    </row>
    <row r="346">
      <c r="B346" s="161"/>
      <c r="C346" s="30"/>
      <c r="D346" s="30"/>
      <c r="E346" s="30"/>
      <c r="F346" s="30"/>
      <c r="G346" s="30"/>
      <c r="H346" s="30"/>
      <c r="I346" s="30"/>
      <c r="J346" s="30"/>
      <c r="K346" s="30"/>
      <c r="L346" s="30"/>
      <c r="M346" s="30"/>
      <c r="N346" s="75"/>
      <c r="O346" s="75"/>
      <c r="P346" s="30"/>
    </row>
    <row r="347">
      <c r="B347" s="161"/>
      <c r="C347" s="30"/>
      <c r="D347" s="30"/>
      <c r="E347" s="30"/>
      <c r="F347" s="30"/>
      <c r="G347" s="30"/>
      <c r="H347" s="30"/>
      <c r="I347" s="30"/>
      <c r="J347" s="30"/>
      <c r="K347" s="30"/>
      <c r="L347" s="30"/>
      <c r="M347" s="30"/>
      <c r="N347" s="75"/>
      <c r="O347" s="75"/>
      <c r="P347" s="30"/>
    </row>
    <row r="348">
      <c r="B348" s="161"/>
      <c r="C348" s="30"/>
      <c r="D348" s="30"/>
      <c r="E348" s="30"/>
      <c r="F348" s="30"/>
      <c r="G348" s="30"/>
      <c r="H348" s="30"/>
      <c r="I348" s="30"/>
      <c r="J348" s="30"/>
      <c r="K348" s="30"/>
      <c r="L348" s="30"/>
      <c r="M348" s="30"/>
      <c r="N348" s="75"/>
      <c r="O348" s="75"/>
      <c r="P348" s="30"/>
    </row>
    <row r="349">
      <c r="B349" s="161"/>
      <c r="C349" s="30"/>
      <c r="D349" s="30"/>
      <c r="E349" s="30"/>
      <c r="F349" s="30"/>
      <c r="G349" s="30"/>
      <c r="H349" s="30"/>
      <c r="I349" s="30"/>
      <c r="J349" s="30"/>
      <c r="K349" s="30"/>
      <c r="L349" s="30"/>
      <c r="M349" s="30"/>
      <c r="N349" s="75"/>
      <c r="O349" s="75"/>
      <c r="P349" s="30"/>
    </row>
    <row r="350">
      <c r="B350" s="161"/>
      <c r="C350" s="30"/>
      <c r="D350" s="30"/>
      <c r="E350" s="30"/>
      <c r="F350" s="30"/>
      <c r="G350" s="30"/>
      <c r="H350" s="30"/>
      <c r="I350" s="30"/>
      <c r="J350" s="30"/>
      <c r="K350" s="30"/>
      <c r="L350" s="30"/>
      <c r="M350" s="30"/>
      <c r="N350" s="75"/>
      <c r="O350" s="75"/>
      <c r="P350" s="30"/>
    </row>
    <row r="351">
      <c r="B351" s="161"/>
      <c r="C351" s="30"/>
      <c r="D351" s="30"/>
      <c r="E351" s="30"/>
      <c r="F351" s="30"/>
      <c r="G351" s="30"/>
      <c r="H351" s="30"/>
      <c r="I351" s="30"/>
      <c r="J351" s="30"/>
      <c r="K351" s="30"/>
      <c r="L351" s="30"/>
      <c r="M351" s="30"/>
      <c r="N351" s="75"/>
      <c r="O351" s="75"/>
      <c r="P351" s="30"/>
    </row>
    <row r="352">
      <c r="B352" s="161"/>
      <c r="C352" s="30"/>
      <c r="D352" s="30"/>
      <c r="E352" s="30"/>
      <c r="F352" s="30"/>
      <c r="G352" s="30"/>
      <c r="H352" s="30"/>
      <c r="I352" s="30"/>
      <c r="J352" s="30"/>
      <c r="K352" s="30"/>
      <c r="L352" s="30"/>
      <c r="M352" s="30"/>
      <c r="N352" s="75"/>
      <c r="O352" s="75"/>
      <c r="P352" s="30"/>
    </row>
    <row r="353">
      <c r="B353" s="161"/>
      <c r="C353" s="30"/>
      <c r="D353" s="30"/>
      <c r="E353" s="30"/>
      <c r="F353" s="30"/>
      <c r="G353" s="30"/>
      <c r="H353" s="30"/>
      <c r="I353" s="30"/>
      <c r="J353" s="30"/>
      <c r="K353" s="30"/>
      <c r="L353" s="30"/>
      <c r="M353" s="30"/>
      <c r="N353" s="75"/>
      <c r="O353" s="75"/>
      <c r="P353" s="30"/>
    </row>
    <row r="354">
      <c r="B354" s="161"/>
      <c r="C354" s="30"/>
      <c r="D354" s="30"/>
      <c r="E354" s="30"/>
      <c r="F354" s="30"/>
      <c r="G354" s="30"/>
      <c r="H354" s="30"/>
      <c r="I354" s="30"/>
      <c r="J354" s="30"/>
      <c r="K354" s="30"/>
      <c r="L354" s="30"/>
      <c r="M354" s="30"/>
      <c r="N354" s="75"/>
      <c r="O354" s="75"/>
      <c r="P354" s="30"/>
    </row>
    <row r="355">
      <c r="B355" s="161"/>
      <c r="C355" s="30"/>
      <c r="D355" s="30"/>
      <c r="E355" s="30"/>
      <c r="F355" s="30"/>
      <c r="G355" s="30"/>
      <c r="H355" s="30"/>
      <c r="I355" s="30"/>
      <c r="J355" s="30"/>
      <c r="K355" s="30"/>
      <c r="L355" s="30"/>
      <c r="M355" s="30"/>
      <c r="N355" s="75"/>
      <c r="O355" s="75"/>
      <c r="P355" s="30"/>
    </row>
    <row r="356">
      <c r="B356" s="161"/>
      <c r="C356" s="30"/>
      <c r="D356" s="30"/>
      <c r="E356" s="30"/>
      <c r="F356" s="30"/>
      <c r="G356" s="30"/>
      <c r="H356" s="30"/>
      <c r="I356" s="30"/>
      <c r="J356" s="30"/>
      <c r="K356" s="30"/>
      <c r="L356" s="30"/>
      <c r="M356" s="30"/>
      <c r="N356" s="75"/>
      <c r="O356" s="75"/>
      <c r="P356" s="30"/>
    </row>
    <row r="357">
      <c r="B357" s="161"/>
      <c r="C357" s="30"/>
      <c r="D357" s="30"/>
      <c r="E357" s="30"/>
      <c r="F357" s="30"/>
      <c r="G357" s="30"/>
      <c r="H357" s="30"/>
      <c r="I357" s="30"/>
      <c r="J357" s="30"/>
      <c r="K357" s="30"/>
      <c r="L357" s="30"/>
      <c r="M357" s="30"/>
      <c r="N357" s="75"/>
      <c r="O357" s="75"/>
      <c r="P357" s="30"/>
    </row>
    <row r="358">
      <c r="B358" s="161"/>
      <c r="C358" s="30"/>
      <c r="D358" s="30"/>
      <c r="E358" s="30"/>
      <c r="F358" s="30"/>
      <c r="G358" s="30"/>
      <c r="H358" s="30"/>
      <c r="I358" s="30"/>
      <c r="J358" s="30"/>
      <c r="K358" s="30"/>
      <c r="L358" s="30"/>
      <c r="M358" s="30"/>
      <c r="N358" s="75"/>
      <c r="O358" s="75"/>
      <c r="P358" s="30"/>
    </row>
    <row r="359">
      <c r="B359" s="161"/>
      <c r="C359" s="30"/>
      <c r="D359" s="30"/>
      <c r="E359" s="30"/>
      <c r="F359" s="30"/>
      <c r="G359" s="30"/>
      <c r="H359" s="30"/>
      <c r="I359" s="30"/>
      <c r="J359" s="30"/>
      <c r="K359" s="30"/>
      <c r="L359" s="30"/>
      <c r="M359" s="30"/>
      <c r="N359" s="75"/>
      <c r="O359" s="75"/>
      <c r="P359" s="30"/>
    </row>
    <row r="360">
      <c r="B360" s="161"/>
      <c r="C360" s="30"/>
      <c r="D360" s="30"/>
      <c r="E360" s="30"/>
      <c r="F360" s="30"/>
      <c r="G360" s="30"/>
      <c r="H360" s="30"/>
      <c r="I360" s="30"/>
      <c r="J360" s="30"/>
      <c r="K360" s="30"/>
      <c r="L360" s="30"/>
      <c r="M360" s="30"/>
      <c r="N360" s="75"/>
      <c r="O360" s="75"/>
      <c r="P360" s="30"/>
    </row>
    <row r="361">
      <c r="B361" s="161"/>
      <c r="C361" s="30"/>
      <c r="D361" s="30"/>
      <c r="E361" s="30"/>
      <c r="F361" s="30"/>
      <c r="G361" s="30"/>
      <c r="H361" s="30"/>
      <c r="I361" s="30"/>
      <c r="J361" s="30"/>
      <c r="K361" s="30"/>
      <c r="L361" s="30"/>
      <c r="M361" s="30"/>
      <c r="N361" s="75"/>
      <c r="O361" s="75"/>
      <c r="P361" s="30"/>
    </row>
    <row r="362">
      <c r="B362" s="161"/>
      <c r="C362" s="30"/>
      <c r="D362" s="30"/>
      <c r="E362" s="30"/>
      <c r="F362" s="30"/>
      <c r="G362" s="30"/>
      <c r="H362" s="30"/>
      <c r="I362" s="30"/>
      <c r="J362" s="30"/>
      <c r="K362" s="30"/>
      <c r="L362" s="30"/>
      <c r="M362" s="30"/>
      <c r="N362" s="75"/>
      <c r="O362" s="75"/>
      <c r="P362" s="30"/>
    </row>
    <row r="363">
      <c r="B363" s="161"/>
      <c r="C363" s="30"/>
      <c r="D363" s="30"/>
      <c r="E363" s="30"/>
      <c r="F363" s="30"/>
      <c r="G363" s="30"/>
      <c r="H363" s="30"/>
      <c r="I363" s="30"/>
      <c r="J363" s="30"/>
      <c r="K363" s="30"/>
      <c r="L363" s="30"/>
      <c r="M363" s="30"/>
      <c r="N363" s="75"/>
      <c r="O363" s="75"/>
      <c r="P363" s="30"/>
    </row>
    <row r="364">
      <c r="B364" s="161"/>
      <c r="C364" s="30"/>
      <c r="D364" s="30"/>
      <c r="E364" s="30"/>
      <c r="F364" s="30"/>
      <c r="G364" s="30"/>
      <c r="H364" s="30"/>
      <c r="I364" s="30"/>
      <c r="J364" s="30"/>
      <c r="K364" s="30"/>
      <c r="L364" s="30"/>
      <c r="M364" s="30"/>
      <c r="N364" s="75"/>
      <c r="O364" s="75"/>
      <c r="P364" s="30"/>
    </row>
    <row r="365">
      <c r="B365" s="161"/>
      <c r="C365" s="30"/>
      <c r="D365" s="30"/>
      <c r="E365" s="30"/>
      <c r="F365" s="30"/>
      <c r="G365" s="30"/>
      <c r="H365" s="30"/>
      <c r="I365" s="30"/>
      <c r="J365" s="30"/>
      <c r="K365" s="30"/>
      <c r="L365" s="30"/>
      <c r="M365" s="30"/>
      <c r="N365" s="75"/>
      <c r="O365" s="75"/>
      <c r="P365" s="30"/>
    </row>
    <row r="366">
      <c r="B366" s="161"/>
      <c r="C366" s="30"/>
      <c r="D366" s="30"/>
      <c r="E366" s="30"/>
      <c r="F366" s="30"/>
      <c r="G366" s="30"/>
      <c r="H366" s="30"/>
      <c r="I366" s="30"/>
      <c r="J366" s="30"/>
      <c r="K366" s="30"/>
      <c r="L366" s="30"/>
      <c r="M366" s="30"/>
      <c r="N366" s="75"/>
      <c r="O366" s="75"/>
      <c r="P366" s="30"/>
    </row>
    <row r="367">
      <c r="B367" s="161"/>
      <c r="C367" s="30"/>
      <c r="D367" s="30"/>
      <c r="E367" s="30"/>
      <c r="F367" s="30"/>
      <c r="G367" s="30"/>
      <c r="H367" s="30"/>
      <c r="I367" s="30"/>
      <c r="J367" s="30"/>
      <c r="K367" s="30"/>
      <c r="L367" s="30"/>
      <c r="M367" s="30"/>
      <c r="N367" s="75"/>
      <c r="O367" s="75"/>
      <c r="P367" s="30"/>
    </row>
    <row r="368">
      <c r="B368" s="161"/>
      <c r="C368" s="30"/>
      <c r="D368" s="30"/>
      <c r="E368" s="30"/>
      <c r="F368" s="30"/>
      <c r="G368" s="30"/>
      <c r="H368" s="30"/>
      <c r="I368" s="30"/>
      <c r="J368" s="30"/>
      <c r="K368" s="30"/>
      <c r="L368" s="30"/>
      <c r="M368" s="30"/>
      <c r="N368" s="75"/>
      <c r="O368" s="75"/>
      <c r="P368" s="30"/>
    </row>
    <row r="369">
      <c r="B369" s="161"/>
      <c r="C369" s="30"/>
      <c r="D369" s="30"/>
      <c r="E369" s="30"/>
      <c r="F369" s="30"/>
      <c r="G369" s="30"/>
      <c r="H369" s="30"/>
      <c r="I369" s="30"/>
      <c r="J369" s="30"/>
      <c r="K369" s="30"/>
      <c r="L369" s="30"/>
      <c r="M369" s="30"/>
      <c r="N369" s="75"/>
      <c r="O369" s="75"/>
      <c r="P369" s="30"/>
    </row>
    <row r="370">
      <c r="B370" s="161"/>
      <c r="C370" s="30"/>
      <c r="D370" s="30"/>
      <c r="E370" s="30"/>
      <c r="F370" s="30"/>
      <c r="G370" s="30"/>
      <c r="H370" s="30"/>
      <c r="I370" s="30"/>
      <c r="J370" s="30"/>
      <c r="K370" s="30"/>
      <c r="L370" s="30"/>
      <c r="M370" s="30"/>
      <c r="N370" s="75"/>
      <c r="O370" s="75"/>
      <c r="P370" s="30"/>
    </row>
    <row r="371">
      <c r="B371" s="161"/>
      <c r="C371" s="30"/>
      <c r="D371" s="30"/>
      <c r="E371" s="30"/>
      <c r="F371" s="30"/>
      <c r="G371" s="30"/>
      <c r="H371" s="30"/>
      <c r="I371" s="30"/>
      <c r="J371" s="30"/>
      <c r="K371" s="30"/>
      <c r="L371" s="30"/>
      <c r="M371" s="30"/>
      <c r="N371" s="75"/>
      <c r="O371" s="75"/>
      <c r="P371" s="30"/>
    </row>
    <row r="372">
      <c r="B372" s="161"/>
      <c r="C372" s="30"/>
      <c r="D372" s="30"/>
      <c r="E372" s="30"/>
      <c r="F372" s="30"/>
      <c r="G372" s="30"/>
      <c r="H372" s="30"/>
      <c r="I372" s="30"/>
      <c r="J372" s="30"/>
      <c r="K372" s="30"/>
      <c r="L372" s="30"/>
      <c r="M372" s="30"/>
      <c r="N372" s="75"/>
      <c r="O372" s="75"/>
      <c r="P372" s="30"/>
    </row>
    <row r="373">
      <c r="B373" s="161"/>
      <c r="C373" s="30"/>
      <c r="D373" s="30"/>
      <c r="E373" s="30"/>
      <c r="F373" s="30"/>
      <c r="G373" s="30"/>
      <c r="H373" s="30"/>
      <c r="I373" s="30"/>
      <c r="J373" s="30"/>
      <c r="K373" s="30"/>
      <c r="L373" s="30"/>
      <c r="M373" s="30"/>
      <c r="N373" s="75"/>
      <c r="O373" s="75"/>
      <c r="P373" s="30"/>
    </row>
    <row r="374">
      <c r="B374" s="161"/>
      <c r="C374" s="30"/>
      <c r="D374" s="30"/>
      <c r="E374" s="30"/>
      <c r="F374" s="30"/>
      <c r="G374" s="30"/>
      <c r="H374" s="30"/>
      <c r="I374" s="30"/>
      <c r="J374" s="30"/>
      <c r="K374" s="30"/>
      <c r="L374" s="30"/>
      <c r="M374" s="30"/>
      <c r="N374" s="75"/>
      <c r="O374" s="75"/>
      <c r="P374" s="30"/>
    </row>
    <row r="375">
      <c r="B375" s="161"/>
      <c r="C375" s="30"/>
      <c r="D375" s="30"/>
      <c r="E375" s="30"/>
      <c r="F375" s="30"/>
      <c r="G375" s="30"/>
      <c r="H375" s="30"/>
      <c r="I375" s="30"/>
      <c r="J375" s="30"/>
      <c r="K375" s="30"/>
      <c r="L375" s="30"/>
      <c r="M375" s="30"/>
      <c r="N375" s="75"/>
      <c r="O375" s="75"/>
      <c r="P375" s="30"/>
    </row>
    <row r="376">
      <c r="B376" s="161"/>
      <c r="C376" s="30"/>
      <c r="D376" s="30"/>
      <c r="E376" s="30"/>
      <c r="F376" s="30"/>
      <c r="G376" s="30"/>
      <c r="H376" s="30"/>
      <c r="I376" s="30"/>
      <c r="J376" s="30"/>
      <c r="K376" s="30"/>
      <c r="L376" s="30"/>
      <c r="M376" s="30"/>
      <c r="N376" s="75"/>
      <c r="O376" s="75"/>
      <c r="P376" s="30"/>
    </row>
    <row r="377">
      <c r="B377" s="161"/>
      <c r="C377" s="30"/>
      <c r="D377" s="30"/>
      <c r="E377" s="30"/>
      <c r="F377" s="30"/>
      <c r="G377" s="30"/>
      <c r="H377" s="30"/>
      <c r="I377" s="30"/>
      <c r="J377" s="30"/>
      <c r="K377" s="30"/>
      <c r="L377" s="30"/>
      <c r="M377" s="30"/>
      <c r="N377" s="75"/>
      <c r="O377" s="75"/>
      <c r="P377" s="30"/>
    </row>
    <row r="378">
      <c r="B378" s="161"/>
      <c r="C378" s="30"/>
      <c r="D378" s="30"/>
      <c r="E378" s="30"/>
      <c r="F378" s="30"/>
      <c r="G378" s="30"/>
      <c r="H378" s="30"/>
      <c r="I378" s="30"/>
      <c r="J378" s="30"/>
      <c r="K378" s="30"/>
      <c r="L378" s="30"/>
      <c r="M378" s="30"/>
      <c r="N378" s="75"/>
      <c r="O378" s="75"/>
      <c r="P378" s="30"/>
    </row>
    <row r="379">
      <c r="B379" s="161"/>
      <c r="C379" s="30"/>
      <c r="D379" s="30"/>
      <c r="E379" s="30"/>
      <c r="F379" s="30"/>
      <c r="G379" s="30"/>
      <c r="H379" s="30"/>
      <c r="I379" s="30"/>
      <c r="J379" s="30"/>
      <c r="K379" s="30"/>
      <c r="L379" s="30"/>
      <c r="M379" s="30"/>
      <c r="N379" s="75"/>
      <c r="O379" s="75"/>
      <c r="P379" s="30"/>
    </row>
    <row r="380">
      <c r="B380" s="161"/>
      <c r="C380" s="30"/>
      <c r="D380" s="30"/>
      <c r="E380" s="30"/>
      <c r="F380" s="30"/>
      <c r="G380" s="30"/>
      <c r="H380" s="30"/>
      <c r="I380" s="30"/>
      <c r="J380" s="30"/>
      <c r="K380" s="30"/>
      <c r="L380" s="30"/>
      <c r="M380" s="30"/>
      <c r="N380" s="75"/>
      <c r="O380" s="75"/>
      <c r="P380" s="30"/>
    </row>
    <row r="381">
      <c r="B381" s="161"/>
      <c r="C381" s="30"/>
      <c r="D381" s="30"/>
      <c r="E381" s="30"/>
      <c r="F381" s="30"/>
      <c r="G381" s="30"/>
      <c r="H381" s="30"/>
      <c r="I381" s="30"/>
      <c r="J381" s="30"/>
      <c r="K381" s="30"/>
      <c r="L381" s="30"/>
      <c r="M381" s="30"/>
      <c r="N381" s="75"/>
      <c r="O381" s="75"/>
      <c r="P381" s="30"/>
    </row>
    <row r="382">
      <c r="B382" s="161"/>
      <c r="C382" s="30"/>
      <c r="D382" s="30"/>
      <c r="E382" s="30"/>
      <c r="F382" s="30"/>
      <c r="G382" s="30"/>
      <c r="H382" s="30"/>
      <c r="I382" s="30"/>
      <c r="J382" s="30"/>
      <c r="K382" s="30"/>
      <c r="L382" s="30"/>
      <c r="M382" s="30"/>
      <c r="N382" s="75"/>
      <c r="O382" s="75"/>
      <c r="P382" s="30"/>
    </row>
    <row r="383">
      <c r="B383" s="161"/>
      <c r="C383" s="30"/>
      <c r="D383" s="30"/>
      <c r="E383" s="30"/>
      <c r="F383" s="30"/>
      <c r="G383" s="30"/>
      <c r="H383" s="30"/>
      <c r="I383" s="30"/>
      <c r="J383" s="30"/>
      <c r="K383" s="30"/>
      <c r="L383" s="30"/>
      <c r="M383" s="30"/>
      <c r="N383" s="75"/>
      <c r="O383" s="75"/>
      <c r="P383" s="30"/>
    </row>
    <row r="384">
      <c r="B384" s="161"/>
      <c r="C384" s="30"/>
      <c r="D384" s="30"/>
      <c r="E384" s="30"/>
      <c r="F384" s="30"/>
      <c r="G384" s="30"/>
      <c r="H384" s="30"/>
      <c r="I384" s="30"/>
      <c r="J384" s="30"/>
      <c r="K384" s="30"/>
      <c r="L384" s="30"/>
      <c r="M384" s="30"/>
      <c r="N384" s="75"/>
      <c r="O384" s="75"/>
      <c r="P384" s="30"/>
    </row>
    <row r="385">
      <c r="B385" s="161"/>
      <c r="C385" s="30"/>
      <c r="D385" s="30"/>
      <c r="E385" s="30"/>
      <c r="F385" s="30"/>
      <c r="G385" s="30"/>
      <c r="H385" s="30"/>
      <c r="I385" s="30"/>
      <c r="J385" s="30"/>
      <c r="K385" s="30"/>
      <c r="L385" s="30"/>
      <c r="M385" s="30"/>
      <c r="N385" s="75"/>
      <c r="O385" s="75"/>
      <c r="P385" s="30"/>
    </row>
    <row r="386">
      <c r="B386" s="161"/>
      <c r="C386" s="30"/>
      <c r="D386" s="30"/>
      <c r="E386" s="30"/>
      <c r="F386" s="30"/>
      <c r="G386" s="30"/>
      <c r="H386" s="30"/>
      <c r="I386" s="30"/>
      <c r="J386" s="30"/>
      <c r="K386" s="30"/>
      <c r="L386" s="30"/>
      <c r="M386" s="30"/>
      <c r="N386" s="75"/>
      <c r="O386" s="75"/>
      <c r="P386" s="30"/>
    </row>
    <row r="387">
      <c r="B387" s="161"/>
      <c r="C387" s="30"/>
      <c r="D387" s="30"/>
      <c r="E387" s="30"/>
      <c r="F387" s="30"/>
      <c r="G387" s="30"/>
      <c r="H387" s="30"/>
      <c r="I387" s="30"/>
      <c r="J387" s="30"/>
      <c r="K387" s="30"/>
      <c r="L387" s="30"/>
      <c r="M387" s="30"/>
      <c r="N387" s="75"/>
      <c r="O387" s="75"/>
      <c r="P387" s="30"/>
    </row>
    <row r="388">
      <c r="B388" s="161"/>
      <c r="C388" s="30"/>
      <c r="D388" s="30"/>
      <c r="E388" s="30"/>
      <c r="F388" s="30"/>
      <c r="G388" s="30"/>
      <c r="H388" s="30"/>
      <c r="I388" s="30"/>
      <c r="J388" s="30"/>
      <c r="K388" s="30"/>
      <c r="L388" s="30"/>
      <c r="M388" s="30"/>
      <c r="N388" s="75"/>
      <c r="O388" s="75"/>
      <c r="P388" s="30"/>
    </row>
    <row r="389">
      <c r="B389" s="161"/>
      <c r="C389" s="30"/>
      <c r="D389" s="30"/>
      <c r="E389" s="30"/>
      <c r="F389" s="30"/>
      <c r="G389" s="30"/>
      <c r="H389" s="30"/>
      <c r="I389" s="30"/>
      <c r="J389" s="30"/>
      <c r="K389" s="30"/>
      <c r="L389" s="30"/>
      <c r="M389" s="30"/>
      <c r="N389" s="75"/>
      <c r="O389" s="75"/>
      <c r="P389" s="30"/>
    </row>
    <row r="390">
      <c r="B390" s="161"/>
      <c r="C390" s="30"/>
      <c r="D390" s="30"/>
      <c r="E390" s="30"/>
      <c r="F390" s="30"/>
      <c r="G390" s="30"/>
      <c r="H390" s="30"/>
      <c r="I390" s="30"/>
      <c r="J390" s="30"/>
      <c r="K390" s="30"/>
      <c r="L390" s="30"/>
      <c r="M390" s="30"/>
      <c r="N390" s="75"/>
      <c r="O390" s="75"/>
      <c r="P390" s="30"/>
    </row>
    <row r="391">
      <c r="B391" s="161"/>
      <c r="C391" s="30"/>
      <c r="D391" s="30"/>
      <c r="E391" s="30"/>
      <c r="F391" s="30"/>
      <c r="G391" s="30"/>
      <c r="H391" s="30"/>
      <c r="I391" s="30"/>
      <c r="J391" s="30"/>
      <c r="K391" s="30"/>
      <c r="L391" s="30"/>
      <c r="M391" s="30"/>
      <c r="N391" s="75"/>
      <c r="O391" s="75"/>
      <c r="P391" s="30"/>
    </row>
    <row r="392">
      <c r="B392" s="161"/>
      <c r="C392" s="30"/>
      <c r="D392" s="30"/>
      <c r="E392" s="30"/>
      <c r="F392" s="30"/>
      <c r="G392" s="30"/>
      <c r="H392" s="30"/>
      <c r="I392" s="30"/>
      <c r="J392" s="30"/>
      <c r="K392" s="30"/>
      <c r="L392" s="30"/>
      <c r="M392" s="30"/>
      <c r="N392" s="75"/>
      <c r="O392" s="75"/>
      <c r="P392" s="30"/>
    </row>
    <row r="393">
      <c r="B393" s="161"/>
      <c r="C393" s="30"/>
      <c r="D393" s="30"/>
      <c r="E393" s="30"/>
      <c r="F393" s="30"/>
      <c r="G393" s="30"/>
      <c r="H393" s="30"/>
      <c r="I393" s="30"/>
      <c r="J393" s="30"/>
      <c r="K393" s="30"/>
      <c r="L393" s="30"/>
      <c r="M393" s="30"/>
      <c r="N393" s="75"/>
      <c r="O393" s="75"/>
      <c r="P393" s="30"/>
    </row>
    <row r="394">
      <c r="B394" s="161"/>
      <c r="C394" s="30"/>
      <c r="D394" s="30"/>
      <c r="E394" s="30"/>
      <c r="F394" s="30"/>
      <c r="G394" s="30"/>
      <c r="H394" s="30"/>
      <c r="I394" s="30"/>
      <c r="J394" s="30"/>
      <c r="K394" s="30"/>
      <c r="L394" s="30"/>
      <c r="M394" s="30"/>
      <c r="N394" s="75"/>
      <c r="O394" s="75"/>
      <c r="P394" s="30"/>
    </row>
    <row r="395">
      <c r="B395" s="161"/>
      <c r="C395" s="30"/>
      <c r="D395" s="30"/>
      <c r="E395" s="30"/>
      <c r="F395" s="30"/>
      <c r="G395" s="30"/>
      <c r="H395" s="30"/>
      <c r="I395" s="30"/>
      <c r="J395" s="30"/>
      <c r="K395" s="30"/>
      <c r="L395" s="30"/>
      <c r="M395" s="30"/>
      <c r="N395" s="75"/>
      <c r="O395" s="75"/>
      <c r="P395" s="30"/>
    </row>
    <row r="396">
      <c r="B396" s="161"/>
      <c r="C396" s="30"/>
      <c r="D396" s="30"/>
      <c r="E396" s="30"/>
      <c r="F396" s="30"/>
      <c r="G396" s="30"/>
      <c r="H396" s="30"/>
      <c r="I396" s="30"/>
      <c r="J396" s="30"/>
      <c r="K396" s="30"/>
      <c r="L396" s="30"/>
      <c r="M396" s="30"/>
      <c r="N396" s="75"/>
      <c r="O396" s="75"/>
      <c r="P396" s="30"/>
    </row>
    <row r="397">
      <c r="B397" s="161"/>
      <c r="C397" s="30"/>
      <c r="D397" s="30"/>
      <c r="E397" s="30"/>
      <c r="F397" s="30"/>
      <c r="G397" s="30"/>
      <c r="H397" s="30"/>
      <c r="I397" s="30"/>
      <c r="J397" s="30"/>
      <c r="K397" s="30"/>
      <c r="L397" s="30"/>
      <c r="M397" s="30"/>
      <c r="N397" s="75"/>
      <c r="O397" s="75"/>
      <c r="P397" s="30"/>
    </row>
    <row r="398">
      <c r="B398" s="161"/>
      <c r="C398" s="30"/>
      <c r="D398" s="30"/>
      <c r="E398" s="30"/>
      <c r="F398" s="30"/>
      <c r="G398" s="30"/>
      <c r="H398" s="30"/>
      <c r="I398" s="30"/>
      <c r="J398" s="30"/>
      <c r="K398" s="30"/>
      <c r="L398" s="30"/>
      <c r="M398" s="30"/>
      <c r="N398" s="75"/>
      <c r="O398" s="75"/>
      <c r="P398" s="30"/>
    </row>
    <row r="399">
      <c r="B399" s="161"/>
      <c r="C399" s="30"/>
      <c r="D399" s="30"/>
      <c r="E399" s="30"/>
      <c r="F399" s="30"/>
      <c r="G399" s="30"/>
      <c r="H399" s="30"/>
      <c r="I399" s="30"/>
      <c r="J399" s="30"/>
      <c r="K399" s="30"/>
      <c r="L399" s="30"/>
      <c r="M399" s="30"/>
      <c r="N399" s="75"/>
      <c r="O399" s="75"/>
      <c r="P399" s="30"/>
    </row>
    <row r="400">
      <c r="B400" s="161"/>
      <c r="C400" s="30"/>
      <c r="D400" s="30"/>
      <c r="E400" s="30"/>
      <c r="F400" s="30"/>
      <c r="G400" s="30"/>
      <c r="H400" s="30"/>
      <c r="I400" s="30"/>
      <c r="J400" s="30"/>
      <c r="K400" s="30"/>
      <c r="L400" s="30"/>
      <c r="M400" s="30"/>
      <c r="N400" s="75"/>
      <c r="O400" s="75"/>
      <c r="P400" s="30"/>
    </row>
    <row r="401">
      <c r="B401" s="161"/>
      <c r="C401" s="30"/>
      <c r="D401" s="30"/>
      <c r="E401" s="30"/>
      <c r="F401" s="30"/>
      <c r="G401" s="30"/>
      <c r="H401" s="30"/>
      <c r="I401" s="30"/>
      <c r="J401" s="30"/>
      <c r="K401" s="30"/>
      <c r="L401" s="30"/>
      <c r="M401" s="30"/>
      <c r="N401" s="75"/>
      <c r="O401" s="75"/>
      <c r="P401" s="30"/>
    </row>
    <row r="402">
      <c r="B402" s="161"/>
      <c r="C402" s="30"/>
      <c r="D402" s="30"/>
      <c r="E402" s="30"/>
      <c r="F402" s="30"/>
      <c r="G402" s="30"/>
      <c r="H402" s="30"/>
      <c r="I402" s="30"/>
      <c r="J402" s="30"/>
      <c r="K402" s="30"/>
      <c r="L402" s="30"/>
      <c r="M402" s="30"/>
      <c r="N402" s="75"/>
      <c r="O402" s="75"/>
      <c r="P402" s="30"/>
    </row>
    <row r="403">
      <c r="B403" s="161"/>
      <c r="C403" s="30"/>
      <c r="D403" s="30"/>
      <c r="E403" s="30"/>
      <c r="F403" s="30"/>
      <c r="G403" s="30"/>
      <c r="H403" s="30"/>
      <c r="I403" s="30"/>
      <c r="J403" s="30"/>
      <c r="K403" s="30"/>
      <c r="L403" s="30"/>
      <c r="M403" s="30"/>
      <c r="N403" s="75"/>
      <c r="O403" s="75"/>
      <c r="P403" s="30"/>
    </row>
    <row r="404">
      <c r="B404" s="161"/>
      <c r="C404" s="30"/>
      <c r="D404" s="30"/>
      <c r="E404" s="30"/>
      <c r="F404" s="30"/>
      <c r="G404" s="30"/>
      <c r="H404" s="30"/>
      <c r="I404" s="30"/>
      <c r="J404" s="30"/>
      <c r="K404" s="30"/>
      <c r="L404" s="30"/>
      <c r="M404" s="30"/>
      <c r="N404" s="75"/>
      <c r="O404" s="75"/>
      <c r="P404" s="30"/>
    </row>
    <row r="405">
      <c r="B405" s="161"/>
      <c r="C405" s="30"/>
      <c r="D405" s="30"/>
      <c r="E405" s="30"/>
      <c r="F405" s="30"/>
      <c r="G405" s="30"/>
      <c r="H405" s="30"/>
      <c r="I405" s="30"/>
      <c r="J405" s="30"/>
      <c r="K405" s="30"/>
      <c r="L405" s="30"/>
      <c r="M405" s="30"/>
      <c r="N405" s="75"/>
      <c r="O405" s="75"/>
      <c r="P405" s="30"/>
    </row>
    <row r="406">
      <c r="B406" s="161"/>
      <c r="C406" s="30"/>
      <c r="D406" s="30"/>
      <c r="E406" s="30"/>
      <c r="F406" s="30"/>
      <c r="G406" s="30"/>
      <c r="H406" s="30"/>
      <c r="I406" s="30"/>
      <c r="J406" s="30"/>
      <c r="K406" s="30"/>
      <c r="L406" s="30"/>
      <c r="M406" s="30"/>
      <c r="N406" s="75"/>
      <c r="O406" s="75"/>
      <c r="P406" s="30"/>
    </row>
    <row r="407">
      <c r="B407" s="161"/>
      <c r="C407" s="30"/>
      <c r="D407" s="30"/>
      <c r="E407" s="30"/>
      <c r="F407" s="30"/>
      <c r="G407" s="30"/>
      <c r="H407" s="30"/>
      <c r="I407" s="30"/>
      <c r="J407" s="30"/>
      <c r="K407" s="30"/>
      <c r="L407" s="30"/>
      <c r="M407" s="30"/>
      <c r="N407" s="75"/>
      <c r="O407" s="75"/>
      <c r="P407" s="30"/>
    </row>
    <row r="408">
      <c r="B408" s="161"/>
      <c r="C408" s="30"/>
      <c r="D408" s="30"/>
      <c r="E408" s="30"/>
      <c r="F408" s="30"/>
      <c r="G408" s="30"/>
      <c r="H408" s="30"/>
      <c r="I408" s="30"/>
      <c r="J408" s="30"/>
      <c r="K408" s="30"/>
      <c r="L408" s="30"/>
      <c r="M408" s="30"/>
      <c r="N408" s="75"/>
      <c r="O408" s="75"/>
      <c r="P408" s="30"/>
    </row>
    <row r="409">
      <c r="B409" s="161"/>
      <c r="C409" s="30"/>
      <c r="D409" s="30"/>
      <c r="E409" s="30"/>
      <c r="F409" s="30"/>
      <c r="G409" s="30"/>
      <c r="H409" s="30"/>
      <c r="I409" s="30"/>
      <c r="J409" s="30"/>
      <c r="K409" s="30"/>
      <c r="L409" s="30"/>
      <c r="M409" s="30"/>
      <c r="N409" s="75"/>
      <c r="O409" s="75"/>
      <c r="P409" s="30"/>
    </row>
    <row r="410">
      <c r="B410" s="161"/>
      <c r="C410" s="30"/>
      <c r="D410" s="30"/>
      <c r="E410" s="30"/>
      <c r="F410" s="30"/>
      <c r="G410" s="30"/>
      <c r="H410" s="30"/>
      <c r="I410" s="30"/>
      <c r="J410" s="30"/>
      <c r="K410" s="30"/>
      <c r="L410" s="30"/>
      <c r="M410" s="30"/>
      <c r="N410" s="75"/>
      <c r="O410" s="75"/>
      <c r="P410" s="30"/>
    </row>
    <row r="411">
      <c r="B411" s="161"/>
      <c r="C411" s="30"/>
      <c r="D411" s="30"/>
      <c r="E411" s="30"/>
      <c r="F411" s="30"/>
      <c r="G411" s="30"/>
      <c r="H411" s="30"/>
      <c r="I411" s="30"/>
      <c r="J411" s="30"/>
      <c r="K411" s="30"/>
      <c r="L411" s="30"/>
      <c r="M411" s="30"/>
      <c r="N411" s="75"/>
      <c r="O411" s="75"/>
      <c r="P411" s="30"/>
    </row>
    <row r="412">
      <c r="B412" s="161"/>
      <c r="C412" s="30"/>
      <c r="D412" s="30"/>
      <c r="E412" s="30"/>
      <c r="F412" s="30"/>
      <c r="G412" s="30"/>
      <c r="H412" s="30"/>
      <c r="I412" s="30"/>
      <c r="J412" s="30"/>
      <c r="K412" s="30"/>
      <c r="L412" s="30"/>
      <c r="M412" s="30"/>
      <c r="N412" s="75"/>
      <c r="O412" s="75"/>
      <c r="P412" s="30"/>
    </row>
    <row r="413">
      <c r="B413" s="161"/>
      <c r="C413" s="30"/>
      <c r="D413" s="30"/>
      <c r="E413" s="30"/>
      <c r="F413" s="30"/>
      <c r="G413" s="30"/>
      <c r="H413" s="30"/>
      <c r="I413" s="30"/>
      <c r="J413" s="30"/>
      <c r="K413" s="30"/>
      <c r="L413" s="30"/>
      <c r="M413" s="30"/>
      <c r="N413" s="75"/>
      <c r="O413" s="75"/>
      <c r="P413" s="30"/>
    </row>
    <row r="414">
      <c r="B414" s="161"/>
      <c r="C414" s="30"/>
      <c r="D414" s="30"/>
      <c r="E414" s="30"/>
      <c r="F414" s="30"/>
      <c r="G414" s="30"/>
      <c r="H414" s="30"/>
      <c r="I414" s="30"/>
      <c r="J414" s="30"/>
      <c r="K414" s="30"/>
      <c r="L414" s="30"/>
      <c r="M414" s="30"/>
      <c r="N414" s="75"/>
      <c r="O414" s="75"/>
      <c r="P414" s="30"/>
    </row>
    <row r="415">
      <c r="B415" s="161"/>
      <c r="C415" s="30"/>
      <c r="D415" s="30"/>
      <c r="E415" s="30"/>
      <c r="F415" s="30"/>
      <c r="G415" s="30"/>
      <c r="H415" s="30"/>
      <c r="I415" s="30"/>
      <c r="J415" s="30"/>
      <c r="K415" s="30"/>
      <c r="L415" s="30"/>
      <c r="M415" s="30"/>
      <c r="N415" s="75"/>
      <c r="O415" s="75"/>
      <c r="P415" s="30"/>
    </row>
    <row r="416">
      <c r="B416" s="161"/>
      <c r="C416" s="30"/>
      <c r="D416" s="30"/>
      <c r="E416" s="30"/>
      <c r="F416" s="30"/>
      <c r="G416" s="30"/>
      <c r="H416" s="30"/>
      <c r="I416" s="30"/>
      <c r="J416" s="30"/>
      <c r="K416" s="30"/>
      <c r="L416" s="30"/>
      <c r="M416" s="30"/>
      <c r="N416" s="75"/>
      <c r="O416" s="75"/>
      <c r="P416" s="30"/>
    </row>
    <row r="417">
      <c r="B417" s="161"/>
      <c r="C417" s="30"/>
      <c r="D417" s="30"/>
      <c r="E417" s="30"/>
      <c r="F417" s="30"/>
      <c r="G417" s="30"/>
      <c r="H417" s="30"/>
      <c r="I417" s="30"/>
      <c r="J417" s="30"/>
      <c r="K417" s="30"/>
      <c r="L417" s="30"/>
      <c r="M417" s="30"/>
      <c r="N417" s="75"/>
      <c r="O417" s="75"/>
      <c r="P417" s="30"/>
    </row>
    <row r="418">
      <c r="B418" s="161"/>
      <c r="C418" s="30"/>
      <c r="D418" s="30"/>
      <c r="E418" s="30"/>
      <c r="F418" s="30"/>
      <c r="G418" s="30"/>
      <c r="H418" s="30"/>
      <c r="I418" s="30"/>
      <c r="J418" s="30"/>
      <c r="K418" s="30"/>
      <c r="L418" s="30"/>
      <c r="M418" s="30"/>
      <c r="N418" s="75"/>
      <c r="O418" s="75"/>
      <c r="P418" s="30"/>
    </row>
    <row r="419">
      <c r="B419" s="161"/>
      <c r="C419" s="30"/>
      <c r="D419" s="30"/>
      <c r="E419" s="30"/>
      <c r="F419" s="30"/>
      <c r="G419" s="30"/>
      <c r="H419" s="30"/>
      <c r="I419" s="30"/>
      <c r="J419" s="30"/>
      <c r="K419" s="30"/>
      <c r="L419" s="30"/>
      <c r="M419" s="30"/>
      <c r="N419" s="75"/>
      <c r="O419" s="75"/>
      <c r="P419" s="30"/>
    </row>
    <row r="420">
      <c r="B420" s="161"/>
      <c r="C420" s="30"/>
      <c r="D420" s="30"/>
      <c r="E420" s="30"/>
      <c r="F420" s="30"/>
      <c r="G420" s="30"/>
      <c r="H420" s="30"/>
      <c r="I420" s="30"/>
      <c r="J420" s="30"/>
      <c r="K420" s="30"/>
      <c r="L420" s="30"/>
      <c r="M420" s="30"/>
      <c r="N420" s="75"/>
      <c r="O420" s="75"/>
      <c r="P420" s="30"/>
    </row>
    <row r="421">
      <c r="B421" s="161"/>
      <c r="C421" s="30"/>
      <c r="D421" s="30"/>
      <c r="E421" s="30"/>
      <c r="F421" s="30"/>
      <c r="G421" s="30"/>
      <c r="H421" s="30"/>
      <c r="I421" s="30"/>
      <c r="J421" s="30"/>
      <c r="K421" s="30"/>
      <c r="L421" s="30"/>
      <c r="M421" s="30"/>
      <c r="N421" s="75"/>
      <c r="O421" s="75"/>
      <c r="P421" s="30"/>
    </row>
    <row r="422">
      <c r="B422" s="161"/>
      <c r="C422" s="30"/>
      <c r="D422" s="30"/>
      <c r="E422" s="30"/>
      <c r="F422" s="30"/>
      <c r="G422" s="30"/>
      <c r="H422" s="30"/>
      <c r="I422" s="30"/>
      <c r="J422" s="30"/>
      <c r="K422" s="30"/>
      <c r="L422" s="30"/>
      <c r="M422" s="30"/>
      <c r="N422" s="75"/>
      <c r="O422" s="75"/>
      <c r="P422" s="30"/>
    </row>
    <row r="423">
      <c r="B423" s="161"/>
      <c r="C423" s="30"/>
      <c r="D423" s="30"/>
      <c r="E423" s="30"/>
      <c r="F423" s="30"/>
      <c r="G423" s="30"/>
      <c r="H423" s="30"/>
      <c r="I423" s="30"/>
      <c r="J423" s="30"/>
      <c r="K423" s="30"/>
      <c r="L423" s="30"/>
      <c r="M423" s="30"/>
      <c r="N423" s="75"/>
      <c r="O423" s="75"/>
      <c r="P423" s="30"/>
    </row>
    <row r="424">
      <c r="B424" s="161"/>
      <c r="C424" s="30"/>
      <c r="D424" s="30"/>
      <c r="E424" s="30"/>
      <c r="F424" s="30"/>
      <c r="G424" s="30"/>
      <c r="H424" s="30"/>
      <c r="I424" s="30"/>
      <c r="J424" s="30"/>
      <c r="K424" s="30"/>
      <c r="L424" s="30"/>
      <c r="M424" s="30"/>
      <c r="N424" s="75"/>
      <c r="O424" s="75"/>
      <c r="P424" s="30"/>
    </row>
    <row r="425">
      <c r="B425" s="161"/>
      <c r="C425" s="30"/>
      <c r="D425" s="30"/>
      <c r="E425" s="30"/>
      <c r="F425" s="30"/>
      <c r="G425" s="30"/>
      <c r="H425" s="30"/>
      <c r="I425" s="30"/>
      <c r="J425" s="30"/>
      <c r="K425" s="30"/>
      <c r="L425" s="30"/>
      <c r="M425" s="30"/>
      <c r="N425" s="75"/>
      <c r="O425" s="75"/>
      <c r="P425" s="30"/>
    </row>
    <row r="426">
      <c r="B426" s="161"/>
      <c r="C426" s="30"/>
      <c r="D426" s="30"/>
      <c r="E426" s="30"/>
      <c r="F426" s="30"/>
      <c r="G426" s="30"/>
      <c r="H426" s="30"/>
      <c r="I426" s="30"/>
      <c r="J426" s="30"/>
      <c r="K426" s="30"/>
      <c r="L426" s="30"/>
      <c r="M426" s="30"/>
      <c r="N426" s="75"/>
      <c r="O426" s="75"/>
      <c r="P426" s="30"/>
    </row>
    <row r="427">
      <c r="B427" s="161"/>
      <c r="C427" s="30"/>
      <c r="D427" s="30"/>
      <c r="E427" s="30"/>
      <c r="F427" s="30"/>
      <c r="G427" s="30"/>
      <c r="H427" s="30"/>
      <c r="I427" s="30"/>
      <c r="J427" s="30"/>
      <c r="K427" s="30"/>
      <c r="L427" s="30"/>
      <c r="M427" s="30"/>
      <c r="N427" s="75"/>
      <c r="O427" s="75"/>
      <c r="P427" s="30"/>
    </row>
    <row r="428">
      <c r="B428" s="161"/>
      <c r="C428" s="30"/>
      <c r="D428" s="30"/>
      <c r="E428" s="30"/>
      <c r="F428" s="30"/>
      <c r="G428" s="30"/>
      <c r="H428" s="30"/>
      <c r="I428" s="30"/>
      <c r="J428" s="30"/>
      <c r="K428" s="30"/>
      <c r="L428" s="30"/>
      <c r="M428" s="30"/>
      <c r="N428" s="75"/>
      <c r="O428" s="75"/>
      <c r="P428" s="30"/>
    </row>
    <row r="429">
      <c r="B429" s="161"/>
      <c r="C429" s="30"/>
      <c r="D429" s="30"/>
      <c r="E429" s="30"/>
      <c r="F429" s="30"/>
      <c r="G429" s="30"/>
      <c r="H429" s="30"/>
      <c r="I429" s="30"/>
      <c r="J429" s="30"/>
      <c r="K429" s="30"/>
      <c r="L429" s="30"/>
      <c r="M429" s="30"/>
      <c r="N429" s="75"/>
      <c r="O429" s="75"/>
      <c r="P429" s="30"/>
    </row>
    <row r="430">
      <c r="B430" s="161"/>
      <c r="C430" s="30"/>
      <c r="D430" s="30"/>
      <c r="E430" s="30"/>
      <c r="F430" s="30"/>
      <c r="G430" s="30"/>
      <c r="H430" s="30"/>
      <c r="I430" s="30"/>
      <c r="J430" s="30"/>
      <c r="K430" s="30"/>
      <c r="L430" s="30"/>
      <c r="M430" s="30"/>
      <c r="N430" s="75"/>
      <c r="O430" s="75"/>
      <c r="P430" s="30"/>
    </row>
    <row r="431">
      <c r="B431" s="161"/>
      <c r="C431" s="30"/>
      <c r="D431" s="30"/>
      <c r="E431" s="30"/>
      <c r="F431" s="30"/>
      <c r="G431" s="30"/>
      <c r="H431" s="30"/>
      <c r="I431" s="30"/>
      <c r="J431" s="30"/>
      <c r="K431" s="30"/>
      <c r="L431" s="30"/>
      <c r="M431" s="30"/>
      <c r="N431" s="75"/>
      <c r="O431" s="75"/>
      <c r="P431" s="30"/>
    </row>
    <row r="432">
      <c r="B432" s="161"/>
      <c r="C432" s="30"/>
      <c r="D432" s="30"/>
      <c r="E432" s="30"/>
      <c r="F432" s="30"/>
      <c r="G432" s="30"/>
      <c r="H432" s="30"/>
      <c r="I432" s="30"/>
      <c r="J432" s="30"/>
      <c r="K432" s="30"/>
      <c r="L432" s="30"/>
      <c r="M432" s="30"/>
      <c r="N432" s="75"/>
      <c r="O432" s="75"/>
      <c r="P432" s="30"/>
    </row>
    <row r="433">
      <c r="B433" s="161"/>
      <c r="C433" s="30"/>
      <c r="D433" s="30"/>
      <c r="E433" s="30"/>
      <c r="F433" s="30"/>
      <c r="G433" s="30"/>
      <c r="H433" s="30"/>
      <c r="I433" s="30"/>
      <c r="J433" s="30"/>
      <c r="K433" s="30"/>
      <c r="L433" s="30"/>
      <c r="M433" s="30"/>
      <c r="N433" s="75"/>
      <c r="O433" s="75"/>
      <c r="P433" s="30"/>
    </row>
    <row r="434">
      <c r="B434" s="161"/>
      <c r="C434" s="30"/>
      <c r="D434" s="30"/>
      <c r="E434" s="30"/>
      <c r="F434" s="30"/>
      <c r="G434" s="30"/>
      <c r="H434" s="30"/>
      <c r="I434" s="30"/>
      <c r="J434" s="30"/>
      <c r="K434" s="30"/>
      <c r="L434" s="30"/>
      <c r="M434" s="30"/>
      <c r="N434" s="75"/>
      <c r="O434" s="75"/>
      <c r="P434" s="30"/>
    </row>
    <row r="435">
      <c r="B435" s="161"/>
      <c r="C435" s="30"/>
      <c r="D435" s="30"/>
      <c r="E435" s="30"/>
      <c r="F435" s="30"/>
      <c r="G435" s="30"/>
      <c r="H435" s="30"/>
      <c r="I435" s="30"/>
      <c r="J435" s="30"/>
      <c r="K435" s="30"/>
      <c r="L435" s="30"/>
      <c r="M435" s="30"/>
      <c r="N435" s="75"/>
      <c r="O435" s="75"/>
      <c r="P435" s="30"/>
    </row>
    <row r="436">
      <c r="B436" s="161"/>
      <c r="C436" s="30"/>
      <c r="D436" s="30"/>
      <c r="E436" s="30"/>
      <c r="F436" s="30"/>
      <c r="G436" s="30"/>
      <c r="H436" s="30"/>
      <c r="I436" s="30"/>
      <c r="J436" s="30"/>
      <c r="K436" s="30"/>
      <c r="L436" s="30"/>
      <c r="M436" s="30"/>
      <c r="N436" s="75"/>
      <c r="O436" s="75"/>
      <c r="P436" s="30"/>
    </row>
    <row r="437">
      <c r="B437" s="161"/>
      <c r="C437" s="30"/>
      <c r="D437" s="30"/>
      <c r="E437" s="30"/>
      <c r="F437" s="30"/>
      <c r="G437" s="30"/>
      <c r="H437" s="30"/>
      <c r="I437" s="30"/>
      <c r="J437" s="30"/>
      <c r="K437" s="30"/>
      <c r="L437" s="30"/>
      <c r="M437" s="30"/>
      <c r="N437" s="75"/>
      <c r="O437" s="75"/>
      <c r="P437" s="30"/>
    </row>
    <row r="438">
      <c r="B438" s="161"/>
      <c r="C438" s="30"/>
      <c r="D438" s="30"/>
      <c r="E438" s="30"/>
      <c r="F438" s="30"/>
      <c r="G438" s="30"/>
      <c r="H438" s="30"/>
      <c r="I438" s="30"/>
      <c r="J438" s="30"/>
      <c r="K438" s="30"/>
      <c r="L438" s="30"/>
      <c r="M438" s="30"/>
      <c r="N438" s="75"/>
      <c r="O438" s="75"/>
      <c r="P438" s="30"/>
    </row>
    <row r="439">
      <c r="B439" s="161"/>
      <c r="C439" s="30"/>
      <c r="D439" s="30"/>
      <c r="E439" s="30"/>
      <c r="F439" s="30"/>
      <c r="G439" s="30"/>
      <c r="H439" s="30"/>
      <c r="I439" s="30"/>
      <c r="J439" s="30"/>
      <c r="K439" s="30"/>
      <c r="L439" s="30"/>
      <c r="M439" s="30"/>
      <c r="N439" s="75"/>
      <c r="O439" s="75"/>
      <c r="P439" s="30"/>
    </row>
    <row r="440">
      <c r="B440" s="161"/>
      <c r="C440" s="30"/>
      <c r="D440" s="30"/>
      <c r="E440" s="30"/>
      <c r="F440" s="30"/>
      <c r="G440" s="30"/>
      <c r="H440" s="30"/>
      <c r="I440" s="30"/>
      <c r="J440" s="30"/>
      <c r="K440" s="30"/>
      <c r="L440" s="30"/>
      <c r="M440" s="30"/>
      <c r="N440" s="75"/>
      <c r="O440" s="75"/>
      <c r="P440" s="30"/>
    </row>
    <row r="441">
      <c r="B441" s="161"/>
      <c r="C441" s="30"/>
      <c r="D441" s="30"/>
      <c r="E441" s="30"/>
      <c r="F441" s="30"/>
      <c r="G441" s="30"/>
      <c r="H441" s="30"/>
      <c r="I441" s="30"/>
      <c r="J441" s="30"/>
      <c r="K441" s="30"/>
      <c r="L441" s="30"/>
      <c r="M441" s="30"/>
      <c r="N441" s="75"/>
      <c r="O441" s="75"/>
      <c r="P441" s="30"/>
    </row>
    <row r="442">
      <c r="B442" s="161"/>
      <c r="C442" s="30"/>
      <c r="D442" s="30"/>
      <c r="E442" s="30"/>
      <c r="F442" s="30"/>
      <c r="G442" s="30"/>
      <c r="H442" s="30"/>
      <c r="I442" s="30"/>
      <c r="J442" s="30"/>
      <c r="K442" s="30"/>
      <c r="L442" s="30"/>
      <c r="M442" s="30"/>
      <c r="N442" s="75"/>
      <c r="O442" s="75"/>
      <c r="P442" s="30"/>
    </row>
    <row r="443">
      <c r="B443" s="161"/>
      <c r="C443" s="30"/>
      <c r="D443" s="30"/>
      <c r="E443" s="30"/>
      <c r="F443" s="30"/>
      <c r="G443" s="30"/>
      <c r="H443" s="30"/>
      <c r="I443" s="30"/>
      <c r="J443" s="30"/>
      <c r="K443" s="30"/>
      <c r="L443" s="30"/>
      <c r="M443" s="30"/>
      <c r="N443" s="75"/>
      <c r="O443" s="75"/>
      <c r="P443" s="30"/>
    </row>
    <row r="444">
      <c r="B444" s="161"/>
      <c r="C444" s="30"/>
      <c r="D444" s="30"/>
      <c r="E444" s="30"/>
      <c r="F444" s="30"/>
      <c r="G444" s="30"/>
      <c r="H444" s="30"/>
      <c r="I444" s="30"/>
      <c r="J444" s="30"/>
      <c r="K444" s="30"/>
      <c r="L444" s="30"/>
      <c r="M444" s="30"/>
      <c r="N444" s="75"/>
      <c r="O444" s="75"/>
      <c r="P444" s="30"/>
    </row>
    <row r="445">
      <c r="B445" s="161"/>
      <c r="C445" s="30"/>
      <c r="D445" s="30"/>
      <c r="E445" s="30"/>
      <c r="F445" s="30"/>
      <c r="G445" s="30"/>
      <c r="H445" s="30"/>
      <c r="I445" s="30"/>
      <c r="J445" s="30"/>
      <c r="K445" s="30"/>
      <c r="L445" s="30"/>
      <c r="M445" s="30"/>
      <c r="N445" s="75"/>
      <c r="O445" s="75"/>
      <c r="P445" s="30"/>
    </row>
    <row r="446">
      <c r="B446" s="161"/>
      <c r="C446" s="30"/>
      <c r="D446" s="30"/>
      <c r="E446" s="30"/>
      <c r="F446" s="30"/>
      <c r="G446" s="30"/>
      <c r="H446" s="30"/>
      <c r="I446" s="30"/>
      <c r="J446" s="30"/>
      <c r="K446" s="30"/>
      <c r="L446" s="30"/>
      <c r="M446" s="30"/>
      <c r="N446" s="75"/>
      <c r="O446" s="75"/>
      <c r="P446" s="30"/>
    </row>
    <row r="447">
      <c r="B447" s="161"/>
      <c r="C447" s="30"/>
      <c r="D447" s="30"/>
      <c r="E447" s="30"/>
      <c r="F447" s="30"/>
      <c r="G447" s="30"/>
      <c r="H447" s="30"/>
      <c r="I447" s="30"/>
      <c r="J447" s="30"/>
      <c r="K447" s="30"/>
      <c r="L447" s="30"/>
      <c r="M447" s="30"/>
      <c r="N447" s="75"/>
      <c r="O447" s="75"/>
      <c r="P447" s="30"/>
    </row>
    <row r="448">
      <c r="B448" s="161"/>
      <c r="C448" s="30"/>
      <c r="D448" s="30"/>
      <c r="E448" s="30"/>
      <c r="F448" s="30"/>
      <c r="G448" s="30"/>
      <c r="H448" s="30"/>
      <c r="I448" s="30"/>
      <c r="J448" s="30"/>
      <c r="K448" s="30"/>
      <c r="L448" s="30"/>
      <c r="M448" s="30"/>
      <c r="N448" s="75"/>
      <c r="O448" s="75"/>
      <c r="P448" s="30"/>
    </row>
    <row r="449">
      <c r="B449" s="161"/>
      <c r="C449" s="30"/>
      <c r="D449" s="30"/>
      <c r="E449" s="30"/>
      <c r="F449" s="30"/>
      <c r="G449" s="30"/>
      <c r="H449" s="30"/>
      <c r="I449" s="30"/>
      <c r="J449" s="30"/>
      <c r="K449" s="30"/>
      <c r="L449" s="30"/>
      <c r="M449" s="30"/>
      <c r="N449" s="75"/>
      <c r="O449" s="75"/>
      <c r="P449" s="30"/>
    </row>
    <row r="450">
      <c r="B450" s="161"/>
      <c r="C450" s="30"/>
      <c r="D450" s="30"/>
      <c r="E450" s="30"/>
      <c r="F450" s="30"/>
      <c r="G450" s="30"/>
      <c r="H450" s="30"/>
      <c r="I450" s="30"/>
      <c r="J450" s="30"/>
      <c r="K450" s="30"/>
      <c r="L450" s="30"/>
      <c r="M450" s="30"/>
      <c r="N450" s="75"/>
      <c r="O450" s="75"/>
      <c r="P450" s="30"/>
    </row>
    <row r="451">
      <c r="B451" s="161"/>
      <c r="C451" s="30"/>
      <c r="D451" s="30"/>
      <c r="E451" s="30"/>
      <c r="F451" s="30"/>
      <c r="G451" s="30"/>
      <c r="H451" s="30"/>
      <c r="I451" s="30"/>
      <c r="J451" s="30"/>
      <c r="K451" s="30"/>
      <c r="L451" s="30"/>
      <c r="M451" s="30"/>
      <c r="N451" s="75"/>
      <c r="O451" s="75"/>
      <c r="P451" s="30"/>
    </row>
    <row r="452">
      <c r="B452" s="161"/>
      <c r="C452" s="30"/>
      <c r="D452" s="30"/>
      <c r="E452" s="30"/>
      <c r="F452" s="30"/>
      <c r="G452" s="30"/>
      <c r="H452" s="30"/>
      <c r="I452" s="30"/>
      <c r="J452" s="30"/>
      <c r="K452" s="30"/>
      <c r="L452" s="30"/>
      <c r="M452" s="30"/>
      <c r="N452" s="75"/>
      <c r="O452" s="75"/>
      <c r="P452" s="30"/>
    </row>
    <row r="453">
      <c r="B453" s="161"/>
      <c r="C453" s="30"/>
      <c r="D453" s="30"/>
      <c r="E453" s="30"/>
      <c r="F453" s="30"/>
      <c r="G453" s="30"/>
      <c r="H453" s="30"/>
      <c r="I453" s="30"/>
      <c r="J453" s="30"/>
      <c r="K453" s="30"/>
      <c r="L453" s="30"/>
      <c r="M453" s="30"/>
      <c r="N453" s="75"/>
      <c r="O453" s="75"/>
      <c r="P453" s="30"/>
    </row>
    <row r="454">
      <c r="B454" s="161"/>
      <c r="C454" s="30"/>
      <c r="D454" s="30"/>
      <c r="E454" s="30"/>
      <c r="F454" s="30"/>
      <c r="G454" s="30"/>
      <c r="H454" s="30"/>
      <c r="I454" s="30"/>
      <c r="J454" s="30"/>
      <c r="K454" s="30"/>
      <c r="L454" s="30"/>
      <c r="M454" s="30"/>
      <c r="N454" s="75"/>
      <c r="O454" s="75"/>
      <c r="P454" s="30"/>
    </row>
    <row r="455">
      <c r="B455" s="161"/>
      <c r="C455" s="30"/>
      <c r="D455" s="30"/>
      <c r="E455" s="30"/>
      <c r="F455" s="30"/>
      <c r="G455" s="30"/>
      <c r="H455" s="30"/>
      <c r="I455" s="30"/>
      <c r="J455" s="30"/>
      <c r="K455" s="30"/>
      <c r="L455" s="30"/>
      <c r="M455" s="30"/>
      <c r="N455" s="75"/>
      <c r="O455" s="75"/>
      <c r="P455" s="30"/>
    </row>
    <row r="456">
      <c r="B456" s="161"/>
      <c r="C456" s="30"/>
      <c r="D456" s="30"/>
      <c r="E456" s="30"/>
      <c r="F456" s="30"/>
      <c r="G456" s="30"/>
      <c r="H456" s="30"/>
      <c r="I456" s="30"/>
      <c r="J456" s="30"/>
      <c r="K456" s="30"/>
      <c r="L456" s="30"/>
      <c r="M456" s="30"/>
      <c r="N456" s="75"/>
      <c r="O456" s="75"/>
      <c r="P456" s="30"/>
    </row>
    <row r="457">
      <c r="B457" s="161"/>
      <c r="C457" s="30"/>
      <c r="D457" s="30"/>
      <c r="E457" s="30"/>
      <c r="F457" s="30"/>
      <c r="G457" s="30"/>
      <c r="H457" s="30"/>
      <c r="I457" s="30"/>
      <c r="J457" s="30"/>
      <c r="K457" s="30"/>
      <c r="L457" s="30"/>
      <c r="M457" s="30"/>
      <c r="N457" s="75"/>
      <c r="O457" s="75"/>
      <c r="P457" s="30"/>
    </row>
    <row r="458">
      <c r="B458" s="161"/>
      <c r="C458" s="30"/>
      <c r="D458" s="30"/>
      <c r="E458" s="30"/>
      <c r="F458" s="30"/>
      <c r="G458" s="30"/>
      <c r="H458" s="30"/>
      <c r="I458" s="30"/>
      <c r="J458" s="30"/>
      <c r="K458" s="30"/>
      <c r="L458" s="30"/>
      <c r="M458" s="30"/>
      <c r="N458" s="75"/>
      <c r="O458" s="75"/>
      <c r="P458" s="30"/>
    </row>
    <row r="459">
      <c r="B459" s="161"/>
      <c r="C459" s="30"/>
      <c r="D459" s="30"/>
      <c r="E459" s="30"/>
      <c r="F459" s="30"/>
      <c r="G459" s="30"/>
      <c r="H459" s="30"/>
      <c r="I459" s="30"/>
      <c r="J459" s="30"/>
      <c r="K459" s="30"/>
      <c r="L459" s="30"/>
      <c r="M459" s="30"/>
      <c r="N459" s="75"/>
      <c r="O459" s="75"/>
      <c r="P459" s="30"/>
    </row>
    <row r="460">
      <c r="B460" s="161"/>
      <c r="C460" s="30"/>
      <c r="D460" s="30"/>
      <c r="E460" s="30"/>
      <c r="F460" s="30"/>
      <c r="G460" s="30"/>
      <c r="H460" s="30"/>
      <c r="I460" s="30"/>
      <c r="J460" s="30"/>
      <c r="K460" s="30"/>
      <c r="L460" s="30"/>
      <c r="M460" s="30"/>
      <c r="N460" s="75"/>
      <c r="O460" s="75"/>
      <c r="P460" s="30"/>
    </row>
    <row r="461">
      <c r="B461" s="161"/>
      <c r="C461" s="30"/>
      <c r="D461" s="30"/>
      <c r="E461" s="30"/>
      <c r="F461" s="30"/>
      <c r="G461" s="30"/>
      <c r="H461" s="30"/>
      <c r="I461" s="30"/>
      <c r="J461" s="30"/>
      <c r="K461" s="30"/>
      <c r="L461" s="30"/>
      <c r="M461" s="30"/>
      <c r="N461" s="75"/>
      <c r="O461" s="75"/>
      <c r="P461" s="30"/>
    </row>
    <row r="462">
      <c r="B462" s="161"/>
      <c r="C462" s="30"/>
      <c r="D462" s="30"/>
      <c r="E462" s="30"/>
      <c r="F462" s="30"/>
      <c r="G462" s="30"/>
      <c r="H462" s="30"/>
      <c r="I462" s="30"/>
      <c r="J462" s="30"/>
      <c r="K462" s="30"/>
      <c r="L462" s="30"/>
      <c r="M462" s="30"/>
      <c r="N462" s="75"/>
      <c r="O462" s="75"/>
      <c r="P462" s="30"/>
    </row>
    <row r="463">
      <c r="B463" s="161"/>
      <c r="C463" s="30"/>
      <c r="D463" s="30"/>
      <c r="E463" s="30"/>
      <c r="F463" s="30"/>
      <c r="G463" s="30"/>
      <c r="H463" s="30"/>
      <c r="I463" s="30"/>
      <c r="J463" s="30"/>
      <c r="K463" s="30"/>
      <c r="L463" s="30"/>
      <c r="M463" s="30"/>
      <c r="N463" s="75"/>
      <c r="O463" s="75"/>
      <c r="P463" s="30"/>
    </row>
    <row r="464">
      <c r="B464" s="161"/>
      <c r="C464" s="30"/>
      <c r="D464" s="30"/>
      <c r="E464" s="30"/>
      <c r="F464" s="30"/>
      <c r="G464" s="30"/>
      <c r="H464" s="30"/>
      <c r="I464" s="30"/>
      <c r="J464" s="30"/>
      <c r="K464" s="30"/>
      <c r="L464" s="30"/>
      <c r="M464" s="30"/>
      <c r="N464" s="75"/>
      <c r="O464" s="75"/>
      <c r="P464" s="30"/>
    </row>
    <row r="465">
      <c r="B465" s="161"/>
      <c r="C465" s="30"/>
      <c r="D465" s="30"/>
      <c r="E465" s="30"/>
      <c r="F465" s="30"/>
      <c r="G465" s="30"/>
      <c r="H465" s="30"/>
      <c r="I465" s="30"/>
      <c r="J465" s="30"/>
      <c r="K465" s="30"/>
      <c r="L465" s="30"/>
      <c r="M465" s="30"/>
      <c r="N465" s="75"/>
      <c r="O465" s="75"/>
      <c r="P465" s="30"/>
    </row>
    <row r="466">
      <c r="B466" s="161"/>
      <c r="C466" s="30"/>
      <c r="D466" s="30"/>
      <c r="E466" s="30"/>
      <c r="F466" s="30"/>
      <c r="G466" s="30"/>
      <c r="H466" s="30"/>
      <c r="I466" s="30"/>
      <c r="J466" s="30"/>
      <c r="K466" s="30"/>
      <c r="L466" s="30"/>
      <c r="M466" s="30"/>
      <c r="N466" s="75"/>
      <c r="O466" s="75"/>
      <c r="P466" s="30"/>
    </row>
    <row r="467">
      <c r="B467" s="161"/>
      <c r="C467" s="30"/>
      <c r="D467" s="30"/>
      <c r="E467" s="30"/>
      <c r="F467" s="30"/>
      <c r="G467" s="30"/>
      <c r="H467" s="30"/>
      <c r="I467" s="30"/>
      <c r="J467" s="30"/>
      <c r="K467" s="30"/>
      <c r="L467" s="30"/>
      <c r="M467" s="30"/>
      <c r="N467" s="75"/>
      <c r="O467" s="75"/>
      <c r="P467" s="30"/>
    </row>
    <row r="468">
      <c r="B468" s="161"/>
      <c r="C468" s="30"/>
      <c r="D468" s="30"/>
      <c r="E468" s="30"/>
      <c r="F468" s="30"/>
      <c r="G468" s="30"/>
      <c r="H468" s="30"/>
      <c r="I468" s="30"/>
      <c r="J468" s="30"/>
      <c r="K468" s="30"/>
      <c r="L468" s="30"/>
      <c r="M468" s="30"/>
      <c r="N468" s="75"/>
      <c r="O468" s="75"/>
      <c r="P468" s="30"/>
    </row>
    <row r="469">
      <c r="B469" s="161"/>
      <c r="C469" s="30"/>
      <c r="D469" s="30"/>
      <c r="E469" s="30"/>
      <c r="F469" s="30"/>
      <c r="G469" s="30"/>
      <c r="H469" s="30"/>
      <c r="I469" s="30"/>
      <c r="J469" s="30"/>
      <c r="K469" s="30"/>
      <c r="L469" s="30"/>
      <c r="M469" s="30"/>
      <c r="N469" s="75"/>
      <c r="O469" s="75"/>
      <c r="P469" s="30"/>
    </row>
    <row r="470">
      <c r="B470" s="161"/>
      <c r="C470" s="30"/>
      <c r="D470" s="30"/>
      <c r="E470" s="30"/>
      <c r="F470" s="30"/>
      <c r="G470" s="30"/>
      <c r="H470" s="30"/>
      <c r="I470" s="30"/>
      <c r="J470" s="30"/>
      <c r="K470" s="30"/>
      <c r="L470" s="30"/>
      <c r="M470" s="30"/>
      <c r="N470" s="75"/>
      <c r="O470" s="75"/>
      <c r="P470" s="30"/>
    </row>
    <row r="471">
      <c r="B471" s="161"/>
      <c r="C471" s="30"/>
      <c r="D471" s="30"/>
      <c r="E471" s="30"/>
      <c r="F471" s="30"/>
      <c r="G471" s="30"/>
      <c r="H471" s="30"/>
      <c r="I471" s="30"/>
      <c r="J471" s="30"/>
      <c r="K471" s="30"/>
      <c r="L471" s="30"/>
      <c r="M471" s="30"/>
      <c r="N471" s="75"/>
      <c r="O471" s="75"/>
      <c r="P471" s="30"/>
    </row>
    <row r="472">
      <c r="B472" s="161"/>
      <c r="C472" s="30"/>
      <c r="D472" s="30"/>
      <c r="E472" s="30"/>
      <c r="F472" s="30"/>
      <c r="G472" s="30"/>
      <c r="H472" s="30"/>
      <c r="I472" s="30"/>
      <c r="J472" s="30"/>
      <c r="K472" s="30"/>
      <c r="L472" s="30"/>
      <c r="M472" s="30"/>
      <c r="N472" s="75"/>
      <c r="O472" s="75"/>
      <c r="P472" s="30"/>
    </row>
    <row r="473">
      <c r="B473" s="161"/>
      <c r="C473" s="30"/>
      <c r="D473" s="30"/>
      <c r="E473" s="30"/>
      <c r="F473" s="30"/>
      <c r="G473" s="30"/>
      <c r="H473" s="30"/>
      <c r="I473" s="30"/>
      <c r="J473" s="30"/>
      <c r="K473" s="30"/>
      <c r="L473" s="30"/>
      <c r="M473" s="30"/>
      <c r="N473" s="75"/>
      <c r="O473" s="75"/>
      <c r="P473" s="30"/>
    </row>
    <row r="474">
      <c r="B474" s="161"/>
      <c r="C474" s="30"/>
      <c r="D474" s="30"/>
      <c r="E474" s="30"/>
      <c r="F474" s="30"/>
      <c r="G474" s="30"/>
      <c r="H474" s="30"/>
      <c r="I474" s="30"/>
      <c r="J474" s="30"/>
      <c r="K474" s="30"/>
      <c r="L474" s="30"/>
      <c r="M474" s="30"/>
      <c r="N474" s="75"/>
      <c r="O474" s="75"/>
      <c r="P474" s="30"/>
    </row>
    <row r="475">
      <c r="B475" s="161"/>
      <c r="C475" s="30"/>
      <c r="D475" s="30"/>
      <c r="E475" s="30"/>
      <c r="F475" s="30"/>
      <c r="G475" s="30"/>
      <c r="H475" s="30"/>
      <c r="I475" s="30"/>
      <c r="J475" s="30"/>
      <c r="K475" s="30"/>
      <c r="L475" s="30"/>
      <c r="M475" s="30"/>
      <c r="N475" s="75"/>
      <c r="O475" s="75"/>
      <c r="P475" s="30"/>
    </row>
    <row r="476">
      <c r="B476" s="161"/>
      <c r="C476" s="30"/>
      <c r="D476" s="30"/>
      <c r="E476" s="30"/>
      <c r="F476" s="30"/>
      <c r="G476" s="30"/>
      <c r="H476" s="30"/>
      <c r="I476" s="30"/>
      <c r="J476" s="30"/>
      <c r="K476" s="30"/>
      <c r="L476" s="30"/>
      <c r="M476" s="30"/>
      <c r="N476" s="75"/>
      <c r="O476" s="75"/>
      <c r="P476" s="30"/>
    </row>
    <row r="477">
      <c r="B477" s="161"/>
      <c r="C477" s="30"/>
      <c r="D477" s="30"/>
      <c r="E477" s="30"/>
      <c r="F477" s="30"/>
      <c r="G477" s="30"/>
      <c r="H477" s="30"/>
      <c r="I477" s="30"/>
      <c r="J477" s="30"/>
      <c r="K477" s="30"/>
      <c r="L477" s="30"/>
      <c r="M477" s="30"/>
      <c r="N477" s="75"/>
      <c r="O477" s="75"/>
      <c r="P477" s="30"/>
    </row>
    <row r="478">
      <c r="B478" s="161"/>
      <c r="C478" s="30"/>
      <c r="D478" s="30"/>
      <c r="E478" s="30"/>
      <c r="F478" s="30"/>
      <c r="G478" s="30"/>
      <c r="H478" s="30"/>
      <c r="I478" s="30"/>
      <c r="J478" s="30"/>
      <c r="K478" s="30"/>
      <c r="L478" s="30"/>
      <c r="M478" s="30"/>
      <c r="N478" s="75"/>
      <c r="O478" s="75"/>
      <c r="P478" s="30"/>
    </row>
    <row r="479">
      <c r="B479" s="161"/>
      <c r="C479" s="30"/>
      <c r="D479" s="30"/>
      <c r="E479" s="30"/>
      <c r="F479" s="30"/>
      <c r="G479" s="30"/>
      <c r="H479" s="30"/>
      <c r="I479" s="30"/>
      <c r="J479" s="30"/>
      <c r="K479" s="30"/>
      <c r="L479" s="30"/>
      <c r="M479" s="30"/>
      <c r="N479" s="75"/>
      <c r="O479" s="75"/>
      <c r="P479" s="30"/>
    </row>
    <row r="480">
      <c r="B480" s="161"/>
      <c r="C480" s="30"/>
      <c r="D480" s="30"/>
      <c r="E480" s="30"/>
      <c r="F480" s="30"/>
      <c r="G480" s="30"/>
      <c r="H480" s="30"/>
      <c r="I480" s="30"/>
      <c r="J480" s="30"/>
      <c r="K480" s="30"/>
      <c r="L480" s="30"/>
      <c r="M480" s="30"/>
      <c r="N480" s="75"/>
      <c r="O480" s="75"/>
      <c r="P480" s="30"/>
    </row>
    <row r="481">
      <c r="B481" s="161"/>
      <c r="C481" s="30"/>
      <c r="D481" s="30"/>
      <c r="E481" s="30"/>
      <c r="F481" s="30"/>
      <c r="G481" s="30"/>
      <c r="H481" s="30"/>
      <c r="I481" s="30"/>
      <c r="J481" s="30"/>
      <c r="K481" s="30"/>
      <c r="L481" s="30"/>
      <c r="M481" s="30"/>
      <c r="N481" s="75"/>
      <c r="O481" s="75"/>
      <c r="P481" s="30"/>
    </row>
    <row r="482">
      <c r="B482" s="161"/>
      <c r="C482" s="30"/>
      <c r="D482" s="30"/>
      <c r="E482" s="30"/>
      <c r="F482" s="30"/>
      <c r="G482" s="30"/>
      <c r="H482" s="30"/>
      <c r="I482" s="30"/>
      <c r="J482" s="30"/>
      <c r="K482" s="30"/>
      <c r="L482" s="30"/>
      <c r="M482" s="30"/>
      <c r="N482" s="75"/>
      <c r="O482" s="75"/>
      <c r="P482" s="30"/>
    </row>
    <row r="483">
      <c r="B483" s="161"/>
      <c r="C483" s="30"/>
      <c r="D483" s="30"/>
      <c r="E483" s="30"/>
      <c r="F483" s="30"/>
      <c r="G483" s="30"/>
      <c r="H483" s="30"/>
      <c r="I483" s="30"/>
      <c r="J483" s="30"/>
      <c r="K483" s="30"/>
      <c r="L483" s="30"/>
      <c r="M483" s="30"/>
      <c r="N483" s="75"/>
      <c r="O483" s="75"/>
      <c r="P483" s="30"/>
    </row>
    <row r="484">
      <c r="B484" s="161"/>
      <c r="C484" s="30"/>
      <c r="D484" s="30"/>
      <c r="E484" s="30"/>
      <c r="F484" s="30"/>
      <c r="G484" s="30"/>
      <c r="H484" s="30"/>
      <c r="I484" s="30"/>
      <c r="J484" s="30"/>
      <c r="K484" s="30"/>
      <c r="L484" s="30"/>
      <c r="M484" s="30"/>
      <c r="N484" s="75"/>
      <c r="O484" s="75"/>
      <c r="P484" s="30"/>
    </row>
    <row r="485">
      <c r="B485" s="161"/>
      <c r="C485" s="30"/>
      <c r="D485" s="30"/>
      <c r="E485" s="30"/>
      <c r="F485" s="30"/>
      <c r="G485" s="30"/>
      <c r="H485" s="30"/>
      <c r="I485" s="30"/>
      <c r="J485" s="30"/>
      <c r="K485" s="30"/>
      <c r="L485" s="30"/>
      <c r="M485" s="30"/>
      <c r="N485" s="75"/>
      <c r="O485" s="75"/>
      <c r="P485" s="30"/>
    </row>
    <row r="486">
      <c r="B486" s="161"/>
      <c r="C486" s="30"/>
      <c r="D486" s="30"/>
      <c r="E486" s="30"/>
      <c r="F486" s="30"/>
      <c r="G486" s="30"/>
      <c r="H486" s="30"/>
      <c r="I486" s="30"/>
      <c r="J486" s="30"/>
      <c r="K486" s="30"/>
      <c r="L486" s="30"/>
      <c r="M486" s="30"/>
      <c r="N486" s="75"/>
      <c r="O486" s="75"/>
      <c r="P486" s="30"/>
    </row>
    <row r="487">
      <c r="B487" s="161"/>
      <c r="C487" s="30"/>
      <c r="D487" s="30"/>
      <c r="E487" s="30"/>
      <c r="F487" s="30"/>
      <c r="G487" s="30"/>
      <c r="H487" s="30"/>
      <c r="I487" s="30"/>
      <c r="J487" s="30"/>
      <c r="K487" s="30"/>
      <c r="L487" s="30"/>
      <c r="M487" s="30"/>
      <c r="N487" s="75"/>
      <c r="O487" s="75"/>
      <c r="P487" s="30"/>
    </row>
    <row r="488">
      <c r="B488" s="161"/>
      <c r="C488" s="30"/>
      <c r="D488" s="30"/>
      <c r="E488" s="30"/>
      <c r="F488" s="30"/>
      <c r="G488" s="30"/>
      <c r="H488" s="30"/>
      <c r="I488" s="30"/>
      <c r="J488" s="30"/>
      <c r="K488" s="30"/>
      <c r="L488" s="30"/>
      <c r="M488" s="30"/>
      <c r="N488" s="75"/>
      <c r="O488" s="75"/>
      <c r="P488" s="30"/>
    </row>
    <row r="489">
      <c r="B489" s="161"/>
      <c r="C489" s="30"/>
      <c r="D489" s="30"/>
      <c r="E489" s="30"/>
      <c r="F489" s="30"/>
      <c r="G489" s="30"/>
      <c r="H489" s="30"/>
      <c r="I489" s="30"/>
      <c r="J489" s="30"/>
      <c r="K489" s="30"/>
      <c r="L489" s="30"/>
      <c r="M489" s="30"/>
      <c r="N489" s="75"/>
      <c r="O489" s="75"/>
      <c r="P489" s="30"/>
    </row>
    <row r="490">
      <c r="B490" s="161"/>
      <c r="C490" s="30"/>
      <c r="D490" s="30"/>
      <c r="E490" s="30"/>
      <c r="F490" s="30"/>
      <c r="G490" s="30"/>
      <c r="H490" s="30"/>
      <c r="I490" s="30"/>
      <c r="J490" s="30"/>
      <c r="K490" s="30"/>
      <c r="L490" s="30"/>
      <c r="M490" s="30"/>
      <c r="N490" s="75"/>
      <c r="O490" s="75"/>
      <c r="P490" s="30"/>
    </row>
    <row r="491">
      <c r="B491" s="161"/>
      <c r="C491" s="30"/>
      <c r="D491" s="30"/>
      <c r="E491" s="30"/>
      <c r="F491" s="30"/>
      <c r="G491" s="30"/>
      <c r="H491" s="30"/>
      <c r="I491" s="30"/>
      <c r="J491" s="30"/>
      <c r="K491" s="30"/>
      <c r="L491" s="30"/>
      <c r="M491" s="30"/>
      <c r="N491" s="75"/>
      <c r="O491" s="75"/>
      <c r="P491" s="30"/>
    </row>
    <row r="492">
      <c r="B492" s="161"/>
      <c r="C492" s="30"/>
      <c r="D492" s="30"/>
      <c r="E492" s="30"/>
      <c r="F492" s="30"/>
      <c r="G492" s="30"/>
      <c r="H492" s="30"/>
      <c r="I492" s="30"/>
      <c r="J492" s="30"/>
      <c r="K492" s="30"/>
      <c r="L492" s="30"/>
      <c r="M492" s="30"/>
      <c r="N492" s="75"/>
      <c r="O492" s="75"/>
      <c r="P492" s="30"/>
    </row>
    <row r="493">
      <c r="B493" s="161"/>
      <c r="C493" s="30"/>
      <c r="D493" s="30"/>
      <c r="E493" s="30"/>
      <c r="F493" s="30"/>
      <c r="G493" s="30"/>
      <c r="H493" s="30"/>
      <c r="I493" s="30"/>
      <c r="J493" s="30"/>
      <c r="K493" s="30"/>
      <c r="L493" s="30"/>
      <c r="M493" s="30"/>
      <c r="N493" s="75"/>
      <c r="O493" s="75"/>
      <c r="P493" s="30"/>
    </row>
    <row r="494">
      <c r="B494" s="161"/>
      <c r="C494" s="30"/>
      <c r="D494" s="30"/>
      <c r="E494" s="30"/>
      <c r="F494" s="30"/>
      <c r="G494" s="30"/>
      <c r="H494" s="30"/>
      <c r="I494" s="30"/>
      <c r="J494" s="30"/>
      <c r="K494" s="30"/>
      <c r="L494" s="30"/>
      <c r="M494" s="30"/>
      <c r="N494" s="75"/>
      <c r="O494" s="75"/>
      <c r="P494" s="30"/>
    </row>
    <row r="495">
      <c r="B495" s="161"/>
      <c r="C495" s="30"/>
      <c r="D495" s="30"/>
      <c r="E495" s="30"/>
      <c r="F495" s="30"/>
      <c r="G495" s="30"/>
      <c r="H495" s="30"/>
      <c r="I495" s="30"/>
      <c r="J495" s="30"/>
      <c r="K495" s="30"/>
      <c r="L495" s="30"/>
      <c r="M495" s="30"/>
      <c r="N495" s="75"/>
      <c r="O495" s="75"/>
      <c r="P495" s="30"/>
    </row>
    <row r="496">
      <c r="B496" s="161"/>
      <c r="C496" s="30"/>
      <c r="D496" s="30"/>
      <c r="E496" s="30"/>
      <c r="F496" s="30"/>
      <c r="G496" s="30"/>
      <c r="H496" s="30"/>
      <c r="I496" s="30"/>
      <c r="J496" s="30"/>
      <c r="K496" s="30"/>
      <c r="L496" s="30"/>
      <c r="M496" s="30"/>
      <c r="N496" s="75"/>
      <c r="O496" s="75"/>
      <c r="P496" s="30"/>
    </row>
    <row r="497">
      <c r="B497" s="161"/>
      <c r="C497" s="30"/>
      <c r="D497" s="30"/>
      <c r="E497" s="30"/>
      <c r="F497" s="30"/>
      <c r="G497" s="30"/>
      <c r="H497" s="30"/>
      <c r="I497" s="30"/>
      <c r="J497" s="30"/>
      <c r="K497" s="30"/>
      <c r="L497" s="30"/>
      <c r="M497" s="30"/>
      <c r="N497" s="75"/>
      <c r="O497" s="75"/>
      <c r="P497" s="30"/>
    </row>
    <row r="498">
      <c r="B498" s="161"/>
      <c r="C498" s="30"/>
      <c r="D498" s="30"/>
      <c r="E498" s="30"/>
      <c r="F498" s="30"/>
      <c r="G498" s="30"/>
      <c r="H498" s="30"/>
      <c r="I498" s="30"/>
      <c r="J498" s="30"/>
      <c r="K498" s="30"/>
      <c r="L498" s="30"/>
      <c r="M498" s="30"/>
      <c r="N498" s="75"/>
      <c r="O498" s="75"/>
      <c r="P498" s="30"/>
    </row>
    <row r="499">
      <c r="B499" s="161"/>
      <c r="C499" s="30"/>
      <c r="D499" s="30"/>
      <c r="E499" s="30"/>
      <c r="F499" s="30"/>
      <c r="G499" s="30"/>
      <c r="H499" s="30"/>
      <c r="I499" s="30"/>
      <c r="J499" s="30"/>
      <c r="K499" s="30"/>
      <c r="L499" s="30"/>
      <c r="M499" s="30"/>
      <c r="N499" s="75"/>
      <c r="O499" s="75"/>
      <c r="P499" s="30"/>
    </row>
    <row r="500">
      <c r="B500" s="161"/>
      <c r="C500" s="30"/>
      <c r="D500" s="30"/>
      <c r="E500" s="30"/>
      <c r="F500" s="30"/>
      <c r="G500" s="30"/>
      <c r="H500" s="30"/>
      <c r="I500" s="30"/>
      <c r="J500" s="30"/>
      <c r="K500" s="30"/>
      <c r="L500" s="30"/>
      <c r="M500" s="30"/>
      <c r="N500" s="75"/>
      <c r="O500" s="75"/>
      <c r="P500" s="30"/>
    </row>
    <row r="501">
      <c r="B501" s="161"/>
      <c r="C501" s="30"/>
      <c r="D501" s="30"/>
      <c r="E501" s="30"/>
      <c r="F501" s="30"/>
      <c r="G501" s="30"/>
      <c r="H501" s="30"/>
      <c r="I501" s="30"/>
      <c r="J501" s="30"/>
      <c r="K501" s="30"/>
      <c r="L501" s="30"/>
      <c r="M501" s="30"/>
      <c r="N501" s="75"/>
      <c r="O501" s="75"/>
      <c r="P501" s="30"/>
    </row>
    <row r="502">
      <c r="B502" s="161"/>
      <c r="C502" s="30"/>
      <c r="D502" s="30"/>
      <c r="E502" s="30"/>
      <c r="F502" s="30"/>
      <c r="G502" s="30"/>
      <c r="H502" s="30"/>
      <c r="I502" s="30"/>
      <c r="J502" s="30"/>
      <c r="K502" s="30"/>
      <c r="L502" s="30"/>
      <c r="M502" s="30"/>
      <c r="N502" s="75"/>
      <c r="O502" s="75"/>
      <c r="P502" s="30"/>
    </row>
    <row r="503">
      <c r="B503" s="161"/>
      <c r="C503" s="30"/>
      <c r="D503" s="30"/>
      <c r="E503" s="30"/>
      <c r="F503" s="30"/>
      <c r="G503" s="30"/>
      <c r="H503" s="30"/>
      <c r="I503" s="30"/>
      <c r="J503" s="30"/>
      <c r="K503" s="30"/>
      <c r="L503" s="30"/>
      <c r="M503" s="30"/>
      <c r="N503" s="75"/>
      <c r="O503" s="75"/>
      <c r="P503" s="30"/>
    </row>
    <row r="504">
      <c r="B504" s="161"/>
      <c r="C504" s="30"/>
      <c r="D504" s="30"/>
      <c r="E504" s="30"/>
      <c r="F504" s="30"/>
      <c r="G504" s="30"/>
      <c r="H504" s="30"/>
      <c r="I504" s="30"/>
      <c r="J504" s="30"/>
      <c r="K504" s="30"/>
      <c r="L504" s="30"/>
      <c r="M504" s="30"/>
      <c r="N504" s="75"/>
      <c r="O504" s="75"/>
      <c r="P504" s="30"/>
    </row>
    <row r="505">
      <c r="B505" s="161"/>
      <c r="C505" s="30"/>
      <c r="D505" s="30"/>
      <c r="E505" s="30"/>
      <c r="F505" s="30"/>
      <c r="G505" s="30"/>
      <c r="H505" s="30"/>
      <c r="I505" s="30"/>
      <c r="J505" s="30"/>
      <c r="K505" s="30"/>
      <c r="L505" s="30"/>
      <c r="M505" s="30"/>
      <c r="N505" s="75"/>
      <c r="O505" s="75"/>
      <c r="P505" s="30"/>
    </row>
    <row r="506">
      <c r="B506" s="161"/>
      <c r="C506" s="30"/>
      <c r="D506" s="30"/>
      <c r="E506" s="30"/>
      <c r="F506" s="30"/>
      <c r="G506" s="30"/>
      <c r="H506" s="30"/>
      <c r="I506" s="30"/>
      <c r="J506" s="30"/>
      <c r="K506" s="30"/>
      <c r="L506" s="30"/>
      <c r="M506" s="30"/>
      <c r="N506" s="75"/>
      <c r="O506" s="75"/>
      <c r="P506" s="30"/>
    </row>
    <row r="507">
      <c r="B507" s="161"/>
      <c r="C507" s="30"/>
      <c r="D507" s="30"/>
      <c r="E507" s="30"/>
      <c r="F507" s="30"/>
      <c r="G507" s="30"/>
      <c r="H507" s="30"/>
      <c r="I507" s="30"/>
      <c r="J507" s="30"/>
      <c r="K507" s="30"/>
      <c r="L507" s="30"/>
      <c r="M507" s="30"/>
      <c r="N507" s="75"/>
      <c r="O507" s="75"/>
      <c r="P507" s="30"/>
    </row>
    <row r="508">
      <c r="B508" s="161"/>
      <c r="C508" s="30"/>
      <c r="D508" s="30"/>
      <c r="E508" s="30"/>
      <c r="F508" s="30"/>
      <c r="G508" s="30"/>
      <c r="H508" s="30"/>
      <c r="I508" s="30"/>
      <c r="J508" s="30"/>
      <c r="K508" s="30"/>
      <c r="L508" s="30"/>
      <c r="M508" s="30"/>
      <c r="N508" s="75"/>
      <c r="O508" s="75"/>
      <c r="P508" s="30"/>
    </row>
    <row r="509">
      <c r="B509" s="161"/>
      <c r="C509" s="30"/>
      <c r="D509" s="30"/>
      <c r="E509" s="30"/>
      <c r="F509" s="30"/>
      <c r="G509" s="30"/>
      <c r="H509" s="30"/>
      <c r="I509" s="30"/>
      <c r="J509" s="30"/>
      <c r="K509" s="30"/>
      <c r="L509" s="30"/>
      <c r="M509" s="30"/>
      <c r="N509" s="75"/>
      <c r="O509" s="75"/>
      <c r="P509" s="30"/>
    </row>
    <row r="510">
      <c r="B510" s="161"/>
      <c r="C510" s="30"/>
      <c r="D510" s="30"/>
      <c r="E510" s="30"/>
      <c r="F510" s="30"/>
      <c r="G510" s="30"/>
      <c r="H510" s="30"/>
      <c r="I510" s="30"/>
      <c r="J510" s="30"/>
      <c r="K510" s="30"/>
      <c r="L510" s="30"/>
      <c r="M510" s="30"/>
      <c r="N510" s="75"/>
      <c r="O510" s="75"/>
      <c r="P510" s="30"/>
    </row>
    <row r="511">
      <c r="B511" s="161"/>
      <c r="C511" s="30"/>
      <c r="D511" s="30"/>
      <c r="E511" s="30"/>
      <c r="F511" s="30"/>
      <c r="G511" s="30"/>
      <c r="H511" s="30"/>
      <c r="I511" s="30"/>
      <c r="J511" s="30"/>
      <c r="K511" s="30"/>
      <c r="L511" s="30"/>
      <c r="M511" s="30"/>
      <c r="N511" s="75"/>
      <c r="O511" s="75"/>
      <c r="P511" s="30"/>
    </row>
    <row r="512">
      <c r="B512" s="161"/>
      <c r="C512" s="30"/>
      <c r="D512" s="30"/>
      <c r="E512" s="30"/>
      <c r="F512" s="30"/>
      <c r="G512" s="30"/>
      <c r="H512" s="30"/>
      <c r="I512" s="30"/>
      <c r="J512" s="30"/>
      <c r="K512" s="30"/>
      <c r="L512" s="30"/>
      <c r="M512" s="30"/>
      <c r="N512" s="75"/>
      <c r="O512" s="75"/>
      <c r="P512" s="30"/>
    </row>
    <row r="513">
      <c r="B513" s="161"/>
      <c r="C513" s="30"/>
      <c r="D513" s="30"/>
      <c r="E513" s="30"/>
      <c r="F513" s="30"/>
      <c r="G513" s="30"/>
      <c r="H513" s="30"/>
      <c r="I513" s="30"/>
      <c r="J513" s="30"/>
      <c r="K513" s="30"/>
      <c r="L513" s="30"/>
      <c r="M513" s="30"/>
      <c r="N513" s="75"/>
      <c r="O513" s="75"/>
      <c r="P513" s="30"/>
    </row>
    <row r="514">
      <c r="B514" s="161"/>
      <c r="C514" s="30"/>
      <c r="D514" s="30"/>
      <c r="E514" s="30"/>
      <c r="F514" s="30"/>
      <c r="G514" s="30"/>
      <c r="H514" s="30"/>
      <c r="I514" s="30"/>
      <c r="J514" s="30"/>
      <c r="K514" s="30"/>
      <c r="L514" s="30"/>
      <c r="M514" s="30"/>
      <c r="N514" s="75"/>
      <c r="O514" s="75"/>
      <c r="P514" s="30"/>
    </row>
    <row r="515">
      <c r="B515" s="161"/>
      <c r="C515" s="30"/>
      <c r="D515" s="30"/>
      <c r="E515" s="30"/>
      <c r="F515" s="30"/>
      <c r="G515" s="30"/>
      <c r="H515" s="30"/>
      <c r="I515" s="30"/>
      <c r="J515" s="30"/>
      <c r="K515" s="30"/>
      <c r="L515" s="30"/>
      <c r="M515" s="30"/>
      <c r="N515" s="75"/>
      <c r="O515" s="75"/>
      <c r="P515" s="30"/>
    </row>
    <row r="516">
      <c r="B516" s="161"/>
      <c r="C516" s="30"/>
      <c r="D516" s="30"/>
      <c r="E516" s="30"/>
      <c r="F516" s="30"/>
      <c r="G516" s="30"/>
      <c r="H516" s="30"/>
      <c r="I516" s="30"/>
      <c r="J516" s="30"/>
      <c r="K516" s="30"/>
      <c r="L516" s="30"/>
      <c r="M516" s="30"/>
      <c r="N516" s="75"/>
      <c r="O516" s="75"/>
      <c r="P516" s="30"/>
    </row>
    <row r="517">
      <c r="B517" s="161"/>
      <c r="C517" s="30"/>
      <c r="D517" s="30"/>
      <c r="E517" s="30"/>
      <c r="F517" s="30"/>
      <c r="G517" s="30"/>
      <c r="H517" s="30"/>
      <c r="I517" s="30"/>
      <c r="J517" s="30"/>
      <c r="K517" s="30"/>
      <c r="L517" s="30"/>
      <c r="M517" s="30"/>
      <c r="N517" s="75"/>
      <c r="O517" s="75"/>
      <c r="P517" s="30"/>
    </row>
    <row r="518">
      <c r="B518" s="161"/>
      <c r="C518" s="30"/>
      <c r="D518" s="30"/>
      <c r="E518" s="30"/>
      <c r="F518" s="30"/>
      <c r="G518" s="30"/>
      <c r="H518" s="30"/>
      <c r="I518" s="30"/>
      <c r="J518" s="30"/>
      <c r="K518" s="30"/>
      <c r="L518" s="30"/>
      <c r="M518" s="30"/>
      <c r="N518" s="75"/>
      <c r="O518" s="75"/>
      <c r="P518" s="30"/>
    </row>
    <row r="519">
      <c r="B519" s="161"/>
      <c r="C519" s="30"/>
      <c r="D519" s="30"/>
      <c r="E519" s="30"/>
      <c r="F519" s="30"/>
      <c r="G519" s="30"/>
      <c r="H519" s="30"/>
      <c r="I519" s="30"/>
      <c r="J519" s="30"/>
      <c r="K519" s="30"/>
      <c r="L519" s="30"/>
      <c r="M519" s="30"/>
      <c r="N519" s="75"/>
      <c r="O519" s="75"/>
      <c r="P519" s="30"/>
    </row>
    <row r="520">
      <c r="B520" s="161"/>
      <c r="C520" s="30"/>
      <c r="D520" s="30"/>
      <c r="E520" s="30"/>
      <c r="F520" s="30"/>
      <c r="G520" s="30"/>
      <c r="H520" s="30"/>
      <c r="I520" s="30"/>
      <c r="J520" s="30"/>
      <c r="K520" s="30"/>
      <c r="L520" s="30"/>
      <c r="M520" s="30"/>
      <c r="N520" s="75"/>
      <c r="O520" s="75"/>
      <c r="P520" s="30"/>
    </row>
    <row r="521">
      <c r="B521" s="161"/>
      <c r="C521" s="30"/>
      <c r="D521" s="30"/>
      <c r="E521" s="30"/>
      <c r="F521" s="30"/>
      <c r="G521" s="30"/>
      <c r="H521" s="30"/>
      <c r="I521" s="30"/>
      <c r="J521" s="30"/>
      <c r="K521" s="30"/>
      <c r="L521" s="30"/>
      <c r="M521" s="30"/>
      <c r="N521" s="75"/>
      <c r="O521" s="75"/>
      <c r="P521" s="30"/>
    </row>
    <row r="522">
      <c r="B522" s="161"/>
      <c r="C522" s="30"/>
      <c r="D522" s="30"/>
      <c r="E522" s="30"/>
      <c r="F522" s="30"/>
      <c r="G522" s="30"/>
      <c r="H522" s="30"/>
      <c r="I522" s="30"/>
      <c r="J522" s="30"/>
      <c r="K522" s="30"/>
      <c r="L522" s="30"/>
      <c r="M522" s="30"/>
      <c r="N522" s="75"/>
      <c r="O522" s="75"/>
      <c r="P522" s="30"/>
    </row>
    <row r="523">
      <c r="B523" s="161"/>
      <c r="C523" s="30"/>
      <c r="D523" s="30"/>
      <c r="E523" s="30"/>
      <c r="F523" s="30"/>
      <c r="G523" s="30"/>
      <c r="H523" s="30"/>
      <c r="I523" s="30"/>
      <c r="J523" s="30"/>
      <c r="K523" s="30"/>
      <c r="L523" s="30"/>
      <c r="M523" s="30"/>
      <c r="N523" s="75"/>
      <c r="O523" s="75"/>
      <c r="P523" s="30"/>
    </row>
    <row r="524">
      <c r="B524" s="161"/>
      <c r="C524" s="30"/>
      <c r="D524" s="30"/>
      <c r="E524" s="30"/>
      <c r="F524" s="30"/>
      <c r="G524" s="30"/>
      <c r="H524" s="30"/>
      <c r="I524" s="30"/>
      <c r="J524" s="30"/>
      <c r="K524" s="30"/>
      <c r="L524" s="30"/>
      <c r="M524" s="30"/>
      <c r="N524" s="75"/>
      <c r="O524" s="75"/>
      <c r="P524" s="30"/>
    </row>
    <row r="525">
      <c r="B525" s="161"/>
      <c r="C525" s="30"/>
      <c r="D525" s="30"/>
      <c r="E525" s="30"/>
      <c r="F525" s="30"/>
      <c r="G525" s="30"/>
      <c r="H525" s="30"/>
      <c r="I525" s="30"/>
      <c r="J525" s="30"/>
      <c r="K525" s="30"/>
      <c r="L525" s="30"/>
      <c r="M525" s="30"/>
      <c r="N525" s="75"/>
      <c r="O525" s="75"/>
      <c r="P525" s="30"/>
    </row>
    <row r="526">
      <c r="B526" s="161"/>
      <c r="C526" s="30"/>
      <c r="D526" s="30"/>
      <c r="E526" s="30"/>
      <c r="F526" s="30"/>
      <c r="G526" s="30"/>
      <c r="H526" s="30"/>
      <c r="I526" s="30"/>
      <c r="J526" s="30"/>
      <c r="K526" s="30"/>
      <c r="L526" s="30"/>
      <c r="M526" s="30"/>
      <c r="N526" s="75"/>
      <c r="O526" s="75"/>
      <c r="P526" s="30"/>
    </row>
    <row r="527">
      <c r="B527" s="161"/>
      <c r="C527" s="30"/>
      <c r="D527" s="30"/>
      <c r="E527" s="30"/>
      <c r="F527" s="30"/>
      <c r="G527" s="30"/>
      <c r="H527" s="30"/>
      <c r="I527" s="30"/>
      <c r="J527" s="30"/>
      <c r="K527" s="30"/>
      <c r="L527" s="30"/>
      <c r="M527" s="30"/>
      <c r="N527" s="75"/>
      <c r="O527" s="75"/>
      <c r="P527" s="30"/>
    </row>
    <row r="528">
      <c r="B528" s="161"/>
      <c r="C528" s="30"/>
      <c r="D528" s="30"/>
      <c r="E528" s="30"/>
      <c r="F528" s="30"/>
      <c r="G528" s="30"/>
      <c r="H528" s="30"/>
      <c r="I528" s="30"/>
      <c r="J528" s="30"/>
      <c r="K528" s="30"/>
      <c r="L528" s="30"/>
      <c r="M528" s="30"/>
      <c r="N528" s="75"/>
      <c r="O528" s="75"/>
      <c r="P528" s="30"/>
    </row>
    <row r="529">
      <c r="B529" s="161"/>
      <c r="C529" s="30"/>
      <c r="D529" s="30"/>
      <c r="E529" s="30"/>
      <c r="F529" s="30"/>
      <c r="G529" s="30"/>
      <c r="H529" s="30"/>
      <c r="I529" s="30"/>
      <c r="J529" s="30"/>
      <c r="K529" s="30"/>
      <c r="L529" s="30"/>
      <c r="M529" s="30"/>
      <c r="N529" s="75"/>
      <c r="O529" s="75"/>
      <c r="P529" s="30"/>
    </row>
    <row r="530">
      <c r="B530" s="161"/>
      <c r="C530" s="30"/>
      <c r="D530" s="30"/>
      <c r="E530" s="30"/>
      <c r="F530" s="30"/>
      <c r="G530" s="30"/>
      <c r="H530" s="30"/>
      <c r="I530" s="30"/>
      <c r="J530" s="30"/>
      <c r="K530" s="30"/>
      <c r="L530" s="30"/>
      <c r="M530" s="30"/>
      <c r="N530" s="75"/>
      <c r="O530" s="75"/>
      <c r="P530" s="30"/>
    </row>
    <row r="531">
      <c r="B531" s="161"/>
      <c r="C531" s="30"/>
      <c r="D531" s="30"/>
      <c r="E531" s="30"/>
      <c r="F531" s="30"/>
      <c r="G531" s="30"/>
      <c r="H531" s="30"/>
      <c r="I531" s="30"/>
      <c r="J531" s="30"/>
      <c r="K531" s="30"/>
      <c r="L531" s="30"/>
      <c r="M531" s="30"/>
      <c r="N531" s="75"/>
      <c r="O531" s="75"/>
      <c r="P531" s="30"/>
    </row>
    <row r="532">
      <c r="B532" s="161"/>
      <c r="C532" s="30"/>
      <c r="D532" s="30"/>
      <c r="E532" s="30"/>
      <c r="F532" s="30"/>
      <c r="G532" s="30"/>
      <c r="H532" s="30"/>
      <c r="I532" s="30"/>
      <c r="J532" s="30"/>
      <c r="K532" s="30"/>
      <c r="L532" s="30"/>
      <c r="M532" s="30"/>
      <c r="N532" s="75"/>
      <c r="O532" s="75"/>
      <c r="P532" s="30"/>
    </row>
    <row r="533">
      <c r="B533" s="161"/>
      <c r="C533" s="30"/>
      <c r="D533" s="30"/>
      <c r="E533" s="30"/>
      <c r="F533" s="30"/>
      <c r="G533" s="30"/>
      <c r="H533" s="30"/>
      <c r="I533" s="30"/>
      <c r="J533" s="30"/>
      <c r="K533" s="30"/>
      <c r="L533" s="30"/>
      <c r="M533" s="30"/>
      <c r="N533" s="75"/>
      <c r="O533" s="75"/>
      <c r="P533" s="30"/>
    </row>
    <row r="534">
      <c r="B534" s="161"/>
      <c r="C534" s="30"/>
      <c r="D534" s="30"/>
      <c r="E534" s="30"/>
      <c r="F534" s="30"/>
      <c r="G534" s="30"/>
      <c r="H534" s="30"/>
      <c r="I534" s="30"/>
      <c r="J534" s="30"/>
      <c r="K534" s="30"/>
      <c r="L534" s="30"/>
      <c r="M534" s="30"/>
      <c r="N534" s="75"/>
      <c r="O534" s="75"/>
      <c r="P534" s="30"/>
    </row>
    <row r="535">
      <c r="B535" s="161"/>
      <c r="C535" s="30"/>
      <c r="D535" s="30"/>
      <c r="E535" s="30"/>
      <c r="F535" s="30"/>
      <c r="G535" s="30"/>
      <c r="H535" s="30"/>
      <c r="I535" s="30"/>
      <c r="J535" s="30"/>
      <c r="K535" s="30"/>
      <c r="L535" s="30"/>
      <c r="M535" s="30"/>
      <c r="N535" s="75"/>
      <c r="O535" s="75"/>
      <c r="P535" s="30"/>
    </row>
    <row r="536">
      <c r="B536" s="161"/>
      <c r="C536" s="30"/>
      <c r="D536" s="30"/>
      <c r="E536" s="30"/>
      <c r="F536" s="30"/>
      <c r="G536" s="30"/>
      <c r="H536" s="30"/>
      <c r="I536" s="30"/>
      <c r="J536" s="30"/>
      <c r="K536" s="30"/>
      <c r="L536" s="30"/>
      <c r="M536" s="30"/>
      <c r="N536" s="75"/>
      <c r="O536" s="75"/>
      <c r="P536" s="30"/>
    </row>
    <row r="537">
      <c r="B537" s="161"/>
      <c r="C537" s="30"/>
      <c r="D537" s="30"/>
      <c r="E537" s="30"/>
      <c r="F537" s="30"/>
      <c r="G537" s="30"/>
      <c r="H537" s="30"/>
      <c r="I537" s="30"/>
      <c r="J537" s="30"/>
      <c r="K537" s="30"/>
      <c r="L537" s="30"/>
      <c r="M537" s="30"/>
      <c r="N537" s="75"/>
      <c r="O537" s="75"/>
      <c r="P537" s="30"/>
    </row>
    <row r="538">
      <c r="B538" s="161"/>
      <c r="C538" s="30"/>
      <c r="D538" s="30"/>
      <c r="E538" s="30"/>
      <c r="F538" s="30"/>
      <c r="G538" s="30"/>
      <c r="H538" s="30"/>
      <c r="I538" s="30"/>
      <c r="J538" s="30"/>
      <c r="K538" s="30"/>
      <c r="L538" s="30"/>
      <c r="M538" s="30"/>
      <c r="N538" s="75"/>
      <c r="O538" s="75"/>
      <c r="P538" s="30"/>
    </row>
    <row r="539">
      <c r="B539" s="161"/>
      <c r="C539" s="30"/>
      <c r="D539" s="30"/>
      <c r="E539" s="30"/>
      <c r="F539" s="30"/>
      <c r="G539" s="30"/>
      <c r="H539" s="30"/>
      <c r="I539" s="30"/>
      <c r="J539" s="30"/>
      <c r="K539" s="30"/>
      <c r="L539" s="30"/>
      <c r="M539" s="30"/>
      <c r="N539" s="75"/>
      <c r="O539" s="75"/>
      <c r="P539" s="30"/>
    </row>
    <row r="540">
      <c r="B540" s="161"/>
      <c r="C540" s="30"/>
      <c r="D540" s="30"/>
      <c r="E540" s="30"/>
      <c r="F540" s="30"/>
      <c r="G540" s="30"/>
      <c r="H540" s="30"/>
      <c r="I540" s="30"/>
      <c r="J540" s="30"/>
      <c r="K540" s="30"/>
      <c r="L540" s="30"/>
      <c r="M540" s="30"/>
      <c r="N540" s="75"/>
      <c r="O540" s="75"/>
      <c r="P540" s="30"/>
    </row>
    <row r="541">
      <c r="B541" s="161"/>
      <c r="C541" s="30"/>
      <c r="D541" s="30"/>
      <c r="E541" s="30"/>
      <c r="F541" s="30"/>
      <c r="G541" s="30"/>
      <c r="H541" s="30"/>
      <c r="I541" s="30"/>
      <c r="J541" s="30"/>
      <c r="K541" s="30"/>
      <c r="L541" s="30"/>
      <c r="M541" s="30"/>
      <c r="N541" s="75"/>
      <c r="O541" s="75"/>
      <c r="P541" s="30"/>
    </row>
    <row r="542">
      <c r="B542" s="161"/>
      <c r="C542" s="30"/>
      <c r="D542" s="30"/>
      <c r="E542" s="30"/>
      <c r="F542" s="30"/>
      <c r="G542" s="30"/>
      <c r="H542" s="30"/>
      <c r="I542" s="30"/>
      <c r="J542" s="30"/>
      <c r="K542" s="30"/>
      <c r="L542" s="30"/>
      <c r="M542" s="30"/>
      <c r="N542" s="75"/>
      <c r="O542" s="75"/>
      <c r="P542" s="30"/>
    </row>
    <row r="543">
      <c r="B543" s="161"/>
      <c r="C543" s="30"/>
      <c r="D543" s="30"/>
      <c r="E543" s="30"/>
      <c r="F543" s="30"/>
      <c r="G543" s="30"/>
      <c r="H543" s="30"/>
      <c r="I543" s="30"/>
      <c r="J543" s="30"/>
      <c r="K543" s="30"/>
      <c r="L543" s="30"/>
      <c r="M543" s="30"/>
      <c r="N543" s="75"/>
      <c r="O543" s="75"/>
      <c r="P543" s="30"/>
    </row>
    <row r="544">
      <c r="B544" s="161"/>
      <c r="C544" s="30"/>
      <c r="D544" s="30"/>
      <c r="E544" s="30"/>
      <c r="F544" s="30"/>
      <c r="G544" s="30"/>
      <c r="H544" s="30"/>
      <c r="I544" s="30"/>
      <c r="J544" s="30"/>
      <c r="K544" s="30"/>
      <c r="L544" s="30"/>
      <c r="M544" s="30"/>
      <c r="N544" s="75"/>
      <c r="O544" s="75"/>
      <c r="P544" s="30"/>
    </row>
    <row r="545">
      <c r="B545" s="161"/>
      <c r="C545" s="30"/>
      <c r="D545" s="30"/>
      <c r="E545" s="30"/>
      <c r="F545" s="30"/>
      <c r="G545" s="30"/>
      <c r="H545" s="30"/>
      <c r="I545" s="30"/>
      <c r="J545" s="30"/>
      <c r="K545" s="30"/>
      <c r="L545" s="30"/>
      <c r="M545" s="30"/>
      <c r="N545" s="75"/>
      <c r="O545" s="75"/>
      <c r="P545" s="30"/>
    </row>
    <row r="546">
      <c r="B546" s="161"/>
      <c r="C546" s="30"/>
      <c r="D546" s="30"/>
      <c r="E546" s="30"/>
      <c r="F546" s="30"/>
      <c r="G546" s="30"/>
      <c r="H546" s="30"/>
      <c r="I546" s="30"/>
      <c r="J546" s="30"/>
      <c r="K546" s="30"/>
      <c r="L546" s="30"/>
      <c r="M546" s="30"/>
      <c r="N546" s="75"/>
      <c r="O546" s="75"/>
      <c r="P546" s="30"/>
    </row>
    <row r="547">
      <c r="B547" s="161"/>
      <c r="C547" s="30"/>
      <c r="D547" s="30"/>
      <c r="E547" s="30"/>
      <c r="F547" s="30"/>
      <c r="G547" s="30"/>
      <c r="H547" s="30"/>
      <c r="I547" s="30"/>
      <c r="J547" s="30"/>
      <c r="K547" s="30"/>
      <c r="L547" s="30"/>
      <c r="M547" s="30"/>
      <c r="N547" s="75"/>
      <c r="O547" s="75"/>
      <c r="P547" s="30"/>
    </row>
    <row r="548">
      <c r="B548" s="161"/>
      <c r="C548" s="30"/>
      <c r="D548" s="30"/>
      <c r="E548" s="30"/>
      <c r="F548" s="30"/>
      <c r="G548" s="30"/>
      <c r="H548" s="30"/>
      <c r="I548" s="30"/>
      <c r="J548" s="30"/>
      <c r="K548" s="30"/>
      <c r="L548" s="30"/>
      <c r="M548" s="30"/>
      <c r="N548" s="75"/>
      <c r="O548" s="75"/>
      <c r="P548" s="30"/>
    </row>
    <row r="549">
      <c r="B549" s="161"/>
      <c r="C549" s="30"/>
      <c r="D549" s="30"/>
      <c r="E549" s="30"/>
      <c r="F549" s="30"/>
      <c r="G549" s="30"/>
      <c r="H549" s="30"/>
      <c r="I549" s="30"/>
      <c r="J549" s="30"/>
      <c r="K549" s="30"/>
      <c r="L549" s="30"/>
      <c r="M549" s="30"/>
      <c r="N549" s="75"/>
      <c r="O549" s="75"/>
      <c r="P549" s="30"/>
    </row>
    <row r="550">
      <c r="B550" s="161"/>
      <c r="C550" s="30"/>
      <c r="D550" s="30"/>
      <c r="E550" s="30"/>
      <c r="F550" s="30"/>
      <c r="G550" s="30"/>
      <c r="H550" s="30"/>
      <c r="I550" s="30"/>
      <c r="J550" s="30"/>
      <c r="K550" s="30"/>
      <c r="L550" s="30"/>
      <c r="M550" s="30"/>
      <c r="N550" s="75"/>
      <c r="O550" s="75"/>
      <c r="P550" s="30"/>
    </row>
    <row r="551">
      <c r="B551" s="161"/>
      <c r="C551" s="30"/>
      <c r="D551" s="30"/>
      <c r="E551" s="30"/>
      <c r="F551" s="30"/>
      <c r="G551" s="30"/>
      <c r="H551" s="30"/>
      <c r="I551" s="30"/>
      <c r="J551" s="30"/>
      <c r="K551" s="30"/>
      <c r="L551" s="30"/>
      <c r="M551" s="30"/>
      <c r="N551" s="75"/>
      <c r="O551" s="75"/>
      <c r="P551" s="30"/>
    </row>
    <row r="552">
      <c r="B552" s="161"/>
      <c r="C552" s="30"/>
      <c r="D552" s="30"/>
      <c r="E552" s="30"/>
      <c r="F552" s="30"/>
      <c r="G552" s="30"/>
      <c r="H552" s="30"/>
      <c r="I552" s="30"/>
      <c r="J552" s="30"/>
      <c r="K552" s="30"/>
      <c r="L552" s="30"/>
      <c r="M552" s="30"/>
      <c r="N552" s="75"/>
      <c r="O552" s="75"/>
      <c r="P552" s="30"/>
    </row>
    <row r="553">
      <c r="B553" s="161"/>
      <c r="C553" s="30"/>
      <c r="D553" s="30"/>
      <c r="E553" s="30"/>
      <c r="F553" s="30"/>
      <c r="G553" s="30"/>
      <c r="H553" s="30"/>
      <c r="I553" s="30"/>
      <c r="J553" s="30"/>
      <c r="K553" s="30"/>
      <c r="L553" s="30"/>
      <c r="M553" s="30"/>
      <c r="N553" s="75"/>
      <c r="O553" s="75"/>
      <c r="P553" s="30"/>
    </row>
    <row r="554">
      <c r="B554" s="161"/>
      <c r="C554" s="30"/>
      <c r="D554" s="30"/>
      <c r="E554" s="30"/>
      <c r="F554" s="30"/>
      <c r="G554" s="30"/>
      <c r="H554" s="30"/>
      <c r="I554" s="30"/>
      <c r="J554" s="30"/>
      <c r="K554" s="30"/>
      <c r="L554" s="30"/>
      <c r="M554" s="30"/>
      <c r="N554" s="75"/>
      <c r="O554" s="75"/>
      <c r="P554" s="30"/>
    </row>
    <row r="555">
      <c r="B555" s="161"/>
      <c r="C555" s="30"/>
      <c r="D555" s="30"/>
      <c r="E555" s="30"/>
      <c r="F555" s="30"/>
      <c r="G555" s="30"/>
      <c r="H555" s="30"/>
      <c r="I555" s="30"/>
      <c r="J555" s="30"/>
      <c r="K555" s="30"/>
      <c r="L555" s="30"/>
      <c r="M555" s="30"/>
      <c r="N555" s="75"/>
      <c r="O555" s="75"/>
      <c r="P555" s="30"/>
    </row>
    <row r="556">
      <c r="B556" s="161"/>
      <c r="C556" s="30"/>
      <c r="D556" s="30"/>
      <c r="E556" s="30"/>
      <c r="F556" s="30"/>
      <c r="G556" s="30"/>
      <c r="H556" s="30"/>
      <c r="I556" s="30"/>
      <c r="J556" s="30"/>
      <c r="K556" s="30"/>
      <c r="L556" s="30"/>
      <c r="M556" s="30"/>
      <c r="N556" s="75"/>
      <c r="O556" s="75"/>
      <c r="P556" s="30"/>
    </row>
    <row r="557">
      <c r="B557" s="161"/>
      <c r="C557" s="30"/>
      <c r="D557" s="30"/>
      <c r="E557" s="30"/>
      <c r="F557" s="30"/>
      <c r="G557" s="30"/>
      <c r="H557" s="30"/>
      <c r="I557" s="30"/>
      <c r="J557" s="30"/>
      <c r="K557" s="30"/>
      <c r="L557" s="30"/>
      <c r="M557" s="30"/>
      <c r="N557" s="75"/>
      <c r="O557" s="75"/>
      <c r="P557" s="30"/>
    </row>
    <row r="558">
      <c r="B558" s="161"/>
      <c r="C558" s="30"/>
      <c r="D558" s="30"/>
      <c r="E558" s="30"/>
      <c r="F558" s="30"/>
      <c r="G558" s="30"/>
      <c r="H558" s="30"/>
      <c r="I558" s="30"/>
      <c r="J558" s="30"/>
      <c r="K558" s="30"/>
      <c r="L558" s="30"/>
      <c r="M558" s="30"/>
      <c r="N558" s="75"/>
      <c r="O558" s="75"/>
      <c r="P558" s="30"/>
    </row>
    <row r="559">
      <c r="B559" s="161"/>
      <c r="C559" s="30"/>
      <c r="D559" s="30"/>
      <c r="E559" s="30"/>
      <c r="F559" s="30"/>
      <c r="G559" s="30"/>
      <c r="H559" s="30"/>
      <c r="I559" s="30"/>
      <c r="J559" s="30"/>
      <c r="K559" s="30"/>
      <c r="L559" s="30"/>
      <c r="M559" s="30"/>
      <c r="N559" s="75"/>
      <c r="O559" s="75"/>
      <c r="P559" s="30"/>
    </row>
    <row r="560">
      <c r="B560" s="161"/>
      <c r="C560" s="30"/>
      <c r="D560" s="30"/>
      <c r="E560" s="30"/>
      <c r="F560" s="30"/>
      <c r="G560" s="30"/>
      <c r="H560" s="30"/>
      <c r="I560" s="30"/>
      <c r="J560" s="30"/>
      <c r="K560" s="30"/>
      <c r="L560" s="30"/>
      <c r="M560" s="30"/>
      <c r="N560" s="75"/>
      <c r="O560" s="75"/>
      <c r="P560" s="30"/>
    </row>
    <row r="561">
      <c r="B561" s="161"/>
      <c r="C561" s="30"/>
      <c r="D561" s="30"/>
      <c r="E561" s="30"/>
      <c r="F561" s="30"/>
      <c r="G561" s="30"/>
      <c r="H561" s="30"/>
      <c r="I561" s="30"/>
      <c r="J561" s="30"/>
      <c r="K561" s="30"/>
      <c r="L561" s="30"/>
      <c r="M561" s="30"/>
      <c r="N561" s="75"/>
      <c r="O561" s="75"/>
      <c r="P561" s="30"/>
    </row>
    <row r="562">
      <c r="B562" s="161"/>
      <c r="C562" s="30"/>
      <c r="D562" s="30"/>
      <c r="E562" s="30"/>
      <c r="F562" s="30"/>
      <c r="G562" s="30"/>
      <c r="H562" s="30"/>
      <c r="I562" s="30"/>
      <c r="J562" s="30"/>
      <c r="K562" s="30"/>
      <c r="L562" s="30"/>
      <c r="M562" s="30"/>
      <c r="N562" s="75"/>
      <c r="O562" s="75"/>
      <c r="P562" s="30"/>
    </row>
    <row r="563">
      <c r="B563" s="161"/>
      <c r="C563" s="30"/>
      <c r="D563" s="30"/>
      <c r="E563" s="30"/>
      <c r="F563" s="30"/>
      <c r="G563" s="30"/>
      <c r="H563" s="30"/>
      <c r="I563" s="30"/>
      <c r="J563" s="30"/>
      <c r="K563" s="30"/>
      <c r="L563" s="30"/>
      <c r="M563" s="30"/>
      <c r="N563" s="75"/>
      <c r="O563" s="75"/>
      <c r="P563" s="30"/>
    </row>
    <row r="564">
      <c r="B564" s="161"/>
      <c r="C564" s="30"/>
      <c r="D564" s="30"/>
      <c r="E564" s="30"/>
      <c r="F564" s="30"/>
      <c r="G564" s="30"/>
      <c r="H564" s="30"/>
      <c r="I564" s="30"/>
      <c r="J564" s="30"/>
      <c r="K564" s="30"/>
      <c r="L564" s="30"/>
      <c r="M564" s="30"/>
      <c r="N564" s="75"/>
      <c r="O564" s="75"/>
      <c r="P564" s="30"/>
    </row>
    <row r="565">
      <c r="B565" s="161"/>
      <c r="C565" s="30"/>
      <c r="D565" s="30"/>
      <c r="E565" s="30"/>
      <c r="F565" s="30"/>
      <c r="G565" s="30"/>
      <c r="H565" s="30"/>
      <c r="I565" s="30"/>
      <c r="J565" s="30"/>
      <c r="K565" s="30"/>
      <c r="L565" s="30"/>
      <c r="M565" s="30"/>
      <c r="N565" s="75"/>
      <c r="O565" s="75"/>
      <c r="P565" s="30"/>
    </row>
    <row r="566">
      <c r="B566" s="161"/>
      <c r="C566" s="30"/>
      <c r="D566" s="30"/>
      <c r="E566" s="30"/>
      <c r="F566" s="30"/>
      <c r="G566" s="30"/>
      <c r="H566" s="30"/>
      <c r="I566" s="30"/>
      <c r="J566" s="30"/>
      <c r="K566" s="30"/>
      <c r="L566" s="30"/>
      <c r="M566" s="30"/>
      <c r="N566" s="75"/>
      <c r="O566" s="75"/>
      <c r="P566" s="30"/>
    </row>
    <row r="567">
      <c r="B567" s="161"/>
      <c r="C567" s="30"/>
      <c r="D567" s="30"/>
      <c r="E567" s="30"/>
      <c r="F567" s="30"/>
      <c r="G567" s="30"/>
      <c r="H567" s="30"/>
      <c r="I567" s="30"/>
      <c r="J567" s="30"/>
      <c r="K567" s="30"/>
      <c r="L567" s="30"/>
      <c r="M567" s="30"/>
      <c r="N567" s="75"/>
      <c r="O567" s="75"/>
      <c r="P567" s="30"/>
    </row>
    <row r="568">
      <c r="B568" s="161"/>
      <c r="C568" s="30"/>
      <c r="D568" s="30"/>
      <c r="E568" s="30"/>
      <c r="F568" s="30"/>
      <c r="G568" s="30"/>
      <c r="H568" s="30"/>
      <c r="I568" s="30"/>
      <c r="J568" s="30"/>
      <c r="K568" s="30"/>
      <c r="L568" s="30"/>
      <c r="M568" s="30"/>
      <c r="N568" s="75"/>
      <c r="O568" s="75"/>
      <c r="P568" s="30"/>
    </row>
    <row r="569">
      <c r="B569" s="161"/>
      <c r="C569" s="30"/>
      <c r="D569" s="30"/>
      <c r="E569" s="30"/>
      <c r="F569" s="30"/>
      <c r="G569" s="30"/>
      <c r="H569" s="30"/>
      <c r="I569" s="30"/>
      <c r="J569" s="30"/>
      <c r="K569" s="30"/>
      <c r="L569" s="30"/>
      <c r="M569" s="30"/>
      <c r="N569" s="75"/>
      <c r="O569" s="75"/>
      <c r="P569" s="30"/>
    </row>
    <row r="570">
      <c r="B570" s="161"/>
      <c r="C570" s="30"/>
      <c r="D570" s="30"/>
      <c r="E570" s="30"/>
      <c r="F570" s="30"/>
      <c r="G570" s="30"/>
      <c r="H570" s="30"/>
      <c r="I570" s="30"/>
      <c r="J570" s="30"/>
      <c r="K570" s="30"/>
      <c r="L570" s="30"/>
      <c r="M570" s="30"/>
      <c r="N570" s="75"/>
      <c r="O570" s="75"/>
      <c r="P570" s="30"/>
    </row>
    <row r="571">
      <c r="B571" s="161"/>
      <c r="C571" s="30"/>
      <c r="D571" s="30"/>
      <c r="E571" s="30"/>
      <c r="F571" s="30"/>
      <c r="G571" s="30"/>
      <c r="H571" s="30"/>
      <c r="I571" s="30"/>
      <c r="J571" s="30"/>
      <c r="K571" s="30"/>
      <c r="L571" s="30"/>
      <c r="M571" s="30"/>
      <c r="N571" s="75"/>
      <c r="O571" s="75"/>
      <c r="P571" s="30"/>
    </row>
    <row r="572">
      <c r="B572" s="161"/>
      <c r="C572" s="30"/>
      <c r="D572" s="30"/>
      <c r="E572" s="30"/>
      <c r="F572" s="30"/>
      <c r="G572" s="30"/>
      <c r="H572" s="30"/>
      <c r="I572" s="30"/>
      <c r="J572" s="30"/>
      <c r="K572" s="30"/>
      <c r="L572" s="30"/>
      <c r="M572" s="30"/>
      <c r="N572" s="75"/>
      <c r="O572" s="75"/>
      <c r="P572" s="30"/>
    </row>
    <row r="573">
      <c r="B573" s="161"/>
      <c r="C573" s="30"/>
      <c r="D573" s="30"/>
      <c r="E573" s="30"/>
      <c r="F573" s="30"/>
      <c r="G573" s="30"/>
      <c r="H573" s="30"/>
      <c r="I573" s="30"/>
      <c r="J573" s="30"/>
      <c r="K573" s="30"/>
      <c r="L573" s="30"/>
      <c r="M573" s="30"/>
      <c r="N573" s="75"/>
      <c r="O573" s="75"/>
      <c r="P573" s="30"/>
    </row>
    <row r="574">
      <c r="B574" s="161"/>
      <c r="C574" s="30"/>
      <c r="D574" s="30"/>
      <c r="E574" s="30"/>
      <c r="F574" s="30"/>
      <c r="G574" s="30"/>
      <c r="H574" s="30"/>
      <c r="I574" s="30"/>
      <c r="J574" s="30"/>
      <c r="K574" s="30"/>
      <c r="L574" s="30"/>
      <c r="M574" s="30"/>
      <c r="N574" s="75"/>
      <c r="O574" s="75"/>
      <c r="P574" s="30"/>
    </row>
    <row r="575">
      <c r="B575" s="161"/>
      <c r="C575" s="30"/>
      <c r="D575" s="30"/>
      <c r="E575" s="30"/>
      <c r="F575" s="30"/>
      <c r="G575" s="30"/>
      <c r="H575" s="30"/>
      <c r="I575" s="30"/>
      <c r="J575" s="30"/>
      <c r="K575" s="30"/>
      <c r="L575" s="30"/>
      <c r="M575" s="30"/>
      <c r="N575" s="75"/>
      <c r="O575" s="75"/>
      <c r="P575" s="30"/>
    </row>
    <row r="576">
      <c r="B576" s="161"/>
      <c r="C576" s="30"/>
      <c r="D576" s="30"/>
      <c r="E576" s="30"/>
      <c r="F576" s="30"/>
      <c r="G576" s="30"/>
      <c r="H576" s="30"/>
      <c r="I576" s="30"/>
      <c r="J576" s="30"/>
      <c r="K576" s="30"/>
      <c r="L576" s="30"/>
      <c r="M576" s="30"/>
      <c r="N576" s="75"/>
      <c r="O576" s="75"/>
      <c r="P576" s="30"/>
    </row>
    <row r="577">
      <c r="B577" s="161"/>
      <c r="C577" s="30"/>
      <c r="D577" s="30"/>
      <c r="E577" s="30"/>
      <c r="F577" s="30"/>
      <c r="G577" s="30"/>
      <c r="H577" s="30"/>
      <c r="I577" s="30"/>
      <c r="J577" s="30"/>
      <c r="K577" s="30"/>
      <c r="L577" s="30"/>
      <c r="M577" s="30"/>
      <c r="N577" s="75"/>
      <c r="O577" s="75"/>
      <c r="P577" s="30"/>
    </row>
    <row r="578">
      <c r="B578" s="161"/>
      <c r="C578" s="30"/>
      <c r="D578" s="30"/>
      <c r="E578" s="30"/>
      <c r="F578" s="30"/>
      <c r="G578" s="30"/>
      <c r="H578" s="30"/>
      <c r="I578" s="30"/>
      <c r="J578" s="30"/>
      <c r="K578" s="30"/>
      <c r="L578" s="30"/>
      <c r="M578" s="30"/>
      <c r="N578" s="75"/>
      <c r="O578" s="75"/>
      <c r="P578" s="30"/>
    </row>
    <row r="579">
      <c r="B579" s="161"/>
      <c r="C579" s="30"/>
      <c r="D579" s="30"/>
      <c r="E579" s="30"/>
      <c r="F579" s="30"/>
      <c r="G579" s="30"/>
      <c r="H579" s="30"/>
      <c r="I579" s="30"/>
      <c r="J579" s="30"/>
      <c r="K579" s="30"/>
      <c r="L579" s="30"/>
      <c r="M579" s="30"/>
      <c r="N579" s="75"/>
      <c r="O579" s="75"/>
      <c r="P579" s="30"/>
    </row>
    <row r="580">
      <c r="B580" s="161"/>
      <c r="C580" s="30"/>
      <c r="D580" s="30"/>
      <c r="E580" s="30"/>
      <c r="F580" s="30"/>
      <c r="G580" s="30"/>
      <c r="H580" s="30"/>
      <c r="I580" s="30"/>
      <c r="J580" s="30"/>
      <c r="K580" s="30"/>
      <c r="L580" s="30"/>
      <c r="M580" s="30"/>
      <c r="N580" s="75"/>
      <c r="O580" s="75"/>
      <c r="P580" s="30"/>
    </row>
    <row r="581">
      <c r="B581" s="161"/>
      <c r="C581" s="30"/>
      <c r="D581" s="30"/>
      <c r="E581" s="30"/>
      <c r="F581" s="30"/>
      <c r="G581" s="30"/>
      <c r="H581" s="30"/>
      <c r="I581" s="30"/>
      <c r="J581" s="30"/>
      <c r="K581" s="30"/>
      <c r="L581" s="30"/>
      <c r="M581" s="30"/>
      <c r="N581" s="75"/>
      <c r="O581" s="75"/>
      <c r="P581" s="30"/>
    </row>
    <row r="582">
      <c r="B582" s="161"/>
      <c r="C582" s="30"/>
      <c r="D582" s="30"/>
      <c r="E582" s="30"/>
      <c r="F582" s="30"/>
      <c r="G582" s="30"/>
      <c r="H582" s="30"/>
      <c r="I582" s="30"/>
      <c r="J582" s="30"/>
      <c r="K582" s="30"/>
      <c r="L582" s="30"/>
      <c r="M582" s="30"/>
      <c r="N582" s="75"/>
      <c r="O582" s="75"/>
      <c r="P582" s="30"/>
    </row>
    <row r="583">
      <c r="B583" s="161"/>
      <c r="C583" s="30"/>
      <c r="D583" s="30"/>
      <c r="E583" s="30"/>
      <c r="F583" s="30"/>
      <c r="G583" s="30"/>
      <c r="H583" s="30"/>
      <c r="I583" s="30"/>
      <c r="J583" s="30"/>
      <c r="K583" s="30"/>
      <c r="L583" s="30"/>
      <c r="M583" s="30"/>
      <c r="N583" s="75"/>
      <c r="O583" s="75"/>
      <c r="P583" s="30"/>
    </row>
    <row r="584">
      <c r="B584" s="161"/>
      <c r="C584" s="30"/>
      <c r="D584" s="30"/>
      <c r="E584" s="30"/>
      <c r="F584" s="30"/>
      <c r="G584" s="30"/>
      <c r="H584" s="30"/>
      <c r="I584" s="30"/>
      <c r="J584" s="30"/>
      <c r="K584" s="30"/>
      <c r="L584" s="30"/>
      <c r="M584" s="30"/>
      <c r="N584" s="75"/>
      <c r="O584" s="75"/>
      <c r="P584" s="30"/>
    </row>
    <row r="585">
      <c r="B585" s="161"/>
      <c r="C585" s="30"/>
      <c r="D585" s="30"/>
      <c r="E585" s="30"/>
      <c r="F585" s="30"/>
      <c r="G585" s="30"/>
      <c r="H585" s="30"/>
      <c r="I585" s="30"/>
      <c r="J585" s="30"/>
      <c r="K585" s="30"/>
      <c r="L585" s="30"/>
      <c r="M585" s="30"/>
      <c r="N585" s="75"/>
      <c r="O585" s="75"/>
      <c r="P585" s="30"/>
    </row>
    <row r="586">
      <c r="B586" s="161"/>
      <c r="C586" s="30"/>
      <c r="D586" s="30"/>
      <c r="E586" s="30"/>
      <c r="F586" s="30"/>
      <c r="G586" s="30"/>
      <c r="H586" s="30"/>
      <c r="I586" s="30"/>
      <c r="J586" s="30"/>
      <c r="K586" s="30"/>
      <c r="L586" s="30"/>
      <c r="M586" s="30"/>
      <c r="N586" s="75"/>
      <c r="O586" s="75"/>
      <c r="P586" s="30"/>
    </row>
    <row r="587">
      <c r="B587" s="161"/>
      <c r="C587" s="30"/>
      <c r="D587" s="30"/>
      <c r="E587" s="30"/>
      <c r="F587" s="30"/>
      <c r="G587" s="30"/>
      <c r="H587" s="30"/>
      <c r="I587" s="30"/>
      <c r="J587" s="30"/>
      <c r="K587" s="30"/>
      <c r="L587" s="30"/>
      <c r="M587" s="30"/>
      <c r="N587" s="75"/>
      <c r="O587" s="75"/>
      <c r="P587" s="30"/>
    </row>
    <row r="588">
      <c r="B588" s="161"/>
      <c r="C588" s="30"/>
      <c r="D588" s="30"/>
      <c r="E588" s="30"/>
      <c r="F588" s="30"/>
      <c r="G588" s="30"/>
      <c r="H588" s="30"/>
      <c r="I588" s="30"/>
      <c r="J588" s="30"/>
      <c r="K588" s="30"/>
      <c r="L588" s="30"/>
      <c r="M588" s="30"/>
      <c r="N588" s="75"/>
      <c r="O588" s="75"/>
      <c r="P588" s="30"/>
    </row>
    <row r="589">
      <c r="B589" s="161"/>
      <c r="C589" s="30"/>
      <c r="D589" s="30"/>
      <c r="E589" s="30"/>
      <c r="F589" s="30"/>
      <c r="G589" s="30"/>
      <c r="H589" s="30"/>
      <c r="I589" s="30"/>
      <c r="J589" s="30"/>
      <c r="K589" s="30"/>
      <c r="L589" s="30"/>
      <c r="M589" s="30"/>
      <c r="N589" s="75"/>
      <c r="O589" s="75"/>
      <c r="P589" s="30"/>
    </row>
    <row r="590">
      <c r="B590" s="161"/>
      <c r="C590" s="30"/>
      <c r="D590" s="30"/>
      <c r="E590" s="30"/>
      <c r="F590" s="30"/>
      <c r="G590" s="30"/>
      <c r="H590" s="30"/>
      <c r="I590" s="30"/>
      <c r="J590" s="30"/>
      <c r="K590" s="30"/>
      <c r="L590" s="30"/>
      <c r="M590" s="30"/>
      <c r="N590" s="75"/>
      <c r="O590" s="75"/>
      <c r="P590" s="30"/>
    </row>
    <row r="591">
      <c r="B591" s="161"/>
      <c r="C591" s="30"/>
      <c r="D591" s="30"/>
      <c r="E591" s="30"/>
      <c r="F591" s="30"/>
      <c r="G591" s="30"/>
      <c r="H591" s="30"/>
      <c r="I591" s="30"/>
      <c r="J591" s="30"/>
      <c r="K591" s="30"/>
      <c r="L591" s="30"/>
      <c r="M591" s="30"/>
      <c r="N591" s="75"/>
      <c r="O591" s="75"/>
      <c r="P591" s="30"/>
    </row>
    <row r="592">
      <c r="B592" s="161"/>
      <c r="C592" s="30"/>
      <c r="D592" s="30"/>
      <c r="E592" s="30"/>
      <c r="F592" s="30"/>
      <c r="G592" s="30"/>
      <c r="H592" s="30"/>
      <c r="I592" s="30"/>
      <c r="J592" s="30"/>
      <c r="K592" s="30"/>
      <c r="L592" s="30"/>
      <c r="M592" s="30"/>
      <c r="N592" s="75"/>
      <c r="O592" s="75"/>
      <c r="P592" s="30"/>
    </row>
    <row r="593">
      <c r="B593" s="161"/>
      <c r="C593" s="30"/>
      <c r="D593" s="30"/>
      <c r="E593" s="30"/>
      <c r="F593" s="30"/>
      <c r="G593" s="30"/>
      <c r="H593" s="30"/>
      <c r="I593" s="30"/>
      <c r="J593" s="30"/>
      <c r="K593" s="30"/>
      <c r="L593" s="30"/>
      <c r="M593" s="30"/>
      <c r="N593" s="75"/>
      <c r="O593" s="75"/>
      <c r="P593" s="30"/>
    </row>
    <row r="594">
      <c r="B594" s="161"/>
      <c r="C594" s="30"/>
      <c r="D594" s="30"/>
      <c r="E594" s="30"/>
      <c r="F594" s="30"/>
      <c r="G594" s="30"/>
      <c r="H594" s="30"/>
      <c r="I594" s="30"/>
      <c r="J594" s="30"/>
      <c r="K594" s="30"/>
      <c r="L594" s="30"/>
      <c r="M594" s="30"/>
      <c r="N594" s="75"/>
      <c r="O594" s="75"/>
      <c r="P594" s="30"/>
    </row>
    <row r="595">
      <c r="B595" s="161"/>
      <c r="C595" s="30"/>
      <c r="D595" s="30"/>
      <c r="E595" s="30"/>
      <c r="F595" s="30"/>
      <c r="G595" s="30"/>
      <c r="H595" s="30"/>
      <c r="I595" s="30"/>
      <c r="J595" s="30"/>
      <c r="K595" s="30"/>
      <c r="L595" s="30"/>
      <c r="M595" s="30"/>
      <c r="N595" s="75"/>
      <c r="O595" s="75"/>
      <c r="P595" s="30"/>
    </row>
    <row r="596">
      <c r="B596" s="161"/>
      <c r="C596" s="30"/>
      <c r="D596" s="30"/>
      <c r="E596" s="30"/>
      <c r="F596" s="30"/>
      <c r="G596" s="30"/>
      <c r="H596" s="30"/>
      <c r="I596" s="30"/>
      <c r="J596" s="30"/>
      <c r="K596" s="30"/>
      <c r="L596" s="30"/>
      <c r="M596" s="30"/>
      <c r="N596" s="75"/>
      <c r="O596" s="75"/>
      <c r="P596" s="30"/>
    </row>
    <row r="597">
      <c r="B597" s="161"/>
      <c r="C597" s="30"/>
      <c r="D597" s="30"/>
      <c r="E597" s="30"/>
      <c r="F597" s="30"/>
      <c r="G597" s="30"/>
      <c r="H597" s="30"/>
      <c r="I597" s="30"/>
      <c r="J597" s="30"/>
      <c r="K597" s="30"/>
      <c r="L597" s="30"/>
      <c r="M597" s="30"/>
      <c r="N597" s="75"/>
      <c r="O597" s="75"/>
      <c r="P597" s="30"/>
    </row>
    <row r="598">
      <c r="B598" s="161"/>
      <c r="C598" s="30"/>
      <c r="D598" s="30"/>
      <c r="E598" s="30"/>
      <c r="F598" s="30"/>
      <c r="G598" s="30"/>
      <c r="H598" s="30"/>
      <c r="I598" s="30"/>
      <c r="J598" s="30"/>
      <c r="K598" s="30"/>
      <c r="L598" s="30"/>
      <c r="M598" s="30"/>
      <c r="N598" s="75"/>
      <c r="O598" s="75"/>
      <c r="P598" s="30"/>
    </row>
    <row r="599">
      <c r="B599" s="161"/>
      <c r="C599" s="30"/>
      <c r="D599" s="30"/>
      <c r="E599" s="30"/>
      <c r="F599" s="30"/>
      <c r="G599" s="30"/>
      <c r="H599" s="30"/>
      <c r="I599" s="30"/>
      <c r="J599" s="30"/>
      <c r="K599" s="30"/>
      <c r="L599" s="30"/>
      <c r="M599" s="30"/>
      <c r="N599" s="75"/>
      <c r="O599" s="75"/>
      <c r="P599" s="30"/>
    </row>
    <row r="600">
      <c r="B600" s="161"/>
      <c r="C600" s="30"/>
      <c r="D600" s="30"/>
      <c r="E600" s="30"/>
      <c r="F600" s="30"/>
      <c r="G600" s="30"/>
      <c r="H600" s="30"/>
      <c r="I600" s="30"/>
      <c r="J600" s="30"/>
      <c r="K600" s="30"/>
      <c r="L600" s="30"/>
      <c r="M600" s="30"/>
      <c r="N600" s="75"/>
      <c r="O600" s="75"/>
      <c r="P600" s="30"/>
    </row>
    <row r="601">
      <c r="B601" s="161"/>
      <c r="C601" s="30"/>
      <c r="D601" s="30"/>
      <c r="E601" s="30"/>
      <c r="F601" s="30"/>
      <c r="G601" s="30"/>
      <c r="H601" s="30"/>
      <c r="I601" s="30"/>
      <c r="J601" s="30"/>
      <c r="K601" s="30"/>
      <c r="L601" s="30"/>
      <c r="M601" s="30"/>
      <c r="N601" s="75"/>
      <c r="O601" s="75"/>
      <c r="P601" s="30"/>
    </row>
    <row r="602">
      <c r="B602" s="161"/>
      <c r="C602" s="30"/>
      <c r="D602" s="30"/>
      <c r="E602" s="30"/>
      <c r="F602" s="30"/>
      <c r="G602" s="30"/>
      <c r="H602" s="30"/>
      <c r="I602" s="30"/>
      <c r="J602" s="30"/>
      <c r="K602" s="30"/>
      <c r="L602" s="30"/>
      <c r="M602" s="30"/>
      <c r="N602" s="75"/>
      <c r="O602" s="75"/>
      <c r="P602" s="30"/>
    </row>
    <row r="603">
      <c r="B603" s="161"/>
      <c r="C603" s="30"/>
      <c r="D603" s="30"/>
      <c r="E603" s="30"/>
      <c r="F603" s="30"/>
      <c r="G603" s="30"/>
      <c r="H603" s="30"/>
      <c r="I603" s="30"/>
      <c r="J603" s="30"/>
      <c r="K603" s="30"/>
      <c r="L603" s="30"/>
      <c r="M603" s="30"/>
      <c r="N603" s="75"/>
      <c r="O603" s="75"/>
      <c r="P603" s="30"/>
    </row>
    <row r="604">
      <c r="B604" s="161"/>
      <c r="C604" s="30"/>
      <c r="D604" s="30"/>
      <c r="E604" s="30"/>
      <c r="F604" s="30"/>
      <c r="G604" s="30"/>
      <c r="H604" s="30"/>
      <c r="I604" s="30"/>
      <c r="J604" s="30"/>
      <c r="K604" s="30"/>
      <c r="L604" s="30"/>
      <c r="M604" s="30"/>
      <c r="N604" s="75"/>
      <c r="O604" s="75"/>
      <c r="P604" s="30"/>
    </row>
    <row r="605">
      <c r="B605" s="161"/>
      <c r="C605" s="30"/>
      <c r="D605" s="30"/>
      <c r="E605" s="30"/>
      <c r="F605" s="30"/>
      <c r="G605" s="30"/>
      <c r="H605" s="30"/>
      <c r="I605" s="30"/>
      <c r="J605" s="30"/>
      <c r="K605" s="30"/>
      <c r="L605" s="30"/>
      <c r="M605" s="30"/>
      <c r="N605" s="75"/>
      <c r="O605" s="75"/>
      <c r="P605" s="30"/>
    </row>
    <row r="606">
      <c r="B606" s="161"/>
      <c r="C606" s="30"/>
      <c r="D606" s="30"/>
      <c r="E606" s="30"/>
      <c r="F606" s="30"/>
      <c r="G606" s="30"/>
      <c r="H606" s="30"/>
      <c r="I606" s="30"/>
      <c r="J606" s="30"/>
      <c r="K606" s="30"/>
      <c r="L606" s="30"/>
      <c r="M606" s="30"/>
      <c r="N606" s="75"/>
      <c r="O606" s="75"/>
      <c r="P606" s="30"/>
    </row>
    <row r="607">
      <c r="B607" s="161"/>
      <c r="C607" s="30"/>
      <c r="D607" s="30"/>
      <c r="E607" s="30"/>
      <c r="F607" s="30"/>
      <c r="G607" s="30"/>
      <c r="H607" s="30"/>
      <c r="I607" s="30"/>
      <c r="J607" s="30"/>
      <c r="K607" s="30"/>
      <c r="L607" s="30"/>
      <c r="M607" s="30"/>
      <c r="N607" s="75"/>
      <c r="O607" s="75"/>
      <c r="P607" s="30"/>
    </row>
    <row r="608">
      <c r="B608" s="161"/>
      <c r="C608" s="30"/>
      <c r="D608" s="30"/>
      <c r="E608" s="30"/>
      <c r="F608" s="30"/>
      <c r="G608" s="30"/>
      <c r="H608" s="30"/>
      <c r="I608" s="30"/>
      <c r="J608" s="30"/>
      <c r="K608" s="30"/>
      <c r="L608" s="30"/>
      <c r="M608" s="30"/>
      <c r="N608" s="75"/>
      <c r="O608" s="75"/>
      <c r="P608" s="30"/>
    </row>
    <row r="609">
      <c r="B609" s="161"/>
      <c r="C609" s="30"/>
      <c r="D609" s="30"/>
      <c r="E609" s="30"/>
      <c r="F609" s="30"/>
      <c r="G609" s="30"/>
      <c r="H609" s="30"/>
      <c r="I609" s="30"/>
      <c r="J609" s="30"/>
      <c r="K609" s="30"/>
      <c r="L609" s="30"/>
      <c r="M609" s="30"/>
      <c r="N609" s="75"/>
      <c r="O609" s="75"/>
      <c r="P609" s="30"/>
    </row>
    <row r="610">
      <c r="B610" s="161"/>
      <c r="C610" s="30"/>
      <c r="D610" s="30"/>
      <c r="E610" s="30"/>
      <c r="F610" s="30"/>
      <c r="G610" s="30"/>
      <c r="H610" s="30"/>
      <c r="I610" s="30"/>
      <c r="J610" s="30"/>
      <c r="K610" s="30"/>
      <c r="L610" s="30"/>
      <c r="M610" s="30"/>
      <c r="N610" s="75"/>
      <c r="O610" s="75"/>
      <c r="P610" s="30"/>
    </row>
    <row r="611">
      <c r="B611" s="161"/>
      <c r="C611" s="30"/>
      <c r="D611" s="30"/>
      <c r="E611" s="30"/>
      <c r="F611" s="30"/>
      <c r="G611" s="30"/>
      <c r="H611" s="30"/>
      <c r="I611" s="30"/>
      <c r="J611" s="30"/>
      <c r="K611" s="30"/>
      <c r="L611" s="30"/>
      <c r="M611" s="30"/>
      <c r="N611" s="75"/>
      <c r="O611" s="75"/>
      <c r="P611" s="30"/>
    </row>
    <row r="612">
      <c r="B612" s="161"/>
      <c r="C612" s="30"/>
      <c r="D612" s="30"/>
      <c r="E612" s="30"/>
      <c r="F612" s="30"/>
      <c r="G612" s="30"/>
      <c r="H612" s="30"/>
      <c r="I612" s="30"/>
      <c r="J612" s="30"/>
      <c r="K612" s="30"/>
      <c r="L612" s="30"/>
      <c r="M612" s="30"/>
      <c r="N612" s="75"/>
      <c r="O612" s="75"/>
      <c r="P612" s="30"/>
    </row>
    <row r="613">
      <c r="B613" s="161"/>
      <c r="C613" s="30"/>
      <c r="D613" s="30"/>
      <c r="E613" s="30"/>
      <c r="F613" s="30"/>
      <c r="G613" s="30"/>
      <c r="H613" s="30"/>
      <c r="I613" s="30"/>
      <c r="J613" s="30"/>
      <c r="K613" s="30"/>
      <c r="L613" s="30"/>
      <c r="M613" s="30"/>
      <c r="N613" s="75"/>
      <c r="O613" s="75"/>
      <c r="P613" s="30"/>
    </row>
    <row r="614">
      <c r="B614" s="161"/>
      <c r="C614" s="30"/>
      <c r="D614" s="30"/>
      <c r="E614" s="30"/>
      <c r="F614" s="30"/>
      <c r="G614" s="30"/>
      <c r="H614" s="30"/>
      <c r="I614" s="30"/>
      <c r="J614" s="30"/>
      <c r="K614" s="30"/>
      <c r="L614" s="30"/>
      <c r="M614" s="30"/>
      <c r="N614" s="75"/>
      <c r="O614" s="75"/>
      <c r="P614" s="30"/>
    </row>
    <row r="615">
      <c r="B615" s="161"/>
      <c r="C615" s="30"/>
      <c r="D615" s="30"/>
      <c r="E615" s="30"/>
      <c r="F615" s="30"/>
      <c r="G615" s="30"/>
      <c r="H615" s="30"/>
      <c r="I615" s="30"/>
      <c r="J615" s="30"/>
      <c r="K615" s="30"/>
      <c r="L615" s="30"/>
      <c r="M615" s="30"/>
      <c r="N615" s="75"/>
      <c r="O615" s="75"/>
      <c r="P615" s="30"/>
    </row>
    <row r="616">
      <c r="B616" s="161"/>
      <c r="C616" s="30"/>
      <c r="D616" s="30"/>
      <c r="E616" s="30"/>
      <c r="F616" s="30"/>
      <c r="G616" s="30"/>
      <c r="H616" s="30"/>
      <c r="I616" s="30"/>
      <c r="J616" s="30"/>
      <c r="K616" s="30"/>
      <c r="L616" s="30"/>
      <c r="M616" s="30"/>
      <c r="N616" s="75"/>
      <c r="O616" s="75"/>
      <c r="P616" s="30"/>
    </row>
    <row r="617">
      <c r="B617" s="161"/>
      <c r="C617" s="30"/>
      <c r="D617" s="30"/>
      <c r="E617" s="30"/>
      <c r="F617" s="30"/>
      <c r="G617" s="30"/>
      <c r="H617" s="30"/>
      <c r="I617" s="30"/>
      <c r="J617" s="30"/>
      <c r="K617" s="30"/>
      <c r="L617" s="30"/>
      <c r="M617" s="30"/>
      <c r="N617" s="75"/>
      <c r="O617" s="75"/>
      <c r="P617" s="30"/>
    </row>
    <row r="618">
      <c r="B618" s="161"/>
      <c r="C618" s="30"/>
      <c r="D618" s="30"/>
      <c r="E618" s="30"/>
      <c r="F618" s="30"/>
      <c r="G618" s="30"/>
      <c r="H618" s="30"/>
      <c r="I618" s="30"/>
      <c r="J618" s="30"/>
      <c r="K618" s="30"/>
      <c r="L618" s="30"/>
      <c r="M618" s="30"/>
      <c r="N618" s="75"/>
      <c r="O618" s="75"/>
      <c r="P618" s="30"/>
    </row>
    <row r="619">
      <c r="B619" s="161"/>
      <c r="C619" s="30"/>
      <c r="D619" s="30"/>
      <c r="E619" s="30"/>
      <c r="F619" s="30"/>
      <c r="G619" s="30"/>
      <c r="H619" s="30"/>
      <c r="I619" s="30"/>
      <c r="J619" s="30"/>
      <c r="K619" s="30"/>
      <c r="L619" s="30"/>
      <c r="M619" s="30"/>
      <c r="N619" s="75"/>
      <c r="O619" s="75"/>
      <c r="P619" s="30"/>
    </row>
    <row r="620">
      <c r="B620" s="161"/>
      <c r="C620" s="30"/>
      <c r="D620" s="30"/>
      <c r="E620" s="30"/>
      <c r="F620" s="30"/>
      <c r="G620" s="30"/>
      <c r="H620" s="30"/>
      <c r="I620" s="30"/>
      <c r="J620" s="30"/>
      <c r="K620" s="30"/>
      <c r="L620" s="30"/>
      <c r="M620" s="30"/>
      <c r="N620" s="75"/>
      <c r="O620" s="75"/>
      <c r="P620" s="30"/>
    </row>
    <row r="621">
      <c r="B621" s="161"/>
      <c r="C621" s="30"/>
      <c r="D621" s="30"/>
      <c r="E621" s="30"/>
      <c r="F621" s="30"/>
      <c r="G621" s="30"/>
      <c r="H621" s="30"/>
      <c r="I621" s="30"/>
      <c r="J621" s="30"/>
      <c r="K621" s="30"/>
      <c r="L621" s="30"/>
      <c r="M621" s="30"/>
      <c r="N621" s="75"/>
      <c r="O621" s="75"/>
      <c r="P621" s="30"/>
    </row>
    <row r="622">
      <c r="B622" s="161"/>
      <c r="C622" s="30"/>
      <c r="D622" s="30"/>
      <c r="E622" s="30"/>
      <c r="F622" s="30"/>
      <c r="G622" s="30"/>
      <c r="H622" s="30"/>
      <c r="I622" s="30"/>
      <c r="J622" s="30"/>
      <c r="K622" s="30"/>
      <c r="L622" s="30"/>
      <c r="M622" s="30"/>
      <c r="N622" s="75"/>
      <c r="O622" s="75"/>
      <c r="P622" s="30"/>
    </row>
    <row r="623">
      <c r="B623" s="161"/>
      <c r="C623" s="30"/>
      <c r="D623" s="30"/>
      <c r="E623" s="30"/>
      <c r="F623" s="30"/>
      <c r="G623" s="30"/>
      <c r="H623" s="30"/>
      <c r="I623" s="30"/>
      <c r="J623" s="30"/>
      <c r="K623" s="30"/>
      <c r="L623" s="30"/>
      <c r="M623" s="30"/>
      <c r="N623" s="75"/>
      <c r="O623" s="75"/>
      <c r="P623" s="30"/>
    </row>
    <row r="624">
      <c r="B624" s="161"/>
      <c r="C624" s="30"/>
      <c r="D624" s="30"/>
      <c r="E624" s="30"/>
      <c r="F624" s="30"/>
      <c r="G624" s="30"/>
      <c r="H624" s="30"/>
      <c r="I624" s="30"/>
      <c r="J624" s="30"/>
      <c r="K624" s="30"/>
      <c r="L624" s="30"/>
      <c r="M624" s="30"/>
      <c r="N624" s="75"/>
      <c r="O624" s="75"/>
      <c r="P624" s="30"/>
    </row>
    <row r="625">
      <c r="B625" s="161"/>
      <c r="C625" s="30"/>
      <c r="D625" s="30"/>
      <c r="E625" s="30"/>
      <c r="F625" s="30"/>
      <c r="G625" s="30"/>
      <c r="H625" s="30"/>
      <c r="I625" s="30"/>
      <c r="J625" s="30"/>
      <c r="K625" s="30"/>
      <c r="L625" s="30"/>
      <c r="M625" s="30"/>
      <c r="N625" s="75"/>
      <c r="O625" s="75"/>
      <c r="P625" s="30"/>
    </row>
    <row r="626">
      <c r="B626" s="161"/>
      <c r="C626" s="30"/>
      <c r="D626" s="30"/>
      <c r="E626" s="30"/>
      <c r="F626" s="30"/>
      <c r="G626" s="30"/>
      <c r="H626" s="30"/>
      <c r="I626" s="30"/>
      <c r="J626" s="30"/>
      <c r="K626" s="30"/>
      <c r="L626" s="30"/>
      <c r="M626" s="30"/>
      <c r="N626" s="75"/>
      <c r="O626" s="75"/>
      <c r="P626" s="30"/>
    </row>
    <row r="627">
      <c r="B627" s="161"/>
      <c r="C627" s="30"/>
      <c r="D627" s="30"/>
      <c r="E627" s="30"/>
      <c r="F627" s="30"/>
      <c r="G627" s="30"/>
      <c r="H627" s="30"/>
      <c r="I627" s="30"/>
      <c r="J627" s="30"/>
      <c r="K627" s="30"/>
      <c r="L627" s="30"/>
      <c r="M627" s="30"/>
      <c r="N627" s="75"/>
      <c r="O627" s="75"/>
      <c r="P627" s="30"/>
    </row>
    <row r="628">
      <c r="B628" s="161"/>
      <c r="C628" s="30"/>
      <c r="D628" s="30"/>
      <c r="E628" s="30"/>
      <c r="F628" s="30"/>
      <c r="G628" s="30"/>
      <c r="H628" s="30"/>
      <c r="I628" s="30"/>
      <c r="J628" s="30"/>
      <c r="K628" s="30"/>
      <c r="L628" s="30"/>
      <c r="M628" s="30"/>
      <c r="N628" s="75"/>
      <c r="O628" s="75"/>
      <c r="P628" s="30"/>
    </row>
    <row r="629">
      <c r="B629" s="161"/>
      <c r="C629" s="30"/>
      <c r="D629" s="30"/>
      <c r="E629" s="30"/>
      <c r="F629" s="30"/>
      <c r="G629" s="30"/>
      <c r="H629" s="30"/>
      <c r="I629" s="30"/>
      <c r="J629" s="30"/>
      <c r="K629" s="30"/>
      <c r="L629" s="30"/>
      <c r="M629" s="30"/>
      <c r="N629" s="75"/>
      <c r="O629" s="75"/>
      <c r="P629" s="30"/>
    </row>
    <row r="630">
      <c r="B630" s="161"/>
      <c r="C630" s="30"/>
      <c r="D630" s="30"/>
      <c r="E630" s="30"/>
      <c r="F630" s="30"/>
      <c r="G630" s="30"/>
      <c r="H630" s="30"/>
      <c r="I630" s="30"/>
      <c r="J630" s="30"/>
      <c r="K630" s="30"/>
      <c r="L630" s="30"/>
      <c r="M630" s="30"/>
      <c r="N630" s="75"/>
      <c r="O630" s="75"/>
      <c r="P630" s="30"/>
    </row>
    <row r="631">
      <c r="B631" s="161"/>
      <c r="C631" s="30"/>
      <c r="D631" s="30"/>
      <c r="E631" s="30"/>
      <c r="F631" s="30"/>
      <c r="G631" s="30"/>
      <c r="H631" s="30"/>
      <c r="I631" s="30"/>
      <c r="J631" s="30"/>
      <c r="K631" s="30"/>
      <c r="L631" s="30"/>
      <c r="M631" s="30"/>
      <c r="N631" s="75"/>
      <c r="O631" s="75"/>
      <c r="P631" s="30"/>
    </row>
    <row r="632">
      <c r="B632" s="161"/>
      <c r="C632" s="30"/>
      <c r="D632" s="30"/>
      <c r="E632" s="30"/>
      <c r="F632" s="30"/>
      <c r="G632" s="30"/>
      <c r="H632" s="30"/>
      <c r="I632" s="30"/>
      <c r="J632" s="30"/>
      <c r="K632" s="30"/>
      <c r="L632" s="30"/>
      <c r="M632" s="30"/>
      <c r="N632" s="75"/>
      <c r="O632" s="75"/>
      <c r="P632" s="30"/>
    </row>
    <row r="633">
      <c r="B633" s="161"/>
      <c r="C633" s="30"/>
      <c r="D633" s="30"/>
      <c r="E633" s="30"/>
      <c r="F633" s="30"/>
      <c r="G633" s="30"/>
      <c r="H633" s="30"/>
      <c r="I633" s="30"/>
      <c r="J633" s="30"/>
      <c r="K633" s="30"/>
      <c r="L633" s="30"/>
      <c r="M633" s="30"/>
      <c r="N633" s="75"/>
      <c r="O633" s="75"/>
      <c r="P633" s="30"/>
    </row>
    <row r="634">
      <c r="B634" s="161"/>
      <c r="C634" s="30"/>
      <c r="D634" s="30"/>
      <c r="E634" s="30"/>
      <c r="F634" s="30"/>
      <c r="G634" s="30"/>
      <c r="H634" s="30"/>
      <c r="I634" s="30"/>
      <c r="J634" s="30"/>
      <c r="K634" s="30"/>
      <c r="L634" s="30"/>
      <c r="M634" s="30"/>
      <c r="N634" s="75"/>
      <c r="O634" s="75"/>
      <c r="P634" s="30"/>
    </row>
    <row r="635">
      <c r="B635" s="161"/>
      <c r="C635" s="30"/>
      <c r="D635" s="30"/>
      <c r="E635" s="30"/>
      <c r="F635" s="30"/>
      <c r="G635" s="30"/>
      <c r="H635" s="30"/>
      <c r="I635" s="30"/>
      <c r="J635" s="30"/>
      <c r="K635" s="30"/>
      <c r="L635" s="30"/>
      <c r="M635" s="30"/>
      <c r="N635" s="75"/>
      <c r="O635" s="75"/>
      <c r="P635" s="30"/>
    </row>
    <row r="636">
      <c r="B636" s="161"/>
      <c r="C636" s="30"/>
      <c r="D636" s="30"/>
      <c r="E636" s="30"/>
      <c r="F636" s="30"/>
      <c r="G636" s="30"/>
      <c r="H636" s="30"/>
      <c r="I636" s="30"/>
      <c r="J636" s="30"/>
      <c r="K636" s="30"/>
      <c r="L636" s="30"/>
      <c r="M636" s="30"/>
      <c r="N636" s="75"/>
      <c r="O636" s="75"/>
      <c r="P636" s="30"/>
    </row>
    <row r="637">
      <c r="B637" s="161"/>
      <c r="C637" s="30"/>
      <c r="D637" s="30"/>
      <c r="E637" s="30"/>
      <c r="F637" s="30"/>
      <c r="G637" s="30"/>
      <c r="H637" s="30"/>
      <c r="I637" s="30"/>
      <c r="J637" s="30"/>
      <c r="K637" s="30"/>
      <c r="L637" s="30"/>
      <c r="M637" s="30"/>
      <c r="N637" s="75"/>
      <c r="O637" s="75"/>
      <c r="P637" s="30"/>
    </row>
    <row r="638">
      <c r="B638" s="161"/>
      <c r="C638" s="30"/>
      <c r="D638" s="30"/>
      <c r="E638" s="30"/>
      <c r="F638" s="30"/>
      <c r="G638" s="30"/>
      <c r="H638" s="30"/>
      <c r="I638" s="30"/>
      <c r="J638" s="30"/>
      <c r="K638" s="30"/>
      <c r="L638" s="30"/>
      <c r="M638" s="30"/>
      <c r="N638" s="75"/>
      <c r="O638" s="75"/>
      <c r="P638" s="30"/>
    </row>
    <row r="639">
      <c r="B639" s="161"/>
      <c r="C639" s="30"/>
      <c r="D639" s="30"/>
      <c r="E639" s="30"/>
      <c r="F639" s="30"/>
      <c r="G639" s="30"/>
      <c r="H639" s="30"/>
      <c r="I639" s="30"/>
      <c r="J639" s="30"/>
      <c r="K639" s="30"/>
      <c r="L639" s="30"/>
      <c r="M639" s="30"/>
      <c r="N639" s="75"/>
      <c r="O639" s="75"/>
      <c r="P639" s="30"/>
    </row>
    <row r="640">
      <c r="B640" s="161"/>
      <c r="C640" s="30"/>
      <c r="D640" s="30"/>
      <c r="E640" s="30"/>
      <c r="F640" s="30"/>
      <c r="G640" s="30"/>
      <c r="H640" s="30"/>
      <c r="I640" s="30"/>
      <c r="J640" s="30"/>
      <c r="K640" s="30"/>
      <c r="L640" s="30"/>
      <c r="M640" s="30"/>
      <c r="N640" s="75"/>
      <c r="O640" s="75"/>
      <c r="P640" s="30"/>
    </row>
    <row r="641">
      <c r="B641" s="161"/>
      <c r="C641" s="30"/>
      <c r="D641" s="30"/>
      <c r="E641" s="30"/>
      <c r="F641" s="30"/>
      <c r="G641" s="30"/>
      <c r="H641" s="30"/>
      <c r="I641" s="30"/>
      <c r="J641" s="30"/>
      <c r="K641" s="30"/>
      <c r="L641" s="30"/>
      <c r="M641" s="30"/>
      <c r="N641" s="75"/>
      <c r="O641" s="75"/>
      <c r="P641" s="30"/>
    </row>
    <row r="642">
      <c r="B642" s="161"/>
      <c r="C642" s="30"/>
      <c r="D642" s="30"/>
      <c r="E642" s="30"/>
      <c r="F642" s="30"/>
      <c r="G642" s="30"/>
      <c r="H642" s="30"/>
      <c r="I642" s="30"/>
      <c r="J642" s="30"/>
      <c r="K642" s="30"/>
      <c r="L642" s="30"/>
      <c r="M642" s="30"/>
      <c r="N642" s="75"/>
      <c r="O642" s="75"/>
      <c r="P642" s="30"/>
    </row>
    <row r="643">
      <c r="B643" s="161"/>
      <c r="C643" s="30"/>
      <c r="D643" s="30"/>
      <c r="E643" s="30"/>
      <c r="F643" s="30"/>
      <c r="G643" s="30"/>
      <c r="H643" s="30"/>
      <c r="I643" s="30"/>
      <c r="J643" s="30"/>
      <c r="K643" s="30"/>
      <c r="L643" s="30"/>
      <c r="M643" s="30"/>
      <c r="N643" s="75"/>
      <c r="O643" s="75"/>
      <c r="P643" s="30"/>
    </row>
    <row r="644">
      <c r="B644" s="161"/>
      <c r="C644" s="30"/>
      <c r="D644" s="30"/>
      <c r="E644" s="30"/>
      <c r="F644" s="30"/>
      <c r="G644" s="30"/>
      <c r="H644" s="30"/>
      <c r="I644" s="30"/>
      <c r="J644" s="30"/>
      <c r="K644" s="30"/>
      <c r="L644" s="30"/>
      <c r="M644" s="30"/>
      <c r="N644" s="75"/>
      <c r="O644" s="75"/>
      <c r="P644" s="30"/>
    </row>
    <row r="645">
      <c r="B645" s="161"/>
      <c r="C645" s="30"/>
      <c r="D645" s="30"/>
      <c r="E645" s="30"/>
      <c r="F645" s="30"/>
      <c r="G645" s="30"/>
      <c r="H645" s="30"/>
      <c r="I645" s="30"/>
      <c r="J645" s="30"/>
      <c r="K645" s="30"/>
      <c r="L645" s="30"/>
      <c r="M645" s="30"/>
      <c r="N645" s="75"/>
      <c r="O645" s="75"/>
      <c r="P645" s="30"/>
    </row>
    <row r="646">
      <c r="B646" s="161"/>
      <c r="C646" s="30"/>
      <c r="D646" s="30"/>
      <c r="E646" s="30"/>
      <c r="F646" s="30"/>
      <c r="G646" s="30"/>
      <c r="H646" s="30"/>
      <c r="I646" s="30"/>
      <c r="J646" s="30"/>
      <c r="K646" s="30"/>
      <c r="L646" s="30"/>
      <c r="M646" s="30"/>
      <c r="N646" s="75"/>
      <c r="O646" s="75"/>
      <c r="P646" s="30"/>
    </row>
    <row r="647">
      <c r="B647" s="161"/>
      <c r="C647" s="30"/>
      <c r="D647" s="30"/>
      <c r="E647" s="30"/>
      <c r="F647" s="30"/>
      <c r="G647" s="30"/>
      <c r="H647" s="30"/>
      <c r="I647" s="30"/>
      <c r="J647" s="30"/>
      <c r="K647" s="30"/>
      <c r="L647" s="30"/>
      <c r="M647" s="30"/>
      <c r="N647" s="75"/>
      <c r="O647" s="75"/>
      <c r="P647" s="30"/>
    </row>
    <row r="648">
      <c r="B648" s="161"/>
      <c r="C648" s="30"/>
      <c r="D648" s="30"/>
      <c r="E648" s="30"/>
      <c r="F648" s="30"/>
      <c r="G648" s="30"/>
      <c r="H648" s="30"/>
      <c r="I648" s="30"/>
      <c r="J648" s="30"/>
      <c r="K648" s="30"/>
      <c r="L648" s="30"/>
      <c r="M648" s="30"/>
      <c r="N648" s="75"/>
      <c r="O648" s="75"/>
      <c r="P648" s="30"/>
    </row>
    <row r="649">
      <c r="B649" s="161"/>
      <c r="C649" s="30"/>
      <c r="D649" s="30"/>
      <c r="E649" s="30"/>
      <c r="F649" s="30"/>
      <c r="G649" s="30"/>
      <c r="H649" s="30"/>
      <c r="I649" s="30"/>
      <c r="J649" s="30"/>
      <c r="K649" s="30"/>
      <c r="L649" s="30"/>
      <c r="M649" s="30"/>
      <c r="N649" s="75"/>
      <c r="O649" s="75"/>
      <c r="P649" s="30"/>
    </row>
    <row r="650">
      <c r="B650" s="161"/>
      <c r="C650" s="30"/>
      <c r="D650" s="30"/>
      <c r="E650" s="30"/>
      <c r="F650" s="30"/>
      <c r="G650" s="30"/>
      <c r="H650" s="30"/>
      <c r="I650" s="30"/>
      <c r="J650" s="30"/>
      <c r="K650" s="30"/>
      <c r="L650" s="30"/>
      <c r="M650" s="30"/>
      <c r="N650" s="75"/>
      <c r="O650" s="75"/>
      <c r="P650" s="30"/>
    </row>
    <row r="651">
      <c r="B651" s="161"/>
      <c r="C651" s="30"/>
      <c r="D651" s="30"/>
      <c r="E651" s="30"/>
      <c r="F651" s="30"/>
      <c r="G651" s="30"/>
      <c r="H651" s="30"/>
      <c r="I651" s="30"/>
      <c r="J651" s="30"/>
      <c r="K651" s="30"/>
      <c r="L651" s="30"/>
      <c r="M651" s="30"/>
      <c r="N651" s="75"/>
      <c r="O651" s="75"/>
      <c r="P651" s="30"/>
    </row>
    <row r="652">
      <c r="B652" s="161"/>
      <c r="C652" s="30"/>
      <c r="D652" s="30"/>
      <c r="E652" s="30"/>
      <c r="F652" s="30"/>
      <c r="G652" s="30"/>
      <c r="H652" s="30"/>
      <c r="I652" s="30"/>
      <c r="J652" s="30"/>
      <c r="K652" s="30"/>
      <c r="L652" s="30"/>
      <c r="M652" s="30"/>
      <c r="N652" s="75"/>
      <c r="O652" s="75"/>
      <c r="P652" s="30"/>
    </row>
    <row r="653">
      <c r="B653" s="161"/>
      <c r="C653" s="30"/>
      <c r="D653" s="30"/>
      <c r="E653" s="30"/>
      <c r="F653" s="30"/>
      <c r="G653" s="30"/>
      <c r="H653" s="30"/>
      <c r="I653" s="30"/>
      <c r="J653" s="30"/>
      <c r="K653" s="30"/>
      <c r="L653" s="30"/>
      <c r="M653" s="30"/>
      <c r="N653" s="75"/>
      <c r="O653" s="75"/>
      <c r="P653" s="30"/>
    </row>
    <row r="654">
      <c r="B654" s="161"/>
      <c r="C654" s="30"/>
      <c r="D654" s="30"/>
      <c r="E654" s="30"/>
      <c r="F654" s="30"/>
      <c r="G654" s="30"/>
      <c r="H654" s="30"/>
      <c r="I654" s="30"/>
      <c r="J654" s="30"/>
      <c r="K654" s="30"/>
      <c r="L654" s="30"/>
      <c r="M654" s="30"/>
      <c r="N654" s="75"/>
      <c r="O654" s="75"/>
      <c r="P654" s="30"/>
    </row>
    <row r="655">
      <c r="B655" s="161"/>
      <c r="C655" s="30"/>
      <c r="D655" s="30"/>
      <c r="E655" s="30"/>
      <c r="F655" s="30"/>
      <c r="G655" s="30"/>
      <c r="H655" s="30"/>
      <c r="I655" s="30"/>
      <c r="J655" s="30"/>
      <c r="K655" s="30"/>
      <c r="L655" s="30"/>
      <c r="M655" s="30"/>
      <c r="N655" s="75"/>
      <c r="O655" s="75"/>
      <c r="P655" s="30"/>
    </row>
    <row r="656">
      <c r="B656" s="161"/>
      <c r="C656" s="30"/>
      <c r="D656" s="30"/>
      <c r="E656" s="30"/>
      <c r="F656" s="30"/>
      <c r="G656" s="30"/>
      <c r="H656" s="30"/>
      <c r="I656" s="30"/>
      <c r="J656" s="30"/>
      <c r="K656" s="30"/>
      <c r="L656" s="30"/>
      <c r="M656" s="30"/>
      <c r="N656" s="75"/>
      <c r="O656" s="75"/>
      <c r="P656" s="30"/>
    </row>
    <row r="657">
      <c r="B657" s="161"/>
      <c r="C657" s="30"/>
      <c r="D657" s="30"/>
      <c r="E657" s="30"/>
      <c r="F657" s="30"/>
      <c r="G657" s="30"/>
      <c r="H657" s="30"/>
      <c r="I657" s="30"/>
      <c r="J657" s="30"/>
      <c r="K657" s="30"/>
      <c r="L657" s="30"/>
      <c r="M657" s="30"/>
      <c r="N657" s="75"/>
      <c r="O657" s="75"/>
      <c r="P657" s="30"/>
    </row>
    <row r="658">
      <c r="B658" s="161"/>
      <c r="C658" s="30"/>
      <c r="D658" s="30"/>
      <c r="E658" s="30"/>
      <c r="F658" s="30"/>
      <c r="G658" s="30"/>
      <c r="H658" s="30"/>
      <c r="I658" s="30"/>
      <c r="J658" s="30"/>
      <c r="K658" s="30"/>
      <c r="L658" s="30"/>
      <c r="M658" s="30"/>
      <c r="N658" s="75"/>
      <c r="O658" s="75"/>
      <c r="P658" s="30"/>
    </row>
    <row r="659">
      <c r="B659" s="161"/>
      <c r="C659" s="30"/>
      <c r="D659" s="30"/>
      <c r="E659" s="30"/>
      <c r="F659" s="30"/>
      <c r="G659" s="30"/>
      <c r="H659" s="30"/>
      <c r="I659" s="30"/>
      <c r="J659" s="30"/>
      <c r="K659" s="30"/>
      <c r="L659" s="30"/>
      <c r="M659" s="30"/>
      <c r="N659" s="75"/>
      <c r="O659" s="75"/>
      <c r="P659" s="30"/>
    </row>
    <row r="660">
      <c r="B660" s="161"/>
      <c r="C660" s="30"/>
      <c r="D660" s="30"/>
      <c r="E660" s="30"/>
      <c r="F660" s="30"/>
      <c r="G660" s="30"/>
      <c r="H660" s="30"/>
      <c r="I660" s="30"/>
      <c r="J660" s="30"/>
      <c r="K660" s="30"/>
      <c r="L660" s="30"/>
      <c r="M660" s="30"/>
      <c r="N660" s="75"/>
      <c r="O660" s="75"/>
      <c r="P660" s="30"/>
    </row>
    <row r="661">
      <c r="B661" s="161"/>
      <c r="C661" s="30"/>
      <c r="D661" s="30"/>
      <c r="E661" s="30"/>
      <c r="F661" s="30"/>
      <c r="G661" s="30"/>
      <c r="H661" s="30"/>
      <c r="I661" s="30"/>
      <c r="J661" s="30"/>
      <c r="K661" s="30"/>
      <c r="L661" s="30"/>
      <c r="M661" s="30"/>
      <c r="N661" s="75"/>
      <c r="O661" s="75"/>
      <c r="P661" s="30"/>
    </row>
    <row r="662">
      <c r="B662" s="161"/>
      <c r="C662" s="30"/>
      <c r="D662" s="30"/>
      <c r="E662" s="30"/>
      <c r="F662" s="30"/>
      <c r="G662" s="30"/>
      <c r="H662" s="30"/>
      <c r="I662" s="30"/>
      <c r="J662" s="30"/>
      <c r="K662" s="30"/>
      <c r="L662" s="30"/>
      <c r="M662" s="30"/>
      <c r="N662" s="75"/>
      <c r="O662" s="75"/>
      <c r="P662" s="30"/>
    </row>
    <row r="663">
      <c r="B663" s="161"/>
      <c r="C663" s="30"/>
      <c r="D663" s="30"/>
      <c r="E663" s="30"/>
      <c r="F663" s="30"/>
      <c r="G663" s="30"/>
      <c r="H663" s="30"/>
      <c r="I663" s="30"/>
      <c r="J663" s="30"/>
      <c r="K663" s="30"/>
      <c r="L663" s="30"/>
      <c r="M663" s="30"/>
      <c r="N663" s="75"/>
      <c r="O663" s="75"/>
      <c r="P663" s="30"/>
    </row>
    <row r="664">
      <c r="B664" s="161"/>
      <c r="C664" s="30"/>
      <c r="D664" s="30"/>
      <c r="E664" s="30"/>
      <c r="F664" s="30"/>
      <c r="G664" s="30"/>
      <c r="H664" s="30"/>
      <c r="I664" s="30"/>
      <c r="J664" s="30"/>
      <c r="K664" s="30"/>
      <c r="L664" s="30"/>
      <c r="M664" s="30"/>
      <c r="N664" s="75"/>
      <c r="O664" s="75"/>
      <c r="P664" s="30"/>
    </row>
    <row r="665">
      <c r="B665" s="161"/>
      <c r="C665" s="30"/>
      <c r="D665" s="30"/>
      <c r="E665" s="30"/>
      <c r="F665" s="30"/>
      <c r="G665" s="30"/>
      <c r="H665" s="30"/>
      <c r="I665" s="30"/>
      <c r="J665" s="30"/>
      <c r="K665" s="30"/>
      <c r="L665" s="30"/>
      <c r="M665" s="30"/>
      <c r="N665" s="75"/>
      <c r="O665" s="75"/>
      <c r="P665" s="30"/>
    </row>
    <row r="666">
      <c r="B666" s="161"/>
      <c r="C666" s="30"/>
      <c r="D666" s="30"/>
      <c r="E666" s="30"/>
      <c r="F666" s="30"/>
      <c r="G666" s="30"/>
      <c r="H666" s="30"/>
      <c r="I666" s="30"/>
      <c r="J666" s="30"/>
      <c r="K666" s="30"/>
      <c r="L666" s="30"/>
      <c r="M666" s="30"/>
      <c r="N666" s="75"/>
      <c r="O666" s="75"/>
      <c r="P666" s="30"/>
    </row>
    <row r="667">
      <c r="B667" s="161"/>
      <c r="C667" s="30"/>
      <c r="D667" s="30"/>
      <c r="E667" s="30"/>
      <c r="F667" s="30"/>
      <c r="G667" s="30"/>
      <c r="H667" s="30"/>
      <c r="I667" s="30"/>
      <c r="J667" s="30"/>
      <c r="K667" s="30"/>
      <c r="L667" s="30"/>
      <c r="M667" s="30"/>
      <c r="N667" s="75"/>
      <c r="O667" s="75"/>
      <c r="P667" s="30"/>
    </row>
    <row r="668">
      <c r="B668" s="161"/>
      <c r="C668" s="30"/>
      <c r="D668" s="30"/>
      <c r="E668" s="30"/>
      <c r="F668" s="30"/>
      <c r="G668" s="30"/>
      <c r="H668" s="30"/>
      <c r="I668" s="30"/>
      <c r="J668" s="30"/>
      <c r="K668" s="30"/>
      <c r="L668" s="30"/>
      <c r="M668" s="30"/>
      <c r="N668" s="75"/>
      <c r="O668" s="75"/>
      <c r="P668" s="30"/>
    </row>
    <row r="669">
      <c r="B669" s="161"/>
      <c r="C669" s="30"/>
      <c r="D669" s="30"/>
      <c r="E669" s="30"/>
      <c r="F669" s="30"/>
      <c r="G669" s="30"/>
      <c r="H669" s="30"/>
      <c r="I669" s="30"/>
      <c r="J669" s="30"/>
      <c r="K669" s="30"/>
      <c r="L669" s="30"/>
      <c r="M669" s="30"/>
      <c r="N669" s="75"/>
      <c r="O669" s="75"/>
      <c r="P669" s="30"/>
    </row>
    <row r="670">
      <c r="B670" s="161"/>
      <c r="C670" s="30"/>
      <c r="D670" s="30"/>
      <c r="E670" s="30"/>
      <c r="F670" s="30"/>
      <c r="G670" s="30"/>
      <c r="H670" s="30"/>
      <c r="I670" s="30"/>
      <c r="J670" s="30"/>
      <c r="K670" s="30"/>
      <c r="L670" s="30"/>
      <c r="M670" s="30"/>
      <c r="N670" s="75"/>
      <c r="O670" s="75"/>
      <c r="P670" s="30"/>
    </row>
    <row r="671">
      <c r="B671" s="161"/>
      <c r="C671" s="30"/>
      <c r="D671" s="30"/>
      <c r="E671" s="30"/>
      <c r="F671" s="30"/>
      <c r="G671" s="30"/>
      <c r="H671" s="30"/>
      <c r="I671" s="30"/>
      <c r="J671" s="30"/>
      <c r="K671" s="30"/>
      <c r="L671" s="30"/>
      <c r="M671" s="30"/>
      <c r="N671" s="75"/>
      <c r="O671" s="75"/>
      <c r="P671" s="30"/>
    </row>
    <row r="672">
      <c r="B672" s="161"/>
      <c r="C672" s="30"/>
      <c r="D672" s="30"/>
      <c r="E672" s="30"/>
      <c r="F672" s="30"/>
      <c r="G672" s="30"/>
      <c r="H672" s="30"/>
      <c r="I672" s="30"/>
      <c r="J672" s="30"/>
      <c r="K672" s="30"/>
      <c r="L672" s="30"/>
      <c r="M672" s="30"/>
      <c r="N672" s="75"/>
      <c r="O672" s="75"/>
      <c r="P672" s="30"/>
    </row>
    <row r="673">
      <c r="B673" s="161"/>
      <c r="C673" s="30"/>
      <c r="D673" s="30"/>
      <c r="E673" s="30"/>
      <c r="F673" s="30"/>
      <c r="G673" s="30"/>
      <c r="H673" s="30"/>
      <c r="I673" s="30"/>
      <c r="J673" s="30"/>
      <c r="K673" s="30"/>
      <c r="L673" s="30"/>
      <c r="M673" s="30"/>
      <c r="N673" s="75"/>
      <c r="O673" s="75"/>
      <c r="P673" s="30"/>
    </row>
    <row r="674">
      <c r="B674" s="161"/>
      <c r="C674" s="30"/>
      <c r="D674" s="30"/>
      <c r="E674" s="30"/>
      <c r="F674" s="30"/>
      <c r="G674" s="30"/>
      <c r="H674" s="30"/>
      <c r="I674" s="30"/>
      <c r="J674" s="30"/>
      <c r="K674" s="30"/>
      <c r="L674" s="30"/>
      <c r="M674" s="30"/>
      <c r="N674" s="75"/>
      <c r="O674" s="75"/>
      <c r="P674" s="30"/>
    </row>
    <row r="675">
      <c r="B675" s="161"/>
      <c r="C675" s="30"/>
      <c r="D675" s="30"/>
      <c r="E675" s="30"/>
      <c r="F675" s="30"/>
      <c r="G675" s="30"/>
      <c r="H675" s="30"/>
      <c r="I675" s="30"/>
      <c r="J675" s="30"/>
      <c r="K675" s="30"/>
      <c r="L675" s="30"/>
      <c r="M675" s="30"/>
      <c r="N675" s="75"/>
      <c r="O675" s="75"/>
      <c r="P675" s="30"/>
    </row>
    <row r="676">
      <c r="B676" s="161"/>
      <c r="C676" s="30"/>
      <c r="D676" s="30"/>
      <c r="E676" s="30"/>
      <c r="F676" s="30"/>
      <c r="G676" s="30"/>
      <c r="H676" s="30"/>
      <c r="I676" s="30"/>
      <c r="J676" s="30"/>
      <c r="K676" s="30"/>
      <c r="L676" s="30"/>
      <c r="M676" s="30"/>
      <c r="N676" s="75"/>
      <c r="O676" s="75"/>
      <c r="P676" s="30"/>
    </row>
    <row r="677">
      <c r="B677" s="161"/>
      <c r="C677" s="30"/>
      <c r="D677" s="30"/>
      <c r="E677" s="30"/>
      <c r="F677" s="30"/>
      <c r="G677" s="30"/>
      <c r="H677" s="30"/>
      <c r="I677" s="30"/>
      <c r="J677" s="30"/>
      <c r="K677" s="30"/>
      <c r="L677" s="30"/>
      <c r="M677" s="30"/>
      <c r="N677" s="75"/>
      <c r="O677" s="75"/>
      <c r="P677" s="30"/>
    </row>
    <row r="678">
      <c r="B678" s="161"/>
      <c r="C678" s="30"/>
      <c r="D678" s="30"/>
      <c r="E678" s="30"/>
      <c r="F678" s="30"/>
      <c r="G678" s="30"/>
      <c r="H678" s="30"/>
      <c r="I678" s="30"/>
      <c r="J678" s="30"/>
      <c r="K678" s="30"/>
      <c r="L678" s="30"/>
      <c r="M678" s="30"/>
      <c r="N678" s="75"/>
      <c r="O678" s="75"/>
      <c r="P678" s="30"/>
    </row>
    <row r="679">
      <c r="B679" s="161"/>
      <c r="C679" s="30"/>
      <c r="D679" s="30"/>
      <c r="E679" s="30"/>
      <c r="F679" s="30"/>
      <c r="G679" s="30"/>
      <c r="H679" s="30"/>
      <c r="I679" s="30"/>
      <c r="J679" s="30"/>
      <c r="K679" s="30"/>
      <c r="L679" s="30"/>
      <c r="M679" s="30"/>
      <c r="N679" s="75"/>
      <c r="O679" s="75"/>
      <c r="P679" s="30"/>
    </row>
    <row r="680">
      <c r="B680" s="161"/>
      <c r="C680" s="30"/>
      <c r="D680" s="30"/>
      <c r="E680" s="30"/>
      <c r="F680" s="30"/>
      <c r="G680" s="30"/>
      <c r="H680" s="30"/>
      <c r="I680" s="30"/>
      <c r="J680" s="30"/>
      <c r="K680" s="30"/>
      <c r="L680" s="30"/>
      <c r="M680" s="30"/>
      <c r="N680" s="75"/>
      <c r="O680" s="75"/>
      <c r="P680" s="30"/>
    </row>
    <row r="681">
      <c r="B681" s="161"/>
      <c r="C681" s="30"/>
      <c r="D681" s="30"/>
      <c r="E681" s="30"/>
      <c r="F681" s="30"/>
      <c r="G681" s="30"/>
      <c r="H681" s="30"/>
      <c r="I681" s="30"/>
      <c r="J681" s="30"/>
      <c r="K681" s="30"/>
      <c r="L681" s="30"/>
      <c r="M681" s="30"/>
      <c r="N681" s="75"/>
      <c r="O681" s="75"/>
      <c r="P681" s="30"/>
    </row>
    <row r="682">
      <c r="B682" s="161"/>
      <c r="C682" s="30"/>
      <c r="D682" s="30"/>
      <c r="E682" s="30"/>
      <c r="F682" s="30"/>
      <c r="G682" s="30"/>
      <c r="H682" s="30"/>
      <c r="I682" s="30"/>
      <c r="J682" s="30"/>
      <c r="K682" s="30"/>
      <c r="L682" s="30"/>
      <c r="M682" s="30"/>
      <c r="N682" s="75"/>
      <c r="O682" s="75"/>
      <c r="P682" s="30"/>
    </row>
    <row r="683">
      <c r="B683" s="161"/>
      <c r="C683" s="30"/>
      <c r="D683" s="30"/>
      <c r="E683" s="30"/>
      <c r="F683" s="30"/>
      <c r="G683" s="30"/>
      <c r="H683" s="30"/>
      <c r="I683" s="30"/>
      <c r="J683" s="30"/>
      <c r="K683" s="30"/>
      <c r="L683" s="30"/>
      <c r="M683" s="30"/>
      <c r="N683" s="75"/>
      <c r="O683" s="75"/>
      <c r="P683" s="30"/>
    </row>
    <row r="684">
      <c r="B684" s="161"/>
      <c r="C684" s="30"/>
      <c r="D684" s="30"/>
      <c r="E684" s="30"/>
      <c r="F684" s="30"/>
      <c r="G684" s="30"/>
      <c r="H684" s="30"/>
      <c r="I684" s="30"/>
      <c r="J684" s="30"/>
      <c r="K684" s="30"/>
      <c r="L684" s="30"/>
      <c r="M684" s="30"/>
      <c r="N684" s="75"/>
      <c r="O684" s="75"/>
      <c r="P684" s="30"/>
    </row>
    <row r="685">
      <c r="B685" s="161"/>
      <c r="C685" s="30"/>
      <c r="D685" s="30"/>
      <c r="E685" s="30"/>
      <c r="F685" s="30"/>
      <c r="G685" s="30"/>
      <c r="H685" s="30"/>
      <c r="I685" s="30"/>
      <c r="J685" s="30"/>
      <c r="K685" s="30"/>
      <c r="L685" s="30"/>
      <c r="M685" s="30"/>
      <c r="N685" s="75"/>
      <c r="O685" s="75"/>
      <c r="P685" s="30"/>
    </row>
    <row r="686">
      <c r="B686" s="161"/>
      <c r="C686" s="30"/>
      <c r="D686" s="30"/>
      <c r="E686" s="30"/>
      <c r="F686" s="30"/>
      <c r="G686" s="30"/>
      <c r="H686" s="30"/>
      <c r="I686" s="30"/>
      <c r="J686" s="30"/>
      <c r="K686" s="30"/>
      <c r="L686" s="30"/>
      <c r="M686" s="30"/>
      <c r="N686" s="75"/>
      <c r="O686" s="75"/>
      <c r="P686" s="30"/>
    </row>
    <row r="687">
      <c r="B687" s="161"/>
      <c r="C687" s="30"/>
      <c r="D687" s="30"/>
      <c r="E687" s="30"/>
      <c r="F687" s="30"/>
      <c r="G687" s="30"/>
      <c r="H687" s="30"/>
      <c r="I687" s="30"/>
      <c r="J687" s="30"/>
      <c r="K687" s="30"/>
      <c r="L687" s="30"/>
      <c r="M687" s="30"/>
      <c r="N687" s="75"/>
      <c r="O687" s="75"/>
      <c r="P687" s="30"/>
    </row>
    <row r="688">
      <c r="B688" s="161"/>
      <c r="C688" s="30"/>
      <c r="D688" s="30"/>
      <c r="E688" s="30"/>
      <c r="F688" s="30"/>
      <c r="G688" s="30"/>
      <c r="H688" s="30"/>
      <c r="I688" s="30"/>
      <c r="J688" s="30"/>
      <c r="K688" s="30"/>
      <c r="L688" s="30"/>
      <c r="M688" s="30"/>
      <c r="N688" s="75"/>
      <c r="O688" s="75"/>
      <c r="P688" s="30"/>
    </row>
    <row r="689">
      <c r="B689" s="161"/>
      <c r="C689" s="30"/>
      <c r="D689" s="30"/>
      <c r="E689" s="30"/>
      <c r="F689" s="30"/>
      <c r="G689" s="30"/>
      <c r="H689" s="30"/>
      <c r="I689" s="30"/>
      <c r="J689" s="30"/>
      <c r="K689" s="30"/>
      <c r="L689" s="30"/>
      <c r="M689" s="30"/>
      <c r="N689" s="75"/>
      <c r="O689" s="75"/>
      <c r="P689" s="30"/>
    </row>
    <row r="690">
      <c r="B690" s="161"/>
      <c r="C690" s="30"/>
      <c r="D690" s="30"/>
      <c r="E690" s="30"/>
      <c r="F690" s="30"/>
      <c r="G690" s="30"/>
      <c r="H690" s="30"/>
      <c r="I690" s="30"/>
      <c r="J690" s="30"/>
      <c r="K690" s="30"/>
      <c r="L690" s="30"/>
      <c r="M690" s="30"/>
      <c r="N690" s="75"/>
      <c r="O690" s="75"/>
      <c r="P690" s="30"/>
    </row>
    <row r="691">
      <c r="B691" s="161"/>
      <c r="C691" s="30"/>
      <c r="D691" s="30"/>
      <c r="E691" s="30"/>
      <c r="F691" s="30"/>
      <c r="G691" s="30"/>
      <c r="H691" s="30"/>
      <c r="I691" s="30"/>
      <c r="J691" s="30"/>
      <c r="K691" s="30"/>
      <c r="L691" s="30"/>
      <c r="M691" s="30"/>
      <c r="N691" s="75"/>
      <c r="O691" s="75"/>
      <c r="P691" s="30"/>
    </row>
    <row r="692">
      <c r="B692" s="161"/>
      <c r="C692" s="30"/>
      <c r="D692" s="30"/>
      <c r="E692" s="30"/>
      <c r="F692" s="30"/>
      <c r="G692" s="30"/>
      <c r="H692" s="30"/>
      <c r="I692" s="30"/>
      <c r="J692" s="30"/>
      <c r="K692" s="30"/>
      <c r="L692" s="30"/>
      <c r="M692" s="30"/>
      <c r="N692" s="75"/>
      <c r="O692" s="75"/>
      <c r="P692" s="30"/>
    </row>
    <row r="693">
      <c r="B693" s="161"/>
      <c r="C693" s="30"/>
      <c r="D693" s="30"/>
      <c r="E693" s="30"/>
      <c r="F693" s="30"/>
      <c r="G693" s="30"/>
      <c r="H693" s="30"/>
      <c r="I693" s="30"/>
      <c r="J693" s="30"/>
      <c r="K693" s="30"/>
      <c r="L693" s="30"/>
      <c r="M693" s="30"/>
      <c r="N693" s="75"/>
      <c r="O693" s="75"/>
      <c r="P693" s="30"/>
    </row>
    <row r="694">
      <c r="B694" s="161"/>
      <c r="C694" s="30"/>
      <c r="D694" s="30"/>
      <c r="E694" s="30"/>
      <c r="F694" s="30"/>
      <c r="G694" s="30"/>
      <c r="H694" s="30"/>
      <c r="I694" s="30"/>
      <c r="J694" s="30"/>
      <c r="K694" s="30"/>
      <c r="L694" s="30"/>
      <c r="M694" s="30"/>
      <c r="N694" s="75"/>
      <c r="O694" s="75"/>
      <c r="P694" s="30"/>
    </row>
    <row r="695">
      <c r="B695" s="161"/>
      <c r="C695" s="30"/>
      <c r="D695" s="30"/>
      <c r="E695" s="30"/>
      <c r="F695" s="30"/>
      <c r="G695" s="30"/>
      <c r="H695" s="30"/>
      <c r="I695" s="30"/>
      <c r="J695" s="30"/>
      <c r="K695" s="30"/>
      <c r="L695" s="30"/>
      <c r="M695" s="30"/>
      <c r="N695" s="75"/>
      <c r="O695" s="75"/>
      <c r="P695" s="30"/>
    </row>
    <row r="696">
      <c r="B696" s="161"/>
      <c r="C696" s="30"/>
      <c r="D696" s="30"/>
      <c r="E696" s="30"/>
      <c r="F696" s="30"/>
      <c r="G696" s="30"/>
      <c r="H696" s="30"/>
      <c r="I696" s="30"/>
      <c r="J696" s="30"/>
      <c r="K696" s="30"/>
      <c r="L696" s="30"/>
      <c r="M696" s="30"/>
      <c r="N696" s="75"/>
      <c r="O696" s="75"/>
      <c r="P696" s="30"/>
    </row>
    <row r="697">
      <c r="B697" s="161"/>
      <c r="C697" s="30"/>
      <c r="D697" s="30"/>
      <c r="E697" s="30"/>
      <c r="F697" s="30"/>
      <c r="G697" s="30"/>
      <c r="H697" s="30"/>
      <c r="I697" s="30"/>
      <c r="J697" s="30"/>
      <c r="K697" s="30"/>
      <c r="L697" s="30"/>
      <c r="M697" s="30"/>
      <c r="N697" s="75"/>
      <c r="O697" s="75"/>
      <c r="P697" s="30"/>
    </row>
    <row r="698">
      <c r="B698" s="161"/>
      <c r="C698" s="30"/>
      <c r="D698" s="30"/>
      <c r="E698" s="30"/>
      <c r="F698" s="30"/>
      <c r="G698" s="30"/>
      <c r="H698" s="30"/>
      <c r="I698" s="30"/>
      <c r="J698" s="30"/>
      <c r="K698" s="30"/>
      <c r="L698" s="30"/>
      <c r="M698" s="30"/>
      <c r="N698" s="75"/>
      <c r="O698" s="75"/>
      <c r="P698" s="30"/>
    </row>
    <row r="699">
      <c r="B699" s="161"/>
      <c r="C699" s="30"/>
      <c r="D699" s="30"/>
      <c r="E699" s="30"/>
      <c r="F699" s="30"/>
      <c r="G699" s="30"/>
      <c r="H699" s="30"/>
      <c r="I699" s="30"/>
      <c r="J699" s="30"/>
      <c r="K699" s="30"/>
      <c r="L699" s="30"/>
      <c r="M699" s="30"/>
      <c r="N699" s="75"/>
      <c r="O699" s="75"/>
      <c r="P699" s="30"/>
    </row>
    <row r="700">
      <c r="B700" s="161"/>
      <c r="C700" s="30"/>
      <c r="D700" s="30"/>
      <c r="E700" s="30"/>
      <c r="F700" s="30"/>
      <c r="G700" s="30"/>
      <c r="H700" s="30"/>
      <c r="I700" s="30"/>
      <c r="J700" s="30"/>
      <c r="K700" s="30"/>
      <c r="L700" s="30"/>
      <c r="M700" s="30"/>
      <c r="N700" s="75"/>
      <c r="O700" s="75"/>
      <c r="P700" s="30"/>
    </row>
    <row r="701">
      <c r="B701" s="161"/>
      <c r="C701" s="30"/>
      <c r="D701" s="30"/>
      <c r="E701" s="30"/>
      <c r="F701" s="30"/>
      <c r="G701" s="30"/>
      <c r="H701" s="30"/>
      <c r="I701" s="30"/>
      <c r="J701" s="30"/>
      <c r="K701" s="30"/>
      <c r="L701" s="30"/>
      <c r="M701" s="30"/>
      <c r="N701" s="75"/>
      <c r="O701" s="75"/>
      <c r="P701" s="30"/>
    </row>
    <row r="702">
      <c r="B702" s="161"/>
      <c r="C702" s="30"/>
      <c r="D702" s="30"/>
      <c r="E702" s="30"/>
      <c r="F702" s="30"/>
      <c r="G702" s="30"/>
      <c r="H702" s="30"/>
      <c r="I702" s="30"/>
      <c r="J702" s="30"/>
      <c r="K702" s="30"/>
      <c r="L702" s="30"/>
      <c r="M702" s="30"/>
      <c r="N702" s="75"/>
      <c r="O702" s="75"/>
      <c r="P702" s="30"/>
    </row>
    <row r="703">
      <c r="B703" s="161"/>
      <c r="C703" s="30"/>
      <c r="D703" s="30"/>
      <c r="E703" s="30"/>
      <c r="F703" s="30"/>
      <c r="G703" s="30"/>
      <c r="H703" s="30"/>
      <c r="I703" s="30"/>
      <c r="J703" s="30"/>
      <c r="K703" s="30"/>
      <c r="L703" s="30"/>
      <c r="M703" s="30"/>
      <c r="N703" s="75"/>
      <c r="O703" s="75"/>
      <c r="P703" s="30"/>
    </row>
    <row r="704">
      <c r="B704" s="161"/>
      <c r="C704" s="30"/>
      <c r="D704" s="30"/>
      <c r="E704" s="30"/>
      <c r="F704" s="30"/>
      <c r="G704" s="30"/>
      <c r="H704" s="30"/>
      <c r="I704" s="30"/>
      <c r="J704" s="30"/>
      <c r="K704" s="30"/>
      <c r="L704" s="30"/>
      <c r="M704" s="30"/>
      <c r="N704" s="75"/>
      <c r="O704" s="75"/>
      <c r="P704" s="30"/>
    </row>
    <row r="705">
      <c r="B705" s="161"/>
      <c r="C705" s="30"/>
      <c r="D705" s="30"/>
      <c r="E705" s="30"/>
      <c r="F705" s="30"/>
      <c r="G705" s="30"/>
      <c r="H705" s="30"/>
      <c r="I705" s="30"/>
      <c r="J705" s="30"/>
      <c r="K705" s="30"/>
      <c r="L705" s="30"/>
      <c r="M705" s="30"/>
      <c r="N705" s="75"/>
      <c r="O705" s="75"/>
      <c r="P705" s="30"/>
    </row>
    <row r="706">
      <c r="B706" s="161"/>
      <c r="C706" s="30"/>
      <c r="D706" s="30"/>
      <c r="E706" s="30"/>
      <c r="F706" s="30"/>
      <c r="G706" s="30"/>
      <c r="H706" s="30"/>
      <c r="I706" s="30"/>
      <c r="J706" s="30"/>
      <c r="K706" s="30"/>
      <c r="L706" s="30"/>
      <c r="M706" s="30"/>
      <c r="N706" s="75"/>
      <c r="O706" s="75"/>
      <c r="P706" s="30"/>
    </row>
    <row r="707">
      <c r="B707" s="161"/>
      <c r="C707" s="30"/>
      <c r="D707" s="30"/>
      <c r="E707" s="30"/>
      <c r="F707" s="30"/>
      <c r="G707" s="30"/>
      <c r="H707" s="30"/>
      <c r="I707" s="30"/>
      <c r="J707" s="30"/>
      <c r="K707" s="30"/>
      <c r="L707" s="30"/>
      <c r="M707" s="30"/>
      <c r="N707" s="75"/>
      <c r="O707" s="75"/>
      <c r="P707" s="30"/>
    </row>
    <row r="708">
      <c r="B708" s="161"/>
      <c r="C708" s="30"/>
      <c r="D708" s="30"/>
      <c r="E708" s="30"/>
      <c r="F708" s="30"/>
      <c r="G708" s="30"/>
      <c r="H708" s="30"/>
      <c r="I708" s="30"/>
      <c r="J708" s="30"/>
      <c r="K708" s="30"/>
      <c r="L708" s="30"/>
      <c r="M708" s="30"/>
      <c r="N708" s="75"/>
      <c r="O708" s="75"/>
      <c r="P708" s="30"/>
    </row>
    <row r="709">
      <c r="B709" s="161"/>
      <c r="C709" s="30"/>
      <c r="D709" s="30"/>
      <c r="E709" s="30"/>
      <c r="F709" s="30"/>
      <c r="G709" s="30"/>
      <c r="H709" s="30"/>
      <c r="I709" s="30"/>
      <c r="J709" s="30"/>
      <c r="K709" s="30"/>
      <c r="L709" s="30"/>
      <c r="M709" s="30"/>
      <c r="N709" s="75"/>
      <c r="O709" s="75"/>
      <c r="P709" s="30"/>
    </row>
    <row r="710">
      <c r="B710" s="161"/>
      <c r="C710" s="30"/>
      <c r="D710" s="30"/>
      <c r="E710" s="30"/>
      <c r="F710" s="30"/>
      <c r="G710" s="30"/>
      <c r="H710" s="30"/>
      <c r="I710" s="30"/>
      <c r="J710" s="30"/>
      <c r="K710" s="30"/>
      <c r="L710" s="30"/>
      <c r="M710" s="30"/>
      <c r="N710" s="75"/>
      <c r="O710" s="75"/>
      <c r="P710" s="30"/>
    </row>
    <row r="711">
      <c r="B711" s="161"/>
      <c r="C711" s="30"/>
      <c r="D711" s="30"/>
      <c r="E711" s="30"/>
      <c r="F711" s="30"/>
      <c r="G711" s="30"/>
      <c r="H711" s="30"/>
      <c r="I711" s="30"/>
      <c r="J711" s="30"/>
      <c r="K711" s="30"/>
      <c r="L711" s="30"/>
      <c r="M711" s="30"/>
      <c r="N711" s="75"/>
      <c r="O711" s="75"/>
      <c r="P711" s="30"/>
    </row>
    <row r="712">
      <c r="B712" s="161"/>
      <c r="C712" s="30"/>
      <c r="D712" s="30"/>
      <c r="E712" s="30"/>
      <c r="F712" s="30"/>
      <c r="G712" s="30"/>
      <c r="H712" s="30"/>
      <c r="I712" s="30"/>
      <c r="J712" s="30"/>
      <c r="K712" s="30"/>
      <c r="L712" s="30"/>
      <c r="M712" s="30"/>
      <c r="N712" s="75"/>
      <c r="O712" s="75"/>
      <c r="P712" s="30"/>
    </row>
    <row r="713">
      <c r="B713" s="161"/>
      <c r="C713" s="30"/>
      <c r="D713" s="30"/>
      <c r="E713" s="30"/>
      <c r="F713" s="30"/>
      <c r="G713" s="30"/>
      <c r="H713" s="30"/>
      <c r="I713" s="30"/>
      <c r="J713" s="30"/>
      <c r="K713" s="30"/>
      <c r="L713" s="30"/>
      <c r="M713" s="30"/>
      <c r="N713" s="75"/>
      <c r="O713" s="75"/>
      <c r="P713" s="30"/>
    </row>
    <row r="714">
      <c r="B714" s="161"/>
      <c r="C714" s="30"/>
      <c r="D714" s="30"/>
      <c r="E714" s="30"/>
      <c r="F714" s="30"/>
      <c r="G714" s="30"/>
      <c r="H714" s="30"/>
      <c r="I714" s="30"/>
      <c r="J714" s="30"/>
      <c r="K714" s="30"/>
      <c r="L714" s="30"/>
      <c r="M714" s="30"/>
      <c r="N714" s="75"/>
      <c r="O714" s="75"/>
      <c r="P714" s="30"/>
    </row>
    <row r="715">
      <c r="B715" s="161"/>
      <c r="C715" s="30"/>
      <c r="D715" s="30"/>
      <c r="E715" s="30"/>
      <c r="F715" s="30"/>
      <c r="G715" s="30"/>
      <c r="H715" s="30"/>
      <c r="I715" s="30"/>
      <c r="J715" s="30"/>
      <c r="K715" s="30"/>
      <c r="L715" s="30"/>
      <c r="M715" s="30"/>
      <c r="N715" s="75"/>
      <c r="O715" s="75"/>
      <c r="P715" s="30"/>
    </row>
    <row r="716">
      <c r="B716" s="161"/>
      <c r="C716" s="30"/>
      <c r="D716" s="30"/>
      <c r="E716" s="30"/>
      <c r="F716" s="30"/>
      <c r="G716" s="30"/>
      <c r="H716" s="30"/>
      <c r="I716" s="30"/>
      <c r="J716" s="30"/>
      <c r="K716" s="30"/>
      <c r="L716" s="30"/>
      <c r="M716" s="30"/>
      <c r="N716" s="75"/>
      <c r="O716" s="75"/>
      <c r="P716" s="30"/>
    </row>
    <row r="717">
      <c r="B717" s="161"/>
      <c r="C717" s="30"/>
      <c r="D717" s="30"/>
      <c r="E717" s="30"/>
      <c r="F717" s="30"/>
      <c r="G717" s="30"/>
      <c r="H717" s="30"/>
      <c r="I717" s="30"/>
      <c r="J717" s="30"/>
      <c r="K717" s="30"/>
      <c r="L717" s="30"/>
      <c r="M717" s="30"/>
      <c r="N717" s="75"/>
      <c r="O717" s="75"/>
      <c r="P717" s="30"/>
    </row>
    <row r="718">
      <c r="B718" s="161"/>
      <c r="C718" s="30"/>
      <c r="D718" s="30"/>
      <c r="E718" s="30"/>
      <c r="F718" s="30"/>
      <c r="G718" s="30"/>
      <c r="H718" s="30"/>
      <c r="I718" s="30"/>
      <c r="J718" s="30"/>
      <c r="K718" s="30"/>
      <c r="L718" s="30"/>
      <c r="M718" s="30"/>
      <c r="N718" s="75"/>
      <c r="O718" s="75"/>
      <c r="P718" s="30"/>
    </row>
    <row r="719">
      <c r="B719" s="161"/>
      <c r="C719" s="30"/>
      <c r="D719" s="30"/>
      <c r="E719" s="30"/>
      <c r="F719" s="30"/>
      <c r="G719" s="30"/>
      <c r="H719" s="30"/>
      <c r="I719" s="30"/>
      <c r="J719" s="30"/>
      <c r="K719" s="30"/>
      <c r="L719" s="30"/>
      <c r="M719" s="30"/>
      <c r="N719" s="75"/>
      <c r="O719" s="75"/>
      <c r="P719" s="30"/>
    </row>
    <row r="720">
      <c r="B720" s="161"/>
      <c r="C720" s="30"/>
      <c r="D720" s="30"/>
      <c r="E720" s="30"/>
      <c r="F720" s="30"/>
      <c r="G720" s="30"/>
      <c r="H720" s="30"/>
      <c r="I720" s="30"/>
      <c r="J720" s="30"/>
      <c r="K720" s="30"/>
      <c r="L720" s="30"/>
      <c r="M720" s="30"/>
      <c r="N720" s="75"/>
      <c r="O720" s="75"/>
      <c r="P720" s="30"/>
    </row>
    <row r="721">
      <c r="B721" s="161"/>
      <c r="C721" s="30"/>
      <c r="D721" s="30"/>
      <c r="E721" s="30"/>
      <c r="F721" s="30"/>
      <c r="G721" s="30"/>
      <c r="H721" s="30"/>
      <c r="I721" s="30"/>
      <c r="J721" s="30"/>
      <c r="K721" s="30"/>
      <c r="L721" s="30"/>
      <c r="M721" s="30"/>
      <c r="N721" s="75"/>
      <c r="O721" s="75"/>
      <c r="P721" s="30"/>
    </row>
    <row r="722">
      <c r="B722" s="161"/>
      <c r="C722" s="30"/>
      <c r="D722" s="30"/>
      <c r="E722" s="30"/>
      <c r="F722" s="30"/>
      <c r="G722" s="30"/>
      <c r="H722" s="30"/>
      <c r="I722" s="30"/>
      <c r="J722" s="30"/>
      <c r="K722" s="30"/>
      <c r="L722" s="30"/>
      <c r="M722" s="30"/>
      <c r="N722" s="75"/>
      <c r="O722" s="75"/>
      <c r="P722" s="30"/>
    </row>
    <row r="723">
      <c r="B723" s="161"/>
      <c r="C723" s="30"/>
      <c r="D723" s="30"/>
      <c r="E723" s="30"/>
      <c r="F723" s="30"/>
      <c r="G723" s="30"/>
      <c r="H723" s="30"/>
      <c r="I723" s="30"/>
      <c r="J723" s="30"/>
      <c r="K723" s="30"/>
      <c r="L723" s="30"/>
      <c r="M723" s="30"/>
      <c r="N723" s="75"/>
      <c r="O723" s="75"/>
      <c r="P723" s="30"/>
    </row>
    <row r="724">
      <c r="B724" s="161"/>
      <c r="C724" s="30"/>
      <c r="D724" s="30"/>
      <c r="E724" s="30"/>
      <c r="F724" s="30"/>
      <c r="G724" s="30"/>
      <c r="H724" s="30"/>
      <c r="I724" s="30"/>
      <c r="J724" s="30"/>
      <c r="K724" s="30"/>
      <c r="L724" s="30"/>
      <c r="M724" s="30"/>
      <c r="N724" s="75"/>
      <c r="O724" s="75"/>
      <c r="P724" s="30"/>
    </row>
    <row r="725">
      <c r="B725" s="161"/>
      <c r="C725" s="30"/>
      <c r="D725" s="30"/>
      <c r="E725" s="30"/>
      <c r="F725" s="30"/>
      <c r="G725" s="30"/>
      <c r="H725" s="30"/>
      <c r="I725" s="30"/>
      <c r="J725" s="30"/>
      <c r="K725" s="30"/>
      <c r="L725" s="30"/>
      <c r="M725" s="30"/>
      <c r="N725" s="75"/>
      <c r="O725" s="75"/>
      <c r="P725" s="30"/>
    </row>
    <row r="726">
      <c r="B726" s="161"/>
      <c r="C726" s="30"/>
      <c r="D726" s="30"/>
      <c r="E726" s="30"/>
      <c r="F726" s="30"/>
      <c r="G726" s="30"/>
      <c r="H726" s="30"/>
      <c r="I726" s="30"/>
      <c r="J726" s="30"/>
      <c r="K726" s="30"/>
      <c r="L726" s="30"/>
      <c r="M726" s="30"/>
      <c r="N726" s="75"/>
      <c r="O726" s="75"/>
      <c r="P726" s="30"/>
    </row>
    <row r="727">
      <c r="B727" s="161"/>
      <c r="C727" s="30"/>
      <c r="D727" s="30"/>
      <c r="E727" s="30"/>
      <c r="F727" s="30"/>
      <c r="G727" s="30"/>
      <c r="H727" s="30"/>
      <c r="I727" s="30"/>
      <c r="J727" s="30"/>
      <c r="K727" s="30"/>
      <c r="L727" s="30"/>
      <c r="M727" s="30"/>
      <c r="N727" s="75"/>
      <c r="O727" s="75"/>
      <c r="P727" s="30"/>
    </row>
    <row r="728">
      <c r="B728" s="161"/>
      <c r="C728" s="30"/>
      <c r="D728" s="30"/>
      <c r="E728" s="30"/>
      <c r="F728" s="30"/>
      <c r="G728" s="30"/>
      <c r="H728" s="30"/>
      <c r="I728" s="30"/>
      <c r="J728" s="30"/>
      <c r="K728" s="30"/>
      <c r="L728" s="30"/>
      <c r="M728" s="30"/>
      <c r="N728" s="75"/>
      <c r="O728" s="75"/>
      <c r="P728" s="30"/>
    </row>
    <row r="729">
      <c r="B729" s="161"/>
      <c r="C729" s="30"/>
      <c r="D729" s="30"/>
      <c r="E729" s="30"/>
      <c r="F729" s="30"/>
      <c r="G729" s="30"/>
      <c r="H729" s="30"/>
      <c r="I729" s="30"/>
      <c r="J729" s="30"/>
      <c r="K729" s="30"/>
      <c r="L729" s="30"/>
      <c r="M729" s="30"/>
      <c r="N729" s="75"/>
      <c r="O729" s="75"/>
      <c r="P729" s="30"/>
    </row>
    <row r="730">
      <c r="B730" s="161"/>
      <c r="C730" s="30"/>
      <c r="D730" s="30"/>
      <c r="E730" s="30"/>
      <c r="F730" s="30"/>
      <c r="G730" s="30"/>
      <c r="H730" s="30"/>
      <c r="I730" s="30"/>
      <c r="J730" s="30"/>
      <c r="K730" s="30"/>
      <c r="L730" s="30"/>
      <c r="M730" s="30"/>
      <c r="N730" s="75"/>
      <c r="O730" s="75"/>
      <c r="P730" s="30"/>
    </row>
    <row r="731">
      <c r="B731" s="161"/>
      <c r="C731" s="30"/>
      <c r="D731" s="30"/>
      <c r="E731" s="30"/>
      <c r="F731" s="30"/>
      <c r="G731" s="30"/>
      <c r="H731" s="30"/>
      <c r="I731" s="30"/>
      <c r="J731" s="30"/>
      <c r="K731" s="30"/>
      <c r="L731" s="30"/>
      <c r="M731" s="30"/>
      <c r="N731" s="75"/>
      <c r="O731" s="75"/>
      <c r="P731" s="30"/>
    </row>
    <row r="732">
      <c r="B732" s="161"/>
      <c r="C732" s="30"/>
      <c r="D732" s="30"/>
      <c r="E732" s="30"/>
      <c r="F732" s="30"/>
      <c r="G732" s="30"/>
      <c r="H732" s="30"/>
      <c r="I732" s="30"/>
      <c r="J732" s="30"/>
      <c r="K732" s="30"/>
      <c r="L732" s="30"/>
      <c r="M732" s="30"/>
      <c r="N732" s="75"/>
      <c r="O732" s="75"/>
      <c r="P732" s="30"/>
    </row>
    <row r="733">
      <c r="B733" s="161"/>
      <c r="C733" s="30"/>
      <c r="D733" s="30"/>
      <c r="E733" s="30"/>
      <c r="F733" s="30"/>
      <c r="G733" s="30"/>
      <c r="H733" s="30"/>
      <c r="I733" s="30"/>
      <c r="J733" s="30"/>
      <c r="K733" s="30"/>
      <c r="L733" s="30"/>
      <c r="M733" s="30"/>
      <c r="N733" s="75"/>
      <c r="O733" s="75"/>
      <c r="P733" s="30"/>
    </row>
    <row r="734">
      <c r="B734" s="161"/>
      <c r="C734" s="30"/>
      <c r="D734" s="30"/>
      <c r="E734" s="30"/>
      <c r="F734" s="30"/>
      <c r="G734" s="30"/>
      <c r="H734" s="30"/>
      <c r="I734" s="30"/>
      <c r="J734" s="30"/>
      <c r="K734" s="30"/>
      <c r="L734" s="30"/>
      <c r="M734" s="30"/>
      <c r="N734" s="75"/>
      <c r="O734" s="75"/>
      <c r="P734" s="30"/>
    </row>
    <row r="735">
      <c r="B735" s="161"/>
      <c r="C735" s="30"/>
      <c r="D735" s="30"/>
      <c r="E735" s="30"/>
      <c r="F735" s="30"/>
      <c r="G735" s="30"/>
      <c r="H735" s="30"/>
      <c r="I735" s="30"/>
      <c r="J735" s="30"/>
      <c r="K735" s="30"/>
      <c r="L735" s="30"/>
      <c r="M735" s="30"/>
      <c r="N735" s="75"/>
      <c r="O735" s="75"/>
      <c r="P735" s="30"/>
    </row>
    <row r="736">
      <c r="B736" s="161"/>
      <c r="C736" s="30"/>
      <c r="D736" s="30"/>
      <c r="E736" s="30"/>
      <c r="F736" s="30"/>
      <c r="G736" s="30"/>
      <c r="H736" s="30"/>
      <c r="I736" s="30"/>
      <c r="J736" s="30"/>
      <c r="K736" s="30"/>
      <c r="L736" s="30"/>
      <c r="M736" s="30"/>
      <c r="N736" s="75"/>
      <c r="O736" s="75"/>
      <c r="P736" s="30"/>
    </row>
    <row r="737">
      <c r="B737" s="161"/>
      <c r="C737" s="30"/>
      <c r="D737" s="30"/>
      <c r="E737" s="30"/>
      <c r="F737" s="30"/>
      <c r="G737" s="30"/>
      <c r="H737" s="30"/>
      <c r="I737" s="30"/>
      <c r="J737" s="30"/>
      <c r="K737" s="30"/>
      <c r="L737" s="30"/>
      <c r="M737" s="30"/>
      <c r="N737" s="75"/>
      <c r="O737" s="75"/>
      <c r="P737" s="30"/>
    </row>
    <row r="738">
      <c r="B738" s="161"/>
      <c r="C738" s="30"/>
      <c r="D738" s="30"/>
      <c r="E738" s="30"/>
      <c r="F738" s="30"/>
      <c r="G738" s="30"/>
      <c r="H738" s="30"/>
      <c r="I738" s="30"/>
      <c r="J738" s="30"/>
      <c r="K738" s="30"/>
      <c r="L738" s="30"/>
      <c r="M738" s="30"/>
      <c r="N738" s="75"/>
      <c r="O738" s="75"/>
      <c r="P738" s="30"/>
    </row>
    <row r="739">
      <c r="B739" s="161"/>
      <c r="C739" s="30"/>
      <c r="D739" s="30"/>
      <c r="E739" s="30"/>
      <c r="F739" s="30"/>
      <c r="G739" s="30"/>
      <c r="H739" s="30"/>
      <c r="I739" s="30"/>
      <c r="J739" s="30"/>
      <c r="K739" s="30"/>
      <c r="L739" s="30"/>
      <c r="M739" s="30"/>
      <c r="N739" s="75"/>
      <c r="O739" s="75"/>
      <c r="P739" s="30"/>
    </row>
    <row r="740">
      <c r="B740" s="161"/>
      <c r="C740" s="30"/>
      <c r="D740" s="30"/>
      <c r="E740" s="30"/>
      <c r="F740" s="30"/>
      <c r="G740" s="30"/>
      <c r="H740" s="30"/>
      <c r="I740" s="30"/>
      <c r="J740" s="30"/>
      <c r="K740" s="30"/>
      <c r="L740" s="30"/>
      <c r="M740" s="30"/>
      <c r="N740" s="75"/>
      <c r="O740" s="75"/>
      <c r="P740" s="30"/>
    </row>
    <row r="741">
      <c r="B741" s="161"/>
      <c r="C741" s="30"/>
      <c r="D741" s="30"/>
      <c r="E741" s="30"/>
      <c r="F741" s="30"/>
      <c r="G741" s="30"/>
      <c r="H741" s="30"/>
      <c r="I741" s="30"/>
      <c r="J741" s="30"/>
      <c r="K741" s="30"/>
      <c r="L741" s="30"/>
      <c r="M741" s="30"/>
      <c r="N741" s="75"/>
      <c r="O741" s="75"/>
      <c r="P741" s="30"/>
    </row>
    <row r="742">
      <c r="B742" s="161"/>
      <c r="C742" s="30"/>
      <c r="D742" s="30"/>
      <c r="E742" s="30"/>
      <c r="F742" s="30"/>
      <c r="G742" s="30"/>
      <c r="H742" s="30"/>
      <c r="I742" s="30"/>
      <c r="J742" s="30"/>
      <c r="K742" s="30"/>
      <c r="L742" s="30"/>
      <c r="M742" s="30"/>
      <c r="N742" s="75"/>
      <c r="O742" s="75"/>
      <c r="P742" s="30"/>
    </row>
    <row r="743">
      <c r="B743" s="161"/>
      <c r="C743" s="30"/>
      <c r="D743" s="30"/>
      <c r="E743" s="30"/>
      <c r="F743" s="30"/>
      <c r="G743" s="30"/>
      <c r="H743" s="30"/>
      <c r="I743" s="30"/>
      <c r="J743" s="30"/>
      <c r="K743" s="30"/>
      <c r="L743" s="30"/>
      <c r="M743" s="30"/>
      <c r="N743" s="75"/>
      <c r="O743" s="75"/>
      <c r="P743" s="30"/>
    </row>
    <row r="744">
      <c r="B744" s="161"/>
      <c r="C744" s="30"/>
      <c r="D744" s="30"/>
      <c r="E744" s="30"/>
      <c r="F744" s="30"/>
      <c r="G744" s="30"/>
      <c r="H744" s="30"/>
      <c r="I744" s="30"/>
      <c r="J744" s="30"/>
      <c r="K744" s="30"/>
      <c r="L744" s="30"/>
      <c r="M744" s="30"/>
      <c r="N744" s="75"/>
      <c r="O744" s="75"/>
      <c r="P744" s="30"/>
    </row>
    <row r="745">
      <c r="B745" s="161"/>
      <c r="C745" s="30"/>
      <c r="D745" s="30"/>
      <c r="E745" s="30"/>
      <c r="F745" s="30"/>
      <c r="G745" s="30"/>
      <c r="H745" s="30"/>
      <c r="I745" s="30"/>
      <c r="J745" s="30"/>
      <c r="K745" s="30"/>
      <c r="L745" s="30"/>
      <c r="M745" s="30"/>
      <c r="N745" s="75"/>
      <c r="O745" s="75"/>
      <c r="P745" s="30"/>
    </row>
    <row r="746">
      <c r="B746" s="161"/>
      <c r="C746" s="30"/>
      <c r="D746" s="30"/>
      <c r="E746" s="30"/>
      <c r="F746" s="30"/>
      <c r="G746" s="30"/>
      <c r="H746" s="30"/>
      <c r="I746" s="30"/>
      <c r="J746" s="30"/>
      <c r="K746" s="30"/>
      <c r="L746" s="30"/>
      <c r="M746" s="30"/>
      <c r="N746" s="75"/>
      <c r="O746" s="75"/>
      <c r="P746" s="30"/>
    </row>
    <row r="747">
      <c r="B747" s="161"/>
      <c r="C747" s="30"/>
      <c r="D747" s="30"/>
      <c r="E747" s="30"/>
      <c r="F747" s="30"/>
      <c r="G747" s="30"/>
      <c r="H747" s="30"/>
      <c r="I747" s="30"/>
      <c r="J747" s="30"/>
      <c r="K747" s="30"/>
      <c r="L747" s="30"/>
      <c r="M747" s="30"/>
      <c r="N747" s="75"/>
      <c r="O747" s="75"/>
      <c r="P747" s="30"/>
    </row>
    <row r="748">
      <c r="B748" s="161"/>
      <c r="C748" s="30"/>
      <c r="D748" s="30"/>
      <c r="E748" s="30"/>
      <c r="F748" s="30"/>
      <c r="G748" s="30"/>
      <c r="H748" s="30"/>
      <c r="I748" s="30"/>
      <c r="J748" s="30"/>
      <c r="K748" s="30"/>
      <c r="L748" s="30"/>
      <c r="M748" s="30"/>
      <c r="N748" s="75"/>
      <c r="O748" s="75"/>
      <c r="P748" s="30"/>
    </row>
    <row r="749">
      <c r="B749" s="161"/>
      <c r="C749" s="30"/>
      <c r="D749" s="30"/>
      <c r="E749" s="30"/>
      <c r="F749" s="30"/>
      <c r="G749" s="30"/>
      <c r="H749" s="30"/>
      <c r="I749" s="30"/>
      <c r="J749" s="30"/>
      <c r="K749" s="30"/>
      <c r="L749" s="30"/>
      <c r="M749" s="30"/>
      <c r="N749" s="75"/>
      <c r="O749" s="75"/>
      <c r="P749" s="30"/>
    </row>
    <row r="750">
      <c r="B750" s="161"/>
      <c r="C750" s="30"/>
      <c r="D750" s="30"/>
      <c r="E750" s="30"/>
      <c r="F750" s="30"/>
      <c r="G750" s="30"/>
      <c r="H750" s="30"/>
      <c r="I750" s="30"/>
      <c r="J750" s="30"/>
      <c r="K750" s="30"/>
      <c r="L750" s="30"/>
      <c r="M750" s="30"/>
      <c r="N750" s="75"/>
      <c r="O750" s="75"/>
      <c r="P750" s="30"/>
    </row>
    <row r="751">
      <c r="B751" s="161"/>
      <c r="C751" s="30"/>
      <c r="D751" s="30"/>
      <c r="E751" s="30"/>
      <c r="F751" s="30"/>
      <c r="G751" s="30"/>
      <c r="H751" s="30"/>
      <c r="I751" s="30"/>
      <c r="J751" s="30"/>
      <c r="K751" s="30"/>
      <c r="L751" s="30"/>
      <c r="M751" s="30"/>
      <c r="N751" s="75"/>
      <c r="O751" s="75"/>
      <c r="P751" s="30"/>
    </row>
    <row r="752">
      <c r="B752" s="161"/>
      <c r="C752" s="30"/>
      <c r="D752" s="30"/>
      <c r="E752" s="30"/>
      <c r="F752" s="30"/>
      <c r="G752" s="30"/>
      <c r="H752" s="30"/>
      <c r="I752" s="30"/>
      <c r="J752" s="30"/>
      <c r="K752" s="30"/>
      <c r="L752" s="30"/>
      <c r="M752" s="30"/>
      <c r="N752" s="75"/>
      <c r="O752" s="75"/>
      <c r="P752" s="30"/>
    </row>
    <row r="753">
      <c r="B753" s="161"/>
      <c r="C753" s="30"/>
      <c r="D753" s="30"/>
      <c r="E753" s="30"/>
      <c r="F753" s="30"/>
      <c r="G753" s="30"/>
      <c r="H753" s="30"/>
      <c r="I753" s="30"/>
      <c r="J753" s="30"/>
      <c r="K753" s="30"/>
      <c r="L753" s="30"/>
      <c r="M753" s="30"/>
      <c r="N753" s="75"/>
      <c r="O753" s="75"/>
      <c r="P753" s="30"/>
    </row>
    <row r="754">
      <c r="B754" s="161"/>
      <c r="C754" s="30"/>
      <c r="D754" s="30"/>
      <c r="E754" s="30"/>
      <c r="F754" s="30"/>
      <c r="G754" s="30"/>
      <c r="H754" s="30"/>
      <c r="I754" s="30"/>
      <c r="J754" s="30"/>
      <c r="K754" s="30"/>
      <c r="L754" s="30"/>
      <c r="M754" s="30"/>
      <c r="N754" s="75"/>
      <c r="O754" s="75"/>
      <c r="P754" s="30"/>
    </row>
    <row r="755">
      <c r="B755" s="161"/>
      <c r="C755" s="30"/>
      <c r="D755" s="30"/>
      <c r="E755" s="30"/>
      <c r="F755" s="30"/>
      <c r="G755" s="30"/>
      <c r="H755" s="30"/>
      <c r="I755" s="30"/>
      <c r="J755" s="30"/>
      <c r="K755" s="30"/>
      <c r="L755" s="30"/>
      <c r="M755" s="30"/>
      <c r="N755" s="75"/>
      <c r="O755" s="75"/>
      <c r="P755" s="30"/>
    </row>
    <row r="756">
      <c r="B756" s="161"/>
      <c r="C756" s="30"/>
      <c r="D756" s="30"/>
      <c r="E756" s="30"/>
      <c r="F756" s="30"/>
      <c r="G756" s="30"/>
      <c r="H756" s="30"/>
      <c r="I756" s="30"/>
      <c r="J756" s="30"/>
      <c r="K756" s="30"/>
      <c r="L756" s="30"/>
      <c r="M756" s="30"/>
      <c r="N756" s="75"/>
      <c r="O756" s="75"/>
      <c r="P756" s="30"/>
    </row>
    <row r="757">
      <c r="B757" s="161"/>
      <c r="C757" s="30"/>
      <c r="D757" s="30"/>
      <c r="E757" s="30"/>
      <c r="F757" s="30"/>
      <c r="G757" s="30"/>
      <c r="H757" s="30"/>
      <c r="I757" s="30"/>
      <c r="J757" s="30"/>
      <c r="K757" s="30"/>
      <c r="L757" s="30"/>
      <c r="M757" s="30"/>
      <c r="N757" s="75"/>
      <c r="O757" s="75"/>
      <c r="P757" s="30"/>
    </row>
    <row r="758">
      <c r="B758" s="161"/>
      <c r="C758" s="30"/>
      <c r="D758" s="30"/>
      <c r="E758" s="30"/>
      <c r="F758" s="30"/>
      <c r="G758" s="30"/>
      <c r="H758" s="30"/>
      <c r="I758" s="30"/>
      <c r="J758" s="30"/>
      <c r="K758" s="30"/>
      <c r="L758" s="30"/>
      <c r="M758" s="30"/>
      <c r="N758" s="75"/>
      <c r="O758" s="75"/>
      <c r="P758" s="30"/>
    </row>
    <row r="759">
      <c r="B759" s="161"/>
      <c r="C759" s="30"/>
      <c r="D759" s="30"/>
      <c r="E759" s="30"/>
      <c r="F759" s="30"/>
      <c r="G759" s="30"/>
      <c r="H759" s="30"/>
      <c r="I759" s="30"/>
      <c r="J759" s="30"/>
      <c r="K759" s="30"/>
      <c r="L759" s="30"/>
      <c r="M759" s="30"/>
      <c r="N759" s="75"/>
      <c r="O759" s="75"/>
      <c r="P759" s="30"/>
    </row>
    <row r="760">
      <c r="B760" s="161"/>
      <c r="C760" s="30"/>
      <c r="D760" s="30"/>
      <c r="E760" s="30"/>
      <c r="F760" s="30"/>
      <c r="G760" s="30"/>
      <c r="H760" s="30"/>
      <c r="I760" s="30"/>
      <c r="J760" s="30"/>
      <c r="K760" s="30"/>
      <c r="L760" s="30"/>
      <c r="M760" s="30"/>
      <c r="N760" s="75"/>
      <c r="O760" s="75"/>
      <c r="P760" s="30"/>
    </row>
    <row r="761">
      <c r="B761" s="161"/>
      <c r="C761" s="30"/>
      <c r="D761" s="30"/>
      <c r="E761" s="30"/>
      <c r="F761" s="30"/>
      <c r="G761" s="30"/>
      <c r="H761" s="30"/>
      <c r="I761" s="30"/>
      <c r="J761" s="30"/>
      <c r="K761" s="30"/>
      <c r="L761" s="30"/>
      <c r="M761" s="30"/>
      <c r="N761" s="75"/>
      <c r="O761" s="75"/>
      <c r="P761" s="30"/>
    </row>
    <row r="762">
      <c r="B762" s="161"/>
      <c r="C762" s="30"/>
      <c r="D762" s="30"/>
      <c r="E762" s="30"/>
      <c r="F762" s="30"/>
      <c r="G762" s="30"/>
      <c r="H762" s="30"/>
      <c r="I762" s="30"/>
      <c r="J762" s="30"/>
      <c r="K762" s="30"/>
      <c r="L762" s="30"/>
      <c r="M762" s="30"/>
      <c r="N762" s="75"/>
      <c r="O762" s="75"/>
      <c r="P762" s="30"/>
    </row>
    <row r="763">
      <c r="B763" s="161"/>
      <c r="C763" s="30"/>
      <c r="D763" s="30"/>
      <c r="E763" s="30"/>
      <c r="F763" s="30"/>
      <c r="G763" s="30"/>
      <c r="H763" s="30"/>
      <c r="I763" s="30"/>
      <c r="J763" s="30"/>
      <c r="K763" s="30"/>
      <c r="L763" s="30"/>
      <c r="M763" s="30"/>
      <c r="N763" s="75"/>
      <c r="O763" s="75"/>
      <c r="P763" s="30"/>
    </row>
    <row r="764">
      <c r="B764" s="161"/>
      <c r="C764" s="30"/>
      <c r="D764" s="30"/>
      <c r="E764" s="30"/>
      <c r="F764" s="30"/>
      <c r="G764" s="30"/>
      <c r="H764" s="30"/>
      <c r="I764" s="30"/>
      <c r="J764" s="30"/>
      <c r="K764" s="30"/>
      <c r="L764" s="30"/>
      <c r="M764" s="30"/>
      <c r="N764" s="75"/>
      <c r="O764" s="75"/>
      <c r="P764" s="30"/>
    </row>
    <row r="765">
      <c r="B765" s="161"/>
      <c r="C765" s="30"/>
      <c r="D765" s="30"/>
      <c r="E765" s="30"/>
      <c r="F765" s="30"/>
      <c r="G765" s="30"/>
      <c r="H765" s="30"/>
      <c r="I765" s="30"/>
      <c r="J765" s="30"/>
      <c r="K765" s="30"/>
      <c r="L765" s="30"/>
      <c r="M765" s="30"/>
      <c r="N765" s="75"/>
      <c r="O765" s="75"/>
      <c r="P765" s="30"/>
    </row>
    <row r="766">
      <c r="B766" s="161"/>
      <c r="C766" s="30"/>
      <c r="D766" s="30"/>
      <c r="E766" s="30"/>
      <c r="F766" s="30"/>
      <c r="G766" s="30"/>
      <c r="H766" s="30"/>
      <c r="I766" s="30"/>
      <c r="J766" s="30"/>
      <c r="K766" s="30"/>
      <c r="L766" s="30"/>
      <c r="M766" s="30"/>
      <c r="N766" s="75"/>
      <c r="O766" s="75"/>
      <c r="P766" s="30"/>
    </row>
    <row r="767">
      <c r="B767" s="161"/>
      <c r="C767" s="30"/>
      <c r="D767" s="30"/>
      <c r="E767" s="30"/>
      <c r="F767" s="30"/>
      <c r="G767" s="30"/>
      <c r="H767" s="30"/>
      <c r="I767" s="30"/>
      <c r="J767" s="30"/>
      <c r="K767" s="30"/>
      <c r="L767" s="30"/>
      <c r="M767" s="30"/>
      <c r="N767" s="75"/>
      <c r="O767" s="75"/>
      <c r="P767" s="30"/>
    </row>
    <row r="768">
      <c r="B768" s="161"/>
      <c r="C768" s="30"/>
      <c r="D768" s="30"/>
      <c r="E768" s="30"/>
      <c r="F768" s="30"/>
      <c r="G768" s="30"/>
      <c r="H768" s="30"/>
      <c r="I768" s="30"/>
      <c r="J768" s="30"/>
      <c r="K768" s="30"/>
      <c r="L768" s="30"/>
      <c r="M768" s="30"/>
      <c r="N768" s="75"/>
      <c r="O768" s="75"/>
      <c r="P768" s="30"/>
    </row>
    <row r="769">
      <c r="B769" s="161"/>
      <c r="C769" s="30"/>
      <c r="D769" s="30"/>
      <c r="E769" s="30"/>
      <c r="F769" s="30"/>
      <c r="G769" s="30"/>
      <c r="H769" s="30"/>
      <c r="I769" s="30"/>
      <c r="J769" s="30"/>
      <c r="K769" s="30"/>
      <c r="L769" s="30"/>
      <c r="M769" s="30"/>
      <c r="N769" s="75"/>
      <c r="O769" s="75"/>
      <c r="P769" s="30"/>
    </row>
    <row r="770">
      <c r="B770" s="161"/>
      <c r="C770" s="30"/>
      <c r="D770" s="30"/>
      <c r="E770" s="30"/>
      <c r="F770" s="30"/>
      <c r="G770" s="30"/>
      <c r="H770" s="30"/>
      <c r="I770" s="30"/>
      <c r="J770" s="30"/>
      <c r="K770" s="30"/>
      <c r="L770" s="30"/>
      <c r="M770" s="30"/>
      <c r="N770" s="75"/>
      <c r="O770" s="75"/>
      <c r="P770" s="30"/>
    </row>
    <row r="771">
      <c r="B771" s="161"/>
      <c r="C771" s="30"/>
      <c r="D771" s="30"/>
      <c r="E771" s="30"/>
      <c r="F771" s="30"/>
      <c r="G771" s="30"/>
      <c r="H771" s="30"/>
      <c r="I771" s="30"/>
      <c r="J771" s="30"/>
      <c r="K771" s="30"/>
      <c r="L771" s="30"/>
      <c r="M771" s="30"/>
      <c r="N771" s="75"/>
      <c r="O771" s="75"/>
      <c r="P771" s="30"/>
    </row>
    <row r="772">
      <c r="B772" s="161"/>
      <c r="C772" s="30"/>
      <c r="D772" s="30"/>
      <c r="E772" s="30"/>
      <c r="F772" s="30"/>
      <c r="G772" s="30"/>
      <c r="H772" s="30"/>
      <c r="I772" s="30"/>
      <c r="J772" s="30"/>
      <c r="K772" s="30"/>
      <c r="L772" s="30"/>
      <c r="M772" s="30"/>
      <c r="N772" s="75"/>
      <c r="O772" s="75"/>
      <c r="P772" s="30"/>
    </row>
    <row r="773">
      <c r="B773" s="161"/>
      <c r="C773" s="30"/>
      <c r="D773" s="30"/>
      <c r="E773" s="30"/>
      <c r="F773" s="30"/>
      <c r="G773" s="30"/>
      <c r="H773" s="30"/>
      <c r="I773" s="30"/>
      <c r="J773" s="30"/>
      <c r="K773" s="30"/>
      <c r="L773" s="30"/>
      <c r="M773" s="30"/>
      <c r="N773" s="75"/>
      <c r="O773" s="75"/>
      <c r="P773" s="30"/>
    </row>
    <row r="774">
      <c r="B774" s="161"/>
      <c r="C774" s="30"/>
      <c r="D774" s="30"/>
      <c r="E774" s="30"/>
      <c r="F774" s="30"/>
      <c r="G774" s="30"/>
      <c r="H774" s="30"/>
      <c r="I774" s="30"/>
      <c r="J774" s="30"/>
      <c r="K774" s="30"/>
      <c r="L774" s="30"/>
      <c r="M774" s="30"/>
      <c r="N774" s="75"/>
      <c r="O774" s="75"/>
      <c r="P774" s="30"/>
    </row>
    <row r="775">
      <c r="B775" s="161"/>
      <c r="C775" s="30"/>
      <c r="D775" s="30"/>
      <c r="E775" s="30"/>
      <c r="F775" s="30"/>
      <c r="G775" s="30"/>
      <c r="H775" s="30"/>
      <c r="I775" s="30"/>
      <c r="J775" s="30"/>
      <c r="K775" s="30"/>
      <c r="L775" s="30"/>
      <c r="M775" s="30"/>
      <c r="N775" s="75"/>
      <c r="O775" s="75"/>
      <c r="P775" s="30"/>
    </row>
    <row r="776">
      <c r="B776" s="161"/>
      <c r="C776" s="30"/>
      <c r="D776" s="30"/>
      <c r="E776" s="30"/>
      <c r="F776" s="30"/>
      <c r="G776" s="30"/>
      <c r="H776" s="30"/>
      <c r="I776" s="30"/>
      <c r="J776" s="30"/>
      <c r="K776" s="30"/>
      <c r="L776" s="30"/>
      <c r="M776" s="30"/>
      <c r="N776" s="75"/>
      <c r="O776" s="75"/>
      <c r="P776" s="30"/>
    </row>
    <row r="777">
      <c r="B777" s="161"/>
      <c r="C777" s="30"/>
      <c r="D777" s="30"/>
      <c r="E777" s="30"/>
      <c r="F777" s="30"/>
      <c r="G777" s="30"/>
      <c r="H777" s="30"/>
      <c r="I777" s="30"/>
      <c r="J777" s="30"/>
      <c r="K777" s="30"/>
      <c r="L777" s="30"/>
      <c r="M777" s="30"/>
      <c r="N777" s="75"/>
      <c r="O777" s="75"/>
      <c r="P777" s="30"/>
    </row>
    <row r="778">
      <c r="B778" s="161"/>
      <c r="C778" s="30"/>
      <c r="D778" s="30"/>
      <c r="E778" s="30"/>
      <c r="F778" s="30"/>
      <c r="G778" s="30"/>
      <c r="H778" s="30"/>
      <c r="I778" s="30"/>
      <c r="J778" s="30"/>
      <c r="K778" s="30"/>
      <c r="L778" s="30"/>
      <c r="M778" s="30"/>
      <c r="N778" s="75"/>
      <c r="O778" s="75"/>
      <c r="P778" s="30"/>
    </row>
    <row r="779">
      <c r="B779" s="161"/>
      <c r="C779" s="30"/>
      <c r="D779" s="30"/>
      <c r="E779" s="30"/>
      <c r="F779" s="30"/>
      <c r="G779" s="30"/>
      <c r="H779" s="30"/>
      <c r="I779" s="30"/>
      <c r="J779" s="30"/>
      <c r="K779" s="30"/>
      <c r="L779" s="30"/>
      <c r="M779" s="30"/>
      <c r="N779" s="75"/>
      <c r="O779" s="75"/>
      <c r="P779" s="30"/>
    </row>
    <row r="780">
      <c r="B780" s="161"/>
      <c r="C780" s="30"/>
      <c r="D780" s="30"/>
      <c r="E780" s="30"/>
      <c r="F780" s="30"/>
      <c r="G780" s="30"/>
      <c r="H780" s="30"/>
      <c r="I780" s="30"/>
      <c r="J780" s="30"/>
      <c r="K780" s="30"/>
      <c r="L780" s="30"/>
      <c r="M780" s="30"/>
      <c r="N780" s="75"/>
      <c r="O780" s="75"/>
      <c r="P780" s="30"/>
    </row>
    <row r="781">
      <c r="B781" s="161"/>
      <c r="C781" s="30"/>
      <c r="D781" s="30"/>
      <c r="E781" s="30"/>
      <c r="F781" s="30"/>
      <c r="G781" s="30"/>
      <c r="H781" s="30"/>
      <c r="I781" s="30"/>
      <c r="J781" s="30"/>
      <c r="K781" s="30"/>
      <c r="L781" s="30"/>
      <c r="M781" s="30"/>
      <c r="N781" s="75"/>
      <c r="O781" s="75"/>
      <c r="P781" s="30"/>
    </row>
    <row r="782">
      <c r="B782" s="161"/>
      <c r="C782" s="30"/>
      <c r="D782" s="30"/>
      <c r="E782" s="30"/>
      <c r="F782" s="30"/>
      <c r="G782" s="30"/>
      <c r="H782" s="30"/>
      <c r="I782" s="30"/>
      <c r="J782" s="30"/>
      <c r="K782" s="30"/>
      <c r="L782" s="30"/>
      <c r="M782" s="30"/>
      <c r="N782" s="75"/>
      <c r="O782" s="75"/>
      <c r="P782" s="30"/>
    </row>
    <row r="783">
      <c r="B783" s="161"/>
      <c r="C783" s="30"/>
      <c r="D783" s="30"/>
      <c r="E783" s="30"/>
      <c r="F783" s="30"/>
      <c r="G783" s="30"/>
      <c r="H783" s="30"/>
      <c r="I783" s="30"/>
      <c r="J783" s="30"/>
      <c r="K783" s="30"/>
      <c r="L783" s="30"/>
      <c r="M783" s="30"/>
      <c r="N783" s="75"/>
      <c r="O783" s="75"/>
      <c r="P783" s="30"/>
    </row>
    <row r="784">
      <c r="B784" s="161"/>
      <c r="C784" s="30"/>
      <c r="D784" s="30"/>
      <c r="E784" s="30"/>
      <c r="F784" s="30"/>
      <c r="G784" s="30"/>
      <c r="H784" s="30"/>
      <c r="I784" s="30"/>
      <c r="J784" s="30"/>
      <c r="K784" s="30"/>
      <c r="L784" s="30"/>
      <c r="M784" s="30"/>
      <c r="N784" s="75"/>
      <c r="O784" s="75"/>
      <c r="P784" s="30"/>
    </row>
    <row r="785">
      <c r="B785" s="161"/>
      <c r="C785" s="30"/>
      <c r="D785" s="30"/>
      <c r="E785" s="30"/>
      <c r="F785" s="30"/>
      <c r="G785" s="30"/>
      <c r="H785" s="30"/>
      <c r="I785" s="30"/>
      <c r="J785" s="30"/>
      <c r="K785" s="30"/>
      <c r="L785" s="30"/>
      <c r="M785" s="30"/>
      <c r="N785" s="75"/>
      <c r="O785" s="75"/>
      <c r="P785" s="30"/>
    </row>
    <row r="786">
      <c r="B786" s="161"/>
      <c r="C786" s="30"/>
      <c r="D786" s="30"/>
      <c r="E786" s="30"/>
      <c r="F786" s="30"/>
      <c r="G786" s="30"/>
      <c r="H786" s="30"/>
      <c r="I786" s="30"/>
      <c r="J786" s="30"/>
      <c r="K786" s="30"/>
      <c r="L786" s="30"/>
      <c r="M786" s="30"/>
      <c r="N786" s="75"/>
      <c r="O786" s="75"/>
      <c r="P786" s="30"/>
    </row>
    <row r="787">
      <c r="B787" s="161"/>
      <c r="C787" s="30"/>
      <c r="D787" s="30"/>
      <c r="E787" s="30"/>
      <c r="F787" s="30"/>
      <c r="G787" s="30"/>
      <c r="H787" s="30"/>
      <c r="I787" s="30"/>
      <c r="J787" s="30"/>
      <c r="K787" s="30"/>
      <c r="L787" s="30"/>
      <c r="M787" s="30"/>
      <c r="N787" s="75"/>
      <c r="O787" s="75"/>
      <c r="P787" s="30"/>
    </row>
    <row r="788">
      <c r="B788" s="161"/>
      <c r="C788" s="30"/>
      <c r="D788" s="30"/>
      <c r="E788" s="30"/>
      <c r="F788" s="30"/>
      <c r="G788" s="30"/>
      <c r="H788" s="30"/>
      <c r="I788" s="30"/>
      <c r="J788" s="30"/>
      <c r="K788" s="30"/>
      <c r="L788" s="30"/>
      <c r="M788" s="30"/>
      <c r="N788" s="75"/>
      <c r="O788" s="75"/>
      <c r="P788" s="30"/>
    </row>
    <row r="789">
      <c r="B789" s="161"/>
      <c r="C789" s="30"/>
      <c r="D789" s="30"/>
      <c r="E789" s="30"/>
      <c r="F789" s="30"/>
      <c r="G789" s="30"/>
      <c r="H789" s="30"/>
      <c r="I789" s="30"/>
      <c r="J789" s="30"/>
      <c r="K789" s="30"/>
      <c r="L789" s="30"/>
      <c r="M789" s="30"/>
      <c r="N789" s="75"/>
      <c r="O789" s="75"/>
      <c r="P789" s="30"/>
    </row>
    <row r="790">
      <c r="B790" s="161"/>
      <c r="C790" s="30"/>
      <c r="D790" s="30"/>
      <c r="E790" s="30"/>
      <c r="F790" s="30"/>
      <c r="G790" s="30"/>
      <c r="H790" s="30"/>
      <c r="I790" s="30"/>
      <c r="J790" s="30"/>
      <c r="K790" s="30"/>
      <c r="L790" s="30"/>
      <c r="M790" s="30"/>
      <c r="N790" s="75"/>
      <c r="O790" s="75"/>
      <c r="P790" s="30"/>
    </row>
    <row r="791">
      <c r="B791" s="161"/>
      <c r="C791" s="30"/>
      <c r="D791" s="30"/>
      <c r="E791" s="30"/>
      <c r="F791" s="30"/>
      <c r="G791" s="30"/>
      <c r="H791" s="30"/>
      <c r="I791" s="30"/>
      <c r="J791" s="30"/>
      <c r="K791" s="30"/>
      <c r="L791" s="30"/>
      <c r="M791" s="30"/>
      <c r="N791" s="75"/>
      <c r="O791" s="75"/>
      <c r="P791" s="30"/>
    </row>
    <row r="792">
      <c r="B792" s="161"/>
      <c r="C792" s="30"/>
      <c r="D792" s="30"/>
      <c r="E792" s="30"/>
      <c r="F792" s="30"/>
      <c r="G792" s="30"/>
      <c r="H792" s="30"/>
      <c r="I792" s="30"/>
      <c r="J792" s="30"/>
      <c r="K792" s="30"/>
      <c r="L792" s="30"/>
      <c r="M792" s="30"/>
      <c r="N792" s="75"/>
      <c r="O792" s="75"/>
      <c r="P792" s="30"/>
    </row>
    <row r="793">
      <c r="B793" s="161"/>
      <c r="C793" s="30"/>
      <c r="D793" s="30"/>
      <c r="E793" s="30"/>
      <c r="F793" s="30"/>
      <c r="G793" s="30"/>
      <c r="H793" s="30"/>
      <c r="I793" s="30"/>
      <c r="J793" s="30"/>
      <c r="K793" s="30"/>
      <c r="L793" s="30"/>
      <c r="M793" s="30"/>
      <c r="N793" s="75"/>
      <c r="O793" s="75"/>
      <c r="P793" s="30"/>
    </row>
    <row r="794">
      <c r="B794" s="161"/>
      <c r="C794" s="30"/>
      <c r="D794" s="30"/>
      <c r="E794" s="30"/>
      <c r="F794" s="30"/>
      <c r="G794" s="30"/>
      <c r="H794" s="30"/>
      <c r="I794" s="30"/>
      <c r="J794" s="30"/>
      <c r="K794" s="30"/>
      <c r="L794" s="30"/>
      <c r="M794" s="30"/>
      <c r="N794" s="75"/>
      <c r="O794" s="75"/>
      <c r="P794" s="30"/>
    </row>
    <row r="795">
      <c r="B795" s="161"/>
      <c r="C795" s="30"/>
      <c r="D795" s="30"/>
      <c r="E795" s="30"/>
      <c r="F795" s="30"/>
      <c r="G795" s="30"/>
      <c r="H795" s="30"/>
      <c r="I795" s="30"/>
      <c r="J795" s="30"/>
      <c r="K795" s="30"/>
      <c r="L795" s="30"/>
      <c r="M795" s="30"/>
      <c r="N795" s="75"/>
      <c r="O795" s="75"/>
      <c r="P795" s="30"/>
    </row>
    <row r="796">
      <c r="B796" s="161"/>
      <c r="C796" s="30"/>
      <c r="D796" s="30"/>
      <c r="E796" s="30"/>
      <c r="F796" s="30"/>
      <c r="G796" s="30"/>
      <c r="H796" s="30"/>
      <c r="I796" s="30"/>
      <c r="J796" s="30"/>
      <c r="K796" s="30"/>
      <c r="L796" s="30"/>
      <c r="M796" s="30"/>
      <c r="N796" s="75"/>
      <c r="O796" s="75"/>
      <c r="P796" s="30"/>
    </row>
    <row r="797">
      <c r="B797" s="161"/>
      <c r="C797" s="30"/>
      <c r="D797" s="30"/>
      <c r="E797" s="30"/>
      <c r="F797" s="30"/>
      <c r="G797" s="30"/>
      <c r="H797" s="30"/>
      <c r="I797" s="30"/>
      <c r="J797" s="30"/>
      <c r="K797" s="30"/>
      <c r="L797" s="30"/>
      <c r="M797" s="30"/>
      <c r="N797" s="75"/>
      <c r="O797" s="75"/>
      <c r="P797" s="30"/>
    </row>
    <row r="798">
      <c r="B798" s="161"/>
      <c r="C798" s="30"/>
      <c r="D798" s="30"/>
      <c r="E798" s="30"/>
      <c r="F798" s="30"/>
      <c r="G798" s="30"/>
      <c r="H798" s="30"/>
      <c r="I798" s="30"/>
      <c r="J798" s="30"/>
      <c r="K798" s="30"/>
      <c r="L798" s="30"/>
      <c r="M798" s="30"/>
      <c r="N798" s="75"/>
      <c r="O798" s="75"/>
      <c r="P798" s="30"/>
    </row>
    <row r="799">
      <c r="B799" s="161"/>
      <c r="C799" s="30"/>
      <c r="D799" s="30"/>
      <c r="E799" s="30"/>
      <c r="F799" s="30"/>
      <c r="G799" s="30"/>
      <c r="H799" s="30"/>
      <c r="I799" s="30"/>
      <c r="J799" s="30"/>
      <c r="K799" s="30"/>
      <c r="L799" s="30"/>
      <c r="M799" s="30"/>
      <c r="N799" s="75"/>
      <c r="O799" s="75"/>
      <c r="P799" s="30"/>
    </row>
    <row r="800">
      <c r="B800" s="161"/>
      <c r="C800" s="30"/>
      <c r="D800" s="30"/>
      <c r="E800" s="30"/>
      <c r="F800" s="30"/>
      <c r="G800" s="30"/>
      <c r="H800" s="30"/>
      <c r="I800" s="30"/>
      <c r="J800" s="30"/>
      <c r="K800" s="30"/>
      <c r="L800" s="30"/>
      <c r="M800" s="30"/>
      <c r="N800" s="75"/>
      <c r="O800" s="75"/>
      <c r="P800" s="30"/>
    </row>
    <row r="801">
      <c r="B801" s="161"/>
      <c r="C801" s="30"/>
      <c r="D801" s="30"/>
      <c r="E801" s="30"/>
      <c r="F801" s="30"/>
      <c r="G801" s="30"/>
      <c r="H801" s="30"/>
      <c r="I801" s="30"/>
      <c r="J801" s="30"/>
      <c r="K801" s="30"/>
      <c r="L801" s="30"/>
      <c r="M801" s="30"/>
      <c r="N801" s="75"/>
      <c r="O801" s="75"/>
      <c r="P801" s="30"/>
    </row>
    <row r="802">
      <c r="B802" s="161"/>
      <c r="C802" s="30"/>
      <c r="D802" s="30"/>
      <c r="E802" s="30"/>
      <c r="F802" s="30"/>
      <c r="G802" s="30"/>
      <c r="H802" s="30"/>
      <c r="I802" s="30"/>
      <c r="J802" s="30"/>
      <c r="K802" s="30"/>
      <c r="L802" s="30"/>
      <c r="M802" s="30"/>
      <c r="N802" s="75"/>
      <c r="O802" s="75"/>
      <c r="P802" s="30"/>
    </row>
    <row r="803">
      <c r="B803" s="161"/>
      <c r="C803" s="30"/>
      <c r="D803" s="30"/>
      <c r="E803" s="30"/>
      <c r="F803" s="30"/>
      <c r="G803" s="30"/>
      <c r="H803" s="30"/>
      <c r="I803" s="30"/>
      <c r="J803" s="30"/>
      <c r="K803" s="30"/>
      <c r="L803" s="30"/>
      <c r="M803" s="30"/>
      <c r="N803" s="75"/>
      <c r="O803" s="75"/>
      <c r="P803" s="30"/>
    </row>
    <row r="804">
      <c r="B804" s="161"/>
      <c r="C804" s="30"/>
      <c r="D804" s="30"/>
      <c r="E804" s="30"/>
      <c r="F804" s="30"/>
      <c r="G804" s="30"/>
      <c r="H804" s="30"/>
      <c r="I804" s="30"/>
      <c r="J804" s="30"/>
      <c r="K804" s="30"/>
      <c r="L804" s="30"/>
      <c r="M804" s="30"/>
      <c r="N804" s="75"/>
      <c r="O804" s="75"/>
      <c r="P804" s="30"/>
    </row>
    <row r="805">
      <c r="B805" s="161"/>
      <c r="C805" s="30"/>
      <c r="D805" s="30"/>
      <c r="E805" s="30"/>
      <c r="F805" s="30"/>
      <c r="G805" s="30"/>
      <c r="H805" s="30"/>
      <c r="I805" s="30"/>
      <c r="J805" s="30"/>
      <c r="K805" s="30"/>
      <c r="L805" s="30"/>
      <c r="M805" s="30"/>
      <c r="N805" s="75"/>
      <c r="O805" s="75"/>
      <c r="P805" s="30"/>
    </row>
    <row r="806">
      <c r="B806" s="161"/>
      <c r="C806" s="30"/>
      <c r="D806" s="30"/>
      <c r="E806" s="30"/>
      <c r="F806" s="30"/>
      <c r="G806" s="30"/>
      <c r="H806" s="30"/>
      <c r="I806" s="30"/>
      <c r="J806" s="30"/>
      <c r="K806" s="30"/>
      <c r="L806" s="30"/>
      <c r="M806" s="30"/>
      <c r="N806" s="75"/>
      <c r="O806" s="75"/>
      <c r="P806" s="30"/>
    </row>
    <row r="807">
      <c r="B807" s="161"/>
      <c r="C807" s="30"/>
      <c r="D807" s="30"/>
      <c r="E807" s="30"/>
      <c r="F807" s="30"/>
      <c r="G807" s="30"/>
      <c r="H807" s="30"/>
      <c r="I807" s="30"/>
      <c r="J807" s="30"/>
      <c r="K807" s="30"/>
      <c r="L807" s="30"/>
      <c r="M807" s="30"/>
      <c r="N807" s="75"/>
      <c r="O807" s="75"/>
      <c r="P807" s="30"/>
    </row>
    <row r="808">
      <c r="B808" s="161"/>
      <c r="C808" s="30"/>
      <c r="D808" s="30"/>
      <c r="E808" s="30"/>
      <c r="F808" s="30"/>
      <c r="G808" s="30"/>
      <c r="H808" s="30"/>
      <c r="I808" s="30"/>
      <c r="J808" s="30"/>
      <c r="K808" s="30"/>
      <c r="L808" s="30"/>
      <c r="M808" s="30"/>
      <c r="N808" s="75"/>
      <c r="O808" s="75"/>
      <c r="P808" s="30"/>
    </row>
    <row r="809">
      <c r="B809" s="161"/>
      <c r="C809" s="30"/>
      <c r="D809" s="30"/>
      <c r="E809" s="30"/>
      <c r="F809" s="30"/>
      <c r="G809" s="30"/>
      <c r="H809" s="30"/>
      <c r="I809" s="30"/>
      <c r="J809" s="30"/>
      <c r="K809" s="30"/>
      <c r="L809" s="30"/>
      <c r="M809" s="30"/>
      <c r="N809" s="75"/>
      <c r="O809" s="75"/>
      <c r="P809" s="30"/>
    </row>
    <row r="810">
      <c r="B810" s="161"/>
      <c r="C810" s="30"/>
      <c r="D810" s="30"/>
      <c r="E810" s="30"/>
      <c r="F810" s="30"/>
      <c r="G810" s="30"/>
      <c r="H810" s="30"/>
      <c r="I810" s="30"/>
      <c r="J810" s="30"/>
      <c r="K810" s="30"/>
      <c r="L810" s="30"/>
      <c r="M810" s="30"/>
      <c r="N810" s="75"/>
      <c r="O810" s="75"/>
      <c r="P810" s="30"/>
    </row>
    <row r="811">
      <c r="B811" s="161"/>
      <c r="C811" s="30"/>
      <c r="D811" s="30"/>
      <c r="E811" s="30"/>
      <c r="F811" s="30"/>
      <c r="G811" s="30"/>
      <c r="H811" s="30"/>
      <c r="I811" s="30"/>
      <c r="J811" s="30"/>
      <c r="K811" s="30"/>
      <c r="L811" s="30"/>
      <c r="M811" s="30"/>
      <c r="N811" s="75"/>
      <c r="O811" s="75"/>
      <c r="P811" s="30"/>
    </row>
    <row r="812">
      <c r="B812" s="161"/>
      <c r="C812" s="30"/>
      <c r="D812" s="30"/>
      <c r="E812" s="30"/>
      <c r="F812" s="30"/>
      <c r="G812" s="30"/>
      <c r="H812" s="30"/>
      <c r="I812" s="30"/>
      <c r="J812" s="30"/>
      <c r="K812" s="30"/>
      <c r="L812" s="30"/>
      <c r="M812" s="30"/>
      <c r="N812" s="75"/>
      <c r="O812" s="75"/>
      <c r="P812" s="30"/>
    </row>
    <row r="813">
      <c r="B813" s="161"/>
      <c r="C813" s="30"/>
      <c r="D813" s="30"/>
      <c r="E813" s="30"/>
      <c r="F813" s="30"/>
      <c r="G813" s="30"/>
      <c r="H813" s="30"/>
      <c r="I813" s="30"/>
      <c r="J813" s="30"/>
      <c r="K813" s="30"/>
      <c r="L813" s="30"/>
      <c r="M813" s="30"/>
      <c r="N813" s="75"/>
      <c r="O813" s="75"/>
      <c r="P813" s="30"/>
    </row>
    <row r="814">
      <c r="B814" s="161"/>
      <c r="C814" s="30"/>
      <c r="D814" s="30"/>
      <c r="E814" s="30"/>
      <c r="F814" s="30"/>
      <c r="G814" s="30"/>
      <c r="H814" s="30"/>
      <c r="I814" s="30"/>
      <c r="J814" s="30"/>
      <c r="K814" s="30"/>
      <c r="L814" s="30"/>
      <c r="M814" s="30"/>
      <c r="N814" s="75"/>
      <c r="O814" s="75"/>
      <c r="P814" s="30"/>
    </row>
    <row r="815">
      <c r="B815" s="161"/>
      <c r="C815" s="30"/>
      <c r="D815" s="30"/>
      <c r="E815" s="30"/>
      <c r="F815" s="30"/>
      <c r="G815" s="30"/>
      <c r="H815" s="30"/>
      <c r="I815" s="30"/>
      <c r="J815" s="30"/>
      <c r="K815" s="30"/>
      <c r="L815" s="30"/>
      <c r="M815" s="30"/>
      <c r="N815" s="75"/>
      <c r="O815" s="75"/>
      <c r="P815" s="30"/>
    </row>
    <row r="816">
      <c r="B816" s="161"/>
      <c r="C816" s="30"/>
      <c r="D816" s="30"/>
      <c r="E816" s="30"/>
      <c r="F816" s="30"/>
      <c r="G816" s="30"/>
      <c r="H816" s="30"/>
      <c r="I816" s="30"/>
      <c r="J816" s="30"/>
      <c r="K816" s="30"/>
      <c r="L816" s="30"/>
      <c r="M816" s="30"/>
      <c r="N816" s="75"/>
      <c r="O816" s="75"/>
      <c r="P816" s="30"/>
    </row>
    <row r="817">
      <c r="B817" s="161"/>
      <c r="C817" s="30"/>
      <c r="D817" s="30"/>
      <c r="E817" s="30"/>
      <c r="F817" s="30"/>
      <c r="G817" s="30"/>
      <c r="H817" s="30"/>
      <c r="I817" s="30"/>
      <c r="J817" s="30"/>
      <c r="K817" s="30"/>
      <c r="L817" s="30"/>
      <c r="M817" s="30"/>
      <c r="N817" s="75"/>
      <c r="O817" s="75"/>
      <c r="P817" s="30"/>
    </row>
    <row r="818">
      <c r="B818" s="161"/>
      <c r="C818" s="30"/>
      <c r="D818" s="30"/>
      <c r="E818" s="30"/>
      <c r="F818" s="30"/>
      <c r="G818" s="30"/>
      <c r="H818" s="30"/>
      <c r="I818" s="30"/>
      <c r="J818" s="30"/>
      <c r="K818" s="30"/>
      <c r="L818" s="30"/>
      <c r="M818" s="30"/>
      <c r="N818" s="75"/>
      <c r="O818" s="75"/>
      <c r="P818" s="30"/>
    </row>
    <row r="819">
      <c r="B819" s="161"/>
      <c r="C819" s="30"/>
      <c r="D819" s="30"/>
      <c r="E819" s="30"/>
      <c r="F819" s="30"/>
      <c r="G819" s="30"/>
      <c r="H819" s="30"/>
      <c r="I819" s="30"/>
      <c r="J819" s="30"/>
      <c r="K819" s="30"/>
      <c r="L819" s="30"/>
      <c r="M819" s="30"/>
      <c r="N819" s="75"/>
      <c r="O819" s="75"/>
      <c r="P819" s="30"/>
    </row>
    <row r="820">
      <c r="B820" s="161"/>
      <c r="C820" s="30"/>
      <c r="D820" s="30"/>
      <c r="E820" s="30"/>
      <c r="F820" s="30"/>
      <c r="G820" s="30"/>
      <c r="H820" s="30"/>
      <c r="I820" s="30"/>
      <c r="J820" s="30"/>
      <c r="K820" s="30"/>
      <c r="L820" s="30"/>
      <c r="M820" s="30"/>
      <c r="N820" s="75"/>
      <c r="O820" s="75"/>
      <c r="P820" s="30"/>
    </row>
    <row r="821">
      <c r="B821" s="161"/>
      <c r="C821" s="30"/>
      <c r="D821" s="30"/>
      <c r="E821" s="30"/>
      <c r="F821" s="30"/>
      <c r="G821" s="30"/>
      <c r="H821" s="30"/>
      <c r="I821" s="30"/>
      <c r="J821" s="30"/>
      <c r="K821" s="30"/>
      <c r="L821" s="30"/>
      <c r="M821" s="30"/>
      <c r="N821" s="75"/>
      <c r="O821" s="75"/>
      <c r="P821" s="30"/>
    </row>
    <row r="822">
      <c r="B822" s="161"/>
      <c r="C822" s="30"/>
      <c r="D822" s="30"/>
      <c r="E822" s="30"/>
      <c r="F822" s="30"/>
      <c r="G822" s="30"/>
      <c r="H822" s="30"/>
      <c r="I822" s="30"/>
      <c r="J822" s="30"/>
      <c r="K822" s="30"/>
      <c r="L822" s="30"/>
      <c r="M822" s="30"/>
      <c r="N822" s="75"/>
      <c r="O822" s="75"/>
      <c r="P822" s="30"/>
    </row>
    <row r="823">
      <c r="B823" s="161"/>
      <c r="C823" s="30"/>
      <c r="D823" s="30"/>
      <c r="E823" s="30"/>
      <c r="F823" s="30"/>
      <c r="G823" s="30"/>
      <c r="H823" s="30"/>
      <c r="I823" s="30"/>
      <c r="J823" s="30"/>
      <c r="K823" s="30"/>
      <c r="L823" s="30"/>
      <c r="M823" s="30"/>
      <c r="N823" s="75"/>
      <c r="O823" s="75"/>
      <c r="P823" s="30"/>
    </row>
    <row r="824">
      <c r="B824" s="161"/>
      <c r="C824" s="30"/>
      <c r="D824" s="30"/>
      <c r="E824" s="30"/>
      <c r="F824" s="30"/>
      <c r="G824" s="30"/>
      <c r="H824" s="30"/>
      <c r="I824" s="30"/>
      <c r="J824" s="30"/>
      <c r="K824" s="30"/>
      <c r="L824" s="30"/>
      <c r="M824" s="30"/>
      <c r="N824" s="75"/>
      <c r="O824" s="75"/>
      <c r="P824" s="30"/>
    </row>
    <row r="825">
      <c r="B825" s="161"/>
      <c r="C825" s="30"/>
      <c r="D825" s="30"/>
      <c r="E825" s="30"/>
      <c r="F825" s="30"/>
      <c r="G825" s="30"/>
      <c r="H825" s="30"/>
      <c r="I825" s="30"/>
      <c r="J825" s="30"/>
      <c r="K825" s="30"/>
      <c r="L825" s="30"/>
      <c r="M825" s="30"/>
      <c r="N825" s="75"/>
      <c r="O825" s="75"/>
      <c r="P825" s="30"/>
    </row>
    <row r="826">
      <c r="B826" s="161"/>
      <c r="C826" s="30"/>
      <c r="D826" s="30"/>
      <c r="E826" s="30"/>
      <c r="F826" s="30"/>
      <c r="G826" s="30"/>
      <c r="H826" s="30"/>
      <c r="I826" s="30"/>
      <c r="J826" s="30"/>
      <c r="K826" s="30"/>
      <c r="L826" s="30"/>
      <c r="M826" s="30"/>
      <c r="N826" s="75"/>
      <c r="O826" s="75"/>
      <c r="P826" s="30"/>
    </row>
    <row r="827">
      <c r="B827" s="161"/>
      <c r="C827" s="30"/>
      <c r="D827" s="30"/>
      <c r="E827" s="30"/>
      <c r="F827" s="30"/>
      <c r="G827" s="30"/>
      <c r="H827" s="30"/>
      <c r="I827" s="30"/>
      <c r="J827" s="30"/>
      <c r="K827" s="30"/>
      <c r="L827" s="30"/>
      <c r="M827" s="30"/>
      <c r="N827" s="75"/>
      <c r="O827" s="75"/>
      <c r="P827" s="30"/>
    </row>
    <row r="828">
      <c r="B828" s="161"/>
      <c r="C828" s="30"/>
      <c r="D828" s="30"/>
      <c r="E828" s="30"/>
      <c r="F828" s="30"/>
      <c r="G828" s="30"/>
      <c r="H828" s="30"/>
      <c r="I828" s="30"/>
      <c r="J828" s="30"/>
      <c r="K828" s="30"/>
      <c r="L828" s="30"/>
      <c r="M828" s="30"/>
      <c r="N828" s="75"/>
      <c r="O828" s="75"/>
      <c r="P828" s="30"/>
    </row>
    <row r="829">
      <c r="B829" s="161"/>
      <c r="C829" s="30"/>
      <c r="D829" s="30"/>
      <c r="E829" s="30"/>
      <c r="F829" s="30"/>
      <c r="G829" s="30"/>
      <c r="H829" s="30"/>
      <c r="I829" s="30"/>
      <c r="J829" s="30"/>
      <c r="K829" s="30"/>
      <c r="L829" s="30"/>
      <c r="M829" s="30"/>
      <c r="N829" s="75"/>
      <c r="O829" s="75"/>
      <c r="P829" s="30"/>
    </row>
    <row r="830">
      <c r="B830" s="161"/>
      <c r="C830" s="30"/>
      <c r="D830" s="30"/>
      <c r="E830" s="30"/>
      <c r="F830" s="30"/>
      <c r="G830" s="30"/>
      <c r="H830" s="30"/>
      <c r="I830" s="30"/>
      <c r="J830" s="30"/>
      <c r="K830" s="30"/>
      <c r="L830" s="30"/>
      <c r="M830" s="30"/>
      <c r="N830" s="75"/>
      <c r="O830" s="75"/>
      <c r="P830" s="30"/>
    </row>
    <row r="831">
      <c r="B831" s="161"/>
      <c r="C831" s="30"/>
      <c r="D831" s="30"/>
      <c r="E831" s="30"/>
      <c r="F831" s="30"/>
      <c r="G831" s="30"/>
      <c r="H831" s="30"/>
      <c r="I831" s="30"/>
      <c r="J831" s="30"/>
      <c r="K831" s="30"/>
      <c r="L831" s="30"/>
      <c r="M831" s="30"/>
      <c r="N831" s="75"/>
      <c r="O831" s="75"/>
      <c r="P831" s="30"/>
    </row>
    <row r="832">
      <c r="B832" s="161"/>
      <c r="C832" s="30"/>
      <c r="D832" s="30"/>
      <c r="E832" s="30"/>
      <c r="F832" s="30"/>
      <c r="G832" s="30"/>
      <c r="H832" s="30"/>
      <c r="I832" s="30"/>
      <c r="J832" s="30"/>
      <c r="K832" s="30"/>
      <c r="L832" s="30"/>
      <c r="M832" s="30"/>
      <c r="N832" s="75"/>
      <c r="O832" s="75"/>
      <c r="P832" s="30"/>
    </row>
    <row r="833">
      <c r="B833" s="161"/>
      <c r="C833" s="30"/>
      <c r="D833" s="30"/>
      <c r="E833" s="30"/>
      <c r="F833" s="30"/>
      <c r="G833" s="30"/>
      <c r="H833" s="30"/>
      <c r="I833" s="30"/>
      <c r="J833" s="30"/>
      <c r="K833" s="30"/>
      <c r="L833" s="30"/>
      <c r="M833" s="30"/>
      <c r="N833" s="75"/>
      <c r="O833" s="75"/>
      <c r="P833" s="30"/>
    </row>
    <row r="834">
      <c r="B834" s="161"/>
      <c r="C834" s="30"/>
      <c r="D834" s="30"/>
      <c r="E834" s="30"/>
      <c r="F834" s="30"/>
      <c r="G834" s="30"/>
      <c r="H834" s="30"/>
      <c r="I834" s="30"/>
      <c r="J834" s="30"/>
      <c r="K834" s="30"/>
      <c r="L834" s="30"/>
      <c r="M834" s="30"/>
      <c r="N834" s="75"/>
      <c r="O834" s="75"/>
      <c r="P834" s="30"/>
    </row>
    <row r="835">
      <c r="B835" s="161"/>
      <c r="C835" s="30"/>
      <c r="D835" s="30"/>
      <c r="E835" s="30"/>
      <c r="F835" s="30"/>
      <c r="G835" s="30"/>
      <c r="H835" s="30"/>
      <c r="I835" s="30"/>
      <c r="J835" s="30"/>
      <c r="K835" s="30"/>
      <c r="L835" s="30"/>
      <c r="M835" s="30"/>
      <c r="N835" s="75"/>
      <c r="O835" s="75"/>
      <c r="P835" s="30"/>
    </row>
    <row r="836">
      <c r="B836" s="161"/>
      <c r="C836" s="30"/>
      <c r="D836" s="30"/>
      <c r="E836" s="30"/>
      <c r="F836" s="30"/>
      <c r="G836" s="30"/>
      <c r="H836" s="30"/>
      <c r="I836" s="30"/>
      <c r="J836" s="30"/>
      <c r="K836" s="30"/>
      <c r="L836" s="30"/>
      <c r="M836" s="30"/>
      <c r="N836" s="75"/>
      <c r="O836" s="75"/>
      <c r="P836" s="30"/>
    </row>
    <row r="837">
      <c r="B837" s="161"/>
      <c r="C837" s="30"/>
      <c r="D837" s="30"/>
      <c r="E837" s="30"/>
      <c r="F837" s="30"/>
      <c r="G837" s="30"/>
      <c r="H837" s="30"/>
      <c r="I837" s="30"/>
      <c r="J837" s="30"/>
      <c r="K837" s="30"/>
      <c r="L837" s="30"/>
      <c r="M837" s="30"/>
      <c r="N837" s="75"/>
      <c r="O837" s="75"/>
      <c r="P837" s="30"/>
    </row>
    <row r="838">
      <c r="B838" s="161"/>
      <c r="C838" s="30"/>
      <c r="D838" s="30"/>
      <c r="E838" s="30"/>
      <c r="F838" s="30"/>
      <c r="G838" s="30"/>
      <c r="H838" s="30"/>
      <c r="I838" s="30"/>
      <c r="J838" s="30"/>
      <c r="K838" s="30"/>
      <c r="L838" s="30"/>
      <c r="M838" s="30"/>
      <c r="N838" s="75"/>
      <c r="O838" s="75"/>
      <c r="P838" s="30"/>
    </row>
    <row r="839">
      <c r="B839" s="161"/>
      <c r="C839" s="30"/>
      <c r="D839" s="30"/>
      <c r="E839" s="30"/>
      <c r="F839" s="30"/>
      <c r="G839" s="30"/>
      <c r="H839" s="30"/>
      <c r="I839" s="30"/>
      <c r="J839" s="30"/>
      <c r="K839" s="30"/>
      <c r="L839" s="30"/>
      <c r="M839" s="30"/>
      <c r="N839" s="75"/>
      <c r="O839" s="75"/>
      <c r="P839" s="30"/>
    </row>
    <row r="840">
      <c r="B840" s="161"/>
      <c r="C840" s="30"/>
      <c r="D840" s="30"/>
      <c r="E840" s="30"/>
      <c r="F840" s="30"/>
      <c r="G840" s="30"/>
      <c r="H840" s="30"/>
      <c r="I840" s="30"/>
      <c r="J840" s="30"/>
      <c r="K840" s="30"/>
      <c r="L840" s="30"/>
      <c r="M840" s="30"/>
      <c r="N840" s="75"/>
      <c r="O840" s="75"/>
      <c r="P840" s="30"/>
    </row>
    <row r="841">
      <c r="B841" s="161"/>
      <c r="C841" s="30"/>
      <c r="D841" s="30"/>
      <c r="E841" s="30"/>
      <c r="F841" s="30"/>
      <c r="G841" s="30"/>
      <c r="H841" s="30"/>
      <c r="I841" s="30"/>
      <c r="J841" s="30"/>
      <c r="K841" s="30"/>
      <c r="L841" s="30"/>
      <c r="M841" s="30"/>
      <c r="N841" s="75"/>
      <c r="O841" s="75"/>
      <c r="P841" s="30"/>
    </row>
    <row r="842">
      <c r="B842" s="161"/>
      <c r="C842" s="30"/>
      <c r="D842" s="30"/>
      <c r="E842" s="30"/>
      <c r="F842" s="30"/>
      <c r="G842" s="30"/>
      <c r="H842" s="30"/>
      <c r="I842" s="30"/>
      <c r="J842" s="30"/>
      <c r="K842" s="30"/>
      <c r="L842" s="30"/>
      <c r="M842" s="30"/>
      <c r="N842" s="75"/>
      <c r="O842" s="75"/>
      <c r="P842" s="30"/>
    </row>
    <row r="843">
      <c r="B843" s="161"/>
      <c r="C843" s="30"/>
      <c r="D843" s="30"/>
      <c r="E843" s="30"/>
      <c r="F843" s="30"/>
      <c r="G843" s="30"/>
      <c r="H843" s="30"/>
      <c r="I843" s="30"/>
      <c r="J843" s="30"/>
      <c r="K843" s="30"/>
      <c r="L843" s="30"/>
      <c r="M843" s="30"/>
      <c r="N843" s="75"/>
      <c r="O843" s="75"/>
      <c r="P843" s="30"/>
    </row>
    <row r="844">
      <c r="B844" s="161"/>
      <c r="C844" s="30"/>
      <c r="D844" s="30"/>
      <c r="E844" s="30"/>
      <c r="F844" s="30"/>
      <c r="G844" s="30"/>
      <c r="H844" s="30"/>
      <c r="I844" s="30"/>
      <c r="J844" s="30"/>
      <c r="K844" s="30"/>
      <c r="L844" s="30"/>
      <c r="M844" s="30"/>
      <c r="N844" s="75"/>
      <c r="O844" s="75"/>
      <c r="P844" s="30"/>
    </row>
    <row r="845">
      <c r="B845" s="161"/>
      <c r="C845" s="30"/>
      <c r="D845" s="30"/>
      <c r="E845" s="30"/>
      <c r="F845" s="30"/>
      <c r="G845" s="30"/>
      <c r="H845" s="30"/>
      <c r="I845" s="30"/>
      <c r="J845" s="30"/>
      <c r="K845" s="30"/>
      <c r="L845" s="30"/>
      <c r="M845" s="30"/>
      <c r="N845" s="75"/>
      <c r="O845" s="75"/>
      <c r="P845" s="30"/>
    </row>
    <row r="846">
      <c r="B846" s="161"/>
      <c r="C846" s="30"/>
      <c r="D846" s="30"/>
      <c r="E846" s="30"/>
      <c r="F846" s="30"/>
      <c r="G846" s="30"/>
      <c r="H846" s="30"/>
      <c r="I846" s="30"/>
      <c r="J846" s="30"/>
      <c r="K846" s="30"/>
      <c r="L846" s="30"/>
      <c r="M846" s="30"/>
      <c r="N846" s="75"/>
      <c r="O846" s="75"/>
      <c r="P846" s="30"/>
    </row>
    <row r="847">
      <c r="B847" s="161"/>
      <c r="C847" s="30"/>
      <c r="D847" s="30"/>
      <c r="E847" s="30"/>
      <c r="F847" s="30"/>
      <c r="G847" s="30"/>
      <c r="H847" s="30"/>
      <c r="I847" s="30"/>
      <c r="J847" s="30"/>
      <c r="K847" s="30"/>
      <c r="L847" s="30"/>
      <c r="M847" s="30"/>
      <c r="N847" s="75"/>
      <c r="O847" s="75"/>
      <c r="P847" s="30"/>
    </row>
    <row r="848">
      <c r="B848" s="161"/>
      <c r="C848" s="30"/>
      <c r="D848" s="30"/>
      <c r="E848" s="30"/>
      <c r="F848" s="30"/>
      <c r="G848" s="30"/>
      <c r="H848" s="30"/>
      <c r="I848" s="30"/>
      <c r="J848" s="30"/>
      <c r="K848" s="30"/>
      <c r="L848" s="30"/>
      <c r="M848" s="30"/>
      <c r="N848" s="75"/>
      <c r="O848" s="75"/>
      <c r="P848" s="30"/>
    </row>
    <row r="849">
      <c r="B849" s="161"/>
      <c r="C849" s="30"/>
      <c r="D849" s="30"/>
      <c r="E849" s="30"/>
      <c r="F849" s="30"/>
      <c r="G849" s="30"/>
      <c r="H849" s="30"/>
      <c r="I849" s="30"/>
      <c r="J849" s="30"/>
      <c r="K849" s="30"/>
      <c r="L849" s="30"/>
      <c r="M849" s="30"/>
      <c r="N849" s="75"/>
      <c r="O849" s="75"/>
      <c r="P849" s="30"/>
    </row>
    <row r="850">
      <c r="B850" s="161"/>
      <c r="C850" s="30"/>
      <c r="D850" s="30"/>
      <c r="E850" s="30"/>
      <c r="F850" s="30"/>
      <c r="G850" s="30"/>
      <c r="H850" s="30"/>
      <c r="I850" s="30"/>
      <c r="J850" s="30"/>
      <c r="K850" s="30"/>
      <c r="L850" s="30"/>
      <c r="M850" s="30"/>
      <c r="N850" s="75"/>
      <c r="O850" s="75"/>
      <c r="P850" s="30"/>
    </row>
    <row r="851">
      <c r="B851" s="161"/>
      <c r="C851" s="30"/>
      <c r="D851" s="30"/>
      <c r="E851" s="30"/>
      <c r="F851" s="30"/>
      <c r="G851" s="30"/>
      <c r="H851" s="30"/>
      <c r="I851" s="30"/>
      <c r="J851" s="30"/>
      <c r="K851" s="30"/>
      <c r="L851" s="30"/>
      <c r="M851" s="30"/>
      <c r="N851" s="75"/>
      <c r="O851" s="75"/>
      <c r="P851" s="30"/>
    </row>
    <row r="852">
      <c r="B852" s="161"/>
      <c r="C852" s="30"/>
      <c r="D852" s="30"/>
      <c r="E852" s="30"/>
      <c r="F852" s="30"/>
      <c r="G852" s="30"/>
      <c r="H852" s="30"/>
      <c r="I852" s="30"/>
      <c r="J852" s="30"/>
      <c r="K852" s="30"/>
      <c r="L852" s="30"/>
      <c r="M852" s="30"/>
      <c r="N852" s="75"/>
      <c r="O852" s="75"/>
      <c r="P852" s="30"/>
    </row>
    <row r="853">
      <c r="B853" s="161"/>
      <c r="C853" s="30"/>
      <c r="D853" s="30"/>
      <c r="E853" s="30"/>
      <c r="F853" s="30"/>
      <c r="G853" s="30"/>
      <c r="H853" s="30"/>
      <c r="I853" s="30"/>
      <c r="J853" s="30"/>
      <c r="K853" s="30"/>
      <c r="L853" s="30"/>
      <c r="M853" s="30"/>
      <c r="N853" s="75"/>
      <c r="O853" s="75"/>
      <c r="P853" s="30"/>
    </row>
    <row r="854">
      <c r="B854" s="161"/>
      <c r="C854" s="30"/>
      <c r="D854" s="30"/>
      <c r="E854" s="30"/>
      <c r="F854" s="30"/>
      <c r="G854" s="30"/>
      <c r="H854" s="30"/>
      <c r="I854" s="30"/>
      <c r="J854" s="30"/>
      <c r="K854" s="30"/>
      <c r="L854" s="30"/>
      <c r="M854" s="30"/>
      <c r="N854" s="75"/>
      <c r="O854" s="75"/>
      <c r="P854" s="30"/>
    </row>
    <row r="855">
      <c r="B855" s="161"/>
      <c r="C855" s="30"/>
      <c r="D855" s="30"/>
      <c r="E855" s="30"/>
      <c r="F855" s="30"/>
      <c r="G855" s="30"/>
      <c r="H855" s="30"/>
      <c r="I855" s="30"/>
      <c r="J855" s="30"/>
      <c r="K855" s="30"/>
      <c r="L855" s="30"/>
      <c r="M855" s="30"/>
      <c r="N855" s="75"/>
      <c r="O855" s="75"/>
      <c r="P855" s="30"/>
    </row>
    <row r="856">
      <c r="B856" s="161"/>
      <c r="C856" s="30"/>
      <c r="D856" s="30"/>
      <c r="E856" s="30"/>
      <c r="F856" s="30"/>
      <c r="G856" s="30"/>
      <c r="H856" s="30"/>
      <c r="I856" s="30"/>
      <c r="J856" s="30"/>
      <c r="K856" s="30"/>
      <c r="L856" s="30"/>
      <c r="M856" s="30"/>
      <c r="N856" s="75"/>
      <c r="O856" s="75"/>
      <c r="P856" s="30"/>
    </row>
    <row r="857">
      <c r="B857" s="161"/>
      <c r="C857" s="30"/>
      <c r="D857" s="30"/>
      <c r="E857" s="30"/>
      <c r="F857" s="30"/>
      <c r="G857" s="30"/>
      <c r="H857" s="30"/>
      <c r="I857" s="30"/>
      <c r="J857" s="30"/>
      <c r="K857" s="30"/>
      <c r="L857" s="30"/>
      <c r="M857" s="30"/>
      <c r="N857" s="75"/>
      <c r="O857" s="75"/>
      <c r="P857" s="30"/>
    </row>
    <row r="858">
      <c r="B858" s="161"/>
      <c r="C858" s="30"/>
      <c r="D858" s="30"/>
      <c r="E858" s="30"/>
      <c r="F858" s="30"/>
      <c r="G858" s="30"/>
      <c r="H858" s="30"/>
      <c r="I858" s="30"/>
      <c r="J858" s="30"/>
      <c r="K858" s="30"/>
      <c r="L858" s="30"/>
      <c r="M858" s="30"/>
      <c r="N858" s="75"/>
      <c r="O858" s="75"/>
      <c r="P858" s="30"/>
    </row>
    <row r="859">
      <c r="B859" s="161"/>
      <c r="C859" s="30"/>
      <c r="D859" s="30"/>
      <c r="E859" s="30"/>
      <c r="F859" s="30"/>
      <c r="G859" s="30"/>
      <c r="H859" s="30"/>
      <c r="I859" s="30"/>
      <c r="J859" s="30"/>
      <c r="K859" s="30"/>
      <c r="L859" s="30"/>
      <c r="M859" s="30"/>
      <c r="N859" s="75"/>
      <c r="O859" s="75"/>
      <c r="P859" s="30"/>
    </row>
    <row r="860">
      <c r="B860" s="161"/>
      <c r="C860" s="30"/>
      <c r="D860" s="30"/>
      <c r="E860" s="30"/>
      <c r="F860" s="30"/>
      <c r="G860" s="30"/>
      <c r="H860" s="30"/>
      <c r="I860" s="30"/>
      <c r="J860" s="30"/>
      <c r="K860" s="30"/>
      <c r="L860" s="30"/>
      <c r="M860" s="30"/>
      <c r="N860" s="75"/>
      <c r="O860" s="75"/>
      <c r="P860" s="30"/>
    </row>
    <row r="861">
      <c r="B861" s="161"/>
      <c r="C861" s="30"/>
      <c r="D861" s="30"/>
      <c r="E861" s="30"/>
      <c r="F861" s="30"/>
      <c r="G861" s="30"/>
      <c r="H861" s="30"/>
      <c r="I861" s="30"/>
      <c r="J861" s="30"/>
      <c r="K861" s="30"/>
      <c r="L861" s="30"/>
      <c r="M861" s="30"/>
      <c r="N861" s="75"/>
      <c r="O861" s="75"/>
      <c r="P861" s="30"/>
    </row>
    <row r="862">
      <c r="B862" s="161"/>
      <c r="C862" s="30"/>
      <c r="D862" s="30"/>
      <c r="E862" s="30"/>
      <c r="F862" s="30"/>
      <c r="G862" s="30"/>
      <c r="H862" s="30"/>
      <c r="I862" s="30"/>
      <c r="J862" s="30"/>
      <c r="K862" s="30"/>
      <c r="L862" s="30"/>
      <c r="M862" s="30"/>
      <c r="N862" s="75"/>
      <c r="O862" s="75"/>
      <c r="P862" s="30"/>
    </row>
    <row r="863">
      <c r="B863" s="161"/>
      <c r="C863" s="30"/>
      <c r="D863" s="30"/>
      <c r="E863" s="30"/>
      <c r="F863" s="30"/>
      <c r="G863" s="30"/>
      <c r="H863" s="30"/>
      <c r="I863" s="30"/>
      <c r="J863" s="30"/>
      <c r="K863" s="30"/>
      <c r="L863" s="30"/>
      <c r="M863" s="30"/>
      <c r="N863" s="75"/>
      <c r="O863" s="75"/>
      <c r="P863" s="30"/>
    </row>
    <row r="864">
      <c r="B864" s="161"/>
      <c r="C864" s="30"/>
      <c r="D864" s="30"/>
      <c r="E864" s="30"/>
      <c r="F864" s="30"/>
      <c r="G864" s="30"/>
      <c r="H864" s="30"/>
      <c r="I864" s="30"/>
      <c r="J864" s="30"/>
      <c r="K864" s="30"/>
      <c r="L864" s="30"/>
      <c r="M864" s="30"/>
      <c r="N864" s="75"/>
      <c r="O864" s="75"/>
      <c r="P864" s="30"/>
    </row>
    <row r="865">
      <c r="B865" s="161"/>
      <c r="C865" s="30"/>
      <c r="D865" s="30"/>
      <c r="E865" s="30"/>
      <c r="F865" s="30"/>
      <c r="G865" s="30"/>
      <c r="H865" s="30"/>
      <c r="I865" s="30"/>
      <c r="J865" s="30"/>
      <c r="K865" s="30"/>
      <c r="L865" s="30"/>
      <c r="M865" s="30"/>
      <c r="N865" s="75"/>
      <c r="O865" s="75"/>
      <c r="P865" s="30"/>
    </row>
    <row r="866">
      <c r="B866" s="161"/>
      <c r="C866" s="30"/>
      <c r="D866" s="30"/>
      <c r="E866" s="30"/>
      <c r="F866" s="30"/>
      <c r="G866" s="30"/>
      <c r="H866" s="30"/>
      <c r="I866" s="30"/>
      <c r="J866" s="30"/>
      <c r="K866" s="30"/>
      <c r="L866" s="30"/>
      <c r="M866" s="30"/>
      <c r="N866" s="75"/>
      <c r="O866" s="75"/>
      <c r="P866" s="30"/>
    </row>
    <row r="867">
      <c r="B867" s="161"/>
      <c r="C867" s="30"/>
      <c r="D867" s="30"/>
      <c r="E867" s="30"/>
      <c r="F867" s="30"/>
      <c r="G867" s="30"/>
      <c r="H867" s="30"/>
      <c r="I867" s="30"/>
      <c r="J867" s="30"/>
      <c r="K867" s="30"/>
      <c r="L867" s="30"/>
      <c r="M867" s="30"/>
      <c r="N867" s="75"/>
      <c r="O867" s="75"/>
      <c r="P867" s="30"/>
    </row>
    <row r="868">
      <c r="B868" s="161"/>
      <c r="C868" s="30"/>
      <c r="D868" s="30"/>
      <c r="E868" s="30"/>
      <c r="F868" s="30"/>
      <c r="G868" s="30"/>
      <c r="H868" s="30"/>
      <c r="I868" s="30"/>
      <c r="J868" s="30"/>
      <c r="K868" s="30"/>
      <c r="L868" s="30"/>
      <c r="M868" s="30"/>
      <c r="N868" s="75"/>
      <c r="O868" s="75"/>
      <c r="P868" s="30"/>
    </row>
    <row r="869">
      <c r="B869" s="161"/>
      <c r="C869" s="30"/>
      <c r="D869" s="30"/>
      <c r="E869" s="30"/>
      <c r="F869" s="30"/>
      <c r="G869" s="30"/>
      <c r="H869" s="30"/>
      <c r="I869" s="30"/>
      <c r="J869" s="30"/>
      <c r="K869" s="30"/>
      <c r="L869" s="30"/>
      <c r="M869" s="30"/>
      <c r="N869" s="75"/>
      <c r="O869" s="75"/>
      <c r="P869" s="30"/>
    </row>
    <row r="870">
      <c r="B870" s="161"/>
      <c r="C870" s="30"/>
      <c r="D870" s="30"/>
      <c r="E870" s="30"/>
      <c r="F870" s="30"/>
      <c r="G870" s="30"/>
      <c r="H870" s="30"/>
      <c r="I870" s="30"/>
      <c r="J870" s="30"/>
      <c r="K870" s="30"/>
      <c r="L870" s="30"/>
      <c r="M870" s="30"/>
      <c r="N870" s="75"/>
      <c r="O870" s="75"/>
      <c r="P870" s="30"/>
    </row>
    <row r="871">
      <c r="B871" s="161"/>
      <c r="C871" s="30"/>
      <c r="D871" s="30"/>
      <c r="E871" s="30"/>
      <c r="F871" s="30"/>
      <c r="G871" s="30"/>
      <c r="H871" s="30"/>
      <c r="I871" s="30"/>
      <c r="J871" s="30"/>
      <c r="K871" s="30"/>
      <c r="L871" s="30"/>
      <c r="M871" s="30"/>
      <c r="N871" s="75"/>
      <c r="O871" s="75"/>
      <c r="P871" s="30"/>
    </row>
    <row r="872">
      <c r="B872" s="161"/>
      <c r="C872" s="30"/>
      <c r="D872" s="30"/>
      <c r="E872" s="30"/>
      <c r="F872" s="30"/>
      <c r="G872" s="30"/>
      <c r="H872" s="30"/>
      <c r="I872" s="30"/>
      <c r="J872" s="30"/>
      <c r="K872" s="30"/>
      <c r="L872" s="30"/>
      <c r="M872" s="30"/>
      <c r="N872" s="75"/>
      <c r="O872" s="75"/>
      <c r="P872" s="30"/>
    </row>
    <row r="873">
      <c r="B873" s="161"/>
      <c r="C873" s="30"/>
      <c r="D873" s="30"/>
      <c r="E873" s="30"/>
      <c r="F873" s="30"/>
      <c r="G873" s="30"/>
      <c r="H873" s="30"/>
      <c r="I873" s="30"/>
      <c r="J873" s="30"/>
      <c r="K873" s="30"/>
      <c r="L873" s="30"/>
      <c r="M873" s="30"/>
      <c r="N873" s="75"/>
      <c r="O873" s="75"/>
      <c r="P873" s="30"/>
    </row>
    <row r="874">
      <c r="B874" s="161"/>
      <c r="C874" s="30"/>
      <c r="D874" s="30"/>
      <c r="E874" s="30"/>
      <c r="F874" s="30"/>
      <c r="G874" s="30"/>
      <c r="H874" s="30"/>
      <c r="I874" s="30"/>
      <c r="J874" s="30"/>
      <c r="K874" s="30"/>
      <c r="L874" s="30"/>
      <c r="M874" s="30"/>
      <c r="N874" s="75"/>
      <c r="O874" s="75"/>
      <c r="P874" s="30"/>
    </row>
    <row r="875">
      <c r="B875" s="161"/>
      <c r="C875" s="30"/>
      <c r="D875" s="30"/>
      <c r="E875" s="30"/>
      <c r="F875" s="30"/>
      <c r="G875" s="30"/>
      <c r="H875" s="30"/>
      <c r="I875" s="30"/>
      <c r="J875" s="30"/>
      <c r="K875" s="30"/>
      <c r="L875" s="30"/>
      <c r="M875" s="30"/>
      <c r="N875" s="75"/>
      <c r="O875" s="75"/>
      <c r="P875" s="30"/>
    </row>
    <row r="876">
      <c r="B876" s="161"/>
      <c r="C876" s="30"/>
      <c r="D876" s="30"/>
      <c r="E876" s="30"/>
      <c r="F876" s="30"/>
      <c r="G876" s="30"/>
      <c r="H876" s="30"/>
      <c r="I876" s="30"/>
      <c r="J876" s="30"/>
      <c r="K876" s="30"/>
      <c r="L876" s="30"/>
      <c r="M876" s="30"/>
      <c r="N876" s="75"/>
      <c r="O876" s="75"/>
      <c r="P876" s="30"/>
    </row>
    <row r="877">
      <c r="B877" s="161"/>
      <c r="C877" s="30"/>
      <c r="D877" s="30"/>
      <c r="E877" s="30"/>
      <c r="F877" s="30"/>
      <c r="G877" s="30"/>
      <c r="H877" s="30"/>
      <c r="I877" s="30"/>
      <c r="J877" s="30"/>
      <c r="K877" s="30"/>
      <c r="L877" s="30"/>
      <c r="M877" s="30"/>
      <c r="N877" s="75"/>
      <c r="O877" s="75"/>
      <c r="P877" s="30"/>
    </row>
    <row r="878">
      <c r="B878" s="161"/>
      <c r="C878" s="30"/>
      <c r="D878" s="30"/>
      <c r="E878" s="30"/>
      <c r="F878" s="30"/>
      <c r="G878" s="30"/>
      <c r="H878" s="30"/>
      <c r="I878" s="30"/>
      <c r="J878" s="30"/>
      <c r="K878" s="30"/>
      <c r="L878" s="30"/>
      <c r="M878" s="30"/>
      <c r="N878" s="75"/>
      <c r="O878" s="75"/>
      <c r="P878" s="30"/>
    </row>
    <row r="879">
      <c r="B879" s="161"/>
      <c r="C879" s="30"/>
      <c r="D879" s="30"/>
      <c r="E879" s="30"/>
      <c r="F879" s="30"/>
      <c r="G879" s="30"/>
      <c r="H879" s="30"/>
      <c r="I879" s="30"/>
      <c r="J879" s="30"/>
      <c r="K879" s="30"/>
      <c r="L879" s="30"/>
      <c r="M879" s="30"/>
      <c r="N879" s="75"/>
      <c r="O879" s="75"/>
      <c r="P879" s="30"/>
    </row>
    <row r="880">
      <c r="B880" s="161"/>
      <c r="C880" s="30"/>
      <c r="D880" s="30"/>
      <c r="E880" s="30"/>
      <c r="F880" s="30"/>
      <c r="G880" s="30"/>
      <c r="H880" s="30"/>
      <c r="I880" s="30"/>
      <c r="J880" s="30"/>
      <c r="K880" s="30"/>
      <c r="L880" s="30"/>
      <c r="M880" s="30"/>
      <c r="N880" s="75"/>
      <c r="O880" s="75"/>
      <c r="P880" s="30"/>
    </row>
    <row r="881">
      <c r="B881" s="161"/>
      <c r="C881" s="30"/>
      <c r="D881" s="30"/>
      <c r="E881" s="30"/>
      <c r="F881" s="30"/>
      <c r="G881" s="30"/>
      <c r="H881" s="30"/>
      <c r="I881" s="30"/>
      <c r="J881" s="30"/>
      <c r="K881" s="30"/>
      <c r="L881" s="30"/>
      <c r="M881" s="30"/>
      <c r="N881" s="75"/>
      <c r="O881" s="75"/>
      <c r="P881" s="30"/>
    </row>
    <row r="882">
      <c r="B882" s="161"/>
      <c r="C882" s="30"/>
      <c r="D882" s="30"/>
      <c r="E882" s="30"/>
      <c r="F882" s="30"/>
      <c r="G882" s="30"/>
      <c r="H882" s="30"/>
      <c r="I882" s="30"/>
      <c r="J882" s="30"/>
      <c r="K882" s="30"/>
      <c r="L882" s="30"/>
      <c r="M882" s="30"/>
      <c r="N882" s="75"/>
      <c r="O882" s="75"/>
      <c r="P882" s="30"/>
    </row>
    <row r="883">
      <c r="B883" s="161"/>
      <c r="C883" s="30"/>
      <c r="D883" s="30"/>
      <c r="E883" s="30"/>
      <c r="F883" s="30"/>
      <c r="G883" s="30"/>
      <c r="H883" s="30"/>
      <c r="I883" s="30"/>
      <c r="J883" s="30"/>
      <c r="K883" s="30"/>
      <c r="L883" s="30"/>
      <c r="M883" s="30"/>
      <c r="N883" s="75"/>
      <c r="O883" s="75"/>
      <c r="P883" s="30"/>
    </row>
    <row r="884">
      <c r="B884" s="161"/>
      <c r="C884" s="30"/>
      <c r="D884" s="30"/>
      <c r="E884" s="30"/>
      <c r="F884" s="30"/>
      <c r="G884" s="30"/>
      <c r="H884" s="30"/>
      <c r="I884" s="30"/>
      <c r="J884" s="30"/>
      <c r="K884" s="30"/>
      <c r="L884" s="30"/>
      <c r="M884" s="30"/>
      <c r="N884" s="75"/>
      <c r="O884" s="75"/>
      <c r="P884" s="30"/>
    </row>
    <row r="885">
      <c r="B885" s="161"/>
      <c r="C885" s="30"/>
      <c r="D885" s="30"/>
      <c r="E885" s="30"/>
      <c r="F885" s="30"/>
      <c r="G885" s="30"/>
      <c r="H885" s="30"/>
      <c r="I885" s="30"/>
      <c r="J885" s="30"/>
      <c r="K885" s="30"/>
      <c r="L885" s="30"/>
      <c r="M885" s="30"/>
      <c r="N885" s="75"/>
      <c r="O885" s="75"/>
      <c r="P885" s="30"/>
    </row>
    <row r="886">
      <c r="B886" s="161"/>
      <c r="C886" s="30"/>
      <c r="D886" s="30"/>
      <c r="E886" s="30"/>
      <c r="F886" s="30"/>
      <c r="G886" s="30"/>
      <c r="H886" s="30"/>
      <c r="I886" s="30"/>
      <c r="J886" s="30"/>
      <c r="K886" s="30"/>
      <c r="L886" s="30"/>
      <c r="M886" s="30"/>
      <c r="N886" s="75"/>
      <c r="O886" s="75"/>
      <c r="P886" s="30"/>
    </row>
    <row r="887">
      <c r="B887" s="161"/>
      <c r="C887" s="30"/>
      <c r="D887" s="30"/>
      <c r="E887" s="30"/>
      <c r="F887" s="30"/>
      <c r="G887" s="30"/>
      <c r="H887" s="30"/>
      <c r="I887" s="30"/>
      <c r="J887" s="30"/>
      <c r="K887" s="30"/>
      <c r="L887" s="30"/>
      <c r="M887" s="30"/>
      <c r="N887" s="75"/>
      <c r="O887" s="75"/>
      <c r="P887" s="30"/>
    </row>
    <row r="888">
      <c r="B888" s="161"/>
      <c r="C888" s="30"/>
      <c r="D888" s="30"/>
      <c r="E888" s="30"/>
      <c r="F888" s="30"/>
      <c r="G888" s="30"/>
      <c r="H888" s="30"/>
      <c r="I888" s="30"/>
      <c r="J888" s="30"/>
      <c r="K888" s="30"/>
      <c r="L888" s="30"/>
      <c r="M888" s="30"/>
      <c r="N888" s="75"/>
      <c r="O888" s="75"/>
      <c r="P888" s="30"/>
    </row>
    <row r="889">
      <c r="B889" s="161"/>
      <c r="C889" s="30"/>
      <c r="D889" s="30"/>
      <c r="E889" s="30"/>
      <c r="F889" s="30"/>
      <c r="G889" s="30"/>
      <c r="H889" s="30"/>
      <c r="I889" s="30"/>
      <c r="J889" s="30"/>
      <c r="K889" s="30"/>
      <c r="L889" s="30"/>
      <c r="M889" s="30"/>
      <c r="N889" s="75"/>
      <c r="O889" s="75"/>
      <c r="P889" s="30"/>
    </row>
    <row r="890">
      <c r="B890" s="161"/>
      <c r="C890" s="30"/>
      <c r="D890" s="30"/>
      <c r="E890" s="30"/>
      <c r="F890" s="30"/>
      <c r="G890" s="30"/>
      <c r="H890" s="30"/>
      <c r="I890" s="30"/>
      <c r="J890" s="30"/>
      <c r="K890" s="30"/>
      <c r="L890" s="30"/>
      <c r="M890" s="30"/>
      <c r="N890" s="75"/>
      <c r="O890" s="75"/>
      <c r="P890" s="30"/>
    </row>
    <row r="891">
      <c r="B891" s="161"/>
      <c r="C891" s="30"/>
      <c r="D891" s="30"/>
      <c r="E891" s="30"/>
      <c r="F891" s="30"/>
      <c r="G891" s="30"/>
      <c r="H891" s="30"/>
      <c r="I891" s="30"/>
      <c r="J891" s="30"/>
      <c r="K891" s="30"/>
      <c r="L891" s="30"/>
      <c r="M891" s="30"/>
      <c r="N891" s="75"/>
      <c r="O891" s="75"/>
      <c r="P891" s="30"/>
    </row>
    <row r="892">
      <c r="B892" s="161"/>
      <c r="C892" s="30"/>
      <c r="D892" s="30"/>
      <c r="E892" s="30"/>
      <c r="F892" s="30"/>
      <c r="G892" s="30"/>
      <c r="H892" s="30"/>
      <c r="I892" s="30"/>
      <c r="J892" s="30"/>
      <c r="K892" s="30"/>
      <c r="L892" s="30"/>
      <c r="M892" s="30"/>
      <c r="N892" s="75"/>
      <c r="O892" s="75"/>
      <c r="P892" s="30"/>
    </row>
    <row r="893">
      <c r="B893" s="161"/>
      <c r="C893" s="30"/>
      <c r="D893" s="30"/>
      <c r="E893" s="30"/>
      <c r="F893" s="30"/>
      <c r="G893" s="30"/>
      <c r="H893" s="30"/>
      <c r="I893" s="30"/>
      <c r="J893" s="30"/>
      <c r="K893" s="30"/>
      <c r="L893" s="30"/>
      <c r="M893" s="30"/>
      <c r="N893" s="75"/>
      <c r="O893" s="75"/>
      <c r="P893" s="30"/>
    </row>
    <row r="894">
      <c r="B894" s="161"/>
      <c r="C894" s="30"/>
      <c r="D894" s="30"/>
      <c r="E894" s="30"/>
      <c r="F894" s="30"/>
      <c r="G894" s="30"/>
      <c r="H894" s="30"/>
      <c r="I894" s="30"/>
      <c r="J894" s="30"/>
      <c r="K894" s="30"/>
      <c r="L894" s="30"/>
      <c r="M894" s="30"/>
      <c r="N894" s="75"/>
      <c r="O894" s="75"/>
      <c r="P894" s="30"/>
    </row>
    <row r="895">
      <c r="B895" s="161"/>
      <c r="C895" s="30"/>
      <c r="D895" s="30"/>
      <c r="E895" s="30"/>
      <c r="F895" s="30"/>
      <c r="G895" s="30"/>
      <c r="H895" s="30"/>
      <c r="I895" s="30"/>
      <c r="J895" s="30"/>
      <c r="K895" s="30"/>
      <c r="L895" s="30"/>
      <c r="M895" s="30"/>
      <c r="N895" s="75"/>
      <c r="O895" s="75"/>
      <c r="P895" s="30"/>
    </row>
    <row r="896">
      <c r="B896" s="161"/>
      <c r="C896" s="30"/>
      <c r="D896" s="30"/>
      <c r="E896" s="30"/>
      <c r="F896" s="30"/>
      <c r="G896" s="30"/>
      <c r="H896" s="30"/>
      <c r="I896" s="30"/>
      <c r="J896" s="30"/>
      <c r="K896" s="30"/>
      <c r="L896" s="30"/>
      <c r="M896" s="30"/>
      <c r="N896" s="75"/>
      <c r="O896" s="75"/>
      <c r="P896" s="30"/>
    </row>
    <row r="897">
      <c r="B897" s="161"/>
      <c r="C897" s="30"/>
      <c r="D897" s="30"/>
      <c r="E897" s="30"/>
      <c r="F897" s="30"/>
      <c r="G897" s="30"/>
      <c r="H897" s="30"/>
      <c r="I897" s="30"/>
      <c r="J897" s="30"/>
      <c r="K897" s="30"/>
      <c r="L897" s="30"/>
      <c r="M897" s="30"/>
      <c r="N897" s="75"/>
      <c r="O897" s="75"/>
      <c r="P897" s="30"/>
    </row>
    <row r="898">
      <c r="B898" s="161"/>
      <c r="C898" s="30"/>
      <c r="D898" s="30"/>
      <c r="E898" s="30"/>
      <c r="F898" s="30"/>
      <c r="G898" s="30"/>
      <c r="H898" s="30"/>
      <c r="I898" s="30"/>
      <c r="J898" s="30"/>
      <c r="K898" s="30"/>
      <c r="L898" s="30"/>
      <c r="M898" s="30"/>
      <c r="N898" s="75"/>
      <c r="O898" s="75"/>
      <c r="P898" s="30"/>
    </row>
    <row r="899">
      <c r="B899" s="161"/>
      <c r="C899" s="30"/>
      <c r="D899" s="30"/>
      <c r="E899" s="30"/>
      <c r="F899" s="30"/>
      <c r="G899" s="30"/>
      <c r="H899" s="30"/>
      <c r="I899" s="30"/>
      <c r="J899" s="30"/>
      <c r="K899" s="30"/>
      <c r="L899" s="30"/>
      <c r="M899" s="30"/>
      <c r="N899" s="75"/>
      <c r="O899" s="75"/>
      <c r="P899" s="30"/>
    </row>
    <row r="900">
      <c r="B900" s="161"/>
      <c r="C900" s="30"/>
      <c r="D900" s="30"/>
      <c r="E900" s="30"/>
      <c r="F900" s="30"/>
      <c r="G900" s="30"/>
      <c r="H900" s="30"/>
      <c r="I900" s="30"/>
      <c r="J900" s="30"/>
      <c r="K900" s="30"/>
      <c r="L900" s="30"/>
      <c r="M900" s="30"/>
      <c r="N900" s="75"/>
      <c r="O900" s="75"/>
      <c r="P900" s="30"/>
    </row>
    <row r="901">
      <c r="B901" s="161"/>
      <c r="C901" s="30"/>
      <c r="D901" s="30"/>
      <c r="E901" s="30"/>
      <c r="F901" s="30"/>
      <c r="G901" s="30"/>
      <c r="H901" s="30"/>
      <c r="I901" s="30"/>
      <c r="J901" s="30"/>
      <c r="K901" s="30"/>
      <c r="L901" s="30"/>
      <c r="M901" s="30"/>
      <c r="N901" s="75"/>
      <c r="O901" s="75"/>
      <c r="P901" s="30"/>
    </row>
    <row r="902">
      <c r="B902" s="161"/>
      <c r="C902" s="30"/>
      <c r="D902" s="30"/>
      <c r="E902" s="30"/>
      <c r="F902" s="30"/>
      <c r="G902" s="30"/>
      <c r="H902" s="30"/>
      <c r="I902" s="30"/>
      <c r="J902" s="30"/>
      <c r="K902" s="30"/>
      <c r="L902" s="30"/>
      <c r="M902" s="30"/>
      <c r="N902" s="75"/>
      <c r="O902" s="75"/>
      <c r="P902" s="30"/>
    </row>
    <row r="903">
      <c r="B903" s="161"/>
      <c r="C903" s="30"/>
      <c r="D903" s="30"/>
      <c r="E903" s="30"/>
      <c r="F903" s="30"/>
      <c r="G903" s="30"/>
      <c r="H903" s="30"/>
      <c r="I903" s="30"/>
      <c r="J903" s="30"/>
      <c r="K903" s="30"/>
      <c r="L903" s="30"/>
      <c r="M903" s="30"/>
      <c r="N903" s="75"/>
      <c r="O903" s="75"/>
      <c r="P903" s="30"/>
    </row>
    <row r="904">
      <c r="B904" s="161"/>
      <c r="C904" s="30"/>
      <c r="D904" s="30"/>
      <c r="E904" s="30"/>
      <c r="F904" s="30"/>
      <c r="G904" s="30"/>
      <c r="H904" s="30"/>
      <c r="I904" s="30"/>
      <c r="J904" s="30"/>
      <c r="K904" s="30"/>
      <c r="L904" s="30"/>
      <c r="M904" s="30"/>
      <c r="N904" s="75"/>
      <c r="O904" s="75"/>
      <c r="P904" s="30"/>
    </row>
    <row r="905">
      <c r="B905" s="161"/>
      <c r="C905" s="30"/>
      <c r="D905" s="30"/>
      <c r="E905" s="30"/>
      <c r="F905" s="30"/>
      <c r="G905" s="30"/>
      <c r="H905" s="30"/>
      <c r="I905" s="30"/>
      <c r="J905" s="30"/>
      <c r="K905" s="30"/>
      <c r="L905" s="30"/>
      <c r="M905" s="30"/>
      <c r="N905" s="75"/>
      <c r="O905" s="75"/>
      <c r="P905" s="30"/>
    </row>
    <row r="906">
      <c r="B906" s="161"/>
      <c r="C906" s="30"/>
      <c r="D906" s="30"/>
      <c r="E906" s="30"/>
      <c r="F906" s="30"/>
      <c r="G906" s="30"/>
      <c r="H906" s="30"/>
      <c r="I906" s="30"/>
      <c r="J906" s="30"/>
      <c r="K906" s="30"/>
      <c r="L906" s="30"/>
      <c r="M906" s="30"/>
      <c r="N906" s="75"/>
      <c r="O906" s="75"/>
      <c r="P906" s="30"/>
    </row>
    <row r="907">
      <c r="B907" s="161"/>
      <c r="C907" s="30"/>
      <c r="D907" s="30"/>
      <c r="E907" s="30"/>
      <c r="F907" s="30"/>
      <c r="G907" s="30"/>
      <c r="H907" s="30"/>
      <c r="I907" s="30"/>
      <c r="J907" s="30"/>
      <c r="K907" s="30"/>
      <c r="L907" s="30"/>
      <c r="M907" s="30"/>
      <c r="N907" s="75"/>
      <c r="O907" s="75"/>
      <c r="P907" s="30"/>
    </row>
    <row r="908">
      <c r="B908" s="161"/>
      <c r="C908" s="30"/>
      <c r="D908" s="30"/>
      <c r="E908" s="30"/>
      <c r="F908" s="30"/>
      <c r="G908" s="30"/>
      <c r="H908" s="30"/>
      <c r="I908" s="30"/>
      <c r="J908" s="30"/>
      <c r="K908" s="30"/>
      <c r="L908" s="30"/>
      <c r="M908" s="30"/>
      <c r="N908" s="75"/>
      <c r="O908" s="75"/>
      <c r="P908" s="30"/>
    </row>
    <row r="909">
      <c r="B909" s="161"/>
      <c r="C909" s="30"/>
      <c r="D909" s="30"/>
      <c r="E909" s="30"/>
      <c r="F909" s="30"/>
      <c r="G909" s="30"/>
      <c r="H909" s="30"/>
      <c r="I909" s="30"/>
      <c r="J909" s="30"/>
      <c r="K909" s="30"/>
      <c r="L909" s="30"/>
      <c r="M909" s="30"/>
      <c r="N909" s="75"/>
      <c r="O909" s="75"/>
      <c r="P909" s="30"/>
    </row>
    <row r="910">
      <c r="B910" s="161"/>
      <c r="C910" s="30"/>
      <c r="D910" s="30"/>
      <c r="E910" s="30"/>
      <c r="F910" s="30"/>
      <c r="G910" s="30"/>
      <c r="H910" s="30"/>
      <c r="I910" s="30"/>
      <c r="J910" s="30"/>
      <c r="K910" s="30"/>
      <c r="L910" s="30"/>
      <c r="M910" s="30"/>
      <c r="N910" s="75"/>
      <c r="O910" s="75"/>
      <c r="P910" s="30"/>
    </row>
    <row r="911">
      <c r="B911" s="161"/>
      <c r="C911" s="30"/>
      <c r="D911" s="30"/>
      <c r="E911" s="30"/>
      <c r="F911" s="30"/>
      <c r="G911" s="30"/>
      <c r="H911" s="30"/>
      <c r="I911" s="30"/>
      <c r="J911" s="30"/>
      <c r="K911" s="30"/>
      <c r="L911" s="30"/>
      <c r="M911" s="30"/>
      <c r="N911" s="75"/>
      <c r="O911" s="75"/>
      <c r="P911" s="30"/>
    </row>
    <row r="912">
      <c r="B912" s="161"/>
      <c r="C912" s="30"/>
      <c r="D912" s="30"/>
      <c r="E912" s="30"/>
      <c r="F912" s="30"/>
      <c r="G912" s="30"/>
      <c r="H912" s="30"/>
      <c r="I912" s="30"/>
      <c r="J912" s="30"/>
      <c r="K912" s="30"/>
      <c r="L912" s="30"/>
      <c r="M912" s="30"/>
      <c r="N912" s="75"/>
      <c r="O912" s="75"/>
      <c r="P912" s="30"/>
    </row>
    <row r="913">
      <c r="B913" s="161"/>
      <c r="C913" s="30"/>
      <c r="D913" s="30"/>
      <c r="E913" s="30"/>
      <c r="F913" s="30"/>
      <c r="G913" s="30"/>
      <c r="H913" s="30"/>
      <c r="I913" s="30"/>
      <c r="J913" s="30"/>
      <c r="K913" s="30"/>
      <c r="L913" s="30"/>
      <c r="M913" s="30"/>
      <c r="N913" s="75"/>
      <c r="O913" s="75"/>
      <c r="P913" s="30"/>
    </row>
    <row r="914">
      <c r="B914" s="161"/>
      <c r="C914" s="30"/>
      <c r="D914" s="30"/>
      <c r="E914" s="30"/>
      <c r="F914" s="30"/>
      <c r="G914" s="30"/>
      <c r="H914" s="30"/>
      <c r="I914" s="30"/>
      <c r="J914" s="30"/>
      <c r="K914" s="30"/>
      <c r="L914" s="30"/>
      <c r="M914" s="30"/>
      <c r="N914" s="75"/>
      <c r="O914" s="75"/>
      <c r="P914" s="30"/>
    </row>
    <row r="915">
      <c r="B915" s="161"/>
      <c r="C915" s="30"/>
      <c r="D915" s="30"/>
      <c r="E915" s="30"/>
      <c r="F915" s="30"/>
      <c r="G915" s="30"/>
      <c r="H915" s="30"/>
      <c r="I915" s="30"/>
      <c r="J915" s="30"/>
      <c r="K915" s="30"/>
      <c r="L915" s="30"/>
      <c r="M915" s="30"/>
      <c r="N915" s="75"/>
      <c r="O915" s="75"/>
      <c r="P915" s="30"/>
    </row>
    <row r="916">
      <c r="B916" s="161"/>
      <c r="C916" s="30"/>
      <c r="D916" s="30"/>
      <c r="E916" s="30"/>
      <c r="F916" s="30"/>
      <c r="G916" s="30"/>
      <c r="H916" s="30"/>
      <c r="I916" s="30"/>
      <c r="J916" s="30"/>
      <c r="K916" s="30"/>
      <c r="L916" s="30"/>
      <c r="M916" s="30"/>
      <c r="N916" s="75"/>
      <c r="O916" s="75"/>
      <c r="P916" s="30"/>
    </row>
    <row r="917">
      <c r="B917" s="161"/>
      <c r="C917" s="30"/>
      <c r="D917" s="30"/>
      <c r="E917" s="30"/>
      <c r="F917" s="30"/>
      <c r="G917" s="30"/>
      <c r="H917" s="30"/>
      <c r="I917" s="30"/>
      <c r="J917" s="30"/>
      <c r="K917" s="30"/>
      <c r="L917" s="30"/>
      <c r="M917" s="30"/>
      <c r="N917" s="75"/>
      <c r="O917" s="75"/>
      <c r="P917" s="30"/>
    </row>
    <row r="918">
      <c r="B918" s="161"/>
      <c r="C918" s="30"/>
      <c r="D918" s="30"/>
      <c r="E918" s="30"/>
      <c r="F918" s="30"/>
      <c r="G918" s="30"/>
      <c r="H918" s="30"/>
      <c r="I918" s="30"/>
      <c r="J918" s="30"/>
      <c r="K918" s="30"/>
      <c r="L918" s="30"/>
      <c r="M918" s="30"/>
      <c r="N918" s="75"/>
      <c r="O918" s="75"/>
      <c r="P918" s="30"/>
    </row>
    <row r="919">
      <c r="B919" s="161"/>
      <c r="C919" s="30"/>
      <c r="D919" s="30"/>
      <c r="E919" s="30"/>
      <c r="F919" s="30"/>
      <c r="G919" s="30"/>
      <c r="H919" s="30"/>
      <c r="I919" s="30"/>
      <c r="J919" s="30"/>
      <c r="K919" s="30"/>
      <c r="L919" s="30"/>
      <c r="M919" s="30"/>
      <c r="N919" s="75"/>
      <c r="O919" s="75"/>
      <c r="P919" s="30"/>
    </row>
    <row r="920">
      <c r="B920" s="161"/>
      <c r="C920" s="30"/>
      <c r="D920" s="30"/>
      <c r="E920" s="30"/>
      <c r="F920" s="30"/>
      <c r="G920" s="30"/>
      <c r="H920" s="30"/>
      <c r="I920" s="30"/>
      <c r="J920" s="30"/>
      <c r="K920" s="30"/>
      <c r="L920" s="30"/>
      <c r="M920" s="30"/>
      <c r="N920" s="75"/>
      <c r="O920" s="75"/>
      <c r="P920" s="30"/>
    </row>
    <row r="921">
      <c r="B921" s="161"/>
      <c r="C921" s="30"/>
      <c r="D921" s="30"/>
      <c r="E921" s="30"/>
      <c r="F921" s="30"/>
      <c r="G921" s="30"/>
      <c r="H921" s="30"/>
      <c r="I921" s="30"/>
      <c r="J921" s="30"/>
      <c r="K921" s="30"/>
      <c r="L921" s="30"/>
      <c r="M921" s="30"/>
      <c r="N921" s="75"/>
      <c r="O921" s="75"/>
      <c r="P921" s="30"/>
    </row>
    <row r="922">
      <c r="B922" s="161"/>
      <c r="C922" s="30"/>
      <c r="D922" s="30"/>
      <c r="E922" s="30"/>
      <c r="F922" s="30"/>
      <c r="G922" s="30"/>
      <c r="H922" s="30"/>
      <c r="I922" s="30"/>
      <c r="J922" s="30"/>
      <c r="K922" s="30"/>
      <c r="L922" s="30"/>
      <c r="M922" s="30"/>
      <c r="N922" s="75"/>
      <c r="O922" s="75"/>
      <c r="P922" s="30"/>
    </row>
    <row r="923">
      <c r="B923" s="161"/>
      <c r="C923" s="30"/>
      <c r="D923" s="30"/>
      <c r="E923" s="30"/>
      <c r="F923" s="30"/>
      <c r="G923" s="30"/>
      <c r="H923" s="30"/>
      <c r="I923" s="30"/>
      <c r="J923" s="30"/>
      <c r="K923" s="30"/>
      <c r="L923" s="30"/>
      <c r="M923" s="30"/>
      <c r="N923" s="75"/>
      <c r="O923" s="75"/>
      <c r="P923" s="30"/>
    </row>
    <row r="924">
      <c r="B924" s="161"/>
      <c r="C924" s="30"/>
      <c r="D924" s="30"/>
      <c r="E924" s="30"/>
      <c r="F924" s="30"/>
      <c r="G924" s="30"/>
      <c r="H924" s="30"/>
      <c r="I924" s="30"/>
      <c r="J924" s="30"/>
      <c r="K924" s="30"/>
      <c r="L924" s="30"/>
      <c r="M924" s="30"/>
      <c r="N924" s="75"/>
      <c r="O924" s="75"/>
      <c r="P924" s="30"/>
    </row>
    <row r="925">
      <c r="B925" s="161"/>
      <c r="C925" s="30"/>
      <c r="D925" s="30"/>
      <c r="E925" s="30"/>
      <c r="F925" s="30"/>
      <c r="G925" s="30"/>
      <c r="H925" s="30"/>
      <c r="I925" s="30"/>
      <c r="J925" s="30"/>
      <c r="K925" s="30"/>
      <c r="L925" s="30"/>
      <c r="M925" s="30"/>
      <c r="N925" s="75"/>
      <c r="O925" s="75"/>
      <c r="P925" s="30"/>
    </row>
    <row r="926">
      <c r="B926" s="161"/>
      <c r="C926" s="30"/>
      <c r="D926" s="30"/>
      <c r="E926" s="30"/>
      <c r="F926" s="30"/>
      <c r="G926" s="30"/>
      <c r="H926" s="30"/>
      <c r="I926" s="30"/>
      <c r="J926" s="30"/>
      <c r="K926" s="30"/>
      <c r="L926" s="30"/>
      <c r="M926" s="30"/>
      <c r="N926" s="75"/>
      <c r="O926" s="75"/>
      <c r="P926" s="30"/>
    </row>
    <row r="927">
      <c r="B927" s="161"/>
      <c r="C927" s="30"/>
      <c r="D927" s="30"/>
      <c r="E927" s="30"/>
      <c r="F927" s="30"/>
      <c r="G927" s="30"/>
      <c r="H927" s="30"/>
      <c r="I927" s="30"/>
      <c r="J927" s="30"/>
      <c r="K927" s="30"/>
      <c r="L927" s="30"/>
      <c r="M927" s="30"/>
      <c r="N927" s="75"/>
      <c r="O927" s="75"/>
      <c r="P927" s="30"/>
    </row>
    <row r="928">
      <c r="B928" s="161"/>
      <c r="C928" s="30"/>
      <c r="D928" s="30"/>
      <c r="E928" s="30"/>
      <c r="F928" s="30"/>
      <c r="G928" s="30"/>
      <c r="H928" s="30"/>
      <c r="I928" s="30"/>
      <c r="J928" s="30"/>
      <c r="K928" s="30"/>
      <c r="L928" s="30"/>
      <c r="M928" s="30"/>
      <c r="N928" s="75"/>
      <c r="O928" s="75"/>
      <c r="P928" s="30"/>
    </row>
    <row r="929">
      <c r="B929" s="161"/>
      <c r="C929" s="30"/>
      <c r="D929" s="30"/>
      <c r="E929" s="30"/>
      <c r="F929" s="30"/>
      <c r="G929" s="30"/>
      <c r="H929" s="30"/>
      <c r="I929" s="30"/>
      <c r="J929" s="30"/>
      <c r="K929" s="30"/>
      <c r="L929" s="30"/>
      <c r="M929" s="30"/>
      <c r="N929" s="75"/>
      <c r="O929" s="75"/>
      <c r="P929" s="30"/>
    </row>
    <row r="930">
      <c r="B930" s="161"/>
      <c r="C930" s="30"/>
      <c r="D930" s="30"/>
      <c r="E930" s="30"/>
      <c r="F930" s="30"/>
      <c r="G930" s="30"/>
      <c r="H930" s="30"/>
      <c r="I930" s="30"/>
      <c r="J930" s="30"/>
      <c r="K930" s="30"/>
      <c r="L930" s="30"/>
      <c r="M930" s="30"/>
      <c r="N930" s="75"/>
      <c r="O930" s="75"/>
      <c r="P930" s="30"/>
    </row>
    <row r="931">
      <c r="B931" s="161"/>
      <c r="C931" s="30"/>
      <c r="D931" s="30"/>
      <c r="E931" s="30"/>
      <c r="F931" s="30"/>
      <c r="G931" s="30"/>
      <c r="H931" s="30"/>
      <c r="I931" s="30"/>
      <c r="J931" s="30"/>
      <c r="K931" s="30"/>
      <c r="L931" s="30"/>
      <c r="M931" s="30"/>
      <c r="N931" s="75"/>
      <c r="O931" s="75"/>
      <c r="P931" s="30"/>
    </row>
    <row r="932">
      <c r="B932" s="161"/>
      <c r="C932" s="30"/>
      <c r="D932" s="30"/>
      <c r="E932" s="30"/>
      <c r="F932" s="30"/>
      <c r="G932" s="30"/>
      <c r="H932" s="30"/>
      <c r="I932" s="30"/>
      <c r="J932" s="30"/>
      <c r="K932" s="30"/>
      <c r="L932" s="30"/>
      <c r="M932" s="30"/>
      <c r="N932" s="75"/>
      <c r="O932" s="75"/>
      <c r="P932" s="30"/>
    </row>
    <row r="933">
      <c r="B933" s="161"/>
      <c r="C933" s="30"/>
      <c r="D933" s="30"/>
      <c r="E933" s="30"/>
      <c r="F933" s="30"/>
      <c r="G933" s="30"/>
      <c r="H933" s="30"/>
      <c r="I933" s="30"/>
      <c r="J933" s="30"/>
      <c r="K933" s="30"/>
      <c r="L933" s="30"/>
      <c r="M933" s="30"/>
      <c r="N933" s="75"/>
      <c r="O933" s="75"/>
      <c r="P933" s="30"/>
    </row>
    <row r="934">
      <c r="B934" s="161"/>
      <c r="C934" s="30"/>
      <c r="D934" s="30"/>
      <c r="E934" s="30"/>
      <c r="F934" s="30"/>
      <c r="G934" s="30"/>
      <c r="H934" s="30"/>
      <c r="I934" s="30"/>
      <c r="J934" s="30"/>
      <c r="K934" s="30"/>
      <c r="L934" s="30"/>
      <c r="M934" s="30"/>
      <c r="N934" s="75"/>
      <c r="O934" s="75"/>
      <c r="P934" s="30"/>
    </row>
    <row r="935">
      <c r="B935" s="161"/>
      <c r="C935" s="30"/>
      <c r="D935" s="30"/>
      <c r="E935" s="30"/>
      <c r="F935" s="30"/>
      <c r="G935" s="30"/>
      <c r="H935" s="30"/>
      <c r="I935" s="30"/>
      <c r="J935" s="30"/>
      <c r="K935" s="30"/>
      <c r="L935" s="30"/>
      <c r="M935" s="30"/>
      <c r="N935" s="75"/>
      <c r="O935" s="75"/>
      <c r="P935" s="30"/>
    </row>
    <row r="936">
      <c r="B936" s="161"/>
      <c r="C936" s="30"/>
      <c r="D936" s="30"/>
      <c r="E936" s="30"/>
      <c r="F936" s="30"/>
      <c r="G936" s="30"/>
      <c r="H936" s="30"/>
      <c r="I936" s="30"/>
      <c r="J936" s="30"/>
      <c r="K936" s="30"/>
      <c r="L936" s="30"/>
      <c r="M936" s="30"/>
      <c r="N936" s="75"/>
      <c r="O936" s="75"/>
      <c r="P936" s="30"/>
    </row>
    <row r="937">
      <c r="B937" s="161"/>
      <c r="C937" s="30"/>
      <c r="D937" s="30"/>
      <c r="E937" s="30"/>
      <c r="F937" s="30"/>
      <c r="G937" s="30"/>
      <c r="H937" s="30"/>
      <c r="I937" s="30"/>
      <c r="J937" s="30"/>
      <c r="K937" s="30"/>
      <c r="L937" s="30"/>
      <c r="M937" s="30"/>
      <c r="N937" s="75"/>
      <c r="O937" s="75"/>
      <c r="P937" s="30"/>
    </row>
    <row r="938">
      <c r="B938" s="161"/>
      <c r="C938" s="30"/>
      <c r="D938" s="30"/>
      <c r="E938" s="30"/>
      <c r="F938" s="30"/>
      <c r="G938" s="30"/>
      <c r="H938" s="30"/>
      <c r="I938" s="30"/>
      <c r="J938" s="30"/>
      <c r="K938" s="30"/>
      <c r="L938" s="30"/>
      <c r="M938" s="30"/>
      <c r="N938" s="75"/>
      <c r="O938" s="75"/>
      <c r="P938" s="30"/>
    </row>
    <row r="939">
      <c r="B939" s="161"/>
      <c r="C939" s="30"/>
      <c r="D939" s="30"/>
      <c r="E939" s="30"/>
      <c r="F939" s="30"/>
      <c r="G939" s="30"/>
      <c r="H939" s="30"/>
      <c r="I939" s="30"/>
      <c r="J939" s="30"/>
      <c r="K939" s="30"/>
      <c r="L939" s="30"/>
      <c r="M939" s="30"/>
      <c r="N939" s="75"/>
      <c r="O939" s="75"/>
      <c r="P939" s="30"/>
    </row>
    <row r="940">
      <c r="B940" s="161"/>
      <c r="C940" s="30"/>
      <c r="D940" s="30"/>
      <c r="E940" s="30"/>
      <c r="F940" s="30"/>
      <c r="G940" s="30"/>
      <c r="H940" s="30"/>
      <c r="I940" s="30"/>
      <c r="J940" s="30"/>
      <c r="K940" s="30"/>
      <c r="L940" s="30"/>
      <c r="M940" s="30"/>
      <c r="N940" s="75"/>
      <c r="O940" s="75"/>
      <c r="P940" s="30"/>
    </row>
    <row r="941">
      <c r="B941" s="161"/>
      <c r="C941" s="30"/>
      <c r="D941" s="30"/>
      <c r="E941" s="30"/>
      <c r="F941" s="30"/>
      <c r="G941" s="30"/>
      <c r="H941" s="30"/>
      <c r="I941" s="30"/>
      <c r="J941" s="30"/>
      <c r="K941" s="30"/>
      <c r="L941" s="30"/>
      <c r="M941" s="30"/>
      <c r="N941" s="75"/>
      <c r="O941" s="75"/>
      <c r="P941" s="30"/>
    </row>
    <row r="942">
      <c r="B942" s="161"/>
      <c r="C942" s="30"/>
      <c r="D942" s="30"/>
      <c r="E942" s="30"/>
      <c r="F942" s="30"/>
      <c r="G942" s="30"/>
      <c r="H942" s="30"/>
      <c r="I942" s="30"/>
      <c r="J942" s="30"/>
      <c r="K942" s="30"/>
      <c r="L942" s="30"/>
      <c r="M942" s="30"/>
      <c r="N942" s="75"/>
      <c r="O942" s="75"/>
      <c r="P942" s="30"/>
    </row>
    <row r="943">
      <c r="B943" s="161"/>
      <c r="C943" s="30"/>
      <c r="D943" s="30"/>
      <c r="E943" s="30"/>
      <c r="F943" s="30"/>
      <c r="G943" s="30"/>
      <c r="H943" s="30"/>
      <c r="I943" s="30"/>
      <c r="J943" s="30"/>
      <c r="K943" s="30"/>
      <c r="L943" s="30"/>
      <c r="M943" s="30"/>
      <c r="N943" s="75"/>
      <c r="O943" s="75"/>
      <c r="P943" s="30"/>
    </row>
    <row r="944">
      <c r="B944" s="161"/>
      <c r="C944" s="30"/>
      <c r="D944" s="30"/>
      <c r="E944" s="30"/>
      <c r="F944" s="30"/>
      <c r="G944" s="30"/>
      <c r="H944" s="30"/>
      <c r="I944" s="30"/>
      <c r="J944" s="30"/>
      <c r="K944" s="30"/>
      <c r="L944" s="30"/>
      <c r="M944" s="30"/>
      <c r="N944" s="75"/>
      <c r="O944" s="75"/>
      <c r="P944" s="30"/>
    </row>
    <row r="945">
      <c r="B945" s="161"/>
      <c r="C945" s="30"/>
      <c r="D945" s="30"/>
      <c r="E945" s="30"/>
      <c r="F945" s="30"/>
      <c r="G945" s="30"/>
      <c r="H945" s="30"/>
      <c r="I945" s="30"/>
      <c r="J945" s="30"/>
      <c r="K945" s="30"/>
      <c r="L945" s="30"/>
      <c r="M945" s="30"/>
      <c r="N945" s="75"/>
      <c r="O945" s="75"/>
      <c r="P945" s="30"/>
    </row>
    <row r="946">
      <c r="B946" s="161"/>
      <c r="C946" s="30"/>
      <c r="D946" s="30"/>
      <c r="E946" s="30"/>
      <c r="F946" s="30"/>
      <c r="G946" s="30"/>
      <c r="H946" s="30"/>
      <c r="I946" s="30"/>
      <c r="J946" s="30"/>
      <c r="K946" s="30"/>
      <c r="L946" s="30"/>
      <c r="M946" s="30"/>
      <c r="N946" s="75"/>
      <c r="O946" s="75"/>
      <c r="P946" s="30"/>
    </row>
    <row r="947">
      <c r="B947" s="161"/>
      <c r="C947" s="30"/>
      <c r="D947" s="30"/>
      <c r="E947" s="30"/>
      <c r="F947" s="30"/>
      <c r="G947" s="30"/>
      <c r="H947" s="30"/>
      <c r="I947" s="30"/>
      <c r="J947" s="30"/>
      <c r="K947" s="30"/>
      <c r="L947" s="30"/>
      <c r="M947" s="30"/>
      <c r="N947" s="75"/>
      <c r="O947" s="75"/>
      <c r="P947" s="30"/>
    </row>
    <row r="948">
      <c r="B948" s="161"/>
      <c r="C948" s="30"/>
      <c r="D948" s="30"/>
      <c r="E948" s="30"/>
      <c r="F948" s="30"/>
      <c r="G948" s="30"/>
      <c r="H948" s="30"/>
      <c r="I948" s="30"/>
      <c r="J948" s="30"/>
      <c r="K948" s="30"/>
      <c r="L948" s="30"/>
      <c r="M948" s="30"/>
      <c r="N948" s="75"/>
      <c r="O948" s="75"/>
      <c r="P948" s="30"/>
    </row>
    <row r="949">
      <c r="B949" s="161"/>
      <c r="C949" s="30"/>
      <c r="D949" s="30"/>
      <c r="E949" s="30"/>
      <c r="F949" s="30"/>
      <c r="G949" s="30"/>
      <c r="H949" s="30"/>
      <c r="I949" s="30"/>
      <c r="J949" s="30"/>
      <c r="K949" s="30"/>
      <c r="L949" s="30"/>
      <c r="M949" s="30"/>
      <c r="N949" s="75"/>
      <c r="O949" s="75"/>
      <c r="P949" s="30"/>
    </row>
    <row r="950">
      <c r="B950" s="161"/>
      <c r="C950" s="30"/>
      <c r="D950" s="30"/>
      <c r="E950" s="30"/>
      <c r="F950" s="30"/>
      <c r="G950" s="30"/>
      <c r="H950" s="30"/>
      <c r="I950" s="30"/>
      <c r="J950" s="30"/>
      <c r="K950" s="30"/>
      <c r="L950" s="30"/>
      <c r="M950" s="30"/>
      <c r="N950" s="75"/>
      <c r="O950" s="75"/>
      <c r="P950" s="30"/>
    </row>
    <row r="951">
      <c r="B951" s="161"/>
      <c r="C951" s="30"/>
      <c r="D951" s="30"/>
      <c r="E951" s="30"/>
      <c r="F951" s="30"/>
      <c r="G951" s="30"/>
      <c r="H951" s="30"/>
      <c r="I951" s="30"/>
      <c r="J951" s="30"/>
      <c r="K951" s="30"/>
      <c r="L951" s="30"/>
      <c r="M951" s="30"/>
      <c r="N951" s="75"/>
      <c r="O951" s="75"/>
      <c r="P951" s="30"/>
    </row>
    <row r="952">
      <c r="B952" s="161"/>
      <c r="C952" s="30"/>
      <c r="D952" s="30"/>
      <c r="E952" s="30"/>
      <c r="F952" s="30"/>
      <c r="G952" s="30"/>
      <c r="H952" s="30"/>
      <c r="I952" s="30"/>
      <c r="J952" s="30"/>
      <c r="K952" s="30"/>
      <c r="L952" s="30"/>
      <c r="M952" s="30"/>
      <c r="N952" s="75"/>
      <c r="O952" s="75"/>
      <c r="P952" s="30"/>
    </row>
    <row r="953">
      <c r="B953" s="161"/>
      <c r="C953" s="30"/>
      <c r="D953" s="30"/>
      <c r="E953" s="30"/>
      <c r="F953" s="30"/>
      <c r="G953" s="30"/>
      <c r="H953" s="30"/>
      <c r="I953" s="30"/>
      <c r="J953" s="30"/>
      <c r="K953" s="30"/>
      <c r="L953" s="30"/>
      <c r="M953" s="30"/>
      <c r="N953" s="75"/>
      <c r="O953" s="75"/>
      <c r="P953" s="30"/>
    </row>
    <row r="954">
      <c r="B954" s="161"/>
      <c r="C954" s="30"/>
      <c r="D954" s="30"/>
      <c r="E954" s="30"/>
      <c r="F954" s="30"/>
      <c r="G954" s="30"/>
      <c r="H954" s="30"/>
      <c r="I954" s="30"/>
      <c r="J954" s="30"/>
      <c r="K954" s="30"/>
      <c r="L954" s="30"/>
      <c r="M954" s="30"/>
      <c r="N954" s="75"/>
      <c r="O954" s="75"/>
      <c r="P954" s="30"/>
    </row>
    <row r="955">
      <c r="B955" s="161"/>
      <c r="C955" s="30"/>
      <c r="D955" s="30"/>
      <c r="E955" s="30"/>
      <c r="F955" s="30"/>
      <c r="G955" s="30"/>
      <c r="H955" s="30"/>
      <c r="I955" s="30"/>
      <c r="J955" s="30"/>
      <c r="K955" s="30"/>
      <c r="L955" s="30"/>
      <c r="M955" s="30"/>
      <c r="N955" s="75"/>
      <c r="O955" s="75"/>
      <c r="P955" s="30"/>
    </row>
    <row r="956">
      <c r="B956" s="161"/>
      <c r="C956" s="30"/>
      <c r="D956" s="30"/>
      <c r="E956" s="30"/>
      <c r="F956" s="30"/>
      <c r="G956" s="30"/>
      <c r="H956" s="30"/>
      <c r="I956" s="30"/>
      <c r="J956" s="30"/>
      <c r="K956" s="30"/>
      <c r="L956" s="30"/>
      <c r="M956" s="30"/>
      <c r="N956" s="75"/>
      <c r="O956" s="75"/>
      <c r="P956" s="30"/>
    </row>
    <row r="957">
      <c r="B957" s="161"/>
      <c r="C957" s="30"/>
      <c r="D957" s="30"/>
      <c r="E957" s="30"/>
      <c r="F957" s="30"/>
      <c r="G957" s="30"/>
      <c r="H957" s="30"/>
      <c r="I957" s="30"/>
      <c r="J957" s="30"/>
      <c r="K957" s="30"/>
      <c r="L957" s="30"/>
      <c r="M957" s="30"/>
      <c r="N957" s="75"/>
      <c r="O957" s="75"/>
      <c r="P957" s="30"/>
    </row>
    <row r="958">
      <c r="B958" s="161"/>
      <c r="C958" s="30"/>
      <c r="D958" s="30"/>
      <c r="E958" s="30"/>
      <c r="F958" s="30"/>
      <c r="G958" s="30"/>
      <c r="H958" s="30"/>
      <c r="I958" s="30"/>
      <c r="J958" s="30"/>
      <c r="K958" s="30"/>
      <c r="L958" s="30"/>
      <c r="M958" s="30"/>
      <c r="N958" s="75"/>
      <c r="O958" s="75"/>
      <c r="P958" s="30"/>
    </row>
    <row r="959">
      <c r="B959" s="161"/>
      <c r="C959" s="30"/>
      <c r="D959" s="30"/>
      <c r="E959" s="30"/>
      <c r="F959" s="30"/>
      <c r="G959" s="30"/>
      <c r="H959" s="30"/>
      <c r="I959" s="30"/>
      <c r="J959" s="30"/>
      <c r="K959" s="30"/>
      <c r="L959" s="30"/>
      <c r="M959" s="30"/>
      <c r="N959" s="75"/>
      <c r="O959" s="75"/>
      <c r="P959" s="30"/>
    </row>
    <row r="960">
      <c r="B960" s="161"/>
      <c r="C960" s="30"/>
      <c r="D960" s="30"/>
      <c r="E960" s="30"/>
      <c r="F960" s="30"/>
      <c r="G960" s="30"/>
      <c r="H960" s="30"/>
      <c r="I960" s="30"/>
      <c r="J960" s="30"/>
      <c r="K960" s="30"/>
      <c r="L960" s="30"/>
      <c r="M960" s="30"/>
      <c r="N960" s="75"/>
      <c r="O960" s="75"/>
      <c r="P960" s="30"/>
    </row>
    <row r="961">
      <c r="B961" s="161"/>
      <c r="C961" s="30"/>
      <c r="D961" s="30"/>
      <c r="E961" s="30"/>
      <c r="F961" s="30"/>
      <c r="G961" s="30"/>
      <c r="H961" s="30"/>
      <c r="I961" s="30"/>
      <c r="J961" s="30"/>
      <c r="K961" s="30"/>
      <c r="L961" s="30"/>
      <c r="M961" s="30"/>
      <c r="N961" s="75"/>
      <c r="O961" s="75"/>
      <c r="P961" s="30"/>
    </row>
    <row r="962">
      <c r="B962" s="161"/>
      <c r="C962" s="30"/>
      <c r="D962" s="30"/>
      <c r="E962" s="30"/>
      <c r="F962" s="30"/>
      <c r="G962" s="30"/>
      <c r="H962" s="30"/>
      <c r="I962" s="30"/>
      <c r="J962" s="30"/>
      <c r="K962" s="30"/>
      <c r="L962" s="30"/>
      <c r="M962" s="30"/>
      <c r="N962" s="75"/>
      <c r="O962" s="75"/>
      <c r="P962" s="30"/>
    </row>
    <row r="963">
      <c r="B963" s="161"/>
      <c r="C963" s="30"/>
      <c r="D963" s="30"/>
      <c r="E963" s="30"/>
      <c r="F963" s="30"/>
      <c r="G963" s="30"/>
      <c r="H963" s="30"/>
      <c r="I963" s="30"/>
      <c r="J963" s="30"/>
      <c r="K963" s="30"/>
      <c r="L963" s="30"/>
      <c r="M963" s="30"/>
      <c r="N963" s="75"/>
      <c r="O963" s="75"/>
      <c r="P963" s="30"/>
    </row>
    <row r="964">
      <c r="B964" s="161"/>
      <c r="C964" s="30"/>
      <c r="D964" s="30"/>
      <c r="E964" s="30"/>
      <c r="F964" s="30"/>
      <c r="G964" s="30"/>
      <c r="H964" s="30"/>
      <c r="I964" s="30"/>
      <c r="J964" s="30"/>
      <c r="K964" s="30"/>
      <c r="L964" s="30"/>
      <c r="M964" s="30"/>
      <c r="N964" s="75"/>
      <c r="O964" s="75"/>
      <c r="P964" s="30"/>
    </row>
    <row r="965">
      <c r="B965" s="161"/>
      <c r="C965" s="30"/>
      <c r="D965" s="30"/>
      <c r="E965" s="30"/>
      <c r="F965" s="30"/>
      <c r="G965" s="30"/>
      <c r="H965" s="30"/>
      <c r="I965" s="30"/>
      <c r="J965" s="30"/>
      <c r="K965" s="30"/>
      <c r="L965" s="30"/>
      <c r="M965" s="30"/>
      <c r="N965" s="75"/>
      <c r="O965" s="75"/>
      <c r="P965" s="30"/>
    </row>
    <row r="966">
      <c r="B966" s="161"/>
      <c r="C966" s="30"/>
      <c r="D966" s="30"/>
      <c r="E966" s="30"/>
      <c r="F966" s="30"/>
      <c r="G966" s="30"/>
      <c r="H966" s="30"/>
      <c r="I966" s="30"/>
      <c r="J966" s="30"/>
      <c r="K966" s="30"/>
      <c r="L966" s="30"/>
      <c r="M966" s="30"/>
      <c r="N966" s="75"/>
      <c r="O966" s="75"/>
      <c r="P966" s="30"/>
    </row>
    <row r="967">
      <c r="B967" s="161"/>
      <c r="C967" s="30"/>
      <c r="D967" s="30"/>
      <c r="E967" s="30"/>
      <c r="F967" s="30"/>
      <c r="G967" s="30"/>
      <c r="H967" s="30"/>
      <c r="I967" s="30"/>
      <c r="J967" s="30"/>
      <c r="K967" s="30"/>
      <c r="L967" s="30"/>
      <c r="M967" s="30"/>
      <c r="N967" s="75"/>
      <c r="O967" s="75"/>
      <c r="P967" s="30"/>
    </row>
    <row r="968">
      <c r="B968" s="161"/>
      <c r="C968" s="30"/>
      <c r="D968" s="30"/>
      <c r="E968" s="30"/>
      <c r="F968" s="30"/>
      <c r="G968" s="30"/>
      <c r="H968" s="30"/>
      <c r="I968" s="30"/>
      <c r="J968" s="30"/>
      <c r="K968" s="30"/>
      <c r="L968" s="30"/>
      <c r="M968" s="30"/>
      <c r="N968" s="75"/>
      <c r="O968" s="75"/>
      <c r="P968" s="30"/>
    </row>
    <row r="969">
      <c r="B969" s="161"/>
      <c r="C969" s="30"/>
      <c r="D969" s="30"/>
      <c r="E969" s="30"/>
      <c r="F969" s="30"/>
      <c r="G969" s="30"/>
      <c r="H969" s="30"/>
      <c r="I969" s="30"/>
      <c r="J969" s="30"/>
      <c r="K969" s="30"/>
      <c r="L969" s="30"/>
      <c r="M969" s="30"/>
      <c r="N969" s="75"/>
      <c r="O969" s="75"/>
      <c r="P969" s="30"/>
    </row>
    <row r="970">
      <c r="B970" s="161"/>
      <c r="C970" s="30"/>
      <c r="D970" s="30"/>
      <c r="E970" s="30"/>
      <c r="F970" s="30"/>
      <c r="G970" s="30"/>
      <c r="H970" s="30"/>
      <c r="I970" s="30"/>
      <c r="J970" s="30"/>
      <c r="K970" s="30"/>
      <c r="L970" s="30"/>
      <c r="M970" s="30"/>
      <c r="N970" s="75"/>
      <c r="O970" s="75"/>
      <c r="P970" s="30"/>
    </row>
    <row r="971">
      <c r="B971" s="161"/>
      <c r="C971" s="30"/>
      <c r="D971" s="30"/>
      <c r="E971" s="30"/>
      <c r="F971" s="30"/>
      <c r="G971" s="30"/>
      <c r="H971" s="30"/>
      <c r="I971" s="30"/>
      <c r="J971" s="30"/>
      <c r="K971" s="30"/>
      <c r="L971" s="30"/>
      <c r="M971" s="30"/>
      <c r="N971" s="75"/>
      <c r="O971" s="75"/>
      <c r="P971" s="30"/>
    </row>
    <row r="972">
      <c r="B972" s="161"/>
      <c r="C972" s="30"/>
      <c r="D972" s="30"/>
      <c r="E972" s="30"/>
      <c r="F972" s="30"/>
      <c r="G972" s="30"/>
      <c r="H972" s="30"/>
      <c r="I972" s="30"/>
      <c r="J972" s="30"/>
      <c r="K972" s="30"/>
      <c r="L972" s="30"/>
      <c r="M972" s="30"/>
      <c r="N972" s="75"/>
      <c r="O972" s="75"/>
      <c r="P972" s="30"/>
    </row>
    <row r="973">
      <c r="B973" s="161"/>
      <c r="C973" s="30"/>
      <c r="D973" s="30"/>
      <c r="E973" s="30"/>
      <c r="F973" s="30"/>
      <c r="G973" s="30"/>
      <c r="H973" s="30"/>
      <c r="I973" s="30"/>
      <c r="J973" s="30"/>
      <c r="K973" s="30"/>
      <c r="L973" s="30"/>
      <c r="M973" s="30"/>
      <c r="N973" s="75"/>
      <c r="O973" s="75"/>
      <c r="P973" s="30"/>
    </row>
    <row r="974">
      <c r="B974" s="161"/>
      <c r="C974" s="30"/>
      <c r="D974" s="30"/>
      <c r="E974" s="30"/>
      <c r="F974" s="30"/>
      <c r="G974" s="30"/>
      <c r="H974" s="30"/>
      <c r="I974" s="30"/>
      <c r="J974" s="30"/>
      <c r="K974" s="30"/>
      <c r="L974" s="30"/>
      <c r="M974" s="30"/>
      <c r="N974" s="75"/>
      <c r="O974" s="75"/>
      <c r="P974" s="30"/>
    </row>
    <row r="975">
      <c r="B975" s="161"/>
      <c r="C975" s="30"/>
      <c r="D975" s="30"/>
      <c r="E975" s="30"/>
      <c r="F975" s="30"/>
      <c r="G975" s="30"/>
      <c r="H975" s="30"/>
      <c r="I975" s="30"/>
      <c r="J975" s="30"/>
      <c r="K975" s="30"/>
      <c r="L975" s="30"/>
      <c r="M975" s="30"/>
      <c r="N975" s="75"/>
      <c r="O975" s="75"/>
      <c r="P975" s="30"/>
    </row>
    <row r="976">
      <c r="B976" s="161"/>
      <c r="C976" s="30"/>
      <c r="D976" s="30"/>
      <c r="E976" s="30"/>
      <c r="F976" s="30"/>
      <c r="G976" s="30"/>
      <c r="H976" s="30"/>
      <c r="I976" s="30"/>
      <c r="J976" s="30"/>
      <c r="K976" s="30"/>
      <c r="L976" s="30"/>
      <c r="M976" s="30"/>
      <c r="N976" s="75"/>
      <c r="O976" s="75"/>
      <c r="P976" s="30"/>
    </row>
    <row r="977">
      <c r="B977" s="161"/>
      <c r="C977" s="30"/>
      <c r="D977" s="30"/>
      <c r="E977" s="30"/>
      <c r="F977" s="30"/>
      <c r="G977" s="30"/>
      <c r="H977" s="30"/>
      <c r="I977" s="30"/>
      <c r="J977" s="30"/>
      <c r="K977" s="30"/>
      <c r="L977" s="30"/>
      <c r="M977" s="30"/>
      <c r="N977" s="75"/>
      <c r="O977" s="75"/>
      <c r="P977" s="30"/>
    </row>
    <row r="978">
      <c r="B978" s="161"/>
      <c r="C978" s="30"/>
      <c r="D978" s="30"/>
      <c r="E978" s="30"/>
      <c r="F978" s="30"/>
      <c r="G978" s="30"/>
      <c r="H978" s="30"/>
      <c r="I978" s="30"/>
      <c r="J978" s="30"/>
      <c r="K978" s="30"/>
      <c r="L978" s="30"/>
      <c r="M978" s="30"/>
      <c r="N978" s="75"/>
      <c r="O978" s="75"/>
      <c r="P978" s="30"/>
    </row>
    <row r="979">
      <c r="B979" s="161"/>
      <c r="C979" s="30"/>
      <c r="D979" s="30"/>
      <c r="E979" s="30"/>
      <c r="F979" s="30"/>
      <c r="G979" s="30"/>
      <c r="H979" s="30"/>
      <c r="I979" s="30"/>
      <c r="J979" s="30"/>
      <c r="K979" s="30"/>
      <c r="L979" s="30"/>
      <c r="M979" s="30"/>
      <c r="N979" s="75"/>
      <c r="O979" s="75"/>
      <c r="P979" s="30"/>
    </row>
    <row r="980">
      <c r="B980" s="161"/>
      <c r="C980" s="30"/>
      <c r="D980" s="30"/>
      <c r="E980" s="30"/>
      <c r="F980" s="30"/>
      <c r="G980" s="30"/>
      <c r="H980" s="30"/>
      <c r="I980" s="30"/>
      <c r="J980" s="30"/>
      <c r="K980" s="30"/>
      <c r="L980" s="30"/>
      <c r="M980" s="30"/>
      <c r="N980" s="75"/>
      <c r="O980" s="75"/>
      <c r="P980" s="30"/>
    </row>
    <row r="981">
      <c r="B981" s="161"/>
      <c r="C981" s="30"/>
      <c r="D981" s="30"/>
      <c r="E981" s="30"/>
      <c r="F981" s="30"/>
      <c r="G981" s="30"/>
      <c r="H981" s="30"/>
      <c r="I981" s="30"/>
      <c r="J981" s="30"/>
      <c r="K981" s="30"/>
      <c r="L981" s="30"/>
      <c r="M981" s="30"/>
      <c r="N981" s="75"/>
      <c r="O981" s="75"/>
      <c r="P981" s="30"/>
    </row>
    <row r="982">
      <c r="B982" s="161"/>
      <c r="C982" s="30"/>
      <c r="D982" s="30"/>
      <c r="E982" s="30"/>
      <c r="F982" s="30"/>
      <c r="G982" s="30"/>
      <c r="H982" s="30"/>
      <c r="I982" s="30"/>
      <c r="J982" s="30"/>
      <c r="K982" s="30"/>
      <c r="L982" s="30"/>
      <c r="M982" s="30"/>
      <c r="N982" s="75"/>
      <c r="O982" s="75"/>
      <c r="P982" s="30"/>
    </row>
    <row r="983">
      <c r="B983" s="161"/>
      <c r="C983" s="30"/>
      <c r="D983" s="30"/>
      <c r="E983" s="30"/>
      <c r="F983" s="30"/>
      <c r="G983" s="30"/>
      <c r="H983" s="30"/>
      <c r="I983" s="30"/>
      <c r="J983" s="30"/>
      <c r="K983" s="30"/>
      <c r="L983" s="30"/>
      <c r="M983" s="30"/>
      <c r="N983" s="75"/>
      <c r="O983" s="75"/>
      <c r="P983" s="30"/>
    </row>
    <row r="984">
      <c r="B984" s="161"/>
      <c r="C984" s="30"/>
      <c r="D984" s="30"/>
      <c r="E984" s="30"/>
      <c r="F984" s="30"/>
      <c r="G984" s="30"/>
      <c r="H984" s="30"/>
      <c r="I984" s="30"/>
      <c r="J984" s="30"/>
      <c r="K984" s="30"/>
      <c r="L984" s="30"/>
      <c r="M984" s="30"/>
      <c r="N984" s="75"/>
      <c r="O984" s="75"/>
      <c r="P984" s="30"/>
    </row>
    <row r="985">
      <c r="B985" s="161"/>
      <c r="C985" s="30"/>
      <c r="D985" s="30"/>
      <c r="E985" s="30"/>
      <c r="F985" s="30"/>
      <c r="G985" s="30"/>
      <c r="H985" s="30"/>
      <c r="I985" s="30"/>
      <c r="J985" s="30"/>
      <c r="K985" s="30"/>
      <c r="L985" s="30"/>
      <c r="M985" s="30"/>
      <c r="N985" s="75"/>
      <c r="O985" s="75"/>
      <c r="P985" s="30"/>
    </row>
    <row r="986">
      <c r="B986" s="161"/>
      <c r="C986" s="30"/>
      <c r="D986" s="30"/>
      <c r="E986" s="30"/>
      <c r="F986" s="30"/>
      <c r="G986" s="30"/>
      <c r="H986" s="30"/>
      <c r="I986" s="30"/>
      <c r="J986" s="30"/>
      <c r="K986" s="30"/>
      <c r="L986" s="30"/>
      <c r="M986" s="30"/>
      <c r="N986" s="75"/>
      <c r="O986" s="75"/>
      <c r="P986" s="30"/>
    </row>
    <row r="987">
      <c r="B987" s="161"/>
      <c r="C987" s="30"/>
      <c r="D987" s="30"/>
      <c r="E987" s="30"/>
      <c r="F987" s="30"/>
      <c r="G987" s="30"/>
      <c r="H987" s="30"/>
      <c r="I987" s="30"/>
      <c r="J987" s="30"/>
      <c r="K987" s="30"/>
      <c r="L987" s="30"/>
      <c r="M987" s="30"/>
      <c r="N987" s="75"/>
      <c r="O987" s="75"/>
      <c r="P987" s="30"/>
    </row>
    <row r="988">
      <c r="B988" s="161"/>
      <c r="C988" s="30"/>
      <c r="D988" s="30"/>
      <c r="E988" s="30"/>
      <c r="F988" s="30"/>
      <c r="G988" s="30"/>
      <c r="H988" s="30"/>
      <c r="I988" s="30"/>
      <c r="J988" s="30"/>
      <c r="K988" s="30"/>
      <c r="L988" s="30"/>
      <c r="M988" s="30"/>
      <c r="N988" s="75"/>
      <c r="O988" s="75"/>
      <c r="P988" s="30"/>
    </row>
    <row r="989">
      <c r="B989" s="161"/>
      <c r="C989" s="30"/>
      <c r="D989" s="30"/>
      <c r="E989" s="30"/>
      <c r="F989" s="30"/>
      <c r="G989" s="30"/>
      <c r="H989" s="30"/>
      <c r="I989" s="30"/>
      <c r="J989" s="30"/>
      <c r="K989" s="30"/>
      <c r="L989" s="30"/>
      <c r="M989" s="30"/>
      <c r="N989" s="75"/>
      <c r="O989" s="75"/>
      <c r="P989" s="30"/>
    </row>
    <row r="990">
      <c r="B990" s="161"/>
      <c r="C990" s="30"/>
      <c r="D990" s="30"/>
      <c r="E990" s="30"/>
      <c r="F990" s="30"/>
      <c r="G990" s="30"/>
      <c r="H990" s="30"/>
      <c r="I990" s="30"/>
      <c r="J990" s="30"/>
      <c r="K990" s="30"/>
      <c r="L990" s="30"/>
      <c r="M990" s="30"/>
      <c r="N990" s="75"/>
      <c r="O990" s="75"/>
      <c r="P990" s="30"/>
    </row>
    <row r="991">
      <c r="B991" s="161"/>
      <c r="C991" s="30"/>
      <c r="D991" s="30"/>
      <c r="E991" s="30"/>
      <c r="F991" s="30"/>
      <c r="G991" s="30"/>
      <c r="H991" s="30"/>
      <c r="I991" s="30"/>
      <c r="J991" s="30"/>
      <c r="K991" s="30"/>
      <c r="L991" s="30"/>
      <c r="M991" s="30"/>
      <c r="N991" s="75"/>
      <c r="O991" s="75"/>
      <c r="P991" s="30"/>
    </row>
    <row r="992">
      <c r="B992" s="161"/>
      <c r="C992" s="30"/>
      <c r="D992" s="30"/>
      <c r="E992" s="30"/>
      <c r="F992" s="30"/>
      <c r="G992" s="30"/>
      <c r="H992" s="30"/>
      <c r="I992" s="30"/>
      <c r="J992" s="30"/>
      <c r="K992" s="30"/>
      <c r="L992" s="30"/>
      <c r="M992" s="30"/>
      <c r="N992" s="75"/>
      <c r="O992" s="75"/>
      <c r="P992" s="30"/>
    </row>
    <row r="993">
      <c r="B993" s="161"/>
      <c r="C993" s="30"/>
      <c r="D993" s="30"/>
      <c r="E993" s="30"/>
      <c r="F993" s="30"/>
      <c r="G993" s="30"/>
      <c r="H993" s="30"/>
      <c r="I993" s="30"/>
      <c r="J993" s="30"/>
      <c r="K993" s="30"/>
      <c r="L993" s="30"/>
      <c r="M993" s="30"/>
      <c r="N993" s="75"/>
      <c r="O993" s="75"/>
      <c r="P993" s="30"/>
    </row>
    <row r="994">
      <c r="B994" s="161"/>
      <c r="C994" s="30"/>
      <c r="D994" s="30"/>
      <c r="E994" s="30"/>
      <c r="F994" s="30"/>
      <c r="G994" s="30"/>
      <c r="H994" s="30"/>
      <c r="I994" s="30"/>
      <c r="J994" s="30"/>
      <c r="K994" s="30"/>
      <c r="L994" s="30"/>
      <c r="M994" s="30"/>
      <c r="N994" s="75"/>
      <c r="O994" s="75"/>
      <c r="P994" s="30"/>
    </row>
    <row r="995">
      <c r="B995" s="161"/>
      <c r="C995" s="30"/>
      <c r="D995" s="30"/>
      <c r="E995" s="30"/>
      <c r="F995" s="30"/>
      <c r="G995" s="30"/>
      <c r="H995" s="30"/>
      <c r="I995" s="30"/>
      <c r="J995" s="30"/>
      <c r="K995" s="30"/>
      <c r="L995" s="30"/>
      <c r="M995" s="30"/>
      <c r="N995" s="75"/>
      <c r="O995" s="75"/>
      <c r="P995" s="30"/>
    </row>
    <row r="996">
      <c r="B996" s="161"/>
      <c r="C996" s="30"/>
      <c r="D996" s="30"/>
      <c r="E996" s="30"/>
      <c r="F996" s="30"/>
      <c r="G996" s="30"/>
      <c r="H996" s="30"/>
      <c r="I996" s="30"/>
      <c r="J996" s="30"/>
      <c r="K996" s="30"/>
      <c r="L996" s="30"/>
      <c r="M996" s="30"/>
      <c r="N996" s="75"/>
      <c r="O996" s="75"/>
      <c r="P996" s="30"/>
    </row>
    <row r="997">
      <c r="B997" s="161"/>
      <c r="C997" s="30"/>
      <c r="D997" s="30"/>
      <c r="E997" s="30"/>
      <c r="F997" s="30"/>
      <c r="G997" s="30"/>
      <c r="H997" s="30"/>
      <c r="I997" s="30"/>
      <c r="J997" s="30"/>
      <c r="K997" s="30"/>
      <c r="L997" s="30"/>
      <c r="M997" s="30"/>
      <c r="N997" s="75"/>
      <c r="O997" s="75"/>
      <c r="P997" s="30"/>
    </row>
    <row r="998">
      <c r="B998" s="161"/>
      <c r="C998" s="30"/>
      <c r="D998" s="30"/>
      <c r="E998" s="30"/>
      <c r="F998" s="30"/>
      <c r="G998" s="30"/>
      <c r="H998" s="30"/>
      <c r="I998" s="30"/>
      <c r="J998" s="30"/>
      <c r="K998" s="30"/>
      <c r="L998" s="30"/>
      <c r="M998" s="30"/>
      <c r="N998" s="75"/>
      <c r="O998" s="75"/>
      <c r="P998" s="30"/>
    </row>
    <row r="999">
      <c r="B999" s="161"/>
      <c r="C999" s="30"/>
      <c r="D999" s="30"/>
      <c r="E999" s="30"/>
      <c r="F999" s="30"/>
      <c r="G999" s="30"/>
      <c r="H999" s="30"/>
      <c r="I999" s="30"/>
      <c r="J999" s="30"/>
      <c r="K999" s="30"/>
      <c r="L999" s="30"/>
      <c r="M999" s="30"/>
      <c r="N999" s="75"/>
      <c r="O999" s="75"/>
      <c r="P999" s="30"/>
    </row>
    <row r="1000">
      <c r="B1000" s="161"/>
      <c r="C1000" s="30"/>
      <c r="D1000" s="30"/>
      <c r="E1000" s="30"/>
      <c r="F1000" s="30"/>
      <c r="G1000" s="30"/>
      <c r="H1000" s="30"/>
      <c r="I1000" s="30"/>
      <c r="J1000" s="30"/>
      <c r="K1000" s="30"/>
      <c r="L1000" s="30"/>
      <c r="M1000" s="30"/>
      <c r="N1000" s="75"/>
      <c r="O1000" s="75"/>
      <c r="P1000" s="30"/>
    </row>
    <row r="1001">
      <c r="B1001" s="161"/>
      <c r="C1001" s="30"/>
      <c r="D1001" s="30"/>
      <c r="E1001" s="30"/>
      <c r="F1001" s="30"/>
      <c r="G1001" s="30"/>
      <c r="H1001" s="30"/>
      <c r="I1001" s="30"/>
      <c r="J1001" s="30"/>
      <c r="K1001" s="30"/>
      <c r="L1001" s="30"/>
      <c r="M1001" s="30"/>
      <c r="N1001" s="75"/>
      <c r="O1001" s="75"/>
      <c r="P1001" s="30"/>
    </row>
    <row r="1002">
      <c r="B1002" s="161"/>
      <c r="C1002" s="30"/>
      <c r="D1002" s="30"/>
      <c r="E1002" s="30"/>
      <c r="F1002" s="30"/>
      <c r="G1002" s="30"/>
      <c r="H1002" s="30"/>
      <c r="I1002" s="30"/>
      <c r="J1002" s="30"/>
      <c r="K1002" s="30"/>
      <c r="L1002" s="30"/>
      <c r="M1002" s="30"/>
      <c r="N1002" s="75"/>
      <c r="O1002" s="75"/>
      <c r="P1002" s="30"/>
    </row>
    <row r="1003">
      <c r="B1003" s="161"/>
      <c r="C1003" s="30"/>
      <c r="D1003" s="30"/>
      <c r="E1003" s="30"/>
      <c r="F1003" s="30"/>
      <c r="G1003" s="30"/>
      <c r="H1003" s="30"/>
      <c r="I1003" s="30"/>
      <c r="J1003" s="30"/>
      <c r="K1003" s="30"/>
      <c r="L1003" s="30"/>
      <c r="M1003" s="30"/>
      <c r="N1003" s="75"/>
      <c r="O1003" s="75"/>
      <c r="P1003" s="30"/>
    </row>
  </sheetData>
  <mergeCells count="7">
    <mergeCell ref="A1:A3"/>
    <mergeCell ref="B1:M1"/>
    <mergeCell ref="B2:B3"/>
    <mergeCell ref="C2:I2"/>
    <mergeCell ref="J2:L2"/>
    <mergeCell ref="M2:M3"/>
    <mergeCell ref="P2:Q2"/>
  </mergeCells>
  <conditionalFormatting sqref="H4:H33">
    <cfRule type="expression" dxfId="1" priority="1">
      <formula>N4=1</formula>
    </cfRule>
  </conditionalFormatting>
  <hyperlinks>
    <hyperlink r:id="rId1" ref="Q10"/>
    <hyperlink r:id="rId2" ref="Q21"/>
    <hyperlink r:id="rId3" ref="Q32"/>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75"/>
    <col customWidth="1" min="2" max="2" width="4.38"/>
    <col customWidth="1" min="3" max="3" width="4.88"/>
    <col customWidth="1" min="4" max="4" width="4.63"/>
    <col customWidth="1" min="5" max="5" width="4.75"/>
    <col customWidth="1" min="6" max="6" width="13.13"/>
    <col customWidth="1" min="7" max="7" width="16.63"/>
  </cols>
  <sheetData>
    <row r="1">
      <c r="A1" s="81" t="s">
        <v>5947</v>
      </c>
    </row>
    <row r="2">
      <c r="A2" s="85" t="s">
        <v>16</v>
      </c>
      <c r="B2" s="81" t="s">
        <v>38</v>
      </c>
      <c r="C2" s="81" t="s">
        <v>5934</v>
      </c>
      <c r="D2" s="81" t="s">
        <v>5935</v>
      </c>
      <c r="E2" s="81" t="s">
        <v>4774</v>
      </c>
      <c r="F2" s="81" t="s">
        <v>5948</v>
      </c>
      <c r="G2" s="81" t="s">
        <v>5949</v>
      </c>
    </row>
    <row r="3">
      <c r="A3" s="13" t="s">
        <v>761</v>
      </c>
      <c r="B3" s="11">
        <f>COUNTIFS('TJ List'!O:O,A3,'TJ List'!D:D,"MLB")</f>
        <v>147</v>
      </c>
      <c r="C3" s="30">
        <f>COUNTIFS('TJ List'!O:O,A3,'TJ List'!D:D,"AAA")+COUNTIFS('TJ List'!O:O,A3,'TJ List'!D:D,"AA")+COUNTIFS('TJ List'!O:O,A3,'TJ List'!D:D,"A+")+COUNTIFS('TJ List'!O:O,A3,'TJ List'!D:D,"A")+COUNTIFS('TJ List'!O:O,A3,'TJ List'!D:D,"A-")+COUNTIFS('TJ List'!O:O,A3,'TJ List'!D:D,"Rk")</f>
        <v>64</v>
      </c>
      <c r="D3" s="30">
        <f>COUNTIFS('TJ List'!O:O,A3,'TJ List'!D:D,"Coll")+COUNTIFS('TJ List'!O:O,A3,'TJ List'!D:D,"HS")</f>
        <v>38</v>
      </c>
      <c r="E3" s="30">
        <f t="shared" ref="E3:E46" si="1">SUM(B3:D3)</f>
        <v>249</v>
      </c>
      <c r="F3" s="166">
        <f>IF(COUNTIFS('TJ List'!$O:$O,A3,'TJ List'!$B:$B,"&lt;"&amp;$B$49,'TJ List'!$D:$D,"MLB")&gt;0,COUNTIFS('TJ List'!$O:$O,A3,'TJ List'!$B:$B,"&lt;"&amp;$B$49,'TJ List'!$D:$D,"MLB",'TJ List'!$K:$K,"&gt;0")/COUNTIFS('TJ List'!$O:$O,A3,'TJ List'!$B:$B,"&lt;"&amp;$B$49,'TJ List'!$D:$D,"MLB"),"N/A")</f>
        <v>0.8299319728</v>
      </c>
      <c r="G3" s="166">
        <f>COUNTIFS('Repeat TJ List'!E:E,A3)/E3</f>
        <v>0.09236947791</v>
      </c>
    </row>
    <row r="4">
      <c r="A4" s="19" t="s">
        <v>42</v>
      </c>
      <c r="B4" s="21">
        <f>COUNTIFS('TJ List'!O:O,A4,'TJ List'!D:D,"MLB")</f>
        <v>97</v>
      </c>
      <c r="C4" s="28">
        <f>COUNTIFS('TJ List'!O:O,A4,'TJ List'!D:D,"AAA")+COUNTIFS('TJ List'!O:O,A4,'TJ List'!D:D,"AA")+COUNTIFS('TJ List'!O:O,A4,'TJ List'!D:D,"A+")+COUNTIFS('TJ List'!O:O,A4,'TJ List'!D:D,"A")+COUNTIFS('TJ List'!O:O,A4,'TJ List'!D:D,"A-")+COUNTIFS('TJ List'!O:O,A4,'TJ List'!D:D,"Rk")</f>
        <v>64</v>
      </c>
      <c r="D4" s="28">
        <f>COUNTIFS('TJ List'!O:O,A4,'TJ List'!D:D,"Coll")+COUNTIFS('TJ List'!O:O,A4,'TJ List'!D:D,"HS")</f>
        <v>6</v>
      </c>
      <c r="E4" s="28">
        <f t="shared" si="1"/>
        <v>167</v>
      </c>
      <c r="F4" s="167">
        <f>IF(COUNTIFS('TJ List'!$O:$O,A4,'TJ List'!$B:$B,"&lt;"&amp;$B$49,'TJ List'!$D:$D,"MLB")&gt;0,COUNTIFS('TJ List'!$O:$O,A4,'TJ List'!$B:$B,"&lt;"&amp;$B$49,'TJ List'!$D:$D,"MLB",'TJ List'!$K:$K,"&gt;0")/COUNTIFS('TJ List'!$O:$O,A4,'TJ List'!$B:$B,"&lt;"&amp;$B$49,'TJ List'!$D:$D,"MLB"),"N/A")</f>
        <v>0.8333333333</v>
      </c>
      <c r="G4" s="167">
        <f>COUNTIFS('Repeat TJ List'!E:E,A4)/E4</f>
        <v>0.04790419162</v>
      </c>
      <c r="H4" s="24"/>
      <c r="I4" s="24"/>
      <c r="J4" s="24"/>
      <c r="K4" s="24"/>
      <c r="L4" s="24"/>
      <c r="M4" s="24"/>
      <c r="N4" s="24"/>
      <c r="O4" s="24"/>
      <c r="P4" s="24"/>
      <c r="Q4" s="24"/>
      <c r="R4" s="24"/>
      <c r="S4" s="24"/>
      <c r="T4" s="24"/>
      <c r="U4" s="24"/>
      <c r="V4" s="24"/>
      <c r="W4" s="24"/>
      <c r="X4" s="24"/>
      <c r="Y4" s="24"/>
      <c r="Z4" s="24"/>
    </row>
    <row r="5">
      <c r="A5" s="13" t="s">
        <v>3309</v>
      </c>
      <c r="B5" s="11">
        <f>COUNTIFS('TJ List'!O:O,A5,'TJ List'!D:D,"MLB")</f>
        <v>71</v>
      </c>
      <c r="C5" s="30">
        <f>COUNTIFS('TJ List'!O:O,A5,'TJ List'!D:D,"AAA")+COUNTIFS('TJ List'!O:O,A5,'TJ List'!D:D,"AA")+COUNTIFS('TJ List'!O:O,A5,'TJ List'!D:D,"A+")+COUNTIFS('TJ List'!O:O,A5,'TJ List'!D:D,"A")+COUNTIFS('TJ List'!O:O,A5,'TJ List'!D:D,"A-")+COUNTIFS('TJ List'!O:O,A5,'TJ List'!D:D,"Rk")</f>
        <v>11</v>
      </c>
      <c r="D5" s="30">
        <f>COUNTIFS('TJ List'!O:O,A5,'TJ List'!D:D,"Coll")+COUNTIFS('TJ List'!O:O,A5,'TJ List'!D:D,"HS")</f>
        <v>4</v>
      </c>
      <c r="E5" s="30">
        <f t="shared" si="1"/>
        <v>86</v>
      </c>
      <c r="F5" s="166">
        <f>IF(COUNTIFS('TJ List'!$O:$O,A5,'TJ List'!$B:$B,"&lt;"&amp;$B$49,'TJ List'!$D:$D,"MLB")&gt;0,COUNTIFS('TJ List'!$O:$O,A5,'TJ List'!$B:$B,"&lt;"&amp;$B$49,'TJ List'!$D:$D,"MLB",'TJ List'!$K:$K,"&gt;0")/COUNTIFS('TJ List'!$O:$O,A5,'TJ List'!$B:$B,"&lt;"&amp;$B$49,'TJ List'!$D:$D,"MLB"),"N/A")</f>
        <v>0.8169014085</v>
      </c>
      <c r="G5" s="166">
        <f>COUNTIFS('Repeat TJ List'!E:E,A5)/E5</f>
        <v>0.1279069767</v>
      </c>
    </row>
    <row r="6">
      <c r="A6" s="13" t="s">
        <v>69</v>
      </c>
      <c r="B6" s="11">
        <f>COUNTIFS('TJ List'!O:O,A6,'TJ List'!D:D,"MLB")</f>
        <v>66</v>
      </c>
      <c r="C6" s="30">
        <f>COUNTIFS('TJ List'!O:O,A6,'TJ List'!D:D,"AAA")+COUNTIFS('TJ List'!O:O,A6,'TJ List'!D:D,"AA")+COUNTIFS('TJ List'!O:O,A6,'TJ List'!D:D,"A+")+COUNTIFS('TJ List'!O:O,A6,'TJ List'!D:D,"A")+COUNTIFS('TJ List'!O:O,A6,'TJ List'!D:D,"A-")+COUNTIFS('TJ List'!O:O,A6,'TJ List'!D:D,"Rk")</f>
        <v>29</v>
      </c>
      <c r="D6" s="30">
        <f>COUNTIFS('TJ List'!O:O,A6,'TJ List'!D:D,"Coll")+COUNTIFS('TJ List'!O:O,A6,'TJ List'!D:D,"HS")</f>
        <v>7</v>
      </c>
      <c r="E6" s="30">
        <f t="shared" si="1"/>
        <v>102</v>
      </c>
      <c r="F6" s="166">
        <f>IF(COUNTIFS('TJ List'!$O:$O,A6,'TJ List'!$B:$B,"&lt;"&amp;$B$49,'TJ List'!$D:$D,"MLB")&gt;0,COUNTIFS('TJ List'!$O:$O,A6,'TJ List'!$B:$B,"&lt;"&amp;$B$49,'TJ List'!$D:$D,"MLB",'TJ List'!$K:$K,"&gt;0")/COUNTIFS('TJ List'!$O:$O,A6,'TJ List'!$B:$B,"&lt;"&amp;$B$49,'TJ List'!$D:$D,"MLB"),"N/A")</f>
        <v>0.8548387097</v>
      </c>
      <c r="G6" s="166">
        <f>COUNTIFS('Repeat TJ List'!E:E,A6)/E6</f>
        <v>0.05882352941</v>
      </c>
    </row>
    <row r="7">
      <c r="A7" s="13" t="s">
        <v>1407</v>
      </c>
      <c r="B7" s="11">
        <f>COUNTIFS('TJ List'!O:O,A7,'TJ List'!D:D,"MLB")</f>
        <v>37</v>
      </c>
      <c r="C7" s="30">
        <f>COUNTIFS('TJ List'!O:O,A7,'TJ List'!D:D,"AAA")+COUNTIFS('TJ List'!O:O,A7,'TJ List'!D:D,"AA")+COUNTIFS('TJ List'!O:O,A7,'TJ List'!D:D,"A+")+COUNTIFS('TJ List'!O:O,A7,'TJ List'!D:D,"A")+COUNTIFS('TJ List'!O:O,A7,'TJ List'!D:D,"A-")+COUNTIFS('TJ List'!O:O,A7,'TJ List'!D:D,"Rk")</f>
        <v>21</v>
      </c>
      <c r="D7" s="30">
        <f>COUNTIFS('TJ List'!O:O,A7,'TJ List'!D:D,"Coll")+COUNTIFS('TJ List'!O:O,A7,'TJ List'!D:D,"HS")</f>
        <v>3</v>
      </c>
      <c r="E7" s="30">
        <f t="shared" si="1"/>
        <v>61</v>
      </c>
      <c r="F7" s="166">
        <f>IF(COUNTIFS('TJ List'!$O:$O,A7,'TJ List'!$B:$B,"&lt;"&amp;$B$49,'TJ List'!$D:$D,"MLB")&gt;0,COUNTIFS('TJ List'!$O:$O,A7,'TJ List'!$B:$B,"&lt;"&amp;$B$49,'TJ List'!$D:$D,"MLB",'TJ List'!$K:$K,"&gt;0")/COUNTIFS('TJ List'!$O:$O,A7,'TJ List'!$B:$B,"&lt;"&amp;$B$49,'TJ List'!$D:$D,"MLB"),"N/A")</f>
        <v>0.7567567568</v>
      </c>
      <c r="G7" s="166">
        <f>COUNTIFS('Repeat TJ List'!E:E,A7)/E7</f>
        <v>0.1147540984</v>
      </c>
    </row>
    <row r="8">
      <c r="A8" s="13" t="s">
        <v>355</v>
      </c>
      <c r="B8" s="11">
        <f>COUNTIFS('TJ List'!O:O,A8,'TJ List'!D:D,"MLB")</f>
        <v>32</v>
      </c>
      <c r="C8" s="30">
        <f>COUNTIFS('TJ List'!O:O,A8,'TJ List'!D:D,"AAA")+COUNTIFS('TJ List'!O:O,A8,'TJ List'!D:D,"AA")+COUNTIFS('TJ List'!O:O,A8,'TJ List'!D:D,"A+")+COUNTIFS('TJ List'!O:O,A8,'TJ List'!D:D,"A")+COUNTIFS('TJ List'!O:O,A8,'TJ List'!D:D,"A-")+COUNTIFS('TJ List'!O:O,A8,'TJ List'!D:D,"Rk")</f>
        <v>9</v>
      </c>
      <c r="D8" s="30">
        <f>COUNTIFS('TJ List'!O:O,A8,'TJ List'!D:D,"Coll")+COUNTIFS('TJ List'!O:O,A8,'TJ List'!D:D,"HS")</f>
        <v>8</v>
      </c>
      <c r="E8" s="30">
        <f t="shared" si="1"/>
        <v>49</v>
      </c>
      <c r="F8" s="166">
        <f>IF(COUNTIFS('TJ List'!$O:$O,A8,'TJ List'!$B:$B,"&lt;"&amp;$B$49,'TJ List'!$D:$D,"MLB")&gt;0,COUNTIFS('TJ List'!$O:$O,A8,'TJ List'!$B:$B,"&lt;"&amp;$B$49,'TJ List'!$D:$D,"MLB",'TJ List'!$K:$K,"&gt;0")/COUNTIFS('TJ List'!$O:$O,A8,'TJ List'!$B:$B,"&lt;"&amp;$B$49,'TJ List'!$D:$D,"MLB"),"N/A")</f>
        <v>0.75</v>
      </c>
      <c r="G8" s="166">
        <f>COUNTIFS('Repeat TJ List'!E:E,A8)/E8</f>
        <v>0.08163265306</v>
      </c>
    </row>
    <row r="9">
      <c r="A9" s="13" t="s">
        <v>4062</v>
      </c>
      <c r="B9" s="11">
        <f>COUNTIFS('TJ List'!O:O,A9,'TJ List'!D:D,"MLB")</f>
        <v>30</v>
      </c>
      <c r="C9" s="30">
        <f>COUNTIFS('TJ List'!O:O,A9,'TJ List'!D:D,"AAA")+COUNTIFS('TJ List'!O:O,A9,'TJ List'!D:D,"AA")+COUNTIFS('TJ List'!O:O,A9,'TJ List'!D:D,"A+")+COUNTIFS('TJ List'!O:O,A9,'TJ List'!D:D,"A")+COUNTIFS('TJ List'!O:O,A9,'TJ List'!D:D,"A-")+COUNTIFS('TJ List'!O:O,A9,'TJ List'!D:D,"Rk")</f>
        <v>5</v>
      </c>
      <c r="D9" s="30">
        <f>COUNTIFS('TJ List'!O:O,A9,'TJ List'!D:D,"Coll")+COUNTIFS('TJ List'!O:O,A9,'TJ List'!D:D,"HS")</f>
        <v>2</v>
      </c>
      <c r="E9" s="30">
        <f t="shared" si="1"/>
        <v>37</v>
      </c>
      <c r="F9" s="166">
        <f>IF(COUNTIFS('TJ List'!$O:$O,A9,'TJ List'!$B:$B,"&lt;"&amp;$B$49,'TJ List'!$D:$D,"MLB")&gt;0,COUNTIFS('TJ List'!$O:$O,A9,'TJ List'!$B:$B,"&lt;"&amp;$B$49,'TJ List'!$D:$D,"MLB",'TJ List'!$K:$K,"&gt;0")/COUNTIFS('TJ List'!$O:$O,A9,'TJ List'!$B:$B,"&lt;"&amp;$B$49,'TJ List'!$D:$D,"MLB"),"N/A")</f>
        <v>0.7666666667</v>
      </c>
      <c r="G9" s="166">
        <f>COUNTIFS('Repeat TJ List'!E:E,A9)/E9</f>
        <v>0.08108108108</v>
      </c>
    </row>
    <row r="10">
      <c r="A10" s="13" t="s">
        <v>1332</v>
      </c>
      <c r="B10" s="11">
        <f>COUNTIFS('TJ List'!O:O,A10,'TJ List'!D:D,"MLB")</f>
        <v>17</v>
      </c>
      <c r="C10" s="30">
        <f>COUNTIFS('TJ List'!O:O,A10,'TJ List'!D:D,"AAA")+COUNTIFS('TJ List'!O:O,A10,'TJ List'!D:D,"AA")+COUNTIFS('TJ List'!O:O,A10,'TJ List'!D:D,"A+")+COUNTIFS('TJ List'!O:O,A10,'TJ List'!D:D,"A")+COUNTIFS('TJ List'!O:O,A10,'TJ List'!D:D,"A-")+COUNTIFS('TJ List'!O:O,A10,'TJ List'!D:D,"Rk")</f>
        <v>3</v>
      </c>
      <c r="D10" s="30">
        <f>COUNTIFS('TJ List'!O:O,A10,'TJ List'!D:D,"Coll")+COUNTIFS('TJ List'!O:O,A10,'TJ List'!D:D,"HS")</f>
        <v>1</v>
      </c>
      <c r="E10" s="30">
        <f t="shared" si="1"/>
        <v>21</v>
      </c>
      <c r="F10" s="166">
        <f>IF(COUNTIFS('TJ List'!$O:$O,A10,'TJ List'!$B:$B,"&lt;"&amp;$B$49,'TJ List'!$D:$D,"MLB")&gt;0,COUNTIFS('TJ List'!$O:$O,A10,'TJ List'!$B:$B,"&lt;"&amp;$B$49,'TJ List'!$D:$D,"MLB",'TJ List'!$K:$K,"&gt;0")/COUNTIFS('TJ List'!$O:$O,A10,'TJ List'!$B:$B,"&lt;"&amp;$B$49,'TJ List'!$D:$D,"MLB"),"N/A")</f>
        <v>0.8823529412</v>
      </c>
      <c r="G10" s="166">
        <f>COUNTIFS('Repeat TJ List'!E:E,A10)/E10</f>
        <v>0.1428571429</v>
      </c>
    </row>
    <row r="11">
      <c r="A11" s="13" t="s">
        <v>2059</v>
      </c>
      <c r="B11" s="11">
        <f>COUNTIFS('TJ List'!O:O,A11,'TJ List'!D:D,"MLB")</f>
        <v>8</v>
      </c>
      <c r="C11" s="30">
        <f>COUNTIFS('TJ List'!O:O,A11,'TJ List'!D:D,"AAA")+COUNTIFS('TJ List'!O:O,A11,'TJ List'!D:D,"AA")+COUNTIFS('TJ List'!O:O,A11,'TJ List'!D:D,"A+")+COUNTIFS('TJ List'!O:O,A11,'TJ List'!D:D,"A")+COUNTIFS('TJ List'!O:O,A11,'TJ List'!D:D,"A-")+COUNTIFS('TJ List'!O:O,A11,'TJ List'!D:D,"Rk")</f>
        <v>3</v>
      </c>
      <c r="D11" s="30">
        <f>COUNTIFS('TJ List'!O:O,A11,'TJ List'!D:D,"Coll")+COUNTIFS('TJ List'!O:O,A11,'TJ List'!D:D,"HS")</f>
        <v>0</v>
      </c>
      <c r="E11" s="30">
        <f t="shared" si="1"/>
        <v>11</v>
      </c>
      <c r="F11" s="166">
        <f>IF(COUNTIFS('TJ List'!$O:$O,A11,'TJ List'!$B:$B,"&lt;"&amp;$B$49,'TJ List'!$D:$D,"MLB")&gt;0,COUNTIFS('TJ List'!$O:$O,A11,'TJ List'!$B:$B,"&lt;"&amp;$B$49,'TJ List'!$D:$D,"MLB",'TJ List'!$K:$K,"&gt;0")/COUNTIFS('TJ List'!$O:$O,A11,'TJ List'!$B:$B,"&lt;"&amp;$B$49,'TJ List'!$D:$D,"MLB"),"N/A")</f>
        <v>0.75</v>
      </c>
      <c r="G11" s="166">
        <f>COUNTIFS('Repeat TJ List'!E:E,A11)/E11</f>
        <v>0.09090909091</v>
      </c>
    </row>
    <row r="12">
      <c r="A12" s="13" t="s">
        <v>494</v>
      </c>
      <c r="B12" s="11">
        <f>COUNTIFS('TJ List'!O:O,A12,'TJ List'!D:D,"MLB")</f>
        <v>6</v>
      </c>
      <c r="C12" s="30">
        <f>COUNTIFS('TJ List'!O:O,A12,'TJ List'!D:D,"AAA")+COUNTIFS('TJ List'!O:O,A12,'TJ List'!D:D,"AA")+COUNTIFS('TJ List'!O:O,A12,'TJ List'!D:D,"A+")+COUNTIFS('TJ List'!O:O,A12,'TJ List'!D:D,"A")+COUNTIFS('TJ List'!O:O,A12,'TJ List'!D:D,"A-")+COUNTIFS('TJ List'!O:O,A12,'TJ List'!D:D,"Rk")</f>
        <v>6</v>
      </c>
      <c r="D12" s="30">
        <f>COUNTIFS('TJ List'!O:O,A12,'TJ List'!D:D,"Coll")+COUNTIFS('TJ List'!O:O,A12,'TJ List'!D:D,"HS")</f>
        <v>2</v>
      </c>
      <c r="E12" s="30">
        <f t="shared" si="1"/>
        <v>14</v>
      </c>
      <c r="F12" s="166">
        <f>IF(COUNTIFS('TJ List'!$O:$O,A12,'TJ List'!$B:$B,"&lt;"&amp;$B$49,'TJ List'!$D:$D,"MLB")&gt;0,COUNTIFS('TJ List'!$O:$O,A12,'TJ List'!$B:$B,"&lt;"&amp;$B$49,'TJ List'!$D:$D,"MLB",'TJ List'!$K:$K,"&gt;0")/COUNTIFS('TJ List'!$O:$O,A12,'TJ List'!$B:$B,"&lt;"&amp;$B$49,'TJ List'!$D:$D,"MLB"),"N/A")</f>
        <v>0.8333333333</v>
      </c>
      <c r="G12" s="166">
        <f>COUNTIFS('Repeat TJ List'!E:E,A12)/E12</f>
        <v>0.1428571429</v>
      </c>
    </row>
    <row r="13">
      <c r="A13" s="13" t="s">
        <v>603</v>
      </c>
      <c r="B13" s="11">
        <f>COUNTIFS('TJ List'!O:O,A13,'TJ List'!D:D,"MLB")</f>
        <v>4</v>
      </c>
      <c r="C13" s="30">
        <f>COUNTIFS('TJ List'!O:O,A13,'TJ List'!D:D,"AAA")+COUNTIFS('TJ List'!O:O,A13,'TJ List'!D:D,"AA")+COUNTIFS('TJ List'!O:O,A13,'TJ List'!D:D,"A+")+COUNTIFS('TJ List'!O:O,A13,'TJ List'!D:D,"A")+COUNTIFS('TJ List'!O:O,A13,'TJ List'!D:D,"A-")+COUNTIFS('TJ List'!O:O,A13,'TJ List'!D:D,"Rk")</f>
        <v>1</v>
      </c>
      <c r="D13" s="30">
        <f>COUNTIFS('TJ List'!O:O,A13,'TJ List'!D:D,"Coll")+COUNTIFS('TJ List'!O:O,A13,'TJ List'!D:D,"HS")</f>
        <v>0</v>
      </c>
      <c r="E13" s="30">
        <f t="shared" si="1"/>
        <v>5</v>
      </c>
      <c r="F13" s="166">
        <f>IF(COUNTIFS('TJ List'!$O:$O,A13,'TJ List'!$B:$B,"&lt;"&amp;$B$49,'TJ List'!$D:$D,"MLB")&gt;0,COUNTIFS('TJ List'!$O:$O,A13,'TJ List'!$B:$B,"&lt;"&amp;$B$49,'TJ List'!$D:$D,"MLB",'TJ List'!$K:$K,"&gt;0")/COUNTIFS('TJ List'!$O:$O,A13,'TJ List'!$B:$B,"&lt;"&amp;$B$49,'TJ List'!$D:$D,"MLB"),"N/A")</f>
        <v>1</v>
      </c>
      <c r="G13" s="166">
        <f>COUNTIFS('Repeat TJ List'!E:E,A13)/E13</f>
        <v>0</v>
      </c>
    </row>
    <row r="14">
      <c r="A14" s="13" t="s">
        <v>2896</v>
      </c>
      <c r="B14" s="11">
        <f>COUNTIFS('TJ List'!O:O,A14,'TJ List'!D:D,"MLB")</f>
        <v>3</v>
      </c>
      <c r="C14" s="30">
        <f>COUNTIFS('TJ List'!O:O,A14,'TJ List'!D:D,"AAA")+COUNTIFS('TJ List'!O:O,A14,'TJ List'!D:D,"AA")+COUNTIFS('TJ List'!O:O,A14,'TJ List'!D:D,"A+")+COUNTIFS('TJ List'!O:O,A14,'TJ List'!D:D,"A")+COUNTIFS('TJ List'!O:O,A14,'TJ List'!D:D,"A-")+COUNTIFS('TJ List'!O:O,A14,'TJ List'!D:D,"Rk")</f>
        <v>1</v>
      </c>
      <c r="D14" s="30">
        <f>COUNTIFS('TJ List'!O:O,A14,'TJ List'!D:D,"Coll")+COUNTIFS('TJ List'!O:O,A14,'TJ List'!D:D,"HS")</f>
        <v>0</v>
      </c>
      <c r="E14" s="30">
        <f t="shared" si="1"/>
        <v>4</v>
      </c>
      <c r="F14" s="166">
        <f>IF(COUNTIFS('TJ List'!$O:$O,A14,'TJ List'!$B:$B,"&lt;"&amp;$B$49,'TJ List'!$D:$D,"MLB")&gt;0,COUNTIFS('TJ List'!$O:$O,A14,'TJ List'!$B:$B,"&lt;"&amp;$B$49,'TJ List'!$D:$D,"MLB",'TJ List'!$K:$K,"&gt;0")/COUNTIFS('TJ List'!$O:$O,A14,'TJ List'!$B:$B,"&lt;"&amp;$B$49,'TJ List'!$D:$D,"MLB"),"N/A")</f>
        <v>0.3333333333</v>
      </c>
      <c r="G14" s="166">
        <f>COUNTIFS('Repeat TJ List'!E:E,A14)/E14</f>
        <v>0</v>
      </c>
    </row>
    <row r="15">
      <c r="A15" s="13" t="s">
        <v>2884</v>
      </c>
      <c r="B15" s="11">
        <f>COUNTIFS('TJ List'!O:O,A15,'TJ List'!D:D,"MLB")</f>
        <v>2</v>
      </c>
      <c r="C15" s="30">
        <f>COUNTIFS('TJ List'!O:O,A15,'TJ List'!D:D,"AAA")+COUNTIFS('TJ List'!O:O,A15,'TJ List'!D:D,"AA")+COUNTIFS('TJ List'!O:O,A15,'TJ List'!D:D,"A+")+COUNTIFS('TJ List'!O:O,A15,'TJ List'!D:D,"A")+COUNTIFS('TJ List'!O:O,A15,'TJ List'!D:D,"A-")+COUNTIFS('TJ List'!O:O,A15,'TJ List'!D:D,"Rk")</f>
        <v>2</v>
      </c>
      <c r="D15" s="30">
        <f>COUNTIFS('TJ List'!O:O,A15,'TJ List'!D:D,"Coll")+COUNTIFS('TJ List'!O:O,A15,'TJ List'!D:D,"HS")</f>
        <v>0</v>
      </c>
      <c r="E15" s="30">
        <f t="shared" si="1"/>
        <v>4</v>
      </c>
      <c r="F15" s="166">
        <f>IF(COUNTIFS('TJ List'!$O:$O,A15,'TJ List'!$B:$B,"&lt;"&amp;$B$49,'TJ List'!$D:$D,"MLB")&gt;0,COUNTIFS('TJ List'!$O:$O,A15,'TJ List'!$B:$B,"&lt;"&amp;$B$49,'TJ List'!$D:$D,"MLB",'TJ List'!$K:$K,"&gt;0")/COUNTIFS('TJ List'!$O:$O,A15,'TJ List'!$B:$B,"&lt;"&amp;$B$49,'TJ List'!$D:$D,"MLB"),"N/A")</f>
        <v>1</v>
      </c>
      <c r="G15" s="166">
        <f>COUNTIFS('Repeat TJ List'!E:E,A15)/E15</f>
        <v>0</v>
      </c>
    </row>
    <row r="16">
      <c r="A16" s="13" t="s">
        <v>2929</v>
      </c>
      <c r="B16" s="11">
        <f>COUNTIFS('TJ List'!O:O,A16,'TJ List'!D:D,"MLB")</f>
        <v>2</v>
      </c>
      <c r="C16" s="30">
        <f>COUNTIFS('TJ List'!O:O,A16,'TJ List'!D:D,"AAA")+COUNTIFS('TJ List'!O:O,A16,'TJ List'!D:D,"AA")+COUNTIFS('TJ List'!O:O,A16,'TJ List'!D:D,"A+")+COUNTIFS('TJ List'!O:O,A16,'TJ List'!D:D,"A")+COUNTIFS('TJ List'!O:O,A16,'TJ List'!D:D,"A-")+COUNTIFS('TJ List'!O:O,A16,'TJ List'!D:D,"Rk")</f>
        <v>0</v>
      </c>
      <c r="D16" s="30">
        <f>COUNTIFS('TJ List'!O:O,A16,'TJ List'!D:D,"Coll")+COUNTIFS('TJ List'!O:O,A16,'TJ List'!D:D,"HS")</f>
        <v>0</v>
      </c>
      <c r="E16" s="30">
        <f t="shared" si="1"/>
        <v>2</v>
      </c>
      <c r="F16" s="166">
        <f>IF(COUNTIFS('TJ List'!$O:$O,A16,'TJ List'!$B:$B,"&lt;"&amp;$B$49,'TJ List'!$D:$D,"MLB")&gt;0,COUNTIFS('TJ List'!$O:$O,A16,'TJ List'!$B:$B,"&lt;"&amp;$B$49,'TJ List'!$D:$D,"MLB",'TJ List'!$K:$K,"&gt;0")/COUNTIFS('TJ List'!$O:$O,A16,'TJ List'!$B:$B,"&lt;"&amp;$B$49,'TJ List'!$D:$D,"MLB"),"N/A")</f>
        <v>1</v>
      </c>
      <c r="G16" s="166">
        <f>COUNTIFS('Repeat TJ List'!E:E,A16)/E16</f>
        <v>0</v>
      </c>
    </row>
    <row r="17">
      <c r="A17" s="13" t="s">
        <v>106</v>
      </c>
      <c r="B17" s="11">
        <f>COUNTIFS('TJ List'!O:O,A17,'TJ List'!D:D,"MLB")</f>
        <v>2</v>
      </c>
      <c r="C17" s="30">
        <f>COUNTIFS('TJ List'!O:O,A17,'TJ List'!D:D,"AAA")+COUNTIFS('TJ List'!O:O,A17,'TJ List'!D:D,"AA")+COUNTIFS('TJ List'!O:O,A17,'TJ List'!D:D,"A+")+COUNTIFS('TJ List'!O:O,A17,'TJ List'!D:D,"A")+COUNTIFS('TJ List'!O:O,A17,'TJ List'!D:D,"A-")+COUNTIFS('TJ List'!O:O,A17,'TJ List'!D:D,"Rk")</f>
        <v>1</v>
      </c>
      <c r="D17" s="30">
        <f>COUNTIFS('TJ List'!O:O,A17,'TJ List'!D:D,"Coll")+COUNTIFS('TJ List'!O:O,A17,'TJ List'!D:D,"HS")</f>
        <v>0</v>
      </c>
      <c r="E17" s="30">
        <f t="shared" si="1"/>
        <v>3</v>
      </c>
      <c r="F17" s="166">
        <f>IF(COUNTIFS('TJ List'!$O:$O,A17,'TJ List'!$B:$B,"&lt;"&amp;$B$49,'TJ List'!$D:$D,"MLB")&gt;0,COUNTIFS('TJ List'!$O:$O,A17,'TJ List'!$B:$B,"&lt;"&amp;$B$49,'TJ List'!$D:$D,"MLB",'TJ List'!$K:$K,"&gt;0")/COUNTIFS('TJ List'!$O:$O,A17,'TJ List'!$B:$B,"&lt;"&amp;$B$49,'TJ List'!$D:$D,"MLB"),"N/A")</f>
        <v>0.5</v>
      </c>
      <c r="G17" s="166">
        <f>COUNTIFS('Repeat TJ List'!E:E,A17)/E17</f>
        <v>0</v>
      </c>
    </row>
    <row r="18">
      <c r="A18" s="13" t="s">
        <v>335</v>
      </c>
      <c r="B18" s="11">
        <f>COUNTIFS('TJ List'!O:O,A18,'TJ List'!D:D,"MLB")</f>
        <v>1</v>
      </c>
      <c r="C18" s="30">
        <f>COUNTIFS('TJ List'!O:O,A18,'TJ List'!D:D,"AAA")+COUNTIFS('TJ List'!O:O,A18,'TJ List'!D:D,"AA")+COUNTIFS('TJ List'!O:O,A18,'TJ List'!D:D,"A+")+COUNTIFS('TJ List'!O:O,A18,'TJ List'!D:D,"A")+COUNTIFS('TJ List'!O:O,A18,'TJ List'!D:D,"A-")+COUNTIFS('TJ List'!O:O,A18,'TJ List'!D:D,"Rk")</f>
        <v>2</v>
      </c>
      <c r="D18" s="30">
        <f>COUNTIFS('TJ List'!O:O,A18,'TJ List'!D:D,"Coll")+COUNTIFS('TJ List'!O:O,A18,'TJ List'!D:D,"HS")</f>
        <v>0</v>
      </c>
      <c r="E18" s="30">
        <f t="shared" si="1"/>
        <v>3</v>
      </c>
      <c r="F18" s="166">
        <f>IF(COUNTIFS('TJ List'!$O:$O,A18,'TJ List'!$B:$B,"&lt;"&amp;$B$49,'TJ List'!$D:$D,"MLB")&gt;0,COUNTIFS('TJ List'!$O:$O,A18,'TJ List'!$B:$B,"&lt;"&amp;$B$49,'TJ List'!$D:$D,"MLB",'TJ List'!$K:$K,"&gt;0")/COUNTIFS('TJ List'!$O:$O,A18,'TJ List'!$B:$B,"&lt;"&amp;$B$49,'TJ List'!$D:$D,"MLB"),"N/A")</f>
        <v>1</v>
      </c>
      <c r="G18" s="166">
        <f>COUNTIFS('Repeat TJ List'!E:E,A18)/E18</f>
        <v>0</v>
      </c>
    </row>
    <row r="19">
      <c r="A19" s="13" t="s">
        <v>662</v>
      </c>
      <c r="B19" s="11">
        <f>COUNTIFS('TJ List'!O:O,A19,'TJ List'!D:D,"MLB")</f>
        <v>1</v>
      </c>
      <c r="C19" s="30">
        <f>COUNTIFS('TJ List'!O:O,A19,'TJ List'!D:D,"AAA")+COUNTIFS('TJ List'!O:O,A19,'TJ List'!D:D,"AA")+COUNTIFS('TJ List'!O:O,A19,'TJ List'!D:D,"A+")+COUNTIFS('TJ List'!O:O,A19,'TJ List'!D:D,"A")+COUNTIFS('TJ List'!O:O,A19,'TJ List'!D:D,"A-")+COUNTIFS('TJ List'!O:O,A19,'TJ List'!D:D,"Rk")</f>
        <v>5</v>
      </c>
      <c r="D19" s="30">
        <f>COUNTIFS('TJ List'!O:O,A19,'TJ List'!D:D,"Coll")+COUNTIFS('TJ List'!O:O,A19,'TJ List'!D:D,"HS")</f>
        <v>1</v>
      </c>
      <c r="E19" s="30">
        <f t="shared" si="1"/>
        <v>7</v>
      </c>
      <c r="F19" s="166">
        <f>IF(COUNTIFS('TJ List'!$O:$O,A19,'TJ List'!$B:$B,"&lt;"&amp;$B$49,'TJ List'!$D:$D,"MLB")&gt;0,COUNTIFS('TJ List'!$O:$O,A19,'TJ List'!$B:$B,"&lt;"&amp;$B$49,'TJ List'!$D:$D,"MLB",'TJ List'!$K:$K,"&gt;0")/COUNTIFS('TJ List'!$O:$O,A19,'TJ List'!$B:$B,"&lt;"&amp;$B$49,'TJ List'!$D:$D,"MLB"),"N/A")</f>
        <v>0</v>
      </c>
      <c r="G19" s="166">
        <f>COUNTIFS('Repeat TJ List'!E:E,A19)/E19</f>
        <v>0</v>
      </c>
    </row>
    <row r="20">
      <c r="A20" s="13" t="s">
        <v>1422</v>
      </c>
      <c r="B20" s="11">
        <f>COUNTIFS('TJ List'!O:O,A20,'TJ List'!D:D,"MLB")</f>
        <v>1</v>
      </c>
      <c r="C20" s="30">
        <f>COUNTIFS('TJ List'!O:O,A20,'TJ List'!D:D,"AAA")+COUNTIFS('TJ List'!O:O,A20,'TJ List'!D:D,"AA")+COUNTIFS('TJ List'!O:O,A20,'TJ List'!D:D,"A+")+COUNTIFS('TJ List'!O:O,A20,'TJ List'!D:D,"A")+COUNTIFS('TJ List'!O:O,A20,'TJ List'!D:D,"A-")+COUNTIFS('TJ List'!O:O,A20,'TJ List'!D:D,"Rk")</f>
        <v>2</v>
      </c>
      <c r="D20" s="30">
        <f>COUNTIFS('TJ List'!O:O,A20,'TJ List'!D:D,"Coll")+COUNTIFS('TJ List'!O:O,A20,'TJ List'!D:D,"HS")</f>
        <v>0</v>
      </c>
      <c r="E20" s="30">
        <f t="shared" si="1"/>
        <v>3</v>
      </c>
      <c r="F20" s="166">
        <f>IF(COUNTIFS('TJ List'!$O:$O,A20,'TJ List'!$B:$B,"&lt;"&amp;$B$49,'TJ List'!$D:$D,"MLB")&gt;0,COUNTIFS('TJ List'!$O:$O,A20,'TJ List'!$B:$B,"&lt;"&amp;$B$49,'TJ List'!$D:$D,"MLB",'TJ List'!$K:$K,"&gt;0")/COUNTIFS('TJ List'!$O:$O,A20,'TJ List'!$B:$B,"&lt;"&amp;$B$49,'TJ List'!$D:$D,"MLB"),"N/A")</f>
        <v>1</v>
      </c>
      <c r="G20" s="166">
        <f>COUNTIFS('Repeat TJ List'!E:E,A20)/E20</f>
        <v>0</v>
      </c>
    </row>
    <row r="21">
      <c r="A21" s="13" t="s">
        <v>1591</v>
      </c>
      <c r="B21" s="11">
        <f>COUNTIFS('TJ List'!O:O,A21,'TJ List'!D:D,"MLB")</f>
        <v>1</v>
      </c>
      <c r="C21" s="30">
        <f>COUNTIFS('TJ List'!O:O,A21,'TJ List'!D:D,"AAA")+COUNTIFS('TJ List'!O:O,A21,'TJ List'!D:D,"AA")+COUNTIFS('TJ List'!O:O,A21,'TJ List'!D:D,"A+")+COUNTIFS('TJ List'!O:O,A21,'TJ List'!D:D,"A")+COUNTIFS('TJ List'!O:O,A21,'TJ List'!D:D,"A-")+COUNTIFS('TJ List'!O:O,A21,'TJ List'!D:D,"Rk")</f>
        <v>2</v>
      </c>
      <c r="D21" s="30">
        <f>COUNTIFS('TJ List'!O:O,A21,'TJ List'!D:D,"Coll")+COUNTIFS('TJ List'!O:O,A21,'TJ List'!D:D,"HS")</f>
        <v>0</v>
      </c>
      <c r="E21" s="30">
        <f t="shared" si="1"/>
        <v>3</v>
      </c>
      <c r="F21" s="166">
        <f>IF(COUNTIFS('TJ List'!$O:$O,A21,'TJ List'!$B:$B,"&lt;"&amp;$B$49,'TJ List'!$D:$D,"MLB")&gt;0,COUNTIFS('TJ List'!$O:$O,A21,'TJ List'!$B:$B,"&lt;"&amp;$B$49,'TJ List'!$D:$D,"MLB",'TJ List'!$K:$K,"&gt;0")/COUNTIFS('TJ List'!$O:$O,A21,'TJ List'!$B:$B,"&lt;"&amp;$B$49,'TJ List'!$D:$D,"MLB"),"N/A")</f>
        <v>0</v>
      </c>
      <c r="G21" s="166">
        <f>COUNTIFS('Repeat TJ List'!E:E,A21)/E21</f>
        <v>0</v>
      </c>
    </row>
    <row r="22">
      <c r="A22" s="13" t="s">
        <v>3534</v>
      </c>
      <c r="B22" s="11">
        <f>COUNTIFS('TJ List'!O:O,A22,'TJ List'!D:D,"MLB")</f>
        <v>1</v>
      </c>
      <c r="C22" s="30">
        <f>COUNTIFS('TJ List'!O:O,A22,'TJ List'!D:D,"AAA")+COUNTIFS('TJ List'!O:O,A22,'TJ List'!D:D,"AA")+COUNTIFS('TJ List'!O:O,A22,'TJ List'!D:D,"A+")+COUNTIFS('TJ List'!O:O,A22,'TJ List'!D:D,"A")+COUNTIFS('TJ List'!O:O,A22,'TJ List'!D:D,"A-")+COUNTIFS('TJ List'!O:O,A22,'TJ List'!D:D,"Rk")</f>
        <v>1</v>
      </c>
      <c r="D22" s="30">
        <f>COUNTIFS('TJ List'!O:O,A22,'TJ List'!D:D,"Coll")+COUNTIFS('TJ List'!O:O,A22,'TJ List'!D:D,"HS")</f>
        <v>0</v>
      </c>
      <c r="E22" s="30">
        <f t="shared" si="1"/>
        <v>2</v>
      </c>
      <c r="F22" s="166">
        <f>IF(COUNTIFS('TJ List'!$O:$O,A22,'TJ List'!$B:$B,"&lt;"&amp;$B$49,'TJ List'!$D:$D,"MLB")&gt;0,COUNTIFS('TJ List'!$O:$O,A22,'TJ List'!$B:$B,"&lt;"&amp;$B$49,'TJ List'!$D:$D,"MLB",'TJ List'!$K:$K,"&gt;0")/COUNTIFS('TJ List'!$O:$O,A22,'TJ List'!$B:$B,"&lt;"&amp;$B$49,'TJ List'!$D:$D,"MLB"),"N/A")</f>
        <v>1</v>
      </c>
      <c r="G22" s="166">
        <f>COUNTIFS('Repeat TJ List'!E:E,A22)/E22</f>
        <v>0</v>
      </c>
    </row>
    <row r="23">
      <c r="A23" s="13" t="s">
        <v>3998</v>
      </c>
      <c r="B23" s="11">
        <f>COUNTIFS('TJ List'!O:O,A23,'TJ List'!D:D,"MLB")</f>
        <v>1</v>
      </c>
      <c r="C23" s="30">
        <f>COUNTIFS('TJ List'!O:O,A23,'TJ List'!D:D,"AAA")+COUNTIFS('TJ List'!O:O,A23,'TJ List'!D:D,"AA")+COUNTIFS('TJ List'!O:O,A23,'TJ List'!D:D,"A+")+COUNTIFS('TJ List'!O:O,A23,'TJ List'!D:D,"A")+COUNTIFS('TJ List'!O:O,A23,'TJ List'!D:D,"A-")+COUNTIFS('TJ List'!O:O,A23,'TJ List'!D:D,"Rk")</f>
        <v>0</v>
      </c>
      <c r="D23" s="30">
        <f>COUNTIFS('TJ List'!O:O,A23,'TJ List'!D:D,"Coll")+COUNTIFS('TJ List'!O:O,A23,'TJ List'!D:D,"HS")</f>
        <v>0</v>
      </c>
      <c r="E23" s="30">
        <f t="shared" si="1"/>
        <v>1</v>
      </c>
      <c r="F23" s="166">
        <f>IF(COUNTIFS('TJ List'!$O:$O,A23,'TJ List'!$B:$B,"&lt;"&amp;$B$49,'TJ List'!$D:$D,"MLB")&gt;0,COUNTIFS('TJ List'!$O:$O,A23,'TJ List'!$B:$B,"&lt;"&amp;$B$49,'TJ List'!$D:$D,"MLB",'TJ List'!$K:$K,"&gt;0")/COUNTIFS('TJ List'!$O:$O,A23,'TJ List'!$B:$B,"&lt;"&amp;$B$49,'TJ List'!$D:$D,"MLB"),"N/A")</f>
        <v>1</v>
      </c>
      <c r="G23" s="166">
        <f>COUNTIFS('Repeat TJ List'!E:E,A23)/E23</f>
        <v>0</v>
      </c>
    </row>
    <row r="24">
      <c r="A24" s="13" t="s">
        <v>4379</v>
      </c>
      <c r="B24" s="11">
        <f>COUNTIFS('TJ List'!O:O,A24,'TJ List'!D:D,"MLB")</f>
        <v>1</v>
      </c>
      <c r="C24" s="30">
        <f>COUNTIFS('TJ List'!O:O,A24,'TJ List'!D:D,"AAA")+COUNTIFS('TJ List'!O:O,A24,'TJ List'!D:D,"AA")+COUNTIFS('TJ List'!O:O,A24,'TJ List'!D:D,"A+")+COUNTIFS('TJ List'!O:O,A24,'TJ List'!D:D,"A")+COUNTIFS('TJ List'!O:O,A24,'TJ List'!D:D,"A-")+COUNTIFS('TJ List'!O:O,A24,'TJ List'!D:D,"Rk")</f>
        <v>0</v>
      </c>
      <c r="D24" s="30">
        <f>COUNTIFS('TJ List'!O:O,A24,'TJ List'!D:D,"Coll")+COUNTIFS('TJ List'!O:O,A24,'TJ List'!D:D,"HS")</f>
        <v>0</v>
      </c>
      <c r="E24" s="30">
        <f t="shared" si="1"/>
        <v>1</v>
      </c>
      <c r="F24" s="166">
        <f>IF(COUNTIFS('TJ List'!$O:$O,A24,'TJ List'!$B:$B,"&lt;"&amp;$B$49,'TJ List'!$D:$D,"MLB")&gt;0,COUNTIFS('TJ List'!$O:$O,A24,'TJ List'!$B:$B,"&lt;"&amp;$B$49,'TJ List'!$D:$D,"MLB",'TJ List'!$K:$K,"&gt;0")/COUNTIFS('TJ List'!$O:$O,A24,'TJ List'!$B:$B,"&lt;"&amp;$B$49,'TJ List'!$D:$D,"MLB"),"N/A")</f>
        <v>1</v>
      </c>
      <c r="G24" s="166">
        <f>COUNTIFS('Repeat TJ List'!E:E,A24)/E24</f>
        <v>0</v>
      </c>
    </row>
    <row r="25">
      <c r="A25" s="13" t="s">
        <v>4425</v>
      </c>
      <c r="B25" s="11">
        <f>COUNTIFS('TJ List'!O:O,A25,'TJ List'!D:D,"MLB")</f>
        <v>1</v>
      </c>
      <c r="C25" s="30">
        <f>COUNTIFS('TJ List'!O:O,A25,'TJ List'!D:D,"AAA")+COUNTIFS('TJ List'!O:O,A25,'TJ List'!D:D,"AA")+COUNTIFS('TJ List'!O:O,A25,'TJ List'!D:D,"A+")+COUNTIFS('TJ List'!O:O,A25,'TJ List'!D:D,"A")+COUNTIFS('TJ List'!O:O,A25,'TJ List'!D:D,"A-")+COUNTIFS('TJ List'!O:O,A25,'TJ List'!D:D,"Rk")</f>
        <v>0</v>
      </c>
      <c r="D25" s="30">
        <f>COUNTIFS('TJ List'!O:O,A25,'TJ List'!D:D,"Coll")+COUNTIFS('TJ List'!O:O,A25,'TJ List'!D:D,"HS")</f>
        <v>0</v>
      </c>
      <c r="E25" s="30">
        <f t="shared" si="1"/>
        <v>1</v>
      </c>
      <c r="F25" s="166">
        <f>IF(COUNTIFS('TJ List'!$O:$O,A25,'TJ List'!$B:$B,"&lt;"&amp;$B$49,'TJ List'!$D:$D,"MLB")&gt;0,COUNTIFS('TJ List'!$O:$O,A25,'TJ List'!$B:$B,"&lt;"&amp;$B$49,'TJ List'!$D:$D,"MLB",'TJ List'!$K:$K,"&gt;0")/COUNTIFS('TJ List'!$O:$O,A25,'TJ List'!$B:$B,"&lt;"&amp;$B$49,'TJ List'!$D:$D,"MLB"),"N/A")</f>
        <v>1</v>
      </c>
      <c r="G25" s="166">
        <f>COUNTIFS('Repeat TJ List'!E:E,A25)/E25</f>
        <v>0</v>
      </c>
    </row>
    <row r="26">
      <c r="A26" s="13" t="s">
        <v>3857</v>
      </c>
      <c r="B26" s="11">
        <f>COUNTIFS('TJ List'!O:O,A26,'TJ List'!D:D,"MLB")</f>
        <v>1</v>
      </c>
      <c r="C26" s="30">
        <f>COUNTIFS('TJ List'!O:O,A26,'TJ List'!D:D,"AAA")+COUNTIFS('TJ List'!O:O,A26,'TJ List'!D:D,"AA")+COUNTIFS('TJ List'!O:O,A26,'TJ List'!D:D,"A+")+COUNTIFS('TJ List'!O:O,A26,'TJ List'!D:D,"A")+COUNTIFS('TJ List'!O:O,A26,'TJ List'!D:D,"A-")+COUNTIFS('TJ List'!O:O,A26,'TJ List'!D:D,"Rk")</f>
        <v>0</v>
      </c>
      <c r="D26" s="30">
        <f>COUNTIFS('TJ List'!O:O,A26,'TJ List'!D:D,"Coll")+COUNTIFS('TJ List'!O:O,A26,'TJ List'!D:D,"HS")</f>
        <v>0</v>
      </c>
      <c r="E26" s="30">
        <f t="shared" si="1"/>
        <v>1</v>
      </c>
      <c r="F26" s="166">
        <f>IF(COUNTIFS('TJ List'!$O:$O,A26,'TJ List'!$B:$B,"&lt;"&amp;$B$49,'TJ List'!$D:$D,"MLB")&gt;0,COUNTIFS('TJ List'!$O:$O,A26,'TJ List'!$B:$B,"&lt;"&amp;$B$49,'TJ List'!$D:$D,"MLB",'TJ List'!$K:$K,"&gt;0")/COUNTIFS('TJ List'!$O:$O,A26,'TJ List'!$B:$B,"&lt;"&amp;$B$49,'TJ List'!$D:$D,"MLB"),"N/A")</f>
        <v>0</v>
      </c>
      <c r="G26" s="166">
        <f>COUNTIFS('Repeat TJ List'!E:E,A26)/E26</f>
        <v>0</v>
      </c>
    </row>
    <row r="27">
      <c r="A27" s="13" t="s">
        <v>1031</v>
      </c>
      <c r="B27" s="11">
        <f>COUNTIFS('TJ List'!O:O,A27,'TJ List'!D:D,"MLB")</f>
        <v>0</v>
      </c>
      <c r="C27" s="30">
        <f>COUNTIFS('TJ List'!O:O,A27,'TJ List'!D:D,"AAA")+COUNTIFS('TJ List'!O:O,A27,'TJ List'!D:D,"AA")+COUNTIFS('TJ List'!O:O,A27,'TJ List'!D:D,"A+")+COUNTIFS('TJ List'!O:O,A27,'TJ List'!D:D,"A")+COUNTIFS('TJ List'!O:O,A27,'TJ List'!D:D,"A-")+COUNTIFS('TJ List'!O:O,A27,'TJ List'!D:D,"Rk")</f>
        <v>13</v>
      </c>
      <c r="D27" s="30">
        <f>COUNTIFS('TJ List'!O:O,A27,'TJ List'!D:D,"Coll")+COUNTIFS('TJ List'!O:O,A27,'TJ List'!D:D,"HS")</f>
        <v>1</v>
      </c>
      <c r="E27" s="30">
        <f t="shared" si="1"/>
        <v>14</v>
      </c>
      <c r="F27" s="166" t="str">
        <f>IF(COUNTIFS('TJ List'!$O:$O,A27,'TJ List'!$B:$B,"&lt;"&amp;$B$49,'TJ List'!$D:$D,"MLB")&gt;0,COUNTIFS('TJ List'!$O:$O,A27,'TJ List'!$B:$B,"&lt;"&amp;$B$49,'TJ List'!$D:$D,"MLB",'TJ List'!$K:$K,"&gt;0")/COUNTIFS('TJ List'!$O:$O,A27,'TJ List'!$B:$B,"&lt;"&amp;$B$49,'TJ List'!$D:$D,"MLB"),"N/A")</f>
        <v>N/A</v>
      </c>
      <c r="G27" s="166">
        <f>COUNTIFS('Repeat TJ List'!E:E,A27)/E27</f>
        <v>0.07142857143</v>
      </c>
    </row>
    <row r="28">
      <c r="A28" s="13" t="s">
        <v>2737</v>
      </c>
      <c r="B28" s="11">
        <f>COUNTIFS('TJ List'!O:O,A28,'TJ List'!D:D,"MLB")</f>
        <v>0</v>
      </c>
      <c r="C28" s="30">
        <f>COUNTIFS('TJ List'!O:O,A28,'TJ List'!D:D,"AAA")+COUNTIFS('TJ List'!O:O,A28,'TJ List'!D:D,"AA")+COUNTIFS('TJ List'!O:O,A28,'TJ List'!D:D,"A+")+COUNTIFS('TJ List'!O:O,A28,'TJ List'!D:D,"A")+COUNTIFS('TJ List'!O:O,A28,'TJ List'!D:D,"A-")+COUNTIFS('TJ List'!O:O,A28,'TJ List'!D:D,"Rk")</f>
        <v>3</v>
      </c>
      <c r="D28" s="30">
        <f>COUNTIFS('TJ List'!O:O,A28,'TJ List'!D:D,"Coll")+COUNTIFS('TJ List'!O:O,A28,'TJ List'!D:D,"HS")</f>
        <v>0</v>
      </c>
      <c r="E28" s="30">
        <f t="shared" si="1"/>
        <v>3</v>
      </c>
      <c r="F28" s="166" t="str">
        <f>IF(COUNTIFS('TJ List'!$O:$O,A28,'TJ List'!$B:$B,"&lt;"&amp;$B$49,'TJ List'!$D:$D,"MLB")&gt;0,COUNTIFS('TJ List'!$O:$O,A28,'TJ List'!$B:$B,"&lt;"&amp;$B$49,'TJ List'!$D:$D,"MLB",'TJ List'!$K:$K,"&gt;0")/COUNTIFS('TJ List'!$O:$O,A28,'TJ List'!$B:$B,"&lt;"&amp;$B$49,'TJ List'!$D:$D,"MLB"),"N/A")</f>
        <v>N/A</v>
      </c>
      <c r="G28" s="166">
        <f>COUNTIFS('Repeat TJ List'!E:E,A28)/E28</f>
        <v>0</v>
      </c>
    </row>
    <row r="29">
      <c r="A29" s="13" t="s">
        <v>282</v>
      </c>
      <c r="B29" s="11">
        <f>COUNTIFS('TJ List'!O:O,A29,'TJ List'!D:D,"MLB")</f>
        <v>0</v>
      </c>
      <c r="C29" s="30">
        <f>COUNTIFS('TJ List'!O:O,A29,'TJ List'!D:D,"AAA")+COUNTIFS('TJ List'!O:O,A29,'TJ List'!D:D,"AA")+COUNTIFS('TJ List'!O:O,A29,'TJ List'!D:D,"A+")+COUNTIFS('TJ List'!O:O,A29,'TJ List'!D:D,"A")+COUNTIFS('TJ List'!O:O,A29,'TJ List'!D:D,"A-")+COUNTIFS('TJ List'!O:O,A29,'TJ List'!D:D,"Rk")</f>
        <v>2</v>
      </c>
      <c r="D29" s="30">
        <f>COUNTIFS('TJ List'!O:O,A29,'TJ List'!D:D,"Coll")+COUNTIFS('TJ List'!O:O,A29,'TJ List'!D:D,"HS")</f>
        <v>1</v>
      </c>
      <c r="E29" s="30">
        <f t="shared" si="1"/>
        <v>3</v>
      </c>
      <c r="F29" s="166" t="str">
        <f>IF(COUNTIFS('TJ List'!$O:$O,A29,'TJ List'!$B:$B,"&lt;"&amp;$B$49,'TJ List'!$D:$D,"MLB")&gt;0,COUNTIFS('TJ List'!$O:$O,A29,'TJ List'!$B:$B,"&lt;"&amp;$B$49,'TJ List'!$D:$D,"MLB",'TJ List'!$K:$K,"&gt;0")/COUNTIFS('TJ List'!$O:$O,A29,'TJ List'!$B:$B,"&lt;"&amp;$B$49,'TJ List'!$D:$D,"MLB"),"N/A")</f>
        <v>N/A</v>
      </c>
      <c r="G29" s="166">
        <f>COUNTIFS('Repeat TJ List'!E:E,A29)/E29</f>
        <v>0.3333333333</v>
      </c>
    </row>
    <row r="30">
      <c r="A30" s="13" t="s">
        <v>773</v>
      </c>
      <c r="B30" s="11">
        <f>COUNTIFS('TJ List'!O:O,A30,'TJ List'!D:D,"MLB")</f>
        <v>0</v>
      </c>
      <c r="C30" s="30">
        <f>COUNTIFS('TJ List'!O:O,A30,'TJ List'!D:D,"AAA")+COUNTIFS('TJ List'!O:O,A30,'TJ List'!D:D,"AA")+COUNTIFS('TJ List'!O:O,A30,'TJ List'!D:D,"A+")+COUNTIFS('TJ List'!O:O,A30,'TJ List'!D:D,"A")+COUNTIFS('TJ List'!O:O,A30,'TJ List'!D:D,"A-")+COUNTIFS('TJ List'!O:O,A30,'TJ List'!D:D,"Rk")</f>
        <v>3</v>
      </c>
      <c r="D30" s="30">
        <f>COUNTIFS('TJ List'!O:O,A30,'TJ List'!D:D,"Coll")+COUNTIFS('TJ List'!O:O,A30,'TJ List'!D:D,"HS")</f>
        <v>0</v>
      </c>
      <c r="E30" s="30">
        <f t="shared" si="1"/>
        <v>3</v>
      </c>
      <c r="F30" s="166" t="str">
        <f>IF(COUNTIFS('TJ List'!$O:$O,A30,'TJ List'!$B:$B,"&lt;"&amp;$B$49,'TJ List'!$D:$D,"MLB")&gt;0,COUNTIFS('TJ List'!$O:$O,A30,'TJ List'!$B:$B,"&lt;"&amp;$B$49,'TJ List'!$D:$D,"MLB",'TJ List'!$K:$K,"&gt;0")/COUNTIFS('TJ List'!$O:$O,A30,'TJ List'!$B:$B,"&lt;"&amp;$B$49,'TJ List'!$D:$D,"MLB"),"N/A")</f>
        <v>N/A</v>
      </c>
      <c r="G30" s="166">
        <f>COUNTIFS('Repeat TJ List'!E:E,A30)/E30</f>
        <v>0</v>
      </c>
    </row>
    <row r="31">
      <c r="A31" s="13" t="s">
        <v>1204</v>
      </c>
      <c r="B31" s="11">
        <f>COUNTIFS('TJ List'!O:O,A31,'TJ List'!D:D,"MLB")</f>
        <v>0</v>
      </c>
      <c r="C31" s="30">
        <f>COUNTIFS('TJ List'!O:O,A31,'TJ List'!D:D,"AAA")+COUNTIFS('TJ List'!O:O,A31,'TJ List'!D:D,"AA")+COUNTIFS('TJ List'!O:O,A31,'TJ List'!D:D,"A+")+COUNTIFS('TJ List'!O:O,A31,'TJ List'!D:D,"A")+COUNTIFS('TJ List'!O:O,A31,'TJ List'!D:D,"A-")+COUNTIFS('TJ List'!O:O,A31,'TJ List'!D:D,"Rk")</f>
        <v>1</v>
      </c>
      <c r="D31" s="30">
        <f>COUNTIFS('TJ List'!O:O,A31,'TJ List'!D:D,"Coll")+COUNTIFS('TJ List'!O:O,A31,'TJ List'!D:D,"HS")</f>
        <v>1</v>
      </c>
      <c r="E31" s="30">
        <f t="shared" si="1"/>
        <v>2</v>
      </c>
      <c r="F31" s="166" t="str">
        <f>IF(COUNTIFS('TJ List'!$O:$O,A31,'TJ List'!$B:$B,"&lt;"&amp;$B$49,'TJ List'!$D:$D,"MLB")&gt;0,COUNTIFS('TJ List'!$O:$O,A31,'TJ List'!$B:$B,"&lt;"&amp;$B$49,'TJ List'!$D:$D,"MLB",'TJ List'!$K:$K,"&gt;0")/COUNTIFS('TJ List'!$O:$O,A31,'TJ List'!$B:$B,"&lt;"&amp;$B$49,'TJ List'!$D:$D,"MLB"),"N/A")</f>
        <v>N/A</v>
      </c>
      <c r="G31" s="166">
        <f>COUNTIFS('Repeat TJ List'!E:E,A31)/E31</f>
        <v>0</v>
      </c>
    </row>
    <row r="32">
      <c r="A32" s="13" t="s">
        <v>2742</v>
      </c>
      <c r="B32" s="11">
        <f>COUNTIFS('TJ List'!O:O,A32,'TJ List'!D:D,"MLB")</f>
        <v>0</v>
      </c>
      <c r="C32" s="30">
        <f>COUNTIFS('TJ List'!O:O,A32,'TJ List'!D:D,"AAA")+COUNTIFS('TJ List'!O:O,A32,'TJ List'!D:D,"AA")+COUNTIFS('TJ List'!O:O,A32,'TJ List'!D:D,"A+")+COUNTIFS('TJ List'!O:O,A32,'TJ List'!D:D,"A")+COUNTIFS('TJ List'!O:O,A32,'TJ List'!D:D,"A-")+COUNTIFS('TJ List'!O:O,A32,'TJ List'!D:D,"Rk")</f>
        <v>1</v>
      </c>
      <c r="D32" s="30">
        <f>COUNTIFS('TJ List'!O:O,A32,'TJ List'!D:D,"Coll")+COUNTIFS('TJ List'!O:O,A32,'TJ List'!D:D,"HS")</f>
        <v>0</v>
      </c>
      <c r="E32" s="30">
        <f t="shared" si="1"/>
        <v>1</v>
      </c>
      <c r="F32" s="166" t="str">
        <f>IF(COUNTIFS('TJ List'!$O:$O,A32,'TJ List'!$B:$B,"&lt;"&amp;$B$49,'TJ List'!$D:$D,"MLB")&gt;0,COUNTIFS('TJ List'!$O:$O,A32,'TJ List'!$B:$B,"&lt;"&amp;$B$49,'TJ List'!$D:$D,"MLB",'TJ List'!$K:$K,"&gt;0")/COUNTIFS('TJ List'!$O:$O,A32,'TJ List'!$B:$B,"&lt;"&amp;$B$49,'TJ List'!$D:$D,"MLB"),"N/A")</f>
        <v>N/A</v>
      </c>
      <c r="G32" s="166">
        <f>COUNTIFS('Repeat TJ List'!E:E,A32)/E32</f>
        <v>0</v>
      </c>
    </row>
    <row r="33">
      <c r="A33" s="168" t="s">
        <v>2324</v>
      </c>
      <c r="B33" s="11">
        <f>COUNTIFS('TJ List'!O:O,A33,'TJ List'!D:D,"MLB")</f>
        <v>0</v>
      </c>
      <c r="C33" s="30">
        <f>COUNTIFS('TJ List'!O:O,A33,'TJ List'!D:D,"AAA")+COUNTIFS('TJ List'!O:O,A33,'TJ List'!D:D,"AA")+COUNTIFS('TJ List'!O:O,A33,'TJ List'!D:D,"A+")+COUNTIFS('TJ List'!O:O,A33,'TJ List'!D:D,"A")+COUNTIFS('TJ List'!O:O,A33,'TJ List'!D:D,"A-")+COUNTIFS('TJ List'!O:O,A33,'TJ List'!D:D,"Rk")</f>
        <v>1</v>
      </c>
      <c r="D33" s="30">
        <f>COUNTIFS('TJ List'!O:O,A33,'TJ List'!D:D,"Coll")+COUNTIFS('TJ List'!O:O,A33,'TJ List'!D:D,"HS")</f>
        <v>0</v>
      </c>
      <c r="E33" s="30">
        <f t="shared" si="1"/>
        <v>1</v>
      </c>
      <c r="F33" s="166" t="str">
        <f>IF(COUNTIFS('TJ List'!$O:$O,A33,'TJ List'!$B:$B,"&lt;"&amp;$B$49,'TJ List'!$D:$D,"MLB")&gt;0,COUNTIFS('TJ List'!$O:$O,A33,'TJ List'!$B:$B,"&lt;"&amp;$B$49,'TJ List'!$D:$D,"MLB",'TJ List'!$K:$K,"&gt;0")/COUNTIFS('TJ List'!$O:$O,A33,'TJ List'!$B:$B,"&lt;"&amp;$B$49,'TJ List'!$D:$D,"MLB"),"N/A")</f>
        <v>N/A</v>
      </c>
      <c r="G33" s="166">
        <f>COUNTIFS('Repeat TJ List'!E:E,A33)/E33</f>
        <v>0</v>
      </c>
    </row>
    <row r="34">
      <c r="A34" s="13" t="s">
        <v>2628</v>
      </c>
      <c r="B34" s="11">
        <f>COUNTIFS('TJ List'!O:O,A34,'TJ List'!D:D,"MLB")</f>
        <v>0</v>
      </c>
      <c r="C34" s="30">
        <f>COUNTIFS('TJ List'!O:O,A34,'TJ List'!D:D,"AAA")+COUNTIFS('TJ List'!O:O,A34,'TJ List'!D:D,"AA")+COUNTIFS('TJ List'!O:O,A34,'TJ List'!D:D,"A+")+COUNTIFS('TJ List'!O:O,A34,'TJ List'!D:D,"A")+COUNTIFS('TJ List'!O:O,A34,'TJ List'!D:D,"A-")+COUNTIFS('TJ List'!O:O,A34,'TJ List'!D:D,"Rk")</f>
        <v>1</v>
      </c>
      <c r="D34" s="30">
        <f>COUNTIFS('TJ List'!O:O,A34,'TJ List'!D:D,"Coll")+COUNTIFS('TJ List'!O:O,A34,'TJ List'!D:D,"HS")</f>
        <v>0</v>
      </c>
      <c r="E34" s="30">
        <f t="shared" si="1"/>
        <v>1</v>
      </c>
      <c r="F34" s="166" t="str">
        <f>IF(COUNTIFS('TJ List'!$O:$O,A34,'TJ List'!$B:$B,"&lt;"&amp;$B$49,'TJ List'!$D:$D,"MLB")&gt;0,COUNTIFS('TJ List'!$O:$O,A34,'TJ List'!$B:$B,"&lt;"&amp;$B$49,'TJ List'!$D:$D,"MLB",'TJ List'!$K:$K,"&gt;0")/COUNTIFS('TJ List'!$O:$O,A34,'TJ List'!$B:$B,"&lt;"&amp;$B$49,'TJ List'!$D:$D,"MLB"),"N/A")</f>
        <v>N/A</v>
      </c>
      <c r="G34" s="166">
        <f>COUNTIFS('Repeat TJ List'!E:E,A34)/E34</f>
        <v>0</v>
      </c>
    </row>
    <row r="35">
      <c r="A35" s="13" t="s">
        <v>2671</v>
      </c>
      <c r="B35" s="11">
        <f>COUNTIFS('TJ List'!O:O,A35,'TJ List'!D:D,"MLB")</f>
        <v>0</v>
      </c>
      <c r="C35" s="30">
        <f>COUNTIFS('TJ List'!O:O,A35,'TJ List'!D:D,"AAA")+COUNTIFS('TJ List'!O:O,A35,'TJ List'!D:D,"AA")+COUNTIFS('TJ List'!O:O,A35,'TJ List'!D:D,"A+")+COUNTIFS('TJ List'!O:O,A35,'TJ List'!D:D,"A")+COUNTIFS('TJ List'!O:O,A35,'TJ List'!D:D,"A-")+COUNTIFS('TJ List'!O:O,A35,'TJ List'!D:D,"Rk")</f>
        <v>1</v>
      </c>
      <c r="D35" s="30">
        <f>COUNTIFS('TJ List'!O:O,A35,'TJ List'!D:D,"Coll")+COUNTIFS('TJ List'!O:O,A35,'TJ List'!D:D,"HS")</f>
        <v>0</v>
      </c>
      <c r="E35" s="30">
        <f t="shared" si="1"/>
        <v>1</v>
      </c>
      <c r="F35" s="166" t="str">
        <f>IF(COUNTIFS('TJ List'!$O:$O,A35,'TJ List'!$B:$B,"&lt;"&amp;$B$49,'TJ List'!$D:$D,"MLB")&gt;0,COUNTIFS('TJ List'!$O:$O,A35,'TJ List'!$B:$B,"&lt;"&amp;$B$49,'TJ List'!$D:$D,"MLB",'TJ List'!$K:$K,"&gt;0")/COUNTIFS('TJ List'!$O:$O,A35,'TJ List'!$B:$B,"&lt;"&amp;$B$49,'TJ List'!$D:$D,"MLB"),"N/A")</f>
        <v>N/A</v>
      </c>
      <c r="G35" s="166">
        <f>COUNTIFS('Repeat TJ List'!E:E,A35)/E35</f>
        <v>0</v>
      </c>
    </row>
    <row r="36">
      <c r="A36" s="13" t="s">
        <v>2091</v>
      </c>
      <c r="B36" s="11">
        <f>COUNTIFS('TJ List'!O:O,A36,'TJ List'!D:D,"MLB")</f>
        <v>0</v>
      </c>
      <c r="C36" s="30">
        <f>COUNTIFS('TJ List'!O:O,A36,'TJ List'!D:D,"AAA")+COUNTIFS('TJ List'!O:O,A36,'TJ List'!D:D,"AA")+COUNTIFS('TJ List'!O:O,A36,'TJ List'!D:D,"A+")+COUNTIFS('TJ List'!O:O,A36,'TJ List'!D:D,"A")+COUNTIFS('TJ List'!O:O,A36,'TJ List'!D:D,"A-")+COUNTIFS('TJ List'!O:O,A36,'TJ List'!D:D,"Rk")</f>
        <v>1</v>
      </c>
      <c r="D36" s="30">
        <f>COUNTIFS('TJ List'!O:O,A36,'TJ List'!D:D,"Coll")+COUNTIFS('TJ List'!O:O,A36,'TJ List'!D:D,"HS")</f>
        <v>0</v>
      </c>
      <c r="E36" s="30">
        <f t="shared" si="1"/>
        <v>1</v>
      </c>
      <c r="F36" s="166" t="str">
        <f>IF(COUNTIFS('TJ List'!$O:$O,A36,'TJ List'!$B:$B,"&lt;"&amp;$B$49,'TJ List'!$D:$D,"MLB")&gt;0,COUNTIFS('TJ List'!$O:$O,A36,'TJ List'!$B:$B,"&lt;"&amp;$B$49,'TJ List'!$D:$D,"MLB",'TJ List'!$K:$K,"&gt;0")/COUNTIFS('TJ List'!$O:$O,A36,'TJ List'!$B:$B,"&lt;"&amp;$B$49,'TJ List'!$D:$D,"MLB"),"N/A")</f>
        <v>N/A</v>
      </c>
      <c r="G36" s="166">
        <f>COUNTIFS('Repeat TJ List'!E:E,A36)/E36</f>
        <v>0</v>
      </c>
    </row>
    <row r="37">
      <c r="A37" s="13" t="s">
        <v>2757</v>
      </c>
      <c r="B37" s="11">
        <f>COUNTIFS('TJ List'!O:O,A37,'TJ List'!D:D,"MLB")</f>
        <v>0</v>
      </c>
      <c r="C37" s="30">
        <f>COUNTIFS('TJ List'!O:O,A37,'TJ List'!D:D,"AAA")+COUNTIFS('TJ List'!O:O,A37,'TJ List'!D:D,"AA")+COUNTIFS('TJ List'!O:O,A37,'TJ List'!D:D,"A+")+COUNTIFS('TJ List'!O:O,A37,'TJ List'!D:D,"A")+COUNTIFS('TJ List'!O:O,A37,'TJ List'!D:D,"A-")+COUNTIFS('TJ List'!O:O,A37,'TJ List'!D:D,"Rk")</f>
        <v>1</v>
      </c>
      <c r="D37" s="30">
        <f>COUNTIFS('TJ List'!O:O,A37,'TJ List'!D:D,"Coll")+COUNTIFS('TJ List'!O:O,A37,'TJ List'!D:D,"HS")</f>
        <v>0</v>
      </c>
      <c r="E37" s="30">
        <f t="shared" si="1"/>
        <v>1</v>
      </c>
      <c r="F37" s="166" t="str">
        <f>IF(COUNTIFS('TJ List'!$O:$O,A37,'TJ List'!$B:$B,"&lt;"&amp;$B$49,'TJ List'!$D:$D,"MLB")&gt;0,COUNTIFS('TJ List'!$O:$O,A37,'TJ List'!$B:$B,"&lt;"&amp;$B$49,'TJ List'!$D:$D,"MLB",'TJ List'!$K:$K,"&gt;0")/COUNTIFS('TJ List'!$O:$O,A37,'TJ List'!$B:$B,"&lt;"&amp;$B$49,'TJ List'!$D:$D,"MLB"),"N/A")</f>
        <v>N/A</v>
      </c>
      <c r="G37" s="166">
        <f>COUNTIFS('Repeat TJ List'!E:E,A37)/E37</f>
        <v>0</v>
      </c>
    </row>
    <row r="38">
      <c r="A38" s="13" t="s">
        <v>4156</v>
      </c>
      <c r="B38" s="11">
        <f>COUNTIFS('TJ List'!O:O,A38,'TJ List'!D:D,"MLB")</f>
        <v>0</v>
      </c>
      <c r="C38" s="30">
        <f>COUNTIFS('TJ List'!O:O,A38,'TJ List'!D:D,"AAA")+COUNTIFS('TJ List'!O:O,A38,'TJ List'!D:D,"AA")+COUNTIFS('TJ List'!O:O,A38,'TJ List'!D:D,"A+")+COUNTIFS('TJ List'!O:O,A38,'TJ List'!D:D,"A")+COUNTIFS('TJ List'!O:O,A38,'TJ List'!D:D,"A-")+COUNTIFS('TJ List'!O:O,A38,'TJ List'!D:D,"Rk")</f>
        <v>0</v>
      </c>
      <c r="D38" s="30">
        <f>COUNTIFS('TJ List'!O:O,A38,'TJ List'!D:D,"Coll")+COUNTIFS('TJ List'!O:O,A38,'TJ List'!D:D,"HS")</f>
        <v>3</v>
      </c>
      <c r="E38" s="30">
        <f t="shared" si="1"/>
        <v>3</v>
      </c>
      <c r="F38" s="166" t="str">
        <f>IF(COUNTIFS('TJ List'!$O:$O,A38,'TJ List'!$B:$B,"&lt;"&amp;$B$49,'TJ List'!$D:$D,"MLB")&gt;0,COUNTIFS('TJ List'!$O:$O,A38,'TJ List'!$B:$B,"&lt;"&amp;$B$49,'TJ List'!$D:$D,"MLB",'TJ List'!$K:$K,"&gt;0")/COUNTIFS('TJ List'!$O:$O,A38,'TJ List'!$B:$B,"&lt;"&amp;$B$49,'TJ List'!$D:$D,"MLB"),"N/A")</f>
        <v>N/A</v>
      </c>
      <c r="G38" s="166">
        <f>COUNTIFS('Repeat TJ List'!E:E,A38)/E38</f>
        <v>0</v>
      </c>
    </row>
    <row r="39">
      <c r="A39" s="13" t="s">
        <v>3482</v>
      </c>
      <c r="B39" s="11">
        <f>COUNTIFS('TJ List'!O:O,A39,'TJ List'!D:D,"MLB")</f>
        <v>0</v>
      </c>
      <c r="C39" s="30">
        <f>COUNTIFS('TJ List'!O:O,A39,'TJ List'!D:D,"AAA")+COUNTIFS('TJ List'!O:O,A39,'TJ List'!D:D,"AA")+COUNTIFS('TJ List'!O:O,A39,'TJ List'!D:D,"A+")+COUNTIFS('TJ List'!O:O,A39,'TJ List'!D:D,"A")+COUNTIFS('TJ List'!O:O,A39,'TJ List'!D:D,"A-")+COUNTIFS('TJ List'!O:O,A39,'TJ List'!D:D,"Rk")</f>
        <v>0</v>
      </c>
      <c r="D39" s="30">
        <f>COUNTIFS('TJ List'!O:O,A39,'TJ List'!D:D,"Coll")+COUNTIFS('TJ List'!O:O,A39,'TJ List'!D:D,"HS")</f>
        <v>1</v>
      </c>
      <c r="E39" s="30">
        <f t="shared" si="1"/>
        <v>1</v>
      </c>
      <c r="F39" s="166" t="str">
        <f>IF(COUNTIFS('TJ List'!$O:$O,A39,'TJ List'!$B:$B,"&lt;"&amp;$B$49,'TJ List'!$D:$D,"MLB")&gt;0,COUNTIFS('TJ List'!$O:$O,A39,'TJ List'!$B:$B,"&lt;"&amp;$B$49,'TJ List'!$D:$D,"MLB",'TJ List'!$K:$K,"&gt;0")/COUNTIFS('TJ List'!$O:$O,A39,'TJ List'!$B:$B,"&lt;"&amp;$B$49,'TJ List'!$D:$D,"MLB"),"N/A")</f>
        <v>N/A</v>
      </c>
      <c r="G39" s="166">
        <f>COUNTIFS('Repeat TJ List'!E:E,A39)/E39</f>
        <v>0</v>
      </c>
    </row>
    <row r="40">
      <c r="A40" s="13" t="s">
        <v>3210</v>
      </c>
      <c r="B40" s="11">
        <f>COUNTIFS('TJ List'!O:O,A40,'TJ List'!D:D,"MLB")</f>
        <v>0</v>
      </c>
      <c r="C40" s="30">
        <f>COUNTIFS('TJ List'!O:O,A40,'TJ List'!D:D,"AAA")+COUNTIFS('TJ List'!O:O,A40,'TJ List'!D:D,"AA")+COUNTIFS('TJ List'!O:O,A40,'TJ List'!D:D,"A+")+COUNTIFS('TJ List'!O:O,A40,'TJ List'!D:D,"A")+COUNTIFS('TJ List'!O:O,A40,'TJ List'!D:D,"A-")+COUNTIFS('TJ List'!O:O,A40,'TJ List'!D:D,"Rk")</f>
        <v>0</v>
      </c>
      <c r="D40" s="30">
        <f>COUNTIFS('TJ List'!O:O,A40,'TJ List'!D:D,"Coll")+COUNTIFS('TJ List'!O:O,A40,'TJ List'!D:D,"HS")</f>
        <v>1</v>
      </c>
      <c r="E40" s="30">
        <f t="shared" si="1"/>
        <v>1</v>
      </c>
      <c r="F40" s="166" t="str">
        <f>IF(COUNTIFS('TJ List'!$O:$O,A40,'TJ List'!$B:$B,"&lt;"&amp;$B$49,'TJ List'!$D:$D,"MLB")&gt;0,COUNTIFS('TJ List'!$O:$O,A40,'TJ List'!$B:$B,"&lt;"&amp;$B$49,'TJ List'!$D:$D,"MLB",'TJ List'!$K:$K,"&gt;0")/COUNTIFS('TJ List'!$O:$O,A40,'TJ List'!$B:$B,"&lt;"&amp;$B$49,'TJ List'!$D:$D,"MLB"),"N/A")</f>
        <v>N/A</v>
      </c>
      <c r="G40" s="166">
        <f>COUNTIFS('Repeat TJ List'!E:E,A40)/E40</f>
        <v>1</v>
      </c>
    </row>
    <row r="41">
      <c r="A41" s="13" t="s">
        <v>3929</v>
      </c>
      <c r="B41" s="11">
        <f>COUNTIFS('TJ List'!O:O,A41,'TJ List'!D:D,"MLB")</f>
        <v>0</v>
      </c>
      <c r="C41" s="30">
        <f>COUNTIFS('TJ List'!O:O,A41,'TJ List'!D:D,"AAA")+COUNTIFS('TJ List'!O:O,A41,'TJ List'!D:D,"AA")+COUNTIFS('TJ List'!O:O,A41,'TJ List'!D:D,"A+")+COUNTIFS('TJ List'!O:O,A41,'TJ List'!D:D,"A")+COUNTIFS('TJ List'!O:O,A41,'TJ List'!D:D,"A-")+COUNTIFS('TJ List'!O:O,A41,'TJ List'!D:D,"Rk")</f>
        <v>0</v>
      </c>
      <c r="D41" s="30">
        <f>COUNTIFS('TJ List'!O:O,A41,'TJ List'!D:D,"Coll")+COUNTIFS('TJ List'!O:O,A41,'TJ List'!D:D,"HS")</f>
        <v>1</v>
      </c>
      <c r="E41" s="30">
        <f t="shared" si="1"/>
        <v>1</v>
      </c>
      <c r="F41" s="166" t="str">
        <f>IF(COUNTIFS('TJ List'!$O:$O,A41,'TJ List'!$B:$B,"&lt;"&amp;$B$49,'TJ List'!$D:$D,"MLB")&gt;0,COUNTIFS('TJ List'!$O:$O,A41,'TJ List'!$B:$B,"&lt;"&amp;$B$49,'TJ List'!$D:$D,"MLB",'TJ List'!$K:$K,"&gt;0")/COUNTIFS('TJ List'!$O:$O,A41,'TJ List'!$B:$B,"&lt;"&amp;$B$49,'TJ List'!$D:$D,"MLB"),"N/A")</f>
        <v>N/A</v>
      </c>
      <c r="G41" s="166">
        <f>COUNTIFS('Repeat TJ List'!E:E,A41)/E41</f>
        <v>0</v>
      </c>
    </row>
    <row r="42">
      <c r="A42" s="13" t="s">
        <v>2578</v>
      </c>
      <c r="B42" s="11">
        <f>COUNTIFS('TJ List'!O:O,A42,'TJ List'!D:D,"MLB")</f>
        <v>0</v>
      </c>
      <c r="C42" s="30">
        <f>COUNTIFS('TJ List'!O:O,A42,'TJ List'!D:D,"AAA")+COUNTIFS('TJ List'!O:O,A42,'TJ List'!D:D,"AA")+COUNTIFS('TJ List'!O:O,A42,'TJ List'!D:D,"A+")+COUNTIFS('TJ List'!O:O,A42,'TJ List'!D:D,"A")+COUNTIFS('TJ List'!O:O,A42,'TJ List'!D:D,"A-")+COUNTIFS('TJ List'!O:O,A42,'TJ List'!D:D,"Rk")</f>
        <v>0</v>
      </c>
      <c r="D42" s="30">
        <f>COUNTIFS('TJ List'!O:O,A42,'TJ List'!D:D,"Coll")+COUNTIFS('TJ List'!O:O,A42,'TJ List'!D:D,"HS")</f>
        <v>1</v>
      </c>
      <c r="E42" s="30">
        <f t="shared" si="1"/>
        <v>1</v>
      </c>
      <c r="F42" s="166" t="str">
        <f>IF(COUNTIFS('TJ List'!$O:$O,A42,'TJ List'!$B:$B,"&lt;"&amp;$B$49,'TJ List'!$D:$D,"MLB")&gt;0,COUNTIFS('TJ List'!$O:$O,A42,'TJ List'!$B:$B,"&lt;"&amp;$B$49,'TJ List'!$D:$D,"MLB",'TJ List'!$K:$K,"&gt;0")/COUNTIFS('TJ List'!$O:$O,A42,'TJ List'!$B:$B,"&lt;"&amp;$B$49,'TJ List'!$D:$D,"MLB"),"N/A")</f>
        <v>N/A</v>
      </c>
      <c r="G42" s="166">
        <f>COUNTIFS('Repeat TJ List'!E:E,A42)/E42</f>
        <v>0</v>
      </c>
    </row>
    <row r="43">
      <c r="A43" s="13" t="s">
        <v>2812</v>
      </c>
      <c r="B43" s="11">
        <f>COUNTIFS('TJ List'!O:O,A43,'TJ List'!D:D,"MLB")</f>
        <v>0</v>
      </c>
      <c r="C43" s="30">
        <f>COUNTIFS('TJ List'!O:O,A43,'TJ List'!D:D,"AAA")+COUNTIFS('TJ List'!O:O,A43,'TJ List'!D:D,"AA")+COUNTIFS('TJ List'!O:O,A43,'TJ List'!D:D,"A+")+COUNTIFS('TJ List'!O:O,A43,'TJ List'!D:D,"A")+COUNTIFS('TJ List'!O:O,A43,'TJ List'!D:D,"A-")+COUNTIFS('TJ List'!O:O,A43,'TJ List'!D:D,"Rk")</f>
        <v>0</v>
      </c>
      <c r="D43" s="30">
        <f>COUNTIFS('TJ List'!O:O,A43,'TJ List'!D:D,"Coll")+COUNTIFS('TJ List'!O:O,A43,'TJ List'!D:D,"HS")</f>
        <v>1</v>
      </c>
      <c r="E43" s="30">
        <f t="shared" si="1"/>
        <v>1</v>
      </c>
      <c r="F43" s="166" t="str">
        <f>IF(COUNTIFS('TJ List'!$O:$O,A43,'TJ List'!$B:$B,"&lt;"&amp;$B$49,'TJ List'!$D:$D,"MLB")&gt;0,COUNTIFS('TJ List'!$O:$O,A43,'TJ List'!$B:$B,"&lt;"&amp;$B$49,'TJ List'!$D:$D,"MLB",'TJ List'!$K:$K,"&gt;0")/COUNTIFS('TJ List'!$O:$O,A43,'TJ List'!$B:$B,"&lt;"&amp;$B$49,'TJ List'!$D:$D,"MLB"),"N/A")</f>
        <v>N/A</v>
      </c>
      <c r="G43" s="166">
        <f>COUNTIFS('Repeat TJ List'!E:E,A43)/E43</f>
        <v>0</v>
      </c>
    </row>
    <row r="44">
      <c r="A44" s="13" t="s">
        <v>2438</v>
      </c>
      <c r="B44" s="11">
        <f>COUNTIFS('TJ List'!O:O,A44,'TJ List'!D:D,"MLB")</f>
        <v>0</v>
      </c>
      <c r="C44" s="30">
        <f>COUNTIFS('TJ List'!O:O,A44,'TJ List'!D:D,"AAA")+COUNTIFS('TJ List'!O:O,A44,'TJ List'!D:D,"AA")+COUNTIFS('TJ List'!O:O,A44,'TJ List'!D:D,"A+")+COUNTIFS('TJ List'!O:O,A44,'TJ List'!D:D,"A")+COUNTIFS('TJ List'!O:O,A44,'TJ List'!D:D,"A-")+COUNTIFS('TJ List'!O:O,A44,'TJ List'!D:D,"Rk")</f>
        <v>0</v>
      </c>
      <c r="D44" s="30">
        <f>COUNTIFS('TJ List'!O:O,A44,'TJ List'!D:D,"Coll")+COUNTIFS('TJ List'!O:O,A44,'TJ List'!D:D,"HS")</f>
        <v>1</v>
      </c>
      <c r="E44" s="30">
        <f t="shared" si="1"/>
        <v>1</v>
      </c>
      <c r="F44" s="166" t="str">
        <f>IF(COUNTIFS('TJ List'!$O:$O,A44,'TJ List'!$B:$B,"&lt;"&amp;$B$49,'TJ List'!$D:$D,"MLB")&gt;0,COUNTIFS('TJ List'!$O:$O,A44,'TJ List'!$B:$B,"&lt;"&amp;$B$49,'TJ List'!$D:$D,"MLB",'TJ List'!$K:$K,"&gt;0")/COUNTIFS('TJ List'!$O:$O,A44,'TJ List'!$B:$B,"&lt;"&amp;$B$49,'TJ List'!$D:$D,"MLB"),"N/A")</f>
        <v>N/A</v>
      </c>
      <c r="G44" s="166">
        <f>COUNTIFS('Repeat TJ List'!E:E,A44)/E44</f>
        <v>1</v>
      </c>
    </row>
    <row r="45">
      <c r="A45" s="13" t="s">
        <v>2642</v>
      </c>
      <c r="B45" s="11">
        <f>COUNTIFS('TJ List'!O:O,A45,'TJ List'!D:D,"MLB")</f>
        <v>0</v>
      </c>
      <c r="C45" s="30">
        <f>COUNTIFS('TJ List'!O:O,A45,'TJ List'!D:D,"AAA")+COUNTIFS('TJ List'!O:O,A45,'TJ List'!D:D,"AA")+COUNTIFS('TJ List'!O:O,A45,'TJ List'!D:D,"A+")+COUNTIFS('TJ List'!O:O,A45,'TJ List'!D:D,"A")+COUNTIFS('TJ List'!O:O,A45,'TJ List'!D:D,"A-")+COUNTIFS('TJ List'!O:O,A45,'TJ List'!D:D,"Rk")</f>
        <v>0</v>
      </c>
      <c r="D45" s="30">
        <f>COUNTIFS('TJ List'!O:O,A45,'TJ List'!D:D,"Coll")+COUNTIFS('TJ List'!O:O,A45,'TJ List'!D:D,"HS")</f>
        <v>1</v>
      </c>
      <c r="E45" s="30">
        <f t="shared" si="1"/>
        <v>1</v>
      </c>
      <c r="F45" s="166" t="str">
        <f>IF(COUNTIFS('TJ List'!$O:$O,A45,'TJ List'!$B:$B,"&lt;"&amp;$B$49,'TJ List'!$D:$D,"MLB")&gt;0,COUNTIFS('TJ List'!$O:$O,A45,'TJ List'!$B:$B,"&lt;"&amp;$B$49,'TJ List'!$D:$D,"MLB",'TJ List'!$K:$K,"&gt;0")/COUNTIFS('TJ List'!$O:$O,A45,'TJ List'!$B:$B,"&lt;"&amp;$B$49,'TJ List'!$D:$D,"MLB"),"N/A")</f>
        <v>N/A</v>
      </c>
      <c r="G45" s="166">
        <f>COUNTIFS('Repeat TJ List'!E:E,A45)/E45</f>
        <v>0</v>
      </c>
    </row>
    <row r="46">
      <c r="A46" s="13" t="s">
        <v>2889</v>
      </c>
      <c r="B46" s="11">
        <f>COUNTIFS('TJ List'!O:O,"",'TJ List'!D:D,"MLB")</f>
        <v>146</v>
      </c>
      <c r="C46" s="30">
        <f>COUNTIFS('TJ List'!O:O,"",'TJ List'!D:D,"AAA")+COUNTIFS('TJ List'!O:O,"",'TJ List'!D:D,"AA")+COUNTIFS('TJ List'!O:O,"",'TJ List'!D:D,"A+")+COUNTIFS('TJ List'!O:O,"",'TJ List'!D:D,"A")+COUNTIFS('TJ List'!O:O,"",'TJ List'!D:D,"A-")+COUNTIFS('TJ List'!O:O,"",'TJ List'!D:D,"Rk")</f>
        <v>1033</v>
      </c>
      <c r="D46" s="30">
        <f>COUNTIFS('TJ List'!O:O,"",'TJ List'!D:D,"Coll")+COUNTIFS('TJ List'!O:O,"",'TJ List'!D:D,"HS")</f>
        <v>608</v>
      </c>
      <c r="E46" s="30">
        <f t="shared" si="1"/>
        <v>1787</v>
      </c>
      <c r="F46" s="166">
        <f>IF(COUNTIFS('TJ List'!$O:$O,"",'TJ List'!$B:$B,"&lt;"&amp;$B$49,'TJ List'!$D:$D,"MLB")&gt;0,COUNTIFS('TJ List'!$O:$O,"",'TJ List'!$B:$B,"&lt;"&amp;$B$49,'TJ List'!$D:$D,"MLB",'TJ List'!$K:$K,"&gt;0")/COUNTIFS('TJ List'!$O:$O,"",'TJ List'!$B:$B,"&lt;"&amp;$B$49,'TJ List'!$D:$D,"MLB"),"N/A")</f>
        <v>0.7251908397</v>
      </c>
      <c r="G46" s="166">
        <f>COUNTIFS('Repeat TJ List'!E:E,A46)/E46</f>
        <v>0.05707890319</v>
      </c>
    </row>
    <row r="47">
      <c r="A47" s="85" t="s">
        <v>4774</v>
      </c>
      <c r="B47" s="91">
        <f t="shared" ref="B47:E47" si="2">SUM(B3:B46)</f>
        <v>679</v>
      </c>
      <c r="C47" s="91">
        <f t="shared" si="2"/>
        <v>1293</v>
      </c>
      <c r="D47" s="91">
        <f t="shared" si="2"/>
        <v>693</v>
      </c>
      <c r="E47" s="91">
        <f t="shared" si="2"/>
        <v>2665</v>
      </c>
      <c r="F47" s="125">
        <f>COUNTIFS('TJ List'!$B:$B,"&lt;"&amp;$B$49,'TJ List'!$D:$D,"MLB",'TJ List'!$K:$K,"&gt;0")/COUNTIFS('TJ List'!$B:$B,"&lt;"&amp;$B$49,'TJ List'!$D:$D,"MLB")</f>
        <v>0.7956318253</v>
      </c>
      <c r="G47" s="93">
        <f>COUNTIFS('Repeat TJ List'!D:D,"&gt;0")/E47</f>
        <v>0.06529080675</v>
      </c>
    </row>
    <row r="48">
      <c r="A48" s="13"/>
      <c r="B48" s="13"/>
      <c r="C48" s="13"/>
      <c r="D48" s="13"/>
      <c r="E48" s="13"/>
      <c r="F48" s="13"/>
      <c r="G48" s="166"/>
    </row>
    <row r="49">
      <c r="A49" s="169" t="s">
        <v>5950</v>
      </c>
      <c r="B49" s="170">
        <f>DATE(IF(MONTH(TODAY())&lt;=6,YEAR(TODAY())-2,YEAR(TODAY())-1),IF(MONTH(TODAY())&lt;=6,MONTH(TODAY())+6,MONTH(TODAY())-6),DAY(TODAY()))</f>
        <v>45473</v>
      </c>
    </row>
    <row r="50">
      <c r="A50" s="171"/>
      <c r="B50" s="172"/>
      <c r="C50" s="172"/>
      <c r="D50" s="172"/>
      <c r="E50" s="172"/>
      <c r="F50" s="172"/>
      <c r="G50" s="166"/>
    </row>
    <row r="51">
      <c r="A51" s="171"/>
      <c r="B51" s="172"/>
      <c r="C51" s="172"/>
      <c r="D51" s="172"/>
      <c r="E51" s="172"/>
      <c r="F51" s="172"/>
      <c r="G51" s="166"/>
    </row>
    <row r="52">
      <c r="B52" s="30"/>
      <c r="C52" s="30"/>
      <c r="D52" s="30"/>
      <c r="E52" s="30"/>
      <c r="F52" s="30"/>
      <c r="G52" s="166"/>
    </row>
    <row r="53">
      <c r="B53" s="30"/>
      <c r="C53" s="30"/>
      <c r="D53" s="30"/>
      <c r="E53" s="30"/>
      <c r="F53" s="30"/>
      <c r="G53" s="166"/>
    </row>
    <row r="54">
      <c r="B54" s="30"/>
      <c r="C54" s="30"/>
      <c r="D54" s="30"/>
      <c r="E54" s="30"/>
      <c r="F54" s="30"/>
      <c r="G54" s="166"/>
    </row>
    <row r="55">
      <c r="B55" s="30"/>
      <c r="C55" s="30"/>
      <c r="D55" s="30"/>
      <c r="E55" s="30"/>
      <c r="F55" s="30"/>
      <c r="G55" s="166"/>
    </row>
    <row r="56">
      <c r="B56" s="30"/>
      <c r="C56" s="30"/>
      <c r="D56" s="30"/>
      <c r="E56" s="30"/>
      <c r="F56" s="30"/>
      <c r="G56" s="166"/>
    </row>
    <row r="57">
      <c r="B57" s="30"/>
      <c r="C57" s="30"/>
      <c r="D57" s="30"/>
      <c r="E57" s="30"/>
      <c r="F57" s="30"/>
      <c r="G57" s="166"/>
    </row>
    <row r="58">
      <c r="B58" s="30"/>
      <c r="C58" s="30"/>
      <c r="D58" s="30"/>
      <c r="E58" s="30"/>
      <c r="F58" s="30"/>
      <c r="G58" s="166"/>
    </row>
    <row r="59">
      <c r="B59" s="30"/>
      <c r="C59" s="30"/>
      <c r="D59" s="30"/>
      <c r="E59" s="30"/>
      <c r="F59" s="30"/>
      <c r="G59" s="166"/>
    </row>
    <row r="60">
      <c r="B60" s="30"/>
      <c r="C60" s="30"/>
      <c r="D60" s="30"/>
      <c r="E60" s="30"/>
      <c r="F60" s="30"/>
      <c r="G60" s="166"/>
    </row>
    <row r="61">
      <c r="B61" s="30"/>
      <c r="C61" s="30"/>
      <c r="D61" s="30"/>
      <c r="E61" s="30"/>
      <c r="F61" s="30"/>
      <c r="G61" s="166"/>
    </row>
    <row r="62">
      <c r="B62" s="30"/>
      <c r="C62" s="30"/>
      <c r="D62" s="30"/>
      <c r="E62" s="30"/>
      <c r="F62" s="30"/>
      <c r="G62" s="166"/>
    </row>
    <row r="63">
      <c r="B63" s="30"/>
      <c r="C63" s="30"/>
      <c r="D63" s="30"/>
      <c r="E63" s="30"/>
      <c r="F63" s="30"/>
      <c r="G63" s="166"/>
    </row>
    <row r="64">
      <c r="B64" s="30"/>
      <c r="C64" s="30"/>
      <c r="D64" s="30"/>
      <c r="E64" s="30"/>
      <c r="F64" s="30"/>
      <c r="G64" s="166"/>
    </row>
    <row r="65">
      <c r="B65" s="30"/>
      <c r="C65" s="30"/>
      <c r="D65" s="30"/>
      <c r="E65" s="30"/>
      <c r="F65" s="30"/>
      <c r="G65" s="166"/>
    </row>
    <row r="66">
      <c r="B66" s="30"/>
      <c r="C66" s="30"/>
      <c r="D66" s="30"/>
      <c r="E66" s="30"/>
      <c r="F66" s="30"/>
      <c r="G66" s="166"/>
    </row>
    <row r="67">
      <c r="B67" s="30"/>
      <c r="C67" s="30"/>
      <c r="D67" s="30"/>
      <c r="E67" s="30"/>
      <c r="F67" s="30"/>
      <c r="G67" s="166"/>
    </row>
    <row r="68">
      <c r="B68" s="30"/>
      <c r="C68" s="30"/>
      <c r="D68" s="30"/>
      <c r="E68" s="30"/>
      <c r="F68" s="30"/>
      <c r="G68" s="166"/>
    </row>
    <row r="69">
      <c r="B69" s="30"/>
      <c r="C69" s="30"/>
      <c r="D69" s="30"/>
      <c r="E69" s="30"/>
      <c r="F69" s="30"/>
      <c r="G69" s="166"/>
    </row>
    <row r="70">
      <c r="B70" s="30"/>
      <c r="C70" s="30"/>
      <c r="D70" s="30"/>
      <c r="E70" s="30"/>
      <c r="F70" s="30"/>
      <c r="G70" s="166"/>
    </row>
    <row r="71">
      <c r="B71" s="30"/>
      <c r="C71" s="30"/>
      <c r="D71" s="30"/>
      <c r="E71" s="30"/>
      <c r="F71" s="30"/>
      <c r="G71" s="166"/>
    </row>
    <row r="72">
      <c r="B72" s="30"/>
      <c r="C72" s="30"/>
      <c r="D72" s="30"/>
      <c r="E72" s="30"/>
      <c r="F72" s="30"/>
      <c r="G72" s="166"/>
    </row>
    <row r="73">
      <c r="B73" s="30"/>
      <c r="C73" s="30"/>
      <c r="D73" s="30"/>
      <c r="E73" s="30"/>
      <c r="F73" s="30"/>
      <c r="G73" s="166"/>
    </row>
    <row r="74">
      <c r="B74" s="30"/>
      <c r="C74" s="30"/>
      <c r="D74" s="30"/>
      <c r="E74" s="30"/>
      <c r="F74" s="30"/>
      <c r="G74" s="166"/>
    </row>
    <row r="75">
      <c r="B75" s="30"/>
      <c r="C75" s="30"/>
      <c r="D75" s="30"/>
      <c r="E75" s="30"/>
      <c r="F75" s="30"/>
      <c r="G75" s="166"/>
    </row>
    <row r="76">
      <c r="B76" s="30"/>
      <c r="C76" s="30"/>
      <c r="D76" s="30"/>
      <c r="E76" s="30"/>
      <c r="F76" s="30"/>
      <c r="G76" s="166"/>
    </row>
    <row r="77">
      <c r="B77" s="30"/>
      <c r="C77" s="30"/>
      <c r="D77" s="30"/>
      <c r="E77" s="30"/>
      <c r="F77" s="30"/>
      <c r="G77" s="166"/>
    </row>
    <row r="78">
      <c r="B78" s="30"/>
      <c r="C78" s="30"/>
      <c r="D78" s="30"/>
      <c r="E78" s="30"/>
      <c r="F78" s="30"/>
      <c r="G78" s="166"/>
    </row>
    <row r="79">
      <c r="B79" s="30"/>
      <c r="C79" s="30"/>
      <c r="D79" s="30"/>
      <c r="E79" s="30"/>
      <c r="F79" s="30"/>
      <c r="G79" s="166"/>
    </row>
    <row r="80">
      <c r="B80" s="30"/>
      <c r="C80" s="30"/>
      <c r="D80" s="30"/>
      <c r="E80" s="30"/>
      <c r="F80" s="30"/>
      <c r="G80" s="166"/>
    </row>
    <row r="81">
      <c r="B81" s="30"/>
      <c r="C81" s="30"/>
      <c r="D81" s="30"/>
      <c r="E81" s="30"/>
      <c r="F81" s="30"/>
      <c r="G81" s="166"/>
    </row>
    <row r="82">
      <c r="B82" s="30"/>
      <c r="C82" s="30"/>
      <c r="D82" s="30"/>
      <c r="E82" s="30"/>
      <c r="F82" s="30"/>
      <c r="G82" s="166"/>
    </row>
    <row r="83">
      <c r="B83" s="30"/>
      <c r="C83" s="30"/>
      <c r="D83" s="30"/>
      <c r="E83" s="30"/>
      <c r="F83" s="30"/>
      <c r="G83" s="166"/>
    </row>
    <row r="84">
      <c r="B84" s="30"/>
      <c r="C84" s="30"/>
      <c r="D84" s="30"/>
      <c r="E84" s="30"/>
      <c r="F84" s="30"/>
      <c r="G84" s="166"/>
    </row>
    <row r="85">
      <c r="B85" s="30"/>
      <c r="C85" s="30"/>
      <c r="D85" s="30"/>
      <c r="E85" s="30"/>
      <c r="F85" s="30"/>
      <c r="G85" s="166"/>
    </row>
    <row r="86">
      <c r="B86" s="30"/>
      <c r="C86" s="30"/>
      <c r="D86" s="30"/>
      <c r="E86" s="30"/>
      <c r="F86" s="30"/>
      <c r="G86" s="166"/>
    </row>
    <row r="87">
      <c r="B87" s="30"/>
      <c r="C87" s="30"/>
      <c r="D87" s="30"/>
      <c r="E87" s="30"/>
      <c r="F87" s="30"/>
      <c r="G87" s="166"/>
    </row>
    <row r="88">
      <c r="B88" s="30"/>
      <c r="C88" s="30"/>
      <c r="D88" s="30"/>
      <c r="E88" s="30"/>
      <c r="F88" s="30"/>
      <c r="G88" s="166"/>
    </row>
    <row r="89">
      <c r="B89" s="30"/>
      <c r="C89" s="30"/>
      <c r="D89" s="30"/>
      <c r="E89" s="30"/>
      <c r="F89" s="30"/>
      <c r="G89" s="166"/>
    </row>
    <row r="90">
      <c r="B90" s="30"/>
      <c r="C90" s="30"/>
      <c r="D90" s="30"/>
      <c r="E90" s="30"/>
      <c r="F90" s="30"/>
      <c r="G90" s="166"/>
    </row>
    <row r="91">
      <c r="B91" s="30"/>
      <c r="C91" s="30"/>
      <c r="D91" s="30"/>
      <c r="E91" s="30"/>
      <c r="F91" s="30"/>
      <c r="G91" s="166"/>
    </row>
    <row r="92">
      <c r="B92" s="30"/>
      <c r="C92" s="30"/>
      <c r="D92" s="30"/>
      <c r="E92" s="30"/>
      <c r="F92" s="30"/>
      <c r="G92" s="166"/>
    </row>
    <row r="93">
      <c r="B93" s="30"/>
      <c r="C93" s="30"/>
      <c r="D93" s="30"/>
      <c r="E93" s="30"/>
      <c r="F93" s="30"/>
      <c r="G93" s="166"/>
    </row>
    <row r="94">
      <c r="B94" s="30"/>
      <c r="C94" s="30"/>
      <c r="D94" s="30"/>
      <c r="E94" s="30"/>
      <c r="F94" s="30"/>
      <c r="G94" s="166"/>
    </row>
    <row r="95">
      <c r="B95" s="30"/>
      <c r="C95" s="30"/>
      <c r="D95" s="30"/>
      <c r="E95" s="30"/>
      <c r="F95" s="30"/>
      <c r="G95" s="166"/>
    </row>
    <row r="96">
      <c r="B96" s="30"/>
      <c r="C96" s="30"/>
      <c r="D96" s="30"/>
      <c r="E96" s="30"/>
      <c r="F96" s="30"/>
      <c r="G96" s="166"/>
    </row>
    <row r="97">
      <c r="B97" s="30"/>
      <c r="C97" s="30"/>
      <c r="D97" s="30"/>
      <c r="E97" s="30"/>
      <c r="F97" s="30"/>
      <c r="G97" s="166"/>
    </row>
    <row r="98">
      <c r="B98" s="30"/>
      <c r="C98" s="30"/>
      <c r="D98" s="30"/>
      <c r="E98" s="30"/>
      <c r="F98" s="30"/>
      <c r="G98" s="166"/>
    </row>
    <row r="99">
      <c r="B99" s="30"/>
      <c r="C99" s="30"/>
      <c r="D99" s="30"/>
      <c r="E99" s="30"/>
      <c r="F99" s="30"/>
      <c r="G99" s="166"/>
    </row>
    <row r="100">
      <c r="B100" s="30"/>
      <c r="C100" s="30"/>
      <c r="D100" s="30"/>
      <c r="E100" s="30"/>
      <c r="F100" s="30"/>
      <c r="G100" s="166"/>
    </row>
    <row r="101">
      <c r="B101" s="30"/>
      <c r="C101" s="30"/>
      <c r="D101" s="30"/>
      <c r="E101" s="30"/>
      <c r="F101" s="30"/>
      <c r="G101" s="166"/>
    </row>
    <row r="102">
      <c r="B102" s="30"/>
      <c r="C102" s="30"/>
      <c r="D102" s="30"/>
      <c r="E102" s="30"/>
      <c r="F102" s="30"/>
      <c r="G102" s="166"/>
    </row>
    <row r="103">
      <c r="B103" s="30"/>
      <c r="C103" s="30"/>
      <c r="D103" s="30"/>
      <c r="E103" s="30"/>
      <c r="F103" s="30"/>
      <c r="G103" s="166"/>
    </row>
    <row r="104">
      <c r="B104" s="30"/>
      <c r="C104" s="30"/>
      <c r="D104" s="30"/>
      <c r="E104" s="30"/>
      <c r="F104" s="30"/>
      <c r="G104" s="166"/>
    </row>
    <row r="105">
      <c r="B105" s="30"/>
      <c r="C105" s="30"/>
      <c r="D105" s="30"/>
      <c r="E105" s="30"/>
      <c r="F105" s="30"/>
      <c r="G105" s="166"/>
    </row>
    <row r="106">
      <c r="B106" s="30"/>
      <c r="C106" s="30"/>
      <c r="D106" s="30"/>
      <c r="E106" s="30"/>
      <c r="F106" s="30"/>
      <c r="G106" s="166"/>
    </row>
    <row r="107">
      <c r="B107" s="30"/>
      <c r="C107" s="30"/>
      <c r="D107" s="30"/>
      <c r="E107" s="30"/>
      <c r="F107" s="30"/>
      <c r="G107" s="166"/>
    </row>
    <row r="108">
      <c r="B108" s="30"/>
      <c r="C108" s="30"/>
      <c r="D108" s="30"/>
      <c r="E108" s="30"/>
      <c r="F108" s="30"/>
      <c r="G108" s="166"/>
    </row>
    <row r="109">
      <c r="B109" s="30"/>
      <c r="C109" s="30"/>
      <c r="D109" s="30"/>
      <c r="E109" s="30"/>
      <c r="F109" s="30"/>
      <c r="G109" s="166"/>
    </row>
    <row r="110">
      <c r="B110" s="30"/>
      <c r="C110" s="30"/>
      <c r="D110" s="30"/>
      <c r="E110" s="30"/>
      <c r="F110" s="30"/>
      <c r="G110" s="166"/>
    </row>
    <row r="111">
      <c r="B111" s="30"/>
      <c r="C111" s="30"/>
      <c r="D111" s="30"/>
      <c r="E111" s="30"/>
      <c r="F111" s="30"/>
      <c r="G111" s="166"/>
    </row>
    <row r="112">
      <c r="B112" s="30"/>
      <c r="C112" s="30"/>
      <c r="D112" s="30"/>
      <c r="E112" s="30"/>
      <c r="F112" s="30"/>
      <c r="G112" s="166"/>
    </row>
    <row r="113">
      <c r="B113" s="30"/>
      <c r="C113" s="30"/>
      <c r="D113" s="30"/>
      <c r="E113" s="30"/>
      <c r="F113" s="30"/>
      <c r="G113" s="166"/>
    </row>
    <row r="114">
      <c r="B114" s="30"/>
      <c r="C114" s="30"/>
      <c r="D114" s="30"/>
      <c r="E114" s="30"/>
      <c r="F114" s="30"/>
      <c r="G114" s="166"/>
    </row>
    <row r="115">
      <c r="B115" s="30"/>
      <c r="C115" s="30"/>
      <c r="D115" s="30"/>
      <c r="E115" s="30"/>
      <c r="F115" s="30"/>
      <c r="G115" s="166"/>
    </row>
    <row r="116">
      <c r="B116" s="30"/>
      <c r="C116" s="30"/>
      <c r="D116" s="30"/>
      <c r="E116" s="30"/>
      <c r="F116" s="30"/>
      <c r="G116" s="166"/>
    </row>
    <row r="117">
      <c r="B117" s="30"/>
      <c r="C117" s="30"/>
      <c r="D117" s="30"/>
      <c r="E117" s="30"/>
      <c r="F117" s="30"/>
      <c r="G117" s="166"/>
    </row>
    <row r="118">
      <c r="B118" s="30"/>
      <c r="C118" s="30"/>
      <c r="D118" s="30"/>
      <c r="E118" s="30"/>
      <c r="F118" s="30"/>
      <c r="G118" s="166"/>
    </row>
    <row r="119">
      <c r="B119" s="30"/>
      <c r="C119" s="30"/>
      <c r="D119" s="30"/>
      <c r="E119" s="30"/>
      <c r="F119" s="30"/>
      <c r="G119" s="166"/>
    </row>
    <row r="120">
      <c r="B120" s="30"/>
      <c r="C120" s="30"/>
      <c r="D120" s="30"/>
      <c r="E120" s="30"/>
      <c r="F120" s="30"/>
      <c r="G120" s="166"/>
    </row>
    <row r="121">
      <c r="B121" s="30"/>
      <c r="C121" s="30"/>
      <c r="D121" s="30"/>
      <c r="E121" s="30"/>
      <c r="F121" s="30"/>
      <c r="G121" s="166"/>
    </row>
    <row r="122">
      <c r="B122" s="30"/>
      <c r="C122" s="30"/>
      <c r="D122" s="30"/>
      <c r="E122" s="30"/>
      <c r="F122" s="30"/>
      <c r="G122" s="166"/>
    </row>
    <row r="123">
      <c r="B123" s="30"/>
      <c r="C123" s="30"/>
      <c r="D123" s="30"/>
      <c r="E123" s="30"/>
      <c r="F123" s="30"/>
      <c r="G123" s="166"/>
    </row>
    <row r="124">
      <c r="B124" s="30"/>
      <c r="C124" s="30"/>
      <c r="D124" s="30"/>
      <c r="E124" s="30"/>
      <c r="F124" s="30"/>
      <c r="G124" s="166"/>
    </row>
    <row r="125">
      <c r="B125" s="30"/>
      <c r="C125" s="30"/>
      <c r="D125" s="30"/>
      <c r="E125" s="30"/>
      <c r="F125" s="30"/>
      <c r="G125" s="166"/>
    </row>
    <row r="126">
      <c r="B126" s="30"/>
      <c r="C126" s="30"/>
      <c r="D126" s="30"/>
      <c r="E126" s="30"/>
      <c r="F126" s="30"/>
      <c r="G126" s="166"/>
    </row>
    <row r="127">
      <c r="B127" s="30"/>
      <c r="C127" s="30"/>
      <c r="D127" s="30"/>
      <c r="E127" s="30"/>
      <c r="F127" s="30"/>
      <c r="G127" s="166"/>
    </row>
    <row r="128">
      <c r="B128" s="30"/>
      <c r="C128" s="30"/>
      <c r="D128" s="30"/>
      <c r="E128" s="30"/>
      <c r="F128" s="30"/>
      <c r="G128" s="166"/>
    </row>
    <row r="129">
      <c r="B129" s="30"/>
      <c r="C129" s="30"/>
      <c r="D129" s="30"/>
      <c r="E129" s="30"/>
      <c r="F129" s="30"/>
      <c r="G129" s="166"/>
    </row>
    <row r="130">
      <c r="B130" s="30"/>
      <c r="C130" s="30"/>
      <c r="D130" s="30"/>
      <c r="E130" s="30"/>
      <c r="F130" s="30"/>
      <c r="G130" s="166"/>
    </row>
    <row r="131">
      <c r="B131" s="30"/>
      <c r="C131" s="30"/>
      <c r="D131" s="30"/>
      <c r="E131" s="30"/>
      <c r="F131" s="30"/>
      <c r="G131" s="166"/>
    </row>
    <row r="132">
      <c r="B132" s="30"/>
      <c r="C132" s="30"/>
      <c r="D132" s="30"/>
      <c r="E132" s="30"/>
      <c r="F132" s="30"/>
      <c r="G132" s="166"/>
    </row>
    <row r="133">
      <c r="B133" s="30"/>
      <c r="C133" s="30"/>
      <c r="D133" s="30"/>
      <c r="E133" s="30"/>
      <c r="F133" s="30"/>
      <c r="G133" s="166"/>
    </row>
    <row r="134">
      <c r="B134" s="30"/>
      <c r="C134" s="30"/>
      <c r="D134" s="30"/>
      <c r="E134" s="30"/>
      <c r="F134" s="30"/>
      <c r="G134" s="166"/>
    </row>
    <row r="135">
      <c r="B135" s="30"/>
      <c r="C135" s="30"/>
      <c r="D135" s="30"/>
      <c r="E135" s="30"/>
      <c r="F135" s="30"/>
      <c r="G135" s="166"/>
    </row>
    <row r="136">
      <c r="B136" s="30"/>
      <c r="C136" s="30"/>
      <c r="D136" s="30"/>
      <c r="E136" s="30"/>
      <c r="F136" s="30"/>
      <c r="G136" s="166"/>
    </row>
    <row r="137">
      <c r="B137" s="30"/>
      <c r="C137" s="30"/>
      <c r="D137" s="30"/>
      <c r="E137" s="30"/>
      <c r="F137" s="30"/>
      <c r="G137" s="166"/>
    </row>
    <row r="138">
      <c r="B138" s="30"/>
      <c r="C138" s="30"/>
      <c r="D138" s="30"/>
      <c r="E138" s="30"/>
      <c r="F138" s="30"/>
      <c r="G138" s="166"/>
    </row>
    <row r="139">
      <c r="B139" s="30"/>
      <c r="C139" s="30"/>
      <c r="D139" s="30"/>
      <c r="E139" s="30"/>
      <c r="F139" s="30"/>
      <c r="G139" s="166"/>
    </row>
    <row r="140">
      <c r="B140" s="30"/>
      <c r="C140" s="30"/>
      <c r="D140" s="30"/>
      <c r="E140" s="30"/>
      <c r="F140" s="30"/>
      <c r="G140" s="166"/>
    </row>
    <row r="141">
      <c r="B141" s="30"/>
      <c r="C141" s="30"/>
      <c r="D141" s="30"/>
      <c r="E141" s="30"/>
      <c r="F141" s="30"/>
      <c r="G141" s="166"/>
    </row>
    <row r="142">
      <c r="B142" s="30"/>
      <c r="C142" s="30"/>
      <c r="D142" s="30"/>
      <c r="E142" s="30"/>
      <c r="F142" s="30"/>
      <c r="G142" s="166"/>
    </row>
    <row r="143">
      <c r="B143" s="30"/>
      <c r="C143" s="30"/>
      <c r="D143" s="30"/>
      <c r="E143" s="30"/>
      <c r="F143" s="30"/>
      <c r="G143" s="166"/>
    </row>
    <row r="144">
      <c r="B144" s="30"/>
      <c r="C144" s="30"/>
      <c r="D144" s="30"/>
      <c r="E144" s="30"/>
      <c r="F144" s="30"/>
      <c r="G144" s="166"/>
    </row>
    <row r="145">
      <c r="B145" s="30"/>
      <c r="C145" s="30"/>
      <c r="D145" s="30"/>
      <c r="E145" s="30"/>
      <c r="F145" s="30"/>
      <c r="G145" s="166"/>
    </row>
    <row r="146">
      <c r="B146" s="30"/>
      <c r="C146" s="30"/>
      <c r="D146" s="30"/>
      <c r="E146" s="30"/>
      <c r="F146" s="30"/>
      <c r="G146" s="166"/>
    </row>
    <row r="147">
      <c r="B147" s="30"/>
      <c r="C147" s="30"/>
      <c r="D147" s="30"/>
      <c r="E147" s="30"/>
      <c r="F147" s="30"/>
      <c r="G147" s="166"/>
    </row>
    <row r="148">
      <c r="B148" s="30"/>
      <c r="C148" s="30"/>
      <c r="D148" s="30"/>
      <c r="E148" s="30"/>
      <c r="F148" s="30"/>
      <c r="G148" s="166"/>
    </row>
    <row r="149">
      <c r="B149" s="30"/>
      <c r="C149" s="30"/>
      <c r="D149" s="30"/>
      <c r="E149" s="30"/>
      <c r="F149" s="30"/>
      <c r="G149" s="166"/>
    </row>
    <row r="150">
      <c r="B150" s="30"/>
      <c r="C150" s="30"/>
      <c r="D150" s="30"/>
      <c r="E150" s="30"/>
      <c r="F150" s="30"/>
      <c r="G150" s="166"/>
    </row>
    <row r="151">
      <c r="B151" s="30"/>
      <c r="C151" s="30"/>
      <c r="D151" s="30"/>
      <c r="E151" s="30"/>
      <c r="F151" s="30"/>
      <c r="G151" s="166"/>
    </row>
    <row r="152">
      <c r="B152" s="30"/>
      <c r="C152" s="30"/>
      <c r="D152" s="30"/>
      <c r="E152" s="30"/>
      <c r="F152" s="30"/>
      <c r="G152" s="166"/>
    </row>
    <row r="153">
      <c r="B153" s="30"/>
      <c r="C153" s="30"/>
      <c r="D153" s="30"/>
      <c r="E153" s="30"/>
      <c r="F153" s="30"/>
      <c r="G153" s="166"/>
    </row>
    <row r="154">
      <c r="B154" s="30"/>
      <c r="C154" s="30"/>
      <c r="D154" s="30"/>
      <c r="E154" s="30"/>
      <c r="F154" s="30"/>
      <c r="G154" s="166"/>
    </row>
    <row r="155">
      <c r="B155" s="30"/>
      <c r="C155" s="30"/>
      <c r="D155" s="30"/>
      <c r="E155" s="30"/>
      <c r="F155" s="30"/>
      <c r="G155" s="166"/>
    </row>
    <row r="156">
      <c r="B156" s="30"/>
      <c r="C156" s="30"/>
      <c r="D156" s="30"/>
      <c r="E156" s="30"/>
      <c r="F156" s="30"/>
      <c r="G156" s="166"/>
    </row>
    <row r="157">
      <c r="B157" s="30"/>
      <c r="C157" s="30"/>
      <c r="D157" s="30"/>
      <c r="E157" s="30"/>
      <c r="F157" s="30"/>
      <c r="G157" s="166"/>
    </row>
    <row r="158">
      <c r="B158" s="30"/>
      <c r="C158" s="30"/>
      <c r="D158" s="30"/>
      <c r="E158" s="30"/>
      <c r="F158" s="30"/>
      <c r="G158" s="166"/>
    </row>
    <row r="159">
      <c r="B159" s="30"/>
      <c r="C159" s="30"/>
      <c r="D159" s="30"/>
      <c r="E159" s="30"/>
      <c r="F159" s="30"/>
      <c r="G159" s="166"/>
    </row>
    <row r="160">
      <c r="B160" s="30"/>
      <c r="C160" s="30"/>
      <c r="D160" s="30"/>
      <c r="E160" s="30"/>
      <c r="F160" s="30"/>
      <c r="G160" s="166"/>
    </row>
    <row r="161">
      <c r="B161" s="30"/>
      <c r="C161" s="30"/>
      <c r="D161" s="30"/>
      <c r="E161" s="30"/>
      <c r="F161" s="30"/>
      <c r="G161" s="166"/>
    </row>
    <row r="162">
      <c r="B162" s="30"/>
      <c r="C162" s="30"/>
      <c r="D162" s="30"/>
      <c r="E162" s="30"/>
      <c r="F162" s="30"/>
      <c r="G162" s="166"/>
    </row>
    <row r="163">
      <c r="B163" s="30"/>
      <c r="C163" s="30"/>
      <c r="D163" s="30"/>
      <c r="E163" s="30"/>
      <c r="F163" s="30"/>
      <c r="G163" s="166"/>
    </row>
    <row r="164">
      <c r="B164" s="30"/>
      <c r="C164" s="30"/>
      <c r="D164" s="30"/>
      <c r="E164" s="30"/>
      <c r="F164" s="30"/>
      <c r="G164" s="166"/>
    </row>
    <row r="165">
      <c r="B165" s="30"/>
      <c r="C165" s="30"/>
      <c r="D165" s="30"/>
      <c r="E165" s="30"/>
      <c r="F165" s="30"/>
      <c r="G165" s="166"/>
    </row>
    <row r="166">
      <c r="B166" s="30"/>
      <c r="C166" s="30"/>
      <c r="D166" s="30"/>
      <c r="E166" s="30"/>
      <c r="F166" s="30"/>
      <c r="G166" s="166"/>
    </row>
    <row r="167">
      <c r="B167" s="30"/>
      <c r="C167" s="30"/>
      <c r="D167" s="30"/>
      <c r="E167" s="30"/>
      <c r="F167" s="30"/>
      <c r="G167" s="166"/>
    </row>
    <row r="168">
      <c r="B168" s="30"/>
      <c r="C168" s="30"/>
      <c r="D168" s="30"/>
      <c r="E168" s="30"/>
      <c r="F168" s="30"/>
      <c r="G168" s="166"/>
    </row>
    <row r="169">
      <c r="B169" s="30"/>
      <c r="C169" s="30"/>
      <c r="D169" s="30"/>
      <c r="E169" s="30"/>
      <c r="F169" s="30"/>
      <c r="G169" s="166"/>
    </row>
    <row r="170">
      <c r="B170" s="30"/>
      <c r="C170" s="30"/>
      <c r="D170" s="30"/>
      <c r="E170" s="30"/>
      <c r="F170" s="30"/>
      <c r="G170" s="166"/>
    </row>
    <row r="171">
      <c r="B171" s="30"/>
      <c r="C171" s="30"/>
      <c r="D171" s="30"/>
      <c r="E171" s="30"/>
      <c r="F171" s="30"/>
      <c r="G171" s="166"/>
    </row>
    <row r="172">
      <c r="B172" s="30"/>
      <c r="C172" s="30"/>
      <c r="D172" s="30"/>
      <c r="E172" s="30"/>
      <c r="F172" s="30"/>
      <c r="G172" s="166"/>
    </row>
    <row r="173">
      <c r="B173" s="30"/>
      <c r="C173" s="30"/>
      <c r="D173" s="30"/>
      <c r="E173" s="30"/>
      <c r="F173" s="30"/>
      <c r="G173" s="166"/>
    </row>
    <row r="174">
      <c r="B174" s="30"/>
      <c r="C174" s="30"/>
      <c r="D174" s="30"/>
      <c r="E174" s="30"/>
      <c r="F174" s="30"/>
      <c r="G174" s="166"/>
    </row>
    <row r="175">
      <c r="B175" s="30"/>
      <c r="C175" s="30"/>
      <c r="D175" s="30"/>
      <c r="E175" s="30"/>
      <c r="F175" s="30"/>
      <c r="G175" s="166"/>
    </row>
    <row r="176">
      <c r="B176" s="30"/>
      <c r="C176" s="30"/>
      <c r="D176" s="30"/>
      <c r="E176" s="30"/>
      <c r="F176" s="30"/>
      <c r="G176" s="166"/>
    </row>
    <row r="177">
      <c r="B177" s="30"/>
      <c r="C177" s="30"/>
      <c r="D177" s="30"/>
      <c r="E177" s="30"/>
      <c r="F177" s="30"/>
      <c r="G177" s="166"/>
    </row>
    <row r="178">
      <c r="B178" s="30"/>
      <c r="C178" s="30"/>
      <c r="D178" s="30"/>
      <c r="E178" s="30"/>
      <c r="F178" s="30"/>
      <c r="G178" s="166"/>
    </row>
    <row r="179">
      <c r="B179" s="30"/>
      <c r="C179" s="30"/>
      <c r="D179" s="30"/>
      <c r="E179" s="30"/>
      <c r="F179" s="30"/>
      <c r="G179" s="166"/>
    </row>
    <row r="180">
      <c r="B180" s="30"/>
      <c r="C180" s="30"/>
      <c r="D180" s="30"/>
      <c r="E180" s="30"/>
      <c r="F180" s="30"/>
      <c r="G180" s="166"/>
    </row>
    <row r="181">
      <c r="B181" s="30"/>
      <c r="C181" s="30"/>
      <c r="D181" s="30"/>
      <c r="E181" s="30"/>
      <c r="F181" s="30"/>
      <c r="G181" s="166"/>
    </row>
    <row r="182">
      <c r="B182" s="30"/>
      <c r="C182" s="30"/>
      <c r="D182" s="30"/>
      <c r="E182" s="30"/>
      <c r="F182" s="30"/>
      <c r="G182" s="166"/>
    </row>
    <row r="183">
      <c r="B183" s="30"/>
      <c r="C183" s="30"/>
      <c r="D183" s="30"/>
      <c r="E183" s="30"/>
      <c r="F183" s="30"/>
      <c r="G183" s="166"/>
    </row>
    <row r="184">
      <c r="B184" s="30"/>
      <c r="C184" s="30"/>
      <c r="D184" s="30"/>
      <c r="E184" s="30"/>
      <c r="F184" s="30"/>
      <c r="G184" s="166"/>
    </row>
    <row r="185">
      <c r="B185" s="30"/>
      <c r="C185" s="30"/>
      <c r="D185" s="30"/>
      <c r="E185" s="30"/>
      <c r="F185" s="30"/>
      <c r="G185" s="166"/>
    </row>
    <row r="186">
      <c r="B186" s="30"/>
      <c r="C186" s="30"/>
      <c r="D186" s="30"/>
      <c r="E186" s="30"/>
      <c r="F186" s="30"/>
      <c r="G186" s="166"/>
    </row>
    <row r="187">
      <c r="B187" s="30"/>
      <c r="C187" s="30"/>
      <c r="D187" s="30"/>
      <c r="E187" s="30"/>
      <c r="F187" s="30"/>
      <c r="G187" s="166"/>
    </row>
    <row r="188">
      <c r="B188" s="30"/>
      <c r="C188" s="30"/>
      <c r="D188" s="30"/>
      <c r="E188" s="30"/>
      <c r="F188" s="30"/>
      <c r="G188" s="166"/>
    </row>
    <row r="189">
      <c r="B189" s="30"/>
      <c r="C189" s="30"/>
      <c r="D189" s="30"/>
      <c r="E189" s="30"/>
      <c r="F189" s="30"/>
      <c r="G189" s="166"/>
    </row>
    <row r="190">
      <c r="B190" s="30"/>
      <c r="C190" s="30"/>
      <c r="D190" s="30"/>
      <c r="E190" s="30"/>
      <c r="F190" s="30"/>
      <c r="G190" s="166"/>
    </row>
    <row r="191">
      <c r="B191" s="30"/>
      <c r="C191" s="30"/>
      <c r="D191" s="30"/>
      <c r="E191" s="30"/>
      <c r="F191" s="30"/>
      <c r="G191" s="166"/>
    </row>
    <row r="192">
      <c r="B192" s="30"/>
      <c r="C192" s="30"/>
      <c r="D192" s="30"/>
      <c r="E192" s="30"/>
      <c r="F192" s="30"/>
      <c r="G192" s="166"/>
    </row>
    <row r="193">
      <c r="B193" s="30"/>
      <c r="C193" s="30"/>
      <c r="D193" s="30"/>
      <c r="E193" s="30"/>
      <c r="F193" s="30"/>
      <c r="G193" s="166"/>
    </row>
    <row r="194">
      <c r="B194" s="30"/>
      <c r="C194" s="30"/>
      <c r="D194" s="30"/>
      <c r="E194" s="30"/>
      <c r="F194" s="30"/>
      <c r="G194" s="166"/>
    </row>
    <row r="195">
      <c r="B195" s="30"/>
      <c r="C195" s="30"/>
      <c r="D195" s="30"/>
      <c r="E195" s="30"/>
      <c r="F195" s="30"/>
      <c r="G195" s="166"/>
    </row>
    <row r="196">
      <c r="B196" s="30"/>
      <c r="C196" s="30"/>
      <c r="D196" s="30"/>
      <c r="E196" s="30"/>
      <c r="F196" s="30"/>
      <c r="G196" s="166"/>
    </row>
    <row r="197">
      <c r="B197" s="30"/>
      <c r="C197" s="30"/>
      <c r="D197" s="30"/>
      <c r="E197" s="30"/>
      <c r="F197" s="30"/>
      <c r="G197" s="166"/>
    </row>
    <row r="198">
      <c r="B198" s="30"/>
      <c r="C198" s="30"/>
      <c r="D198" s="30"/>
      <c r="E198" s="30"/>
      <c r="F198" s="30"/>
      <c r="G198" s="166"/>
    </row>
    <row r="199">
      <c r="B199" s="30"/>
      <c r="C199" s="30"/>
      <c r="D199" s="30"/>
      <c r="E199" s="30"/>
      <c r="F199" s="30"/>
      <c r="G199" s="166"/>
    </row>
    <row r="200">
      <c r="B200" s="30"/>
      <c r="C200" s="30"/>
      <c r="D200" s="30"/>
      <c r="E200" s="30"/>
      <c r="F200" s="30"/>
      <c r="G200" s="166"/>
    </row>
    <row r="201">
      <c r="B201" s="30"/>
      <c r="C201" s="30"/>
      <c r="D201" s="30"/>
      <c r="E201" s="30"/>
      <c r="F201" s="30"/>
      <c r="G201" s="166"/>
    </row>
    <row r="202">
      <c r="B202" s="30"/>
      <c r="C202" s="30"/>
      <c r="D202" s="30"/>
      <c r="E202" s="30"/>
      <c r="F202" s="30"/>
      <c r="G202" s="166"/>
    </row>
    <row r="203">
      <c r="B203" s="30"/>
      <c r="C203" s="30"/>
      <c r="D203" s="30"/>
      <c r="E203" s="30"/>
      <c r="F203" s="30"/>
      <c r="G203" s="166"/>
    </row>
    <row r="204">
      <c r="B204" s="30"/>
      <c r="C204" s="30"/>
      <c r="D204" s="30"/>
      <c r="E204" s="30"/>
      <c r="F204" s="30"/>
      <c r="G204" s="166"/>
    </row>
    <row r="205">
      <c r="B205" s="30"/>
      <c r="C205" s="30"/>
      <c r="D205" s="30"/>
      <c r="E205" s="30"/>
      <c r="F205" s="30"/>
      <c r="G205" s="166"/>
    </row>
    <row r="206">
      <c r="B206" s="30"/>
      <c r="C206" s="30"/>
      <c r="D206" s="30"/>
      <c r="E206" s="30"/>
      <c r="F206" s="30"/>
      <c r="G206" s="166"/>
    </row>
    <row r="207">
      <c r="B207" s="30"/>
      <c r="C207" s="30"/>
      <c r="D207" s="30"/>
      <c r="E207" s="30"/>
      <c r="F207" s="30"/>
      <c r="G207" s="166"/>
    </row>
    <row r="208">
      <c r="B208" s="30"/>
      <c r="C208" s="30"/>
      <c r="D208" s="30"/>
      <c r="E208" s="30"/>
      <c r="F208" s="30"/>
      <c r="G208" s="166"/>
    </row>
    <row r="209">
      <c r="B209" s="30"/>
      <c r="C209" s="30"/>
      <c r="D209" s="30"/>
      <c r="E209" s="30"/>
      <c r="F209" s="30"/>
      <c r="G209" s="166"/>
    </row>
    <row r="210">
      <c r="B210" s="30"/>
      <c r="C210" s="30"/>
      <c r="D210" s="30"/>
      <c r="E210" s="30"/>
      <c r="F210" s="30"/>
      <c r="G210" s="166"/>
    </row>
    <row r="211">
      <c r="B211" s="30"/>
      <c r="C211" s="30"/>
      <c r="D211" s="30"/>
      <c r="E211" s="30"/>
      <c r="F211" s="30"/>
      <c r="G211" s="166"/>
    </row>
    <row r="212">
      <c r="B212" s="30"/>
      <c r="C212" s="30"/>
      <c r="D212" s="30"/>
      <c r="E212" s="30"/>
      <c r="F212" s="30"/>
      <c r="G212" s="166"/>
    </row>
    <row r="213">
      <c r="B213" s="30"/>
      <c r="C213" s="30"/>
      <c r="D213" s="30"/>
      <c r="E213" s="30"/>
      <c r="F213" s="30"/>
      <c r="G213" s="166"/>
    </row>
    <row r="214">
      <c r="B214" s="30"/>
      <c r="C214" s="30"/>
      <c r="D214" s="30"/>
      <c r="E214" s="30"/>
      <c r="F214" s="30"/>
      <c r="G214" s="166"/>
    </row>
    <row r="215">
      <c r="B215" s="30"/>
      <c r="C215" s="30"/>
      <c r="D215" s="30"/>
      <c r="E215" s="30"/>
      <c r="F215" s="30"/>
      <c r="G215" s="166"/>
    </row>
    <row r="216">
      <c r="B216" s="30"/>
      <c r="C216" s="30"/>
      <c r="D216" s="30"/>
      <c r="E216" s="30"/>
      <c r="F216" s="30"/>
      <c r="G216" s="166"/>
    </row>
    <row r="217">
      <c r="B217" s="30"/>
      <c r="C217" s="30"/>
      <c r="D217" s="30"/>
      <c r="E217" s="30"/>
      <c r="F217" s="30"/>
      <c r="G217" s="166"/>
    </row>
    <row r="218">
      <c r="B218" s="30"/>
      <c r="C218" s="30"/>
      <c r="D218" s="30"/>
      <c r="E218" s="30"/>
      <c r="F218" s="30"/>
      <c r="G218" s="166"/>
    </row>
    <row r="219">
      <c r="B219" s="30"/>
      <c r="C219" s="30"/>
      <c r="D219" s="30"/>
      <c r="E219" s="30"/>
      <c r="F219" s="30"/>
      <c r="G219" s="166"/>
    </row>
    <row r="220">
      <c r="B220" s="30"/>
      <c r="C220" s="30"/>
      <c r="D220" s="30"/>
      <c r="E220" s="30"/>
      <c r="F220" s="30"/>
      <c r="G220" s="166"/>
    </row>
    <row r="221">
      <c r="B221" s="30"/>
      <c r="C221" s="30"/>
      <c r="D221" s="30"/>
      <c r="E221" s="30"/>
      <c r="F221" s="30"/>
      <c r="G221" s="166"/>
    </row>
    <row r="222">
      <c r="B222" s="30"/>
      <c r="C222" s="30"/>
      <c r="D222" s="30"/>
      <c r="E222" s="30"/>
      <c r="F222" s="30"/>
      <c r="G222" s="166"/>
    </row>
    <row r="223">
      <c r="B223" s="30"/>
      <c r="C223" s="30"/>
      <c r="D223" s="30"/>
      <c r="E223" s="30"/>
      <c r="F223" s="30"/>
      <c r="G223" s="166"/>
    </row>
    <row r="224">
      <c r="B224" s="30"/>
      <c r="C224" s="30"/>
      <c r="D224" s="30"/>
      <c r="E224" s="30"/>
      <c r="F224" s="30"/>
      <c r="G224" s="166"/>
    </row>
    <row r="225">
      <c r="B225" s="30"/>
      <c r="C225" s="30"/>
      <c r="D225" s="30"/>
      <c r="E225" s="30"/>
      <c r="F225" s="30"/>
      <c r="G225" s="166"/>
    </row>
    <row r="226">
      <c r="B226" s="30"/>
      <c r="C226" s="30"/>
      <c r="D226" s="30"/>
      <c r="E226" s="30"/>
      <c r="F226" s="30"/>
      <c r="G226" s="166"/>
    </row>
    <row r="227">
      <c r="B227" s="30"/>
      <c r="C227" s="30"/>
      <c r="D227" s="30"/>
      <c r="E227" s="30"/>
      <c r="F227" s="30"/>
      <c r="G227" s="166"/>
    </row>
    <row r="228">
      <c r="B228" s="30"/>
      <c r="C228" s="30"/>
      <c r="D228" s="30"/>
      <c r="E228" s="30"/>
      <c r="F228" s="30"/>
      <c r="G228" s="166"/>
    </row>
    <row r="229">
      <c r="B229" s="30"/>
      <c r="C229" s="30"/>
      <c r="D229" s="30"/>
      <c r="E229" s="30"/>
      <c r="F229" s="30"/>
      <c r="G229" s="166"/>
    </row>
    <row r="230">
      <c r="B230" s="30"/>
      <c r="C230" s="30"/>
      <c r="D230" s="30"/>
      <c r="E230" s="30"/>
      <c r="F230" s="30"/>
      <c r="G230" s="166"/>
    </row>
    <row r="231">
      <c r="B231" s="30"/>
      <c r="C231" s="30"/>
      <c r="D231" s="30"/>
      <c r="E231" s="30"/>
      <c r="F231" s="30"/>
      <c r="G231" s="166"/>
    </row>
    <row r="232">
      <c r="B232" s="30"/>
      <c r="C232" s="30"/>
      <c r="D232" s="30"/>
      <c r="E232" s="30"/>
      <c r="F232" s="30"/>
      <c r="G232" s="166"/>
    </row>
    <row r="233">
      <c r="B233" s="30"/>
      <c r="C233" s="30"/>
      <c r="D233" s="30"/>
      <c r="E233" s="30"/>
      <c r="F233" s="30"/>
      <c r="G233" s="166"/>
    </row>
    <row r="234">
      <c r="B234" s="30"/>
      <c r="C234" s="30"/>
      <c r="D234" s="30"/>
      <c r="E234" s="30"/>
      <c r="F234" s="30"/>
      <c r="G234" s="166"/>
    </row>
    <row r="235">
      <c r="B235" s="30"/>
      <c r="C235" s="30"/>
      <c r="D235" s="30"/>
      <c r="E235" s="30"/>
      <c r="F235" s="30"/>
      <c r="G235" s="166"/>
    </row>
    <row r="236">
      <c r="B236" s="30"/>
      <c r="C236" s="30"/>
      <c r="D236" s="30"/>
      <c r="E236" s="30"/>
      <c r="F236" s="30"/>
      <c r="G236" s="166"/>
    </row>
    <row r="237">
      <c r="B237" s="30"/>
      <c r="C237" s="30"/>
      <c r="D237" s="30"/>
      <c r="E237" s="30"/>
      <c r="F237" s="30"/>
      <c r="G237" s="166"/>
    </row>
    <row r="238">
      <c r="B238" s="30"/>
      <c r="C238" s="30"/>
      <c r="D238" s="30"/>
      <c r="E238" s="30"/>
      <c r="F238" s="30"/>
      <c r="G238" s="166"/>
    </row>
    <row r="239">
      <c r="B239" s="30"/>
      <c r="C239" s="30"/>
      <c r="D239" s="30"/>
      <c r="E239" s="30"/>
      <c r="F239" s="30"/>
      <c r="G239" s="166"/>
    </row>
    <row r="240">
      <c r="B240" s="30"/>
      <c r="C240" s="30"/>
      <c r="D240" s="30"/>
      <c r="E240" s="30"/>
      <c r="F240" s="30"/>
      <c r="G240" s="166"/>
    </row>
    <row r="241">
      <c r="B241" s="30"/>
      <c r="C241" s="30"/>
      <c r="D241" s="30"/>
      <c r="E241" s="30"/>
      <c r="F241" s="30"/>
      <c r="G241" s="166"/>
    </row>
    <row r="242">
      <c r="B242" s="30"/>
      <c r="C242" s="30"/>
      <c r="D242" s="30"/>
      <c r="E242" s="30"/>
      <c r="F242" s="30"/>
      <c r="G242" s="166"/>
    </row>
    <row r="243">
      <c r="B243" s="30"/>
      <c r="C243" s="30"/>
      <c r="D243" s="30"/>
      <c r="E243" s="30"/>
      <c r="F243" s="30"/>
      <c r="G243" s="166"/>
    </row>
    <row r="244">
      <c r="B244" s="30"/>
      <c r="C244" s="30"/>
      <c r="D244" s="30"/>
      <c r="E244" s="30"/>
      <c r="F244" s="30"/>
      <c r="G244" s="166"/>
    </row>
    <row r="245">
      <c r="B245" s="30"/>
      <c r="C245" s="30"/>
      <c r="D245" s="30"/>
      <c r="E245" s="30"/>
      <c r="F245" s="30"/>
      <c r="G245" s="166"/>
    </row>
    <row r="246">
      <c r="B246" s="30"/>
      <c r="C246" s="30"/>
      <c r="D246" s="30"/>
      <c r="E246" s="30"/>
      <c r="F246" s="30"/>
      <c r="G246" s="166"/>
    </row>
    <row r="247">
      <c r="B247" s="30"/>
      <c r="C247" s="30"/>
      <c r="D247" s="30"/>
      <c r="E247" s="30"/>
      <c r="F247" s="30"/>
      <c r="G247" s="166"/>
    </row>
    <row r="248">
      <c r="B248" s="30"/>
      <c r="C248" s="30"/>
      <c r="D248" s="30"/>
      <c r="E248" s="30"/>
      <c r="F248" s="30"/>
      <c r="G248" s="166"/>
    </row>
    <row r="249">
      <c r="B249" s="30"/>
      <c r="C249" s="30"/>
      <c r="D249" s="30"/>
      <c r="E249" s="30"/>
      <c r="F249" s="30"/>
      <c r="G249" s="166"/>
    </row>
    <row r="250">
      <c r="B250" s="30"/>
      <c r="C250" s="30"/>
      <c r="D250" s="30"/>
      <c r="E250" s="30"/>
      <c r="F250" s="30"/>
      <c r="G250" s="166"/>
    </row>
    <row r="251">
      <c r="B251" s="30"/>
      <c r="C251" s="30"/>
      <c r="D251" s="30"/>
      <c r="E251" s="30"/>
      <c r="F251" s="30"/>
      <c r="G251" s="166"/>
    </row>
    <row r="252">
      <c r="B252" s="30"/>
      <c r="C252" s="30"/>
      <c r="D252" s="30"/>
      <c r="E252" s="30"/>
      <c r="F252" s="30"/>
      <c r="G252" s="166"/>
    </row>
    <row r="253">
      <c r="B253" s="30"/>
      <c r="C253" s="30"/>
      <c r="D253" s="30"/>
      <c r="E253" s="30"/>
      <c r="F253" s="30"/>
      <c r="G253" s="166"/>
    </row>
    <row r="254">
      <c r="B254" s="30"/>
      <c r="C254" s="30"/>
      <c r="D254" s="30"/>
      <c r="E254" s="30"/>
      <c r="F254" s="30"/>
      <c r="G254" s="166"/>
    </row>
    <row r="255">
      <c r="B255" s="30"/>
      <c r="C255" s="30"/>
      <c r="D255" s="30"/>
      <c r="E255" s="30"/>
      <c r="F255" s="30"/>
      <c r="G255" s="166"/>
    </row>
    <row r="256">
      <c r="B256" s="30"/>
      <c r="C256" s="30"/>
      <c r="D256" s="30"/>
      <c r="E256" s="30"/>
      <c r="F256" s="30"/>
      <c r="G256" s="166"/>
    </row>
    <row r="257">
      <c r="B257" s="30"/>
      <c r="C257" s="30"/>
      <c r="D257" s="30"/>
      <c r="E257" s="30"/>
      <c r="F257" s="30"/>
      <c r="G257" s="166"/>
    </row>
    <row r="258">
      <c r="B258" s="30"/>
      <c r="C258" s="30"/>
      <c r="D258" s="30"/>
      <c r="E258" s="30"/>
      <c r="F258" s="30"/>
      <c r="G258" s="166"/>
    </row>
    <row r="259">
      <c r="B259" s="30"/>
      <c r="C259" s="30"/>
      <c r="D259" s="30"/>
      <c r="E259" s="30"/>
      <c r="F259" s="30"/>
      <c r="G259" s="166"/>
    </row>
    <row r="260">
      <c r="B260" s="30"/>
      <c r="C260" s="30"/>
      <c r="D260" s="30"/>
      <c r="E260" s="30"/>
      <c r="F260" s="30"/>
      <c r="G260" s="166"/>
    </row>
    <row r="261">
      <c r="B261" s="30"/>
      <c r="C261" s="30"/>
      <c r="D261" s="30"/>
      <c r="E261" s="30"/>
      <c r="F261" s="30"/>
      <c r="G261" s="166"/>
    </row>
    <row r="262">
      <c r="B262" s="30"/>
      <c r="C262" s="30"/>
      <c r="D262" s="30"/>
      <c r="E262" s="30"/>
      <c r="F262" s="30"/>
      <c r="G262" s="166"/>
    </row>
    <row r="263">
      <c r="B263" s="30"/>
      <c r="C263" s="30"/>
      <c r="D263" s="30"/>
      <c r="E263" s="30"/>
      <c r="F263" s="30"/>
      <c r="G263" s="166"/>
    </row>
    <row r="264">
      <c r="B264" s="30"/>
      <c r="C264" s="30"/>
      <c r="D264" s="30"/>
      <c r="E264" s="30"/>
      <c r="F264" s="30"/>
      <c r="G264" s="166"/>
    </row>
    <row r="265">
      <c r="B265" s="30"/>
      <c r="C265" s="30"/>
      <c r="D265" s="30"/>
      <c r="E265" s="30"/>
      <c r="F265" s="30"/>
      <c r="G265" s="166"/>
    </row>
    <row r="266">
      <c r="B266" s="30"/>
      <c r="C266" s="30"/>
      <c r="D266" s="30"/>
      <c r="E266" s="30"/>
      <c r="F266" s="30"/>
      <c r="G266" s="166"/>
    </row>
    <row r="267">
      <c r="B267" s="30"/>
      <c r="C267" s="30"/>
      <c r="D267" s="30"/>
      <c r="E267" s="30"/>
      <c r="F267" s="30"/>
      <c r="G267" s="166"/>
    </row>
    <row r="268">
      <c r="B268" s="30"/>
      <c r="C268" s="30"/>
      <c r="D268" s="30"/>
      <c r="E268" s="30"/>
      <c r="F268" s="30"/>
      <c r="G268" s="166"/>
    </row>
    <row r="269">
      <c r="B269" s="30"/>
      <c r="C269" s="30"/>
      <c r="D269" s="30"/>
      <c r="E269" s="30"/>
      <c r="F269" s="30"/>
      <c r="G269" s="166"/>
    </row>
    <row r="270">
      <c r="B270" s="30"/>
      <c r="C270" s="30"/>
      <c r="D270" s="30"/>
      <c r="E270" s="30"/>
      <c r="F270" s="30"/>
      <c r="G270" s="166"/>
    </row>
    <row r="271">
      <c r="B271" s="30"/>
      <c r="C271" s="30"/>
      <c r="D271" s="30"/>
      <c r="E271" s="30"/>
      <c r="F271" s="30"/>
      <c r="G271" s="166"/>
    </row>
    <row r="272">
      <c r="B272" s="30"/>
      <c r="C272" s="30"/>
      <c r="D272" s="30"/>
      <c r="E272" s="30"/>
      <c r="F272" s="30"/>
      <c r="G272" s="166"/>
    </row>
    <row r="273">
      <c r="B273" s="30"/>
      <c r="C273" s="30"/>
      <c r="D273" s="30"/>
      <c r="E273" s="30"/>
      <c r="F273" s="30"/>
      <c r="G273" s="166"/>
    </row>
    <row r="274">
      <c r="B274" s="30"/>
      <c r="C274" s="30"/>
      <c r="D274" s="30"/>
      <c r="E274" s="30"/>
      <c r="F274" s="30"/>
      <c r="G274" s="166"/>
    </row>
    <row r="275">
      <c r="B275" s="30"/>
      <c r="C275" s="30"/>
      <c r="D275" s="30"/>
      <c r="E275" s="30"/>
      <c r="F275" s="30"/>
      <c r="G275" s="166"/>
    </row>
    <row r="276">
      <c r="B276" s="30"/>
      <c r="C276" s="30"/>
      <c r="D276" s="30"/>
      <c r="E276" s="30"/>
      <c r="F276" s="30"/>
      <c r="G276" s="166"/>
    </row>
    <row r="277">
      <c r="B277" s="30"/>
      <c r="C277" s="30"/>
      <c r="D277" s="30"/>
      <c r="E277" s="30"/>
      <c r="F277" s="30"/>
      <c r="G277" s="166"/>
    </row>
    <row r="278">
      <c r="B278" s="30"/>
      <c r="C278" s="30"/>
      <c r="D278" s="30"/>
      <c r="E278" s="30"/>
      <c r="F278" s="30"/>
      <c r="G278" s="166"/>
    </row>
    <row r="279">
      <c r="B279" s="30"/>
      <c r="C279" s="30"/>
      <c r="D279" s="30"/>
      <c r="E279" s="30"/>
      <c r="F279" s="30"/>
      <c r="G279" s="166"/>
    </row>
    <row r="280">
      <c r="B280" s="30"/>
      <c r="C280" s="30"/>
      <c r="D280" s="30"/>
      <c r="E280" s="30"/>
      <c r="F280" s="30"/>
      <c r="G280" s="166"/>
    </row>
    <row r="281">
      <c r="B281" s="30"/>
      <c r="C281" s="30"/>
      <c r="D281" s="30"/>
      <c r="E281" s="30"/>
      <c r="F281" s="30"/>
      <c r="G281" s="166"/>
    </row>
    <row r="282">
      <c r="B282" s="30"/>
      <c r="C282" s="30"/>
      <c r="D282" s="30"/>
      <c r="E282" s="30"/>
      <c r="F282" s="30"/>
      <c r="G282" s="166"/>
    </row>
    <row r="283">
      <c r="B283" s="30"/>
      <c r="C283" s="30"/>
      <c r="D283" s="30"/>
      <c r="E283" s="30"/>
      <c r="F283" s="30"/>
      <c r="G283" s="166"/>
    </row>
    <row r="284">
      <c r="B284" s="30"/>
      <c r="C284" s="30"/>
      <c r="D284" s="30"/>
      <c r="E284" s="30"/>
      <c r="F284" s="30"/>
      <c r="G284" s="166"/>
    </row>
    <row r="285">
      <c r="B285" s="30"/>
      <c r="C285" s="30"/>
      <c r="D285" s="30"/>
      <c r="E285" s="30"/>
      <c r="F285" s="30"/>
      <c r="G285" s="166"/>
    </row>
    <row r="286">
      <c r="B286" s="30"/>
      <c r="C286" s="30"/>
      <c r="D286" s="30"/>
      <c r="E286" s="30"/>
      <c r="F286" s="30"/>
      <c r="G286" s="166"/>
    </row>
    <row r="287">
      <c r="B287" s="30"/>
      <c r="C287" s="30"/>
      <c r="D287" s="30"/>
      <c r="E287" s="30"/>
      <c r="F287" s="30"/>
      <c r="G287" s="166"/>
    </row>
    <row r="288">
      <c r="B288" s="30"/>
      <c r="C288" s="30"/>
      <c r="D288" s="30"/>
      <c r="E288" s="30"/>
      <c r="F288" s="30"/>
      <c r="G288" s="166"/>
    </row>
    <row r="289">
      <c r="B289" s="30"/>
      <c r="C289" s="30"/>
      <c r="D289" s="30"/>
      <c r="E289" s="30"/>
      <c r="F289" s="30"/>
      <c r="G289" s="166"/>
    </row>
    <row r="290">
      <c r="B290" s="30"/>
      <c r="C290" s="30"/>
      <c r="D290" s="30"/>
      <c r="E290" s="30"/>
      <c r="F290" s="30"/>
      <c r="G290" s="166"/>
    </row>
    <row r="291">
      <c r="B291" s="30"/>
      <c r="C291" s="30"/>
      <c r="D291" s="30"/>
      <c r="E291" s="30"/>
      <c r="F291" s="30"/>
      <c r="G291" s="166"/>
    </row>
    <row r="292">
      <c r="B292" s="30"/>
      <c r="C292" s="30"/>
      <c r="D292" s="30"/>
      <c r="E292" s="30"/>
      <c r="F292" s="30"/>
      <c r="G292" s="166"/>
    </row>
    <row r="293">
      <c r="B293" s="30"/>
      <c r="C293" s="30"/>
      <c r="D293" s="30"/>
      <c r="E293" s="30"/>
      <c r="F293" s="30"/>
      <c r="G293" s="166"/>
    </row>
    <row r="294">
      <c r="B294" s="30"/>
      <c r="C294" s="30"/>
      <c r="D294" s="30"/>
      <c r="E294" s="30"/>
      <c r="F294" s="30"/>
      <c r="G294" s="166"/>
    </row>
    <row r="295">
      <c r="B295" s="30"/>
      <c r="C295" s="30"/>
      <c r="D295" s="30"/>
      <c r="E295" s="30"/>
      <c r="F295" s="30"/>
      <c r="G295" s="166"/>
    </row>
    <row r="296">
      <c r="B296" s="30"/>
      <c r="C296" s="30"/>
      <c r="D296" s="30"/>
      <c r="E296" s="30"/>
      <c r="F296" s="30"/>
      <c r="G296" s="166"/>
    </row>
    <row r="297">
      <c r="B297" s="30"/>
      <c r="C297" s="30"/>
      <c r="D297" s="30"/>
      <c r="E297" s="30"/>
      <c r="F297" s="30"/>
      <c r="G297" s="166"/>
    </row>
    <row r="298">
      <c r="B298" s="30"/>
      <c r="C298" s="30"/>
      <c r="D298" s="30"/>
      <c r="E298" s="30"/>
      <c r="F298" s="30"/>
      <c r="G298" s="166"/>
    </row>
    <row r="299">
      <c r="B299" s="30"/>
      <c r="C299" s="30"/>
      <c r="D299" s="30"/>
      <c r="E299" s="30"/>
      <c r="F299" s="30"/>
      <c r="G299" s="166"/>
    </row>
    <row r="300">
      <c r="B300" s="30"/>
      <c r="C300" s="30"/>
      <c r="D300" s="30"/>
      <c r="E300" s="30"/>
      <c r="F300" s="30"/>
      <c r="G300" s="166"/>
    </row>
    <row r="301">
      <c r="B301" s="30"/>
      <c r="C301" s="30"/>
      <c r="D301" s="30"/>
      <c r="E301" s="30"/>
      <c r="F301" s="30"/>
      <c r="G301" s="166"/>
    </row>
    <row r="302">
      <c r="B302" s="30"/>
      <c r="C302" s="30"/>
      <c r="D302" s="30"/>
      <c r="E302" s="30"/>
      <c r="F302" s="30"/>
      <c r="G302" s="166"/>
    </row>
    <row r="303">
      <c r="B303" s="30"/>
      <c r="C303" s="30"/>
      <c r="D303" s="30"/>
      <c r="E303" s="30"/>
      <c r="F303" s="30"/>
      <c r="G303" s="166"/>
    </row>
    <row r="304">
      <c r="B304" s="30"/>
      <c r="C304" s="30"/>
      <c r="D304" s="30"/>
      <c r="E304" s="30"/>
      <c r="F304" s="30"/>
      <c r="G304" s="166"/>
    </row>
    <row r="305">
      <c r="B305" s="30"/>
      <c r="C305" s="30"/>
      <c r="D305" s="30"/>
      <c r="E305" s="30"/>
      <c r="F305" s="30"/>
      <c r="G305" s="166"/>
    </row>
    <row r="306">
      <c r="B306" s="30"/>
      <c r="C306" s="30"/>
      <c r="D306" s="30"/>
      <c r="E306" s="30"/>
      <c r="F306" s="30"/>
      <c r="G306" s="166"/>
    </row>
    <row r="307">
      <c r="B307" s="30"/>
      <c r="C307" s="30"/>
      <c r="D307" s="30"/>
      <c r="E307" s="30"/>
      <c r="F307" s="30"/>
      <c r="G307" s="166"/>
    </row>
    <row r="308">
      <c r="B308" s="30"/>
      <c r="C308" s="30"/>
      <c r="D308" s="30"/>
      <c r="E308" s="30"/>
      <c r="F308" s="30"/>
      <c r="G308" s="166"/>
    </row>
    <row r="309">
      <c r="B309" s="30"/>
      <c r="C309" s="30"/>
      <c r="D309" s="30"/>
      <c r="E309" s="30"/>
      <c r="F309" s="30"/>
      <c r="G309" s="166"/>
    </row>
    <row r="310">
      <c r="B310" s="30"/>
      <c r="C310" s="30"/>
      <c r="D310" s="30"/>
      <c r="E310" s="30"/>
      <c r="F310" s="30"/>
      <c r="G310" s="166"/>
    </row>
    <row r="311">
      <c r="B311" s="30"/>
      <c r="C311" s="30"/>
      <c r="D311" s="30"/>
      <c r="E311" s="30"/>
      <c r="F311" s="30"/>
      <c r="G311" s="166"/>
    </row>
    <row r="312">
      <c r="B312" s="30"/>
      <c r="C312" s="30"/>
      <c r="D312" s="30"/>
      <c r="E312" s="30"/>
      <c r="F312" s="30"/>
      <c r="G312" s="166"/>
    </row>
    <row r="313">
      <c r="B313" s="30"/>
      <c r="C313" s="30"/>
      <c r="D313" s="30"/>
      <c r="E313" s="30"/>
      <c r="F313" s="30"/>
      <c r="G313" s="166"/>
    </row>
    <row r="314">
      <c r="B314" s="30"/>
      <c r="C314" s="30"/>
      <c r="D314" s="30"/>
      <c r="E314" s="30"/>
      <c r="F314" s="30"/>
      <c r="G314" s="166"/>
    </row>
    <row r="315">
      <c r="B315" s="30"/>
      <c r="C315" s="30"/>
      <c r="D315" s="30"/>
      <c r="E315" s="30"/>
      <c r="F315" s="30"/>
      <c r="G315" s="166"/>
    </row>
    <row r="316">
      <c r="B316" s="30"/>
      <c r="C316" s="30"/>
      <c r="D316" s="30"/>
      <c r="E316" s="30"/>
      <c r="F316" s="30"/>
      <c r="G316" s="166"/>
    </row>
    <row r="317">
      <c r="B317" s="30"/>
      <c r="C317" s="30"/>
      <c r="D317" s="30"/>
      <c r="E317" s="30"/>
      <c r="F317" s="30"/>
      <c r="G317" s="166"/>
    </row>
    <row r="318">
      <c r="B318" s="30"/>
      <c r="C318" s="30"/>
      <c r="D318" s="30"/>
      <c r="E318" s="30"/>
      <c r="F318" s="30"/>
      <c r="G318" s="166"/>
    </row>
    <row r="319">
      <c r="B319" s="30"/>
      <c r="C319" s="30"/>
      <c r="D319" s="30"/>
      <c r="E319" s="30"/>
      <c r="F319" s="30"/>
      <c r="G319" s="166"/>
    </row>
    <row r="320">
      <c r="B320" s="30"/>
      <c r="C320" s="30"/>
      <c r="D320" s="30"/>
      <c r="E320" s="30"/>
      <c r="F320" s="30"/>
      <c r="G320" s="166"/>
    </row>
    <row r="321">
      <c r="B321" s="30"/>
      <c r="C321" s="30"/>
      <c r="D321" s="30"/>
      <c r="E321" s="30"/>
      <c r="F321" s="30"/>
      <c r="G321" s="166"/>
    </row>
    <row r="322">
      <c r="B322" s="30"/>
      <c r="C322" s="30"/>
      <c r="D322" s="30"/>
      <c r="E322" s="30"/>
      <c r="F322" s="30"/>
      <c r="G322" s="166"/>
    </row>
    <row r="323">
      <c r="B323" s="30"/>
      <c r="C323" s="30"/>
      <c r="D323" s="30"/>
      <c r="E323" s="30"/>
      <c r="F323" s="30"/>
      <c r="G323" s="166"/>
    </row>
    <row r="324">
      <c r="B324" s="30"/>
      <c r="C324" s="30"/>
      <c r="D324" s="30"/>
      <c r="E324" s="30"/>
      <c r="F324" s="30"/>
      <c r="G324" s="166"/>
    </row>
    <row r="325">
      <c r="B325" s="30"/>
      <c r="C325" s="30"/>
      <c r="D325" s="30"/>
      <c r="E325" s="30"/>
      <c r="F325" s="30"/>
      <c r="G325" s="166"/>
    </row>
    <row r="326">
      <c r="B326" s="30"/>
      <c r="C326" s="30"/>
      <c r="D326" s="30"/>
      <c r="E326" s="30"/>
      <c r="F326" s="30"/>
      <c r="G326" s="166"/>
    </row>
    <row r="327">
      <c r="B327" s="30"/>
      <c r="C327" s="30"/>
      <c r="D327" s="30"/>
      <c r="E327" s="30"/>
      <c r="F327" s="30"/>
      <c r="G327" s="166"/>
    </row>
    <row r="328">
      <c r="B328" s="30"/>
      <c r="C328" s="30"/>
      <c r="D328" s="30"/>
      <c r="E328" s="30"/>
      <c r="F328" s="30"/>
      <c r="G328" s="166"/>
    </row>
    <row r="329">
      <c r="B329" s="30"/>
      <c r="C329" s="30"/>
      <c r="D329" s="30"/>
      <c r="E329" s="30"/>
      <c r="F329" s="30"/>
      <c r="G329" s="166"/>
    </row>
    <row r="330">
      <c r="B330" s="30"/>
      <c r="C330" s="30"/>
      <c r="D330" s="30"/>
      <c r="E330" s="30"/>
      <c r="F330" s="30"/>
      <c r="G330" s="166"/>
    </row>
    <row r="331">
      <c r="B331" s="30"/>
      <c r="C331" s="30"/>
      <c r="D331" s="30"/>
      <c r="E331" s="30"/>
      <c r="F331" s="30"/>
      <c r="G331" s="166"/>
    </row>
    <row r="332">
      <c r="B332" s="30"/>
      <c r="C332" s="30"/>
      <c r="D332" s="30"/>
      <c r="E332" s="30"/>
      <c r="F332" s="30"/>
      <c r="G332" s="166"/>
    </row>
    <row r="333">
      <c r="B333" s="30"/>
      <c r="C333" s="30"/>
      <c r="D333" s="30"/>
      <c r="E333" s="30"/>
      <c r="F333" s="30"/>
      <c r="G333" s="166"/>
    </row>
    <row r="334">
      <c r="B334" s="30"/>
      <c r="C334" s="30"/>
      <c r="D334" s="30"/>
      <c r="E334" s="30"/>
      <c r="F334" s="30"/>
      <c r="G334" s="166"/>
    </row>
    <row r="335">
      <c r="B335" s="30"/>
      <c r="C335" s="30"/>
      <c r="D335" s="30"/>
      <c r="E335" s="30"/>
      <c r="F335" s="30"/>
      <c r="G335" s="166"/>
    </row>
    <row r="336">
      <c r="B336" s="30"/>
      <c r="C336" s="30"/>
      <c r="D336" s="30"/>
      <c r="E336" s="30"/>
      <c r="F336" s="30"/>
      <c r="G336" s="166"/>
    </row>
    <row r="337">
      <c r="B337" s="30"/>
      <c r="C337" s="30"/>
      <c r="D337" s="30"/>
      <c r="E337" s="30"/>
      <c r="F337" s="30"/>
      <c r="G337" s="166"/>
    </row>
    <row r="338">
      <c r="B338" s="30"/>
      <c r="C338" s="30"/>
      <c r="D338" s="30"/>
      <c r="E338" s="30"/>
      <c r="F338" s="30"/>
      <c r="G338" s="166"/>
    </row>
    <row r="339">
      <c r="B339" s="30"/>
      <c r="C339" s="30"/>
      <c r="D339" s="30"/>
      <c r="E339" s="30"/>
      <c r="F339" s="30"/>
      <c r="G339" s="166"/>
    </row>
    <row r="340">
      <c r="B340" s="30"/>
      <c r="C340" s="30"/>
      <c r="D340" s="30"/>
      <c r="E340" s="30"/>
      <c r="F340" s="30"/>
      <c r="G340" s="166"/>
    </row>
    <row r="341">
      <c r="B341" s="30"/>
      <c r="C341" s="30"/>
      <c r="D341" s="30"/>
      <c r="E341" s="30"/>
      <c r="F341" s="30"/>
      <c r="G341" s="166"/>
    </row>
    <row r="342">
      <c r="B342" s="30"/>
      <c r="C342" s="30"/>
      <c r="D342" s="30"/>
      <c r="E342" s="30"/>
      <c r="F342" s="30"/>
      <c r="G342" s="166"/>
    </row>
    <row r="343">
      <c r="B343" s="30"/>
      <c r="C343" s="30"/>
      <c r="D343" s="30"/>
      <c r="E343" s="30"/>
      <c r="F343" s="30"/>
      <c r="G343" s="166"/>
    </row>
    <row r="344">
      <c r="B344" s="30"/>
      <c r="C344" s="30"/>
      <c r="D344" s="30"/>
      <c r="E344" s="30"/>
      <c r="F344" s="30"/>
      <c r="G344" s="166"/>
    </row>
    <row r="345">
      <c r="B345" s="30"/>
      <c r="C345" s="30"/>
      <c r="D345" s="30"/>
      <c r="E345" s="30"/>
      <c r="F345" s="30"/>
      <c r="G345" s="166"/>
    </row>
    <row r="346">
      <c r="B346" s="30"/>
      <c r="C346" s="30"/>
      <c r="D346" s="30"/>
      <c r="E346" s="30"/>
      <c r="F346" s="30"/>
      <c r="G346" s="166"/>
    </row>
    <row r="347">
      <c r="B347" s="30"/>
      <c r="C347" s="30"/>
      <c r="D347" s="30"/>
      <c r="E347" s="30"/>
      <c r="F347" s="30"/>
      <c r="G347" s="166"/>
    </row>
    <row r="348">
      <c r="B348" s="30"/>
      <c r="C348" s="30"/>
      <c r="D348" s="30"/>
      <c r="E348" s="30"/>
      <c r="F348" s="30"/>
      <c r="G348" s="166"/>
    </row>
    <row r="349">
      <c r="B349" s="30"/>
      <c r="C349" s="30"/>
      <c r="D349" s="30"/>
      <c r="E349" s="30"/>
      <c r="F349" s="30"/>
      <c r="G349" s="166"/>
    </row>
    <row r="350">
      <c r="B350" s="30"/>
      <c r="C350" s="30"/>
      <c r="D350" s="30"/>
      <c r="E350" s="30"/>
      <c r="F350" s="30"/>
      <c r="G350" s="166"/>
    </row>
    <row r="351">
      <c r="B351" s="30"/>
      <c r="C351" s="30"/>
      <c r="D351" s="30"/>
      <c r="E351" s="30"/>
      <c r="F351" s="30"/>
      <c r="G351" s="166"/>
    </row>
    <row r="352">
      <c r="B352" s="30"/>
      <c r="C352" s="30"/>
      <c r="D352" s="30"/>
      <c r="E352" s="30"/>
      <c r="F352" s="30"/>
      <c r="G352" s="166"/>
    </row>
    <row r="353">
      <c r="B353" s="30"/>
      <c r="C353" s="30"/>
      <c r="D353" s="30"/>
      <c r="E353" s="30"/>
      <c r="F353" s="30"/>
      <c r="G353" s="166"/>
    </row>
    <row r="354">
      <c r="B354" s="30"/>
      <c r="C354" s="30"/>
      <c r="D354" s="30"/>
      <c r="E354" s="30"/>
      <c r="F354" s="30"/>
      <c r="G354" s="166"/>
    </row>
    <row r="355">
      <c r="B355" s="30"/>
      <c r="C355" s="30"/>
      <c r="D355" s="30"/>
      <c r="E355" s="30"/>
      <c r="F355" s="30"/>
      <c r="G355" s="166"/>
    </row>
    <row r="356">
      <c r="B356" s="30"/>
      <c r="C356" s="30"/>
      <c r="D356" s="30"/>
      <c r="E356" s="30"/>
      <c r="F356" s="30"/>
      <c r="G356" s="166"/>
    </row>
    <row r="357">
      <c r="B357" s="30"/>
      <c r="C357" s="30"/>
      <c r="D357" s="30"/>
      <c r="E357" s="30"/>
      <c r="F357" s="30"/>
      <c r="G357" s="166"/>
    </row>
    <row r="358">
      <c r="B358" s="30"/>
      <c r="C358" s="30"/>
      <c r="D358" s="30"/>
      <c r="E358" s="30"/>
      <c r="F358" s="30"/>
      <c r="G358" s="166"/>
    </row>
    <row r="359">
      <c r="B359" s="30"/>
      <c r="C359" s="30"/>
      <c r="D359" s="30"/>
      <c r="E359" s="30"/>
      <c r="F359" s="30"/>
      <c r="G359" s="166"/>
    </row>
    <row r="360">
      <c r="B360" s="30"/>
      <c r="C360" s="30"/>
      <c r="D360" s="30"/>
      <c r="E360" s="30"/>
      <c r="F360" s="30"/>
      <c r="G360" s="166"/>
    </row>
    <row r="361">
      <c r="B361" s="30"/>
      <c r="C361" s="30"/>
      <c r="D361" s="30"/>
      <c r="E361" s="30"/>
      <c r="F361" s="30"/>
      <c r="G361" s="166"/>
    </row>
    <row r="362">
      <c r="B362" s="30"/>
      <c r="C362" s="30"/>
      <c r="D362" s="30"/>
      <c r="E362" s="30"/>
      <c r="F362" s="30"/>
      <c r="G362" s="166"/>
    </row>
    <row r="363">
      <c r="B363" s="30"/>
      <c r="C363" s="30"/>
      <c r="D363" s="30"/>
      <c r="E363" s="30"/>
      <c r="F363" s="30"/>
      <c r="G363" s="166"/>
    </row>
    <row r="364">
      <c r="B364" s="30"/>
      <c r="C364" s="30"/>
      <c r="D364" s="30"/>
      <c r="E364" s="30"/>
      <c r="F364" s="30"/>
      <c r="G364" s="166"/>
    </row>
    <row r="365">
      <c r="B365" s="30"/>
      <c r="C365" s="30"/>
      <c r="D365" s="30"/>
      <c r="E365" s="30"/>
      <c r="F365" s="30"/>
      <c r="G365" s="166"/>
    </row>
    <row r="366">
      <c r="B366" s="30"/>
      <c r="C366" s="30"/>
      <c r="D366" s="30"/>
      <c r="E366" s="30"/>
      <c r="F366" s="30"/>
      <c r="G366" s="166"/>
    </row>
    <row r="367">
      <c r="B367" s="30"/>
      <c r="C367" s="30"/>
      <c r="D367" s="30"/>
      <c r="E367" s="30"/>
      <c r="F367" s="30"/>
      <c r="G367" s="166"/>
    </row>
    <row r="368">
      <c r="B368" s="30"/>
      <c r="C368" s="30"/>
      <c r="D368" s="30"/>
      <c r="E368" s="30"/>
      <c r="F368" s="30"/>
      <c r="G368" s="166"/>
    </row>
    <row r="369">
      <c r="B369" s="30"/>
      <c r="C369" s="30"/>
      <c r="D369" s="30"/>
      <c r="E369" s="30"/>
      <c r="F369" s="30"/>
      <c r="G369" s="166"/>
    </row>
    <row r="370">
      <c r="B370" s="30"/>
      <c r="C370" s="30"/>
      <c r="D370" s="30"/>
      <c r="E370" s="30"/>
      <c r="F370" s="30"/>
      <c r="G370" s="166"/>
    </row>
    <row r="371">
      <c r="B371" s="30"/>
      <c r="C371" s="30"/>
      <c r="D371" s="30"/>
      <c r="E371" s="30"/>
      <c r="F371" s="30"/>
      <c r="G371" s="166"/>
    </row>
    <row r="372">
      <c r="B372" s="30"/>
      <c r="C372" s="30"/>
      <c r="D372" s="30"/>
      <c r="E372" s="30"/>
      <c r="F372" s="30"/>
      <c r="G372" s="166"/>
    </row>
    <row r="373">
      <c r="B373" s="30"/>
      <c r="C373" s="30"/>
      <c r="D373" s="30"/>
      <c r="E373" s="30"/>
      <c r="F373" s="30"/>
      <c r="G373" s="166"/>
    </row>
    <row r="374">
      <c r="B374" s="30"/>
      <c r="C374" s="30"/>
      <c r="D374" s="30"/>
      <c r="E374" s="30"/>
      <c r="F374" s="30"/>
      <c r="G374" s="166"/>
    </row>
    <row r="375">
      <c r="B375" s="30"/>
      <c r="C375" s="30"/>
      <c r="D375" s="30"/>
      <c r="E375" s="30"/>
      <c r="F375" s="30"/>
      <c r="G375" s="166"/>
    </row>
    <row r="376">
      <c r="B376" s="30"/>
      <c r="C376" s="30"/>
      <c r="D376" s="30"/>
      <c r="E376" s="30"/>
      <c r="F376" s="30"/>
      <c r="G376" s="166"/>
    </row>
    <row r="377">
      <c r="B377" s="30"/>
      <c r="C377" s="30"/>
      <c r="D377" s="30"/>
      <c r="E377" s="30"/>
      <c r="F377" s="30"/>
      <c r="G377" s="166"/>
    </row>
    <row r="378">
      <c r="B378" s="30"/>
      <c r="C378" s="30"/>
      <c r="D378" s="30"/>
      <c r="E378" s="30"/>
      <c r="F378" s="30"/>
      <c r="G378" s="166"/>
    </row>
    <row r="379">
      <c r="B379" s="30"/>
      <c r="C379" s="30"/>
      <c r="D379" s="30"/>
      <c r="E379" s="30"/>
      <c r="F379" s="30"/>
      <c r="G379" s="166"/>
    </row>
    <row r="380">
      <c r="B380" s="30"/>
      <c r="C380" s="30"/>
      <c r="D380" s="30"/>
      <c r="E380" s="30"/>
      <c r="F380" s="30"/>
      <c r="G380" s="166"/>
    </row>
    <row r="381">
      <c r="B381" s="30"/>
      <c r="C381" s="30"/>
      <c r="D381" s="30"/>
      <c r="E381" s="30"/>
      <c r="F381" s="30"/>
      <c r="G381" s="166"/>
    </row>
    <row r="382">
      <c r="B382" s="30"/>
      <c r="C382" s="30"/>
      <c r="D382" s="30"/>
      <c r="E382" s="30"/>
      <c r="F382" s="30"/>
      <c r="G382" s="166"/>
    </row>
    <row r="383">
      <c r="B383" s="30"/>
      <c r="C383" s="30"/>
      <c r="D383" s="30"/>
      <c r="E383" s="30"/>
      <c r="F383" s="30"/>
      <c r="G383" s="166"/>
    </row>
    <row r="384">
      <c r="B384" s="30"/>
      <c r="C384" s="30"/>
      <c r="D384" s="30"/>
      <c r="E384" s="30"/>
      <c r="F384" s="30"/>
      <c r="G384" s="166"/>
    </row>
    <row r="385">
      <c r="B385" s="30"/>
      <c r="C385" s="30"/>
      <c r="D385" s="30"/>
      <c r="E385" s="30"/>
      <c r="F385" s="30"/>
      <c r="G385" s="166"/>
    </row>
    <row r="386">
      <c r="B386" s="30"/>
      <c r="C386" s="30"/>
      <c r="D386" s="30"/>
      <c r="E386" s="30"/>
      <c r="F386" s="30"/>
      <c r="G386" s="166"/>
    </row>
    <row r="387">
      <c r="B387" s="30"/>
      <c r="C387" s="30"/>
      <c r="D387" s="30"/>
      <c r="E387" s="30"/>
      <c r="F387" s="30"/>
      <c r="G387" s="166"/>
    </row>
    <row r="388">
      <c r="B388" s="30"/>
      <c r="C388" s="30"/>
      <c r="D388" s="30"/>
      <c r="E388" s="30"/>
      <c r="F388" s="30"/>
      <c r="G388" s="166"/>
    </row>
    <row r="389">
      <c r="B389" s="30"/>
      <c r="C389" s="30"/>
      <c r="D389" s="30"/>
      <c r="E389" s="30"/>
      <c r="F389" s="30"/>
      <c r="G389" s="166"/>
    </row>
    <row r="390">
      <c r="B390" s="30"/>
      <c r="C390" s="30"/>
      <c r="D390" s="30"/>
      <c r="E390" s="30"/>
      <c r="F390" s="30"/>
      <c r="G390" s="166"/>
    </row>
    <row r="391">
      <c r="B391" s="30"/>
      <c r="C391" s="30"/>
      <c r="D391" s="30"/>
      <c r="E391" s="30"/>
      <c r="F391" s="30"/>
      <c r="G391" s="166"/>
    </row>
    <row r="392">
      <c r="B392" s="30"/>
      <c r="C392" s="30"/>
      <c r="D392" s="30"/>
      <c r="E392" s="30"/>
      <c r="F392" s="30"/>
      <c r="G392" s="166"/>
    </row>
    <row r="393">
      <c r="B393" s="30"/>
      <c r="C393" s="30"/>
      <c r="D393" s="30"/>
      <c r="E393" s="30"/>
      <c r="F393" s="30"/>
      <c r="G393" s="166"/>
    </row>
    <row r="394">
      <c r="B394" s="30"/>
      <c r="C394" s="30"/>
      <c r="D394" s="30"/>
      <c r="E394" s="30"/>
      <c r="F394" s="30"/>
      <c r="G394" s="166"/>
    </row>
    <row r="395">
      <c r="B395" s="30"/>
      <c r="C395" s="30"/>
      <c r="D395" s="30"/>
      <c r="E395" s="30"/>
      <c r="F395" s="30"/>
      <c r="G395" s="166"/>
    </row>
    <row r="396">
      <c r="B396" s="30"/>
      <c r="C396" s="30"/>
      <c r="D396" s="30"/>
      <c r="E396" s="30"/>
      <c r="F396" s="30"/>
      <c r="G396" s="166"/>
    </row>
    <row r="397">
      <c r="B397" s="30"/>
      <c r="C397" s="30"/>
      <c r="D397" s="30"/>
      <c r="E397" s="30"/>
      <c r="F397" s="30"/>
      <c r="G397" s="166"/>
    </row>
    <row r="398">
      <c r="B398" s="30"/>
      <c r="C398" s="30"/>
      <c r="D398" s="30"/>
      <c r="E398" s="30"/>
      <c r="F398" s="30"/>
      <c r="G398" s="166"/>
    </row>
    <row r="399">
      <c r="B399" s="30"/>
      <c r="C399" s="30"/>
      <c r="D399" s="30"/>
      <c r="E399" s="30"/>
      <c r="F399" s="30"/>
      <c r="G399" s="166"/>
    </row>
    <row r="400">
      <c r="B400" s="30"/>
      <c r="C400" s="30"/>
      <c r="D400" s="30"/>
      <c r="E400" s="30"/>
      <c r="F400" s="30"/>
      <c r="G400" s="166"/>
    </row>
    <row r="401">
      <c r="B401" s="30"/>
      <c r="C401" s="30"/>
      <c r="D401" s="30"/>
      <c r="E401" s="30"/>
      <c r="F401" s="30"/>
      <c r="G401" s="166"/>
    </row>
    <row r="402">
      <c r="B402" s="30"/>
      <c r="C402" s="30"/>
      <c r="D402" s="30"/>
      <c r="E402" s="30"/>
      <c r="F402" s="30"/>
      <c r="G402" s="166"/>
    </row>
    <row r="403">
      <c r="B403" s="30"/>
      <c r="C403" s="30"/>
      <c r="D403" s="30"/>
      <c r="E403" s="30"/>
      <c r="F403" s="30"/>
      <c r="G403" s="166"/>
    </row>
    <row r="404">
      <c r="B404" s="30"/>
      <c r="C404" s="30"/>
      <c r="D404" s="30"/>
      <c r="E404" s="30"/>
      <c r="F404" s="30"/>
      <c r="G404" s="166"/>
    </row>
    <row r="405">
      <c r="B405" s="30"/>
      <c r="C405" s="30"/>
      <c r="D405" s="30"/>
      <c r="E405" s="30"/>
      <c r="F405" s="30"/>
      <c r="G405" s="166"/>
    </row>
    <row r="406">
      <c r="B406" s="30"/>
      <c r="C406" s="30"/>
      <c r="D406" s="30"/>
      <c r="E406" s="30"/>
      <c r="F406" s="30"/>
      <c r="G406" s="166"/>
    </row>
    <row r="407">
      <c r="B407" s="30"/>
      <c r="C407" s="30"/>
      <c r="D407" s="30"/>
      <c r="E407" s="30"/>
      <c r="F407" s="30"/>
      <c r="G407" s="166"/>
    </row>
    <row r="408">
      <c r="B408" s="30"/>
      <c r="C408" s="30"/>
      <c r="D408" s="30"/>
      <c r="E408" s="30"/>
      <c r="F408" s="30"/>
      <c r="G408" s="166"/>
    </row>
    <row r="409">
      <c r="B409" s="30"/>
      <c r="C409" s="30"/>
      <c r="D409" s="30"/>
      <c r="E409" s="30"/>
      <c r="F409" s="30"/>
      <c r="G409" s="166"/>
    </row>
    <row r="410">
      <c r="B410" s="30"/>
      <c r="C410" s="30"/>
      <c r="D410" s="30"/>
      <c r="E410" s="30"/>
      <c r="F410" s="30"/>
      <c r="G410" s="166"/>
    </row>
    <row r="411">
      <c r="B411" s="30"/>
      <c r="C411" s="30"/>
      <c r="D411" s="30"/>
      <c r="E411" s="30"/>
      <c r="F411" s="30"/>
      <c r="G411" s="166"/>
    </row>
    <row r="412">
      <c r="B412" s="30"/>
      <c r="C412" s="30"/>
      <c r="D412" s="30"/>
      <c r="E412" s="30"/>
      <c r="F412" s="30"/>
      <c r="G412" s="166"/>
    </row>
    <row r="413">
      <c r="B413" s="30"/>
      <c r="C413" s="30"/>
      <c r="D413" s="30"/>
      <c r="E413" s="30"/>
      <c r="F413" s="30"/>
      <c r="G413" s="166"/>
    </row>
    <row r="414">
      <c r="B414" s="30"/>
      <c r="C414" s="30"/>
      <c r="D414" s="30"/>
      <c r="E414" s="30"/>
      <c r="F414" s="30"/>
      <c r="G414" s="166"/>
    </row>
    <row r="415">
      <c r="B415" s="30"/>
      <c r="C415" s="30"/>
      <c r="D415" s="30"/>
      <c r="E415" s="30"/>
      <c r="F415" s="30"/>
      <c r="G415" s="166"/>
    </row>
    <row r="416">
      <c r="B416" s="30"/>
      <c r="C416" s="30"/>
      <c r="D416" s="30"/>
      <c r="E416" s="30"/>
      <c r="F416" s="30"/>
      <c r="G416" s="166"/>
    </row>
    <row r="417">
      <c r="B417" s="30"/>
      <c r="C417" s="30"/>
      <c r="D417" s="30"/>
      <c r="E417" s="30"/>
      <c r="F417" s="30"/>
      <c r="G417" s="166"/>
    </row>
    <row r="418">
      <c r="B418" s="30"/>
      <c r="C418" s="30"/>
      <c r="D418" s="30"/>
      <c r="E418" s="30"/>
      <c r="F418" s="30"/>
      <c r="G418" s="166"/>
    </row>
    <row r="419">
      <c r="B419" s="30"/>
      <c r="C419" s="30"/>
      <c r="D419" s="30"/>
      <c r="E419" s="30"/>
      <c r="F419" s="30"/>
      <c r="G419" s="166"/>
    </row>
    <row r="420">
      <c r="B420" s="30"/>
      <c r="C420" s="30"/>
      <c r="D420" s="30"/>
      <c r="E420" s="30"/>
      <c r="F420" s="30"/>
      <c r="G420" s="166"/>
    </row>
    <row r="421">
      <c r="B421" s="30"/>
      <c r="C421" s="30"/>
      <c r="D421" s="30"/>
      <c r="E421" s="30"/>
      <c r="F421" s="30"/>
      <c r="G421" s="166"/>
    </row>
    <row r="422">
      <c r="B422" s="30"/>
      <c r="C422" s="30"/>
      <c r="D422" s="30"/>
      <c r="E422" s="30"/>
      <c r="F422" s="30"/>
      <c r="G422" s="166"/>
    </row>
    <row r="423">
      <c r="B423" s="30"/>
      <c r="C423" s="30"/>
      <c r="D423" s="30"/>
      <c r="E423" s="30"/>
      <c r="F423" s="30"/>
      <c r="G423" s="166"/>
    </row>
    <row r="424">
      <c r="B424" s="30"/>
      <c r="C424" s="30"/>
      <c r="D424" s="30"/>
      <c r="E424" s="30"/>
      <c r="F424" s="30"/>
      <c r="G424" s="166"/>
    </row>
    <row r="425">
      <c r="B425" s="30"/>
      <c r="C425" s="30"/>
      <c r="D425" s="30"/>
      <c r="E425" s="30"/>
      <c r="F425" s="30"/>
      <c r="G425" s="166"/>
    </row>
    <row r="426">
      <c r="B426" s="30"/>
      <c r="C426" s="30"/>
      <c r="D426" s="30"/>
      <c r="E426" s="30"/>
      <c r="F426" s="30"/>
      <c r="G426" s="166"/>
    </row>
    <row r="427">
      <c r="B427" s="30"/>
      <c r="C427" s="30"/>
      <c r="D427" s="30"/>
      <c r="E427" s="30"/>
      <c r="F427" s="30"/>
      <c r="G427" s="166"/>
    </row>
    <row r="428">
      <c r="B428" s="30"/>
      <c r="C428" s="30"/>
      <c r="D428" s="30"/>
      <c r="E428" s="30"/>
      <c r="F428" s="30"/>
      <c r="G428" s="166"/>
    </row>
    <row r="429">
      <c r="B429" s="30"/>
      <c r="C429" s="30"/>
      <c r="D429" s="30"/>
      <c r="E429" s="30"/>
      <c r="F429" s="30"/>
      <c r="G429" s="166"/>
    </row>
    <row r="430">
      <c r="B430" s="30"/>
      <c r="C430" s="30"/>
      <c r="D430" s="30"/>
      <c r="E430" s="30"/>
      <c r="F430" s="30"/>
      <c r="G430" s="166"/>
    </row>
    <row r="431">
      <c r="B431" s="30"/>
      <c r="C431" s="30"/>
      <c r="D431" s="30"/>
      <c r="E431" s="30"/>
      <c r="F431" s="30"/>
      <c r="G431" s="166"/>
    </row>
    <row r="432">
      <c r="B432" s="30"/>
      <c r="C432" s="30"/>
      <c r="D432" s="30"/>
      <c r="E432" s="30"/>
      <c r="F432" s="30"/>
      <c r="G432" s="166"/>
    </row>
    <row r="433">
      <c r="B433" s="30"/>
      <c r="C433" s="30"/>
      <c r="D433" s="30"/>
      <c r="E433" s="30"/>
      <c r="F433" s="30"/>
      <c r="G433" s="166"/>
    </row>
    <row r="434">
      <c r="B434" s="30"/>
      <c r="C434" s="30"/>
      <c r="D434" s="30"/>
      <c r="E434" s="30"/>
      <c r="F434" s="30"/>
      <c r="G434" s="166"/>
    </row>
    <row r="435">
      <c r="B435" s="30"/>
      <c r="C435" s="30"/>
      <c r="D435" s="30"/>
      <c r="E435" s="30"/>
      <c r="F435" s="30"/>
      <c r="G435" s="166"/>
    </row>
    <row r="436">
      <c r="B436" s="30"/>
      <c r="C436" s="30"/>
      <c r="D436" s="30"/>
      <c r="E436" s="30"/>
      <c r="F436" s="30"/>
      <c r="G436" s="166"/>
    </row>
    <row r="437">
      <c r="B437" s="30"/>
      <c r="C437" s="30"/>
      <c r="D437" s="30"/>
      <c r="E437" s="30"/>
      <c r="F437" s="30"/>
      <c r="G437" s="166"/>
    </row>
    <row r="438">
      <c r="B438" s="30"/>
      <c r="C438" s="30"/>
      <c r="D438" s="30"/>
      <c r="E438" s="30"/>
      <c r="F438" s="30"/>
      <c r="G438" s="166"/>
    </row>
    <row r="439">
      <c r="B439" s="30"/>
      <c r="C439" s="30"/>
      <c r="D439" s="30"/>
      <c r="E439" s="30"/>
      <c r="F439" s="30"/>
      <c r="G439" s="166"/>
    </row>
    <row r="440">
      <c r="B440" s="30"/>
      <c r="C440" s="30"/>
      <c r="D440" s="30"/>
      <c r="E440" s="30"/>
      <c r="F440" s="30"/>
      <c r="G440" s="166"/>
    </row>
    <row r="441">
      <c r="B441" s="30"/>
      <c r="C441" s="30"/>
      <c r="D441" s="30"/>
      <c r="E441" s="30"/>
      <c r="F441" s="30"/>
      <c r="G441" s="166"/>
    </row>
    <row r="442">
      <c r="B442" s="30"/>
      <c r="C442" s="30"/>
      <c r="D442" s="30"/>
      <c r="E442" s="30"/>
      <c r="F442" s="30"/>
      <c r="G442" s="166"/>
    </row>
    <row r="443">
      <c r="B443" s="30"/>
      <c r="C443" s="30"/>
      <c r="D443" s="30"/>
      <c r="E443" s="30"/>
      <c r="F443" s="30"/>
      <c r="G443" s="166"/>
    </row>
    <row r="444">
      <c r="B444" s="30"/>
      <c r="C444" s="30"/>
      <c r="D444" s="30"/>
      <c r="E444" s="30"/>
      <c r="F444" s="30"/>
      <c r="G444" s="166"/>
    </row>
    <row r="445">
      <c r="B445" s="30"/>
      <c r="C445" s="30"/>
      <c r="D445" s="30"/>
      <c r="E445" s="30"/>
      <c r="F445" s="30"/>
      <c r="G445" s="166"/>
    </row>
    <row r="446">
      <c r="B446" s="30"/>
      <c r="C446" s="30"/>
      <c r="D446" s="30"/>
      <c r="E446" s="30"/>
      <c r="F446" s="30"/>
      <c r="G446" s="166"/>
    </row>
    <row r="447">
      <c r="B447" s="30"/>
      <c r="C447" s="30"/>
      <c r="D447" s="30"/>
      <c r="E447" s="30"/>
      <c r="F447" s="30"/>
      <c r="G447" s="166"/>
    </row>
    <row r="448">
      <c r="B448" s="30"/>
      <c r="C448" s="30"/>
      <c r="D448" s="30"/>
      <c r="E448" s="30"/>
      <c r="F448" s="30"/>
      <c r="G448" s="166"/>
    </row>
    <row r="449">
      <c r="B449" s="30"/>
      <c r="C449" s="30"/>
      <c r="D449" s="30"/>
      <c r="E449" s="30"/>
      <c r="F449" s="30"/>
      <c r="G449" s="166"/>
    </row>
    <row r="450">
      <c r="B450" s="30"/>
      <c r="C450" s="30"/>
      <c r="D450" s="30"/>
      <c r="E450" s="30"/>
      <c r="F450" s="30"/>
      <c r="G450" s="166"/>
    </row>
    <row r="451">
      <c r="B451" s="30"/>
      <c r="C451" s="30"/>
      <c r="D451" s="30"/>
      <c r="E451" s="30"/>
      <c r="F451" s="30"/>
      <c r="G451" s="166"/>
    </row>
    <row r="452">
      <c r="B452" s="30"/>
      <c r="C452" s="30"/>
      <c r="D452" s="30"/>
      <c r="E452" s="30"/>
      <c r="F452" s="30"/>
      <c r="G452" s="166"/>
    </row>
    <row r="453">
      <c r="B453" s="30"/>
      <c r="C453" s="30"/>
      <c r="D453" s="30"/>
      <c r="E453" s="30"/>
      <c r="F453" s="30"/>
      <c r="G453" s="166"/>
    </row>
    <row r="454">
      <c r="B454" s="30"/>
      <c r="C454" s="30"/>
      <c r="D454" s="30"/>
      <c r="E454" s="30"/>
      <c r="F454" s="30"/>
      <c r="G454" s="166"/>
    </row>
    <row r="455">
      <c r="B455" s="30"/>
      <c r="C455" s="30"/>
      <c r="D455" s="30"/>
      <c r="E455" s="30"/>
      <c r="F455" s="30"/>
      <c r="G455" s="166"/>
    </row>
    <row r="456">
      <c r="B456" s="30"/>
      <c r="C456" s="30"/>
      <c r="D456" s="30"/>
      <c r="E456" s="30"/>
      <c r="F456" s="30"/>
      <c r="G456" s="166"/>
    </row>
    <row r="457">
      <c r="B457" s="30"/>
      <c r="C457" s="30"/>
      <c r="D457" s="30"/>
      <c r="E457" s="30"/>
      <c r="F457" s="30"/>
      <c r="G457" s="166"/>
    </row>
    <row r="458">
      <c r="B458" s="30"/>
      <c r="C458" s="30"/>
      <c r="D458" s="30"/>
      <c r="E458" s="30"/>
      <c r="F458" s="30"/>
      <c r="G458" s="166"/>
    </row>
    <row r="459">
      <c r="B459" s="30"/>
      <c r="C459" s="30"/>
      <c r="D459" s="30"/>
      <c r="E459" s="30"/>
      <c r="F459" s="30"/>
      <c r="G459" s="166"/>
    </row>
    <row r="460">
      <c r="B460" s="30"/>
      <c r="C460" s="30"/>
      <c r="D460" s="30"/>
      <c r="E460" s="30"/>
      <c r="F460" s="30"/>
      <c r="G460" s="166"/>
    </row>
    <row r="461">
      <c r="B461" s="30"/>
      <c r="C461" s="30"/>
      <c r="D461" s="30"/>
      <c r="E461" s="30"/>
      <c r="F461" s="30"/>
      <c r="G461" s="166"/>
    </row>
    <row r="462">
      <c r="B462" s="30"/>
      <c r="C462" s="30"/>
      <c r="D462" s="30"/>
      <c r="E462" s="30"/>
      <c r="F462" s="30"/>
      <c r="G462" s="166"/>
    </row>
    <row r="463">
      <c r="B463" s="30"/>
      <c r="C463" s="30"/>
      <c r="D463" s="30"/>
      <c r="E463" s="30"/>
      <c r="F463" s="30"/>
      <c r="G463" s="166"/>
    </row>
    <row r="464">
      <c r="B464" s="30"/>
      <c r="C464" s="30"/>
      <c r="D464" s="30"/>
      <c r="E464" s="30"/>
      <c r="F464" s="30"/>
      <c r="G464" s="166"/>
    </row>
    <row r="465">
      <c r="B465" s="30"/>
      <c r="C465" s="30"/>
      <c r="D465" s="30"/>
      <c r="E465" s="30"/>
      <c r="F465" s="30"/>
      <c r="G465" s="166"/>
    </row>
    <row r="466">
      <c r="B466" s="30"/>
      <c r="C466" s="30"/>
      <c r="D466" s="30"/>
      <c r="E466" s="30"/>
      <c r="F466" s="30"/>
      <c r="G466" s="166"/>
    </row>
    <row r="467">
      <c r="B467" s="30"/>
      <c r="C467" s="30"/>
      <c r="D467" s="30"/>
      <c r="E467" s="30"/>
      <c r="F467" s="30"/>
      <c r="G467" s="166"/>
    </row>
    <row r="468">
      <c r="B468" s="30"/>
      <c r="C468" s="30"/>
      <c r="D468" s="30"/>
      <c r="E468" s="30"/>
      <c r="F468" s="30"/>
      <c r="G468" s="166"/>
    </row>
    <row r="469">
      <c r="B469" s="30"/>
      <c r="C469" s="30"/>
      <c r="D469" s="30"/>
      <c r="E469" s="30"/>
      <c r="F469" s="30"/>
      <c r="G469" s="166"/>
    </row>
    <row r="470">
      <c r="B470" s="30"/>
      <c r="C470" s="30"/>
      <c r="D470" s="30"/>
      <c r="E470" s="30"/>
      <c r="F470" s="30"/>
      <c r="G470" s="166"/>
    </row>
    <row r="471">
      <c r="B471" s="30"/>
      <c r="C471" s="30"/>
      <c r="D471" s="30"/>
      <c r="E471" s="30"/>
      <c r="F471" s="30"/>
      <c r="G471" s="166"/>
    </row>
    <row r="472">
      <c r="B472" s="30"/>
      <c r="C472" s="30"/>
      <c r="D472" s="30"/>
      <c r="E472" s="30"/>
      <c r="F472" s="30"/>
      <c r="G472" s="166"/>
    </row>
    <row r="473">
      <c r="B473" s="30"/>
      <c r="C473" s="30"/>
      <c r="D473" s="30"/>
      <c r="E473" s="30"/>
      <c r="F473" s="30"/>
      <c r="G473" s="166"/>
    </row>
    <row r="474">
      <c r="B474" s="30"/>
      <c r="C474" s="30"/>
      <c r="D474" s="30"/>
      <c r="E474" s="30"/>
      <c r="F474" s="30"/>
      <c r="G474" s="166"/>
    </row>
    <row r="475">
      <c r="B475" s="30"/>
      <c r="C475" s="30"/>
      <c r="D475" s="30"/>
      <c r="E475" s="30"/>
      <c r="F475" s="30"/>
      <c r="G475" s="166"/>
    </row>
    <row r="476">
      <c r="B476" s="30"/>
      <c r="C476" s="30"/>
      <c r="D476" s="30"/>
      <c r="E476" s="30"/>
      <c r="F476" s="30"/>
      <c r="G476" s="166"/>
    </row>
    <row r="477">
      <c r="B477" s="30"/>
      <c r="C477" s="30"/>
      <c r="D477" s="30"/>
      <c r="E477" s="30"/>
      <c r="F477" s="30"/>
      <c r="G477" s="166"/>
    </row>
    <row r="478">
      <c r="B478" s="30"/>
      <c r="C478" s="30"/>
      <c r="D478" s="30"/>
      <c r="E478" s="30"/>
      <c r="F478" s="30"/>
      <c r="G478" s="166"/>
    </row>
    <row r="479">
      <c r="B479" s="30"/>
      <c r="C479" s="30"/>
      <c r="D479" s="30"/>
      <c r="E479" s="30"/>
      <c r="F479" s="30"/>
      <c r="G479" s="166"/>
    </row>
    <row r="480">
      <c r="B480" s="30"/>
      <c r="C480" s="30"/>
      <c r="D480" s="30"/>
      <c r="E480" s="30"/>
      <c r="F480" s="30"/>
      <c r="G480" s="166"/>
    </row>
    <row r="481">
      <c r="B481" s="30"/>
      <c r="C481" s="30"/>
      <c r="D481" s="30"/>
      <c r="E481" s="30"/>
      <c r="F481" s="30"/>
      <c r="G481" s="166"/>
    </row>
    <row r="482">
      <c r="B482" s="30"/>
      <c r="C482" s="30"/>
      <c r="D482" s="30"/>
      <c r="E482" s="30"/>
      <c r="F482" s="30"/>
      <c r="G482" s="166"/>
    </row>
    <row r="483">
      <c r="B483" s="30"/>
      <c r="C483" s="30"/>
      <c r="D483" s="30"/>
      <c r="E483" s="30"/>
      <c r="F483" s="30"/>
      <c r="G483" s="166"/>
    </row>
    <row r="484">
      <c r="B484" s="30"/>
      <c r="C484" s="30"/>
      <c r="D484" s="30"/>
      <c r="E484" s="30"/>
      <c r="F484" s="30"/>
      <c r="G484" s="166"/>
    </row>
    <row r="485">
      <c r="B485" s="30"/>
      <c r="C485" s="30"/>
      <c r="D485" s="30"/>
      <c r="E485" s="30"/>
      <c r="F485" s="30"/>
      <c r="G485" s="166"/>
    </row>
    <row r="486">
      <c r="B486" s="30"/>
      <c r="C486" s="30"/>
      <c r="D486" s="30"/>
      <c r="E486" s="30"/>
      <c r="F486" s="30"/>
      <c r="G486" s="166"/>
    </row>
    <row r="487">
      <c r="B487" s="30"/>
      <c r="C487" s="30"/>
      <c r="D487" s="30"/>
      <c r="E487" s="30"/>
      <c r="F487" s="30"/>
      <c r="G487" s="166"/>
    </row>
    <row r="488">
      <c r="B488" s="30"/>
      <c r="C488" s="30"/>
      <c r="D488" s="30"/>
      <c r="E488" s="30"/>
      <c r="F488" s="30"/>
      <c r="G488" s="166"/>
    </row>
    <row r="489">
      <c r="B489" s="30"/>
      <c r="C489" s="30"/>
      <c r="D489" s="30"/>
      <c r="E489" s="30"/>
      <c r="F489" s="30"/>
      <c r="G489" s="166"/>
    </row>
    <row r="490">
      <c r="B490" s="30"/>
      <c r="C490" s="30"/>
      <c r="D490" s="30"/>
      <c r="E490" s="30"/>
      <c r="F490" s="30"/>
      <c r="G490" s="166"/>
    </row>
    <row r="491">
      <c r="B491" s="30"/>
      <c r="C491" s="30"/>
      <c r="D491" s="30"/>
      <c r="E491" s="30"/>
      <c r="F491" s="30"/>
      <c r="G491" s="166"/>
    </row>
    <row r="492">
      <c r="B492" s="30"/>
      <c r="C492" s="30"/>
      <c r="D492" s="30"/>
      <c r="E492" s="30"/>
      <c r="F492" s="30"/>
      <c r="G492" s="166"/>
    </row>
    <row r="493">
      <c r="B493" s="30"/>
      <c r="C493" s="30"/>
      <c r="D493" s="30"/>
      <c r="E493" s="30"/>
      <c r="F493" s="30"/>
      <c r="G493" s="166"/>
    </row>
    <row r="494">
      <c r="B494" s="30"/>
      <c r="C494" s="30"/>
      <c r="D494" s="30"/>
      <c r="E494" s="30"/>
      <c r="F494" s="30"/>
      <c r="G494" s="166"/>
    </row>
    <row r="495">
      <c r="B495" s="30"/>
      <c r="C495" s="30"/>
      <c r="D495" s="30"/>
      <c r="E495" s="30"/>
      <c r="F495" s="30"/>
      <c r="G495" s="166"/>
    </row>
    <row r="496">
      <c r="B496" s="30"/>
      <c r="C496" s="30"/>
      <c r="D496" s="30"/>
      <c r="E496" s="30"/>
      <c r="F496" s="30"/>
      <c r="G496" s="166"/>
    </row>
    <row r="497">
      <c r="B497" s="30"/>
      <c r="C497" s="30"/>
      <c r="D497" s="30"/>
      <c r="E497" s="30"/>
      <c r="F497" s="30"/>
      <c r="G497" s="166"/>
    </row>
    <row r="498">
      <c r="B498" s="30"/>
      <c r="C498" s="30"/>
      <c r="D498" s="30"/>
      <c r="E498" s="30"/>
      <c r="F498" s="30"/>
      <c r="G498" s="166"/>
    </row>
    <row r="499">
      <c r="B499" s="30"/>
      <c r="C499" s="30"/>
      <c r="D499" s="30"/>
      <c r="E499" s="30"/>
      <c r="F499" s="30"/>
      <c r="G499" s="166"/>
    </row>
    <row r="500">
      <c r="B500" s="30"/>
      <c r="C500" s="30"/>
      <c r="D500" s="30"/>
      <c r="E500" s="30"/>
      <c r="F500" s="30"/>
      <c r="G500" s="166"/>
    </row>
    <row r="501">
      <c r="B501" s="30"/>
      <c r="C501" s="30"/>
      <c r="D501" s="30"/>
      <c r="E501" s="30"/>
      <c r="F501" s="30"/>
      <c r="G501" s="166"/>
    </row>
    <row r="502">
      <c r="B502" s="30"/>
      <c r="C502" s="30"/>
      <c r="D502" s="30"/>
      <c r="E502" s="30"/>
      <c r="F502" s="30"/>
      <c r="G502" s="166"/>
    </row>
    <row r="503">
      <c r="B503" s="30"/>
      <c r="C503" s="30"/>
      <c r="D503" s="30"/>
      <c r="E503" s="30"/>
      <c r="F503" s="30"/>
      <c r="G503" s="166"/>
    </row>
    <row r="504">
      <c r="B504" s="30"/>
      <c r="C504" s="30"/>
      <c r="D504" s="30"/>
      <c r="E504" s="30"/>
      <c r="F504" s="30"/>
      <c r="G504" s="166"/>
    </row>
    <row r="505">
      <c r="B505" s="30"/>
      <c r="C505" s="30"/>
      <c r="D505" s="30"/>
      <c r="E505" s="30"/>
      <c r="F505" s="30"/>
      <c r="G505" s="166"/>
    </row>
    <row r="506">
      <c r="B506" s="30"/>
      <c r="C506" s="30"/>
      <c r="D506" s="30"/>
      <c r="E506" s="30"/>
      <c r="F506" s="30"/>
      <c r="G506" s="166"/>
    </row>
    <row r="507">
      <c r="B507" s="30"/>
      <c r="C507" s="30"/>
      <c r="D507" s="30"/>
      <c r="E507" s="30"/>
      <c r="F507" s="30"/>
      <c r="G507" s="166"/>
    </row>
    <row r="508">
      <c r="B508" s="30"/>
      <c r="C508" s="30"/>
      <c r="D508" s="30"/>
      <c r="E508" s="30"/>
      <c r="F508" s="30"/>
      <c r="G508" s="166"/>
    </row>
    <row r="509">
      <c r="B509" s="30"/>
      <c r="C509" s="30"/>
      <c r="D509" s="30"/>
      <c r="E509" s="30"/>
      <c r="F509" s="30"/>
      <c r="G509" s="166"/>
    </row>
    <row r="510">
      <c r="B510" s="30"/>
      <c r="C510" s="30"/>
      <c r="D510" s="30"/>
      <c r="E510" s="30"/>
      <c r="F510" s="30"/>
      <c r="G510" s="166"/>
    </row>
    <row r="511">
      <c r="B511" s="30"/>
      <c r="C511" s="30"/>
      <c r="D511" s="30"/>
      <c r="E511" s="30"/>
      <c r="F511" s="30"/>
      <c r="G511" s="166"/>
    </row>
    <row r="512">
      <c r="B512" s="30"/>
      <c r="C512" s="30"/>
      <c r="D512" s="30"/>
      <c r="E512" s="30"/>
      <c r="F512" s="30"/>
      <c r="G512" s="166"/>
    </row>
    <row r="513">
      <c r="B513" s="30"/>
      <c r="C513" s="30"/>
      <c r="D513" s="30"/>
      <c r="E513" s="30"/>
      <c r="F513" s="30"/>
      <c r="G513" s="166"/>
    </row>
    <row r="514">
      <c r="B514" s="30"/>
      <c r="C514" s="30"/>
      <c r="D514" s="30"/>
      <c r="E514" s="30"/>
      <c r="F514" s="30"/>
      <c r="G514" s="166"/>
    </row>
    <row r="515">
      <c r="B515" s="30"/>
      <c r="C515" s="30"/>
      <c r="D515" s="30"/>
      <c r="E515" s="30"/>
      <c r="F515" s="30"/>
      <c r="G515" s="166"/>
    </row>
    <row r="516">
      <c r="B516" s="30"/>
      <c r="C516" s="30"/>
      <c r="D516" s="30"/>
      <c r="E516" s="30"/>
      <c r="F516" s="30"/>
      <c r="G516" s="166"/>
    </row>
    <row r="517">
      <c r="B517" s="30"/>
      <c r="C517" s="30"/>
      <c r="D517" s="30"/>
      <c r="E517" s="30"/>
      <c r="F517" s="30"/>
      <c r="G517" s="166"/>
    </row>
    <row r="518">
      <c r="B518" s="30"/>
      <c r="C518" s="30"/>
      <c r="D518" s="30"/>
      <c r="E518" s="30"/>
      <c r="F518" s="30"/>
      <c r="G518" s="166"/>
    </row>
    <row r="519">
      <c r="B519" s="30"/>
      <c r="C519" s="30"/>
      <c r="D519" s="30"/>
      <c r="E519" s="30"/>
      <c r="F519" s="30"/>
      <c r="G519" s="166"/>
    </row>
    <row r="520">
      <c r="B520" s="30"/>
      <c r="C520" s="30"/>
      <c r="D520" s="30"/>
      <c r="E520" s="30"/>
      <c r="F520" s="30"/>
      <c r="G520" s="166"/>
    </row>
    <row r="521">
      <c r="B521" s="30"/>
      <c r="C521" s="30"/>
      <c r="D521" s="30"/>
      <c r="E521" s="30"/>
      <c r="F521" s="30"/>
      <c r="G521" s="166"/>
    </row>
    <row r="522">
      <c r="B522" s="30"/>
      <c r="C522" s="30"/>
      <c r="D522" s="30"/>
      <c r="E522" s="30"/>
      <c r="F522" s="30"/>
      <c r="G522" s="166"/>
    </row>
    <row r="523">
      <c r="B523" s="30"/>
      <c r="C523" s="30"/>
      <c r="D523" s="30"/>
      <c r="E523" s="30"/>
      <c r="F523" s="30"/>
      <c r="G523" s="166"/>
    </row>
    <row r="524">
      <c r="B524" s="30"/>
      <c r="C524" s="30"/>
      <c r="D524" s="30"/>
      <c r="E524" s="30"/>
      <c r="F524" s="30"/>
      <c r="G524" s="166"/>
    </row>
    <row r="525">
      <c r="B525" s="30"/>
      <c r="C525" s="30"/>
      <c r="D525" s="30"/>
      <c r="E525" s="30"/>
      <c r="F525" s="30"/>
      <c r="G525" s="166"/>
    </row>
    <row r="526">
      <c r="B526" s="30"/>
      <c r="C526" s="30"/>
      <c r="D526" s="30"/>
      <c r="E526" s="30"/>
      <c r="F526" s="30"/>
      <c r="G526" s="166"/>
    </row>
    <row r="527">
      <c r="B527" s="30"/>
      <c r="C527" s="30"/>
      <c r="D527" s="30"/>
      <c r="E527" s="30"/>
      <c r="F527" s="30"/>
      <c r="G527" s="166"/>
    </row>
    <row r="528">
      <c r="B528" s="30"/>
      <c r="C528" s="30"/>
      <c r="D528" s="30"/>
      <c r="E528" s="30"/>
      <c r="F528" s="30"/>
      <c r="G528" s="166"/>
    </row>
    <row r="529">
      <c r="B529" s="30"/>
      <c r="C529" s="30"/>
      <c r="D529" s="30"/>
      <c r="E529" s="30"/>
      <c r="F529" s="30"/>
      <c r="G529" s="166"/>
    </row>
    <row r="530">
      <c r="B530" s="30"/>
      <c r="C530" s="30"/>
      <c r="D530" s="30"/>
      <c r="E530" s="30"/>
      <c r="F530" s="30"/>
      <c r="G530" s="166"/>
    </row>
    <row r="531">
      <c r="B531" s="30"/>
      <c r="C531" s="30"/>
      <c r="D531" s="30"/>
      <c r="E531" s="30"/>
      <c r="F531" s="30"/>
      <c r="G531" s="166"/>
    </row>
    <row r="532">
      <c r="B532" s="30"/>
      <c r="C532" s="30"/>
      <c r="D532" s="30"/>
      <c r="E532" s="30"/>
      <c r="F532" s="30"/>
      <c r="G532" s="166"/>
    </row>
    <row r="533">
      <c r="B533" s="30"/>
      <c r="C533" s="30"/>
      <c r="D533" s="30"/>
      <c r="E533" s="30"/>
      <c r="F533" s="30"/>
      <c r="G533" s="166"/>
    </row>
    <row r="534">
      <c r="B534" s="30"/>
      <c r="C534" s="30"/>
      <c r="D534" s="30"/>
      <c r="E534" s="30"/>
      <c r="F534" s="30"/>
      <c r="G534" s="166"/>
    </row>
    <row r="535">
      <c r="B535" s="30"/>
      <c r="C535" s="30"/>
      <c r="D535" s="30"/>
      <c r="E535" s="30"/>
      <c r="F535" s="30"/>
      <c r="G535" s="166"/>
    </row>
    <row r="536">
      <c r="B536" s="30"/>
      <c r="C536" s="30"/>
      <c r="D536" s="30"/>
      <c r="E536" s="30"/>
      <c r="F536" s="30"/>
      <c r="G536" s="166"/>
    </row>
    <row r="537">
      <c r="B537" s="30"/>
      <c r="C537" s="30"/>
      <c r="D537" s="30"/>
      <c r="E537" s="30"/>
      <c r="F537" s="30"/>
      <c r="G537" s="166"/>
    </row>
    <row r="538">
      <c r="B538" s="30"/>
      <c r="C538" s="30"/>
      <c r="D538" s="30"/>
      <c r="E538" s="30"/>
      <c r="F538" s="30"/>
      <c r="G538" s="166"/>
    </row>
    <row r="539">
      <c r="B539" s="30"/>
      <c r="C539" s="30"/>
      <c r="D539" s="30"/>
      <c r="E539" s="30"/>
      <c r="F539" s="30"/>
      <c r="G539" s="166"/>
    </row>
    <row r="540">
      <c r="B540" s="30"/>
      <c r="C540" s="30"/>
      <c r="D540" s="30"/>
      <c r="E540" s="30"/>
      <c r="F540" s="30"/>
      <c r="G540" s="166"/>
    </row>
    <row r="541">
      <c r="B541" s="30"/>
      <c r="C541" s="30"/>
      <c r="D541" s="30"/>
      <c r="E541" s="30"/>
      <c r="F541" s="30"/>
      <c r="G541" s="166"/>
    </row>
    <row r="542">
      <c r="B542" s="30"/>
      <c r="C542" s="30"/>
      <c r="D542" s="30"/>
      <c r="E542" s="30"/>
      <c r="F542" s="30"/>
      <c r="G542" s="166"/>
    </row>
    <row r="543">
      <c r="B543" s="30"/>
      <c r="C543" s="30"/>
      <c r="D543" s="30"/>
      <c r="E543" s="30"/>
      <c r="F543" s="30"/>
      <c r="G543" s="166"/>
    </row>
    <row r="544">
      <c r="B544" s="30"/>
      <c r="C544" s="30"/>
      <c r="D544" s="30"/>
      <c r="E544" s="30"/>
      <c r="F544" s="30"/>
      <c r="G544" s="166"/>
    </row>
    <row r="545">
      <c r="B545" s="30"/>
      <c r="C545" s="30"/>
      <c r="D545" s="30"/>
      <c r="E545" s="30"/>
      <c r="F545" s="30"/>
      <c r="G545" s="166"/>
    </row>
    <row r="546">
      <c r="B546" s="30"/>
      <c r="C546" s="30"/>
      <c r="D546" s="30"/>
      <c r="E546" s="30"/>
      <c r="F546" s="30"/>
      <c r="G546" s="166"/>
    </row>
    <row r="547">
      <c r="B547" s="30"/>
      <c r="C547" s="30"/>
      <c r="D547" s="30"/>
      <c r="E547" s="30"/>
      <c r="F547" s="30"/>
      <c r="G547" s="166"/>
    </row>
    <row r="548">
      <c r="B548" s="30"/>
      <c r="C548" s="30"/>
      <c r="D548" s="30"/>
      <c r="E548" s="30"/>
      <c r="F548" s="30"/>
      <c r="G548" s="166"/>
    </row>
    <row r="549">
      <c r="B549" s="30"/>
      <c r="C549" s="30"/>
      <c r="D549" s="30"/>
      <c r="E549" s="30"/>
      <c r="F549" s="30"/>
      <c r="G549" s="166"/>
    </row>
    <row r="550">
      <c r="B550" s="30"/>
      <c r="C550" s="30"/>
      <c r="D550" s="30"/>
      <c r="E550" s="30"/>
      <c r="F550" s="30"/>
      <c r="G550" s="166"/>
    </row>
    <row r="551">
      <c r="B551" s="30"/>
      <c r="C551" s="30"/>
      <c r="D551" s="30"/>
      <c r="E551" s="30"/>
      <c r="F551" s="30"/>
      <c r="G551" s="166"/>
    </row>
    <row r="552">
      <c r="B552" s="30"/>
      <c r="C552" s="30"/>
      <c r="D552" s="30"/>
      <c r="E552" s="30"/>
      <c r="F552" s="30"/>
      <c r="G552" s="166"/>
    </row>
    <row r="553">
      <c r="B553" s="30"/>
      <c r="C553" s="30"/>
      <c r="D553" s="30"/>
      <c r="E553" s="30"/>
      <c r="F553" s="30"/>
      <c r="G553" s="166"/>
    </row>
    <row r="554">
      <c r="B554" s="30"/>
      <c r="C554" s="30"/>
      <c r="D554" s="30"/>
      <c r="E554" s="30"/>
      <c r="F554" s="30"/>
      <c r="G554" s="166"/>
    </row>
    <row r="555">
      <c r="B555" s="30"/>
      <c r="C555" s="30"/>
      <c r="D555" s="30"/>
      <c r="E555" s="30"/>
      <c r="F555" s="30"/>
      <c r="G555" s="166"/>
    </row>
    <row r="556">
      <c r="B556" s="30"/>
      <c r="C556" s="30"/>
      <c r="D556" s="30"/>
      <c r="E556" s="30"/>
      <c r="F556" s="30"/>
      <c r="G556" s="166"/>
    </row>
    <row r="557">
      <c r="B557" s="30"/>
      <c r="C557" s="30"/>
      <c r="D557" s="30"/>
      <c r="E557" s="30"/>
      <c r="F557" s="30"/>
      <c r="G557" s="166"/>
    </row>
    <row r="558">
      <c r="B558" s="30"/>
      <c r="C558" s="30"/>
      <c r="D558" s="30"/>
      <c r="E558" s="30"/>
      <c r="F558" s="30"/>
      <c r="G558" s="166"/>
    </row>
    <row r="559">
      <c r="B559" s="30"/>
      <c r="C559" s="30"/>
      <c r="D559" s="30"/>
      <c r="E559" s="30"/>
      <c r="F559" s="30"/>
      <c r="G559" s="166"/>
    </row>
    <row r="560">
      <c r="B560" s="30"/>
      <c r="C560" s="30"/>
      <c r="D560" s="30"/>
      <c r="E560" s="30"/>
      <c r="F560" s="30"/>
      <c r="G560" s="166"/>
    </row>
    <row r="561">
      <c r="B561" s="30"/>
      <c r="C561" s="30"/>
      <c r="D561" s="30"/>
      <c r="E561" s="30"/>
      <c r="F561" s="30"/>
      <c r="G561" s="166"/>
    </row>
    <row r="562">
      <c r="B562" s="30"/>
      <c r="C562" s="30"/>
      <c r="D562" s="30"/>
      <c r="E562" s="30"/>
      <c r="F562" s="30"/>
      <c r="G562" s="166"/>
    </row>
    <row r="563">
      <c r="B563" s="30"/>
      <c r="C563" s="30"/>
      <c r="D563" s="30"/>
      <c r="E563" s="30"/>
      <c r="F563" s="30"/>
      <c r="G563" s="166"/>
    </row>
    <row r="564">
      <c r="B564" s="30"/>
      <c r="C564" s="30"/>
      <c r="D564" s="30"/>
      <c r="E564" s="30"/>
      <c r="F564" s="30"/>
      <c r="G564" s="166"/>
    </row>
    <row r="565">
      <c r="B565" s="30"/>
      <c r="C565" s="30"/>
      <c r="D565" s="30"/>
      <c r="E565" s="30"/>
      <c r="F565" s="30"/>
      <c r="G565" s="166"/>
    </row>
    <row r="566">
      <c r="B566" s="30"/>
      <c r="C566" s="30"/>
      <c r="D566" s="30"/>
      <c r="E566" s="30"/>
      <c r="F566" s="30"/>
      <c r="G566" s="166"/>
    </row>
    <row r="567">
      <c r="B567" s="30"/>
      <c r="C567" s="30"/>
      <c r="D567" s="30"/>
      <c r="E567" s="30"/>
      <c r="F567" s="30"/>
      <c r="G567" s="166"/>
    </row>
    <row r="568">
      <c r="B568" s="30"/>
      <c r="C568" s="30"/>
      <c r="D568" s="30"/>
      <c r="E568" s="30"/>
      <c r="F568" s="30"/>
      <c r="G568" s="166"/>
    </row>
    <row r="569">
      <c r="B569" s="30"/>
      <c r="C569" s="30"/>
      <c r="D569" s="30"/>
      <c r="E569" s="30"/>
      <c r="F569" s="30"/>
      <c r="G569" s="166"/>
    </row>
    <row r="570">
      <c r="B570" s="30"/>
      <c r="C570" s="30"/>
      <c r="D570" s="30"/>
      <c r="E570" s="30"/>
      <c r="F570" s="30"/>
      <c r="G570" s="166"/>
    </row>
    <row r="571">
      <c r="B571" s="30"/>
      <c r="C571" s="30"/>
      <c r="D571" s="30"/>
      <c r="E571" s="30"/>
      <c r="F571" s="30"/>
      <c r="G571" s="166"/>
    </row>
    <row r="572">
      <c r="B572" s="30"/>
      <c r="C572" s="30"/>
      <c r="D572" s="30"/>
      <c r="E572" s="30"/>
      <c r="F572" s="30"/>
      <c r="G572" s="166"/>
    </row>
    <row r="573">
      <c r="B573" s="30"/>
      <c r="C573" s="30"/>
      <c r="D573" s="30"/>
      <c r="E573" s="30"/>
      <c r="F573" s="30"/>
      <c r="G573" s="166"/>
    </row>
    <row r="574">
      <c r="B574" s="30"/>
      <c r="C574" s="30"/>
      <c r="D574" s="30"/>
      <c r="E574" s="30"/>
      <c r="F574" s="30"/>
      <c r="G574" s="166"/>
    </row>
    <row r="575">
      <c r="B575" s="30"/>
      <c r="C575" s="30"/>
      <c r="D575" s="30"/>
      <c r="E575" s="30"/>
      <c r="F575" s="30"/>
      <c r="G575" s="166"/>
    </row>
    <row r="576">
      <c r="B576" s="30"/>
      <c r="C576" s="30"/>
      <c r="D576" s="30"/>
      <c r="E576" s="30"/>
      <c r="F576" s="30"/>
      <c r="G576" s="166"/>
    </row>
    <row r="577">
      <c r="B577" s="30"/>
      <c r="C577" s="30"/>
      <c r="D577" s="30"/>
      <c r="E577" s="30"/>
      <c r="F577" s="30"/>
      <c r="G577" s="166"/>
    </row>
    <row r="578">
      <c r="B578" s="30"/>
      <c r="C578" s="30"/>
      <c r="D578" s="30"/>
      <c r="E578" s="30"/>
      <c r="F578" s="30"/>
      <c r="G578" s="166"/>
    </row>
    <row r="579">
      <c r="B579" s="30"/>
      <c r="C579" s="30"/>
      <c r="D579" s="30"/>
      <c r="E579" s="30"/>
      <c r="F579" s="30"/>
      <c r="G579" s="166"/>
    </row>
    <row r="580">
      <c r="B580" s="30"/>
      <c r="C580" s="30"/>
      <c r="D580" s="30"/>
      <c r="E580" s="30"/>
      <c r="F580" s="30"/>
      <c r="G580" s="166"/>
    </row>
    <row r="581">
      <c r="B581" s="30"/>
      <c r="C581" s="30"/>
      <c r="D581" s="30"/>
      <c r="E581" s="30"/>
      <c r="F581" s="30"/>
      <c r="G581" s="166"/>
    </row>
    <row r="582">
      <c r="B582" s="30"/>
      <c r="C582" s="30"/>
      <c r="D582" s="30"/>
      <c r="E582" s="30"/>
      <c r="F582" s="30"/>
      <c r="G582" s="166"/>
    </row>
    <row r="583">
      <c r="B583" s="30"/>
      <c r="C583" s="30"/>
      <c r="D583" s="30"/>
      <c r="E583" s="30"/>
      <c r="F583" s="30"/>
      <c r="G583" s="166"/>
    </row>
    <row r="584">
      <c r="B584" s="30"/>
      <c r="C584" s="30"/>
      <c r="D584" s="30"/>
      <c r="E584" s="30"/>
      <c r="F584" s="30"/>
      <c r="G584" s="166"/>
    </row>
    <row r="585">
      <c r="B585" s="30"/>
      <c r="C585" s="30"/>
      <c r="D585" s="30"/>
      <c r="E585" s="30"/>
      <c r="F585" s="30"/>
      <c r="G585" s="166"/>
    </row>
    <row r="586">
      <c r="B586" s="30"/>
      <c r="C586" s="30"/>
      <c r="D586" s="30"/>
      <c r="E586" s="30"/>
      <c r="F586" s="30"/>
      <c r="G586" s="166"/>
    </row>
    <row r="587">
      <c r="B587" s="30"/>
      <c r="C587" s="30"/>
      <c r="D587" s="30"/>
      <c r="E587" s="30"/>
      <c r="F587" s="30"/>
      <c r="G587" s="166"/>
    </row>
    <row r="588">
      <c r="B588" s="30"/>
      <c r="C588" s="30"/>
      <c r="D588" s="30"/>
      <c r="E588" s="30"/>
      <c r="F588" s="30"/>
      <c r="G588" s="166"/>
    </row>
    <row r="589">
      <c r="B589" s="30"/>
      <c r="C589" s="30"/>
      <c r="D589" s="30"/>
      <c r="E589" s="30"/>
      <c r="F589" s="30"/>
      <c r="G589" s="166"/>
    </row>
    <row r="590">
      <c r="B590" s="30"/>
      <c r="C590" s="30"/>
      <c r="D590" s="30"/>
      <c r="E590" s="30"/>
      <c r="F590" s="30"/>
      <c r="G590" s="166"/>
    </row>
    <row r="591">
      <c r="B591" s="30"/>
      <c r="C591" s="30"/>
      <c r="D591" s="30"/>
      <c r="E591" s="30"/>
      <c r="F591" s="30"/>
      <c r="G591" s="166"/>
    </row>
    <row r="592">
      <c r="B592" s="30"/>
      <c r="C592" s="30"/>
      <c r="D592" s="30"/>
      <c r="E592" s="30"/>
      <c r="F592" s="30"/>
      <c r="G592" s="166"/>
    </row>
    <row r="593">
      <c r="B593" s="30"/>
      <c r="C593" s="30"/>
      <c r="D593" s="30"/>
      <c r="E593" s="30"/>
      <c r="F593" s="30"/>
      <c r="G593" s="166"/>
    </row>
    <row r="594">
      <c r="B594" s="30"/>
      <c r="C594" s="30"/>
      <c r="D594" s="30"/>
      <c r="E594" s="30"/>
      <c r="F594" s="30"/>
      <c r="G594" s="166"/>
    </row>
    <row r="595">
      <c r="B595" s="30"/>
      <c r="C595" s="30"/>
      <c r="D595" s="30"/>
      <c r="E595" s="30"/>
      <c r="F595" s="30"/>
      <c r="G595" s="166"/>
    </row>
    <row r="596">
      <c r="B596" s="30"/>
      <c r="C596" s="30"/>
      <c r="D596" s="30"/>
      <c r="E596" s="30"/>
      <c r="F596" s="30"/>
      <c r="G596" s="166"/>
    </row>
    <row r="597">
      <c r="B597" s="30"/>
      <c r="C597" s="30"/>
      <c r="D597" s="30"/>
      <c r="E597" s="30"/>
      <c r="F597" s="30"/>
      <c r="G597" s="166"/>
    </row>
    <row r="598">
      <c r="B598" s="30"/>
      <c r="C598" s="30"/>
      <c r="D598" s="30"/>
      <c r="E598" s="30"/>
      <c r="F598" s="30"/>
      <c r="G598" s="166"/>
    </row>
    <row r="599">
      <c r="B599" s="30"/>
      <c r="C599" s="30"/>
      <c r="D599" s="30"/>
      <c r="E599" s="30"/>
      <c r="F599" s="30"/>
      <c r="G599" s="166"/>
    </row>
    <row r="600">
      <c r="B600" s="30"/>
      <c r="C600" s="30"/>
      <c r="D600" s="30"/>
      <c r="E600" s="30"/>
      <c r="F600" s="30"/>
      <c r="G600" s="166"/>
    </row>
    <row r="601">
      <c r="B601" s="30"/>
      <c r="C601" s="30"/>
      <c r="D601" s="30"/>
      <c r="E601" s="30"/>
      <c r="F601" s="30"/>
      <c r="G601" s="166"/>
    </row>
    <row r="602">
      <c r="B602" s="30"/>
      <c r="C602" s="30"/>
      <c r="D602" s="30"/>
      <c r="E602" s="30"/>
      <c r="F602" s="30"/>
      <c r="G602" s="166"/>
    </row>
    <row r="603">
      <c r="B603" s="30"/>
      <c r="C603" s="30"/>
      <c r="D603" s="30"/>
      <c r="E603" s="30"/>
      <c r="F603" s="30"/>
      <c r="G603" s="166"/>
    </row>
    <row r="604">
      <c r="B604" s="30"/>
      <c r="C604" s="30"/>
      <c r="D604" s="30"/>
      <c r="E604" s="30"/>
      <c r="F604" s="30"/>
      <c r="G604" s="166"/>
    </row>
    <row r="605">
      <c r="B605" s="30"/>
      <c r="C605" s="30"/>
      <c r="D605" s="30"/>
      <c r="E605" s="30"/>
      <c r="F605" s="30"/>
      <c r="G605" s="166"/>
    </row>
    <row r="606">
      <c r="B606" s="30"/>
      <c r="C606" s="30"/>
      <c r="D606" s="30"/>
      <c r="E606" s="30"/>
      <c r="F606" s="30"/>
      <c r="G606" s="166"/>
    </row>
    <row r="607">
      <c r="B607" s="30"/>
      <c r="C607" s="30"/>
      <c r="D607" s="30"/>
      <c r="E607" s="30"/>
      <c r="F607" s="30"/>
      <c r="G607" s="166"/>
    </row>
    <row r="608">
      <c r="B608" s="30"/>
      <c r="C608" s="30"/>
      <c r="D608" s="30"/>
      <c r="E608" s="30"/>
      <c r="F608" s="30"/>
      <c r="G608" s="166"/>
    </row>
    <row r="609">
      <c r="B609" s="30"/>
      <c r="C609" s="30"/>
      <c r="D609" s="30"/>
      <c r="E609" s="30"/>
      <c r="F609" s="30"/>
      <c r="G609" s="166"/>
    </row>
    <row r="610">
      <c r="B610" s="30"/>
      <c r="C610" s="30"/>
      <c r="D610" s="30"/>
      <c r="E610" s="30"/>
      <c r="F610" s="30"/>
      <c r="G610" s="166"/>
    </row>
    <row r="611">
      <c r="B611" s="30"/>
      <c r="C611" s="30"/>
      <c r="D611" s="30"/>
      <c r="E611" s="30"/>
      <c r="F611" s="30"/>
      <c r="G611" s="166"/>
    </row>
    <row r="612">
      <c r="B612" s="30"/>
      <c r="C612" s="30"/>
      <c r="D612" s="30"/>
      <c r="E612" s="30"/>
      <c r="F612" s="30"/>
      <c r="G612" s="166"/>
    </row>
    <row r="613">
      <c r="B613" s="30"/>
      <c r="C613" s="30"/>
      <c r="D613" s="30"/>
      <c r="E613" s="30"/>
      <c r="F613" s="30"/>
      <c r="G613" s="166"/>
    </row>
    <row r="614">
      <c r="B614" s="30"/>
      <c r="C614" s="30"/>
      <c r="D614" s="30"/>
      <c r="E614" s="30"/>
      <c r="F614" s="30"/>
      <c r="G614" s="166"/>
    </row>
    <row r="615">
      <c r="B615" s="30"/>
      <c r="C615" s="30"/>
      <c r="D615" s="30"/>
      <c r="E615" s="30"/>
      <c r="F615" s="30"/>
      <c r="G615" s="166"/>
    </row>
    <row r="616">
      <c r="B616" s="30"/>
      <c r="C616" s="30"/>
      <c r="D616" s="30"/>
      <c r="E616" s="30"/>
      <c r="F616" s="30"/>
      <c r="G616" s="166"/>
    </row>
    <row r="617">
      <c r="B617" s="30"/>
      <c r="C617" s="30"/>
      <c r="D617" s="30"/>
      <c r="E617" s="30"/>
      <c r="F617" s="30"/>
      <c r="G617" s="166"/>
    </row>
    <row r="618">
      <c r="B618" s="30"/>
      <c r="C618" s="30"/>
      <c r="D618" s="30"/>
      <c r="E618" s="30"/>
      <c r="F618" s="30"/>
      <c r="G618" s="166"/>
    </row>
    <row r="619">
      <c r="B619" s="30"/>
      <c r="C619" s="30"/>
      <c r="D619" s="30"/>
      <c r="E619" s="30"/>
      <c r="F619" s="30"/>
      <c r="G619" s="166"/>
    </row>
    <row r="620">
      <c r="B620" s="30"/>
      <c r="C620" s="30"/>
      <c r="D620" s="30"/>
      <c r="E620" s="30"/>
      <c r="F620" s="30"/>
      <c r="G620" s="166"/>
    </row>
    <row r="621">
      <c r="B621" s="30"/>
      <c r="C621" s="30"/>
      <c r="D621" s="30"/>
      <c r="E621" s="30"/>
      <c r="F621" s="30"/>
      <c r="G621" s="166"/>
    </row>
    <row r="622">
      <c r="B622" s="30"/>
      <c r="C622" s="30"/>
      <c r="D622" s="30"/>
      <c r="E622" s="30"/>
      <c r="F622" s="30"/>
      <c r="G622" s="166"/>
    </row>
    <row r="623">
      <c r="B623" s="30"/>
      <c r="C623" s="30"/>
      <c r="D623" s="30"/>
      <c r="E623" s="30"/>
      <c r="F623" s="30"/>
      <c r="G623" s="166"/>
    </row>
    <row r="624">
      <c r="B624" s="30"/>
      <c r="C624" s="30"/>
      <c r="D624" s="30"/>
      <c r="E624" s="30"/>
      <c r="F624" s="30"/>
      <c r="G624" s="166"/>
    </row>
    <row r="625">
      <c r="B625" s="30"/>
      <c r="C625" s="30"/>
      <c r="D625" s="30"/>
      <c r="E625" s="30"/>
      <c r="F625" s="30"/>
      <c r="G625" s="166"/>
    </row>
    <row r="626">
      <c r="B626" s="30"/>
      <c r="C626" s="30"/>
      <c r="D626" s="30"/>
      <c r="E626" s="30"/>
      <c r="F626" s="30"/>
      <c r="G626" s="166"/>
    </row>
    <row r="627">
      <c r="B627" s="30"/>
      <c r="C627" s="30"/>
      <c r="D627" s="30"/>
      <c r="E627" s="30"/>
      <c r="F627" s="30"/>
      <c r="G627" s="166"/>
    </row>
    <row r="628">
      <c r="B628" s="30"/>
      <c r="C628" s="30"/>
      <c r="D628" s="30"/>
      <c r="E628" s="30"/>
      <c r="F628" s="30"/>
      <c r="G628" s="166"/>
    </row>
    <row r="629">
      <c r="B629" s="30"/>
      <c r="C629" s="30"/>
      <c r="D629" s="30"/>
      <c r="E629" s="30"/>
      <c r="F629" s="30"/>
      <c r="G629" s="166"/>
    </row>
    <row r="630">
      <c r="B630" s="30"/>
      <c r="C630" s="30"/>
      <c r="D630" s="30"/>
      <c r="E630" s="30"/>
      <c r="F630" s="30"/>
      <c r="G630" s="166"/>
    </row>
    <row r="631">
      <c r="B631" s="30"/>
      <c r="C631" s="30"/>
      <c r="D631" s="30"/>
      <c r="E631" s="30"/>
      <c r="F631" s="30"/>
      <c r="G631" s="166"/>
    </row>
    <row r="632">
      <c r="B632" s="30"/>
      <c r="C632" s="30"/>
      <c r="D632" s="30"/>
      <c r="E632" s="30"/>
      <c r="F632" s="30"/>
      <c r="G632" s="166"/>
    </row>
    <row r="633">
      <c r="B633" s="30"/>
      <c r="C633" s="30"/>
      <c r="D633" s="30"/>
      <c r="E633" s="30"/>
      <c r="F633" s="30"/>
      <c r="G633" s="166"/>
    </row>
    <row r="634">
      <c r="B634" s="30"/>
      <c r="C634" s="30"/>
      <c r="D634" s="30"/>
      <c r="E634" s="30"/>
      <c r="F634" s="30"/>
      <c r="G634" s="166"/>
    </row>
    <row r="635">
      <c r="B635" s="30"/>
      <c r="C635" s="30"/>
      <c r="D635" s="30"/>
      <c r="E635" s="30"/>
      <c r="F635" s="30"/>
      <c r="G635" s="166"/>
    </row>
    <row r="636">
      <c r="B636" s="30"/>
      <c r="C636" s="30"/>
      <c r="D636" s="30"/>
      <c r="E636" s="30"/>
      <c r="F636" s="30"/>
      <c r="G636" s="166"/>
    </row>
    <row r="637">
      <c r="B637" s="30"/>
      <c r="C637" s="30"/>
      <c r="D637" s="30"/>
      <c r="E637" s="30"/>
      <c r="F637" s="30"/>
      <c r="G637" s="166"/>
    </row>
    <row r="638">
      <c r="B638" s="30"/>
      <c r="C638" s="30"/>
      <c r="D638" s="30"/>
      <c r="E638" s="30"/>
      <c r="F638" s="30"/>
      <c r="G638" s="166"/>
    </row>
    <row r="639">
      <c r="B639" s="30"/>
      <c r="C639" s="30"/>
      <c r="D639" s="30"/>
      <c r="E639" s="30"/>
      <c r="F639" s="30"/>
      <c r="G639" s="166"/>
    </row>
    <row r="640">
      <c r="B640" s="30"/>
      <c r="C640" s="30"/>
      <c r="D640" s="30"/>
      <c r="E640" s="30"/>
      <c r="F640" s="30"/>
      <c r="G640" s="166"/>
    </row>
    <row r="641">
      <c r="B641" s="30"/>
      <c r="C641" s="30"/>
      <c r="D641" s="30"/>
      <c r="E641" s="30"/>
      <c r="F641" s="30"/>
      <c r="G641" s="166"/>
    </row>
    <row r="642">
      <c r="B642" s="30"/>
      <c r="C642" s="30"/>
      <c r="D642" s="30"/>
      <c r="E642" s="30"/>
      <c r="F642" s="30"/>
      <c r="G642" s="166"/>
    </row>
    <row r="643">
      <c r="B643" s="30"/>
      <c r="C643" s="30"/>
      <c r="D643" s="30"/>
      <c r="E643" s="30"/>
      <c r="F643" s="30"/>
      <c r="G643" s="166"/>
    </row>
    <row r="644">
      <c r="B644" s="30"/>
      <c r="C644" s="30"/>
      <c r="D644" s="30"/>
      <c r="E644" s="30"/>
      <c r="F644" s="30"/>
      <c r="G644" s="166"/>
    </row>
    <row r="645">
      <c r="B645" s="30"/>
      <c r="C645" s="30"/>
      <c r="D645" s="30"/>
      <c r="E645" s="30"/>
      <c r="F645" s="30"/>
      <c r="G645" s="166"/>
    </row>
    <row r="646">
      <c r="B646" s="30"/>
      <c r="C646" s="30"/>
      <c r="D646" s="30"/>
      <c r="E646" s="30"/>
      <c r="F646" s="30"/>
      <c r="G646" s="166"/>
    </row>
    <row r="647">
      <c r="B647" s="30"/>
      <c r="C647" s="30"/>
      <c r="D647" s="30"/>
      <c r="E647" s="30"/>
      <c r="F647" s="30"/>
      <c r="G647" s="166"/>
    </row>
    <row r="648">
      <c r="B648" s="30"/>
      <c r="C648" s="30"/>
      <c r="D648" s="30"/>
      <c r="E648" s="30"/>
      <c r="F648" s="30"/>
      <c r="G648" s="166"/>
    </row>
    <row r="649">
      <c r="B649" s="30"/>
      <c r="C649" s="30"/>
      <c r="D649" s="30"/>
      <c r="E649" s="30"/>
      <c r="F649" s="30"/>
      <c r="G649" s="166"/>
    </row>
    <row r="650">
      <c r="B650" s="30"/>
      <c r="C650" s="30"/>
      <c r="D650" s="30"/>
      <c r="E650" s="30"/>
      <c r="F650" s="30"/>
      <c r="G650" s="166"/>
    </row>
    <row r="651">
      <c r="B651" s="30"/>
      <c r="C651" s="30"/>
      <c r="D651" s="30"/>
      <c r="E651" s="30"/>
      <c r="F651" s="30"/>
      <c r="G651" s="166"/>
    </row>
    <row r="652">
      <c r="B652" s="30"/>
      <c r="C652" s="30"/>
      <c r="D652" s="30"/>
      <c r="E652" s="30"/>
      <c r="F652" s="30"/>
      <c r="G652" s="166"/>
    </row>
    <row r="653">
      <c r="B653" s="30"/>
      <c r="C653" s="30"/>
      <c r="D653" s="30"/>
      <c r="E653" s="30"/>
      <c r="F653" s="30"/>
      <c r="G653" s="166"/>
    </row>
    <row r="654">
      <c r="B654" s="30"/>
      <c r="C654" s="30"/>
      <c r="D654" s="30"/>
      <c r="E654" s="30"/>
      <c r="F654" s="30"/>
      <c r="G654" s="166"/>
    </row>
    <row r="655">
      <c r="B655" s="30"/>
      <c r="C655" s="30"/>
      <c r="D655" s="30"/>
      <c r="E655" s="30"/>
      <c r="F655" s="30"/>
      <c r="G655" s="166"/>
    </row>
    <row r="656">
      <c r="B656" s="30"/>
      <c r="C656" s="30"/>
      <c r="D656" s="30"/>
      <c r="E656" s="30"/>
      <c r="F656" s="30"/>
      <c r="G656" s="166"/>
    </row>
    <row r="657">
      <c r="B657" s="30"/>
      <c r="C657" s="30"/>
      <c r="D657" s="30"/>
      <c r="E657" s="30"/>
      <c r="F657" s="30"/>
      <c r="G657" s="166"/>
    </row>
    <row r="658">
      <c r="B658" s="30"/>
      <c r="C658" s="30"/>
      <c r="D658" s="30"/>
      <c r="E658" s="30"/>
      <c r="F658" s="30"/>
      <c r="G658" s="166"/>
    </row>
    <row r="659">
      <c r="B659" s="30"/>
      <c r="C659" s="30"/>
      <c r="D659" s="30"/>
      <c r="E659" s="30"/>
      <c r="F659" s="30"/>
      <c r="G659" s="166"/>
    </row>
    <row r="660">
      <c r="B660" s="30"/>
      <c r="C660" s="30"/>
      <c r="D660" s="30"/>
      <c r="E660" s="30"/>
      <c r="F660" s="30"/>
      <c r="G660" s="166"/>
    </row>
    <row r="661">
      <c r="B661" s="30"/>
      <c r="C661" s="30"/>
      <c r="D661" s="30"/>
      <c r="E661" s="30"/>
      <c r="F661" s="30"/>
      <c r="G661" s="166"/>
    </row>
    <row r="662">
      <c r="B662" s="30"/>
      <c r="C662" s="30"/>
      <c r="D662" s="30"/>
      <c r="E662" s="30"/>
      <c r="F662" s="30"/>
      <c r="G662" s="166"/>
    </row>
    <row r="663">
      <c r="B663" s="30"/>
      <c r="C663" s="30"/>
      <c r="D663" s="30"/>
      <c r="E663" s="30"/>
      <c r="F663" s="30"/>
      <c r="G663" s="166"/>
    </row>
    <row r="664">
      <c r="B664" s="30"/>
      <c r="C664" s="30"/>
      <c r="D664" s="30"/>
      <c r="E664" s="30"/>
      <c r="F664" s="30"/>
      <c r="G664" s="166"/>
    </row>
    <row r="665">
      <c r="B665" s="30"/>
      <c r="C665" s="30"/>
      <c r="D665" s="30"/>
      <c r="E665" s="30"/>
      <c r="F665" s="30"/>
      <c r="G665" s="166"/>
    </row>
    <row r="666">
      <c r="B666" s="30"/>
      <c r="C666" s="30"/>
      <c r="D666" s="30"/>
      <c r="E666" s="30"/>
      <c r="F666" s="30"/>
      <c r="G666" s="166"/>
    </row>
    <row r="667">
      <c r="B667" s="30"/>
      <c r="C667" s="30"/>
      <c r="D667" s="30"/>
      <c r="E667" s="30"/>
      <c r="F667" s="30"/>
      <c r="G667" s="166"/>
    </row>
    <row r="668">
      <c r="B668" s="30"/>
      <c r="C668" s="30"/>
      <c r="D668" s="30"/>
      <c r="E668" s="30"/>
      <c r="F668" s="30"/>
      <c r="G668" s="166"/>
    </row>
    <row r="669">
      <c r="B669" s="30"/>
      <c r="C669" s="30"/>
      <c r="D669" s="30"/>
      <c r="E669" s="30"/>
      <c r="F669" s="30"/>
      <c r="G669" s="166"/>
    </row>
    <row r="670">
      <c r="B670" s="30"/>
      <c r="C670" s="30"/>
      <c r="D670" s="30"/>
      <c r="E670" s="30"/>
      <c r="F670" s="30"/>
      <c r="G670" s="166"/>
    </row>
    <row r="671">
      <c r="B671" s="30"/>
      <c r="C671" s="30"/>
      <c r="D671" s="30"/>
      <c r="E671" s="30"/>
      <c r="F671" s="30"/>
      <c r="G671" s="166"/>
    </row>
    <row r="672">
      <c r="B672" s="30"/>
      <c r="C672" s="30"/>
      <c r="D672" s="30"/>
      <c r="E672" s="30"/>
      <c r="F672" s="30"/>
      <c r="G672" s="166"/>
    </row>
    <row r="673">
      <c r="B673" s="30"/>
      <c r="C673" s="30"/>
      <c r="D673" s="30"/>
      <c r="E673" s="30"/>
      <c r="F673" s="30"/>
      <c r="G673" s="166"/>
    </row>
    <row r="674">
      <c r="B674" s="30"/>
      <c r="C674" s="30"/>
      <c r="D674" s="30"/>
      <c r="E674" s="30"/>
      <c r="F674" s="30"/>
      <c r="G674" s="166"/>
    </row>
    <row r="675">
      <c r="B675" s="30"/>
      <c r="C675" s="30"/>
      <c r="D675" s="30"/>
      <c r="E675" s="30"/>
      <c r="F675" s="30"/>
      <c r="G675" s="166"/>
    </row>
    <row r="676">
      <c r="B676" s="30"/>
      <c r="C676" s="30"/>
      <c r="D676" s="30"/>
      <c r="E676" s="30"/>
      <c r="F676" s="30"/>
      <c r="G676" s="166"/>
    </row>
    <row r="677">
      <c r="B677" s="30"/>
      <c r="C677" s="30"/>
      <c r="D677" s="30"/>
      <c r="E677" s="30"/>
      <c r="F677" s="30"/>
      <c r="G677" s="166"/>
    </row>
    <row r="678">
      <c r="B678" s="30"/>
      <c r="C678" s="30"/>
      <c r="D678" s="30"/>
      <c r="E678" s="30"/>
      <c r="F678" s="30"/>
      <c r="G678" s="166"/>
    </row>
    <row r="679">
      <c r="B679" s="30"/>
      <c r="C679" s="30"/>
      <c r="D679" s="30"/>
      <c r="E679" s="30"/>
      <c r="F679" s="30"/>
      <c r="G679" s="166"/>
    </row>
    <row r="680">
      <c r="B680" s="30"/>
      <c r="C680" s="30"/>
      <c r="D680" s="30"/>
      <c r="E680" s="30"/>
      <c r="F680" s="30"/>
      <c r="G680" s="166"/>
    </row>
    <row r="681">
      <c r="B681" s="30"/>
      <c r="C681" s="30"/>
      <c r="D681" s="30"/>
      <c r="E681" s="30"/>
      <c r="F681" s="30"/>
      <c r="G681" s="166"/>
    </row>
    <row r="682">
      <c r="B682" s="30"/>
      <c r="C682" s="30"/>
      <c r="D682" s="30"/>
      <c r="E682" s="30"/>
      <c r="F682" s="30"/>
      <c r="G682" s="166"/>
    </row>
    <row r="683">
      <c r="B683" s="30"/>
      <c r="C683" s="30"/>
      <c r="D683" s="30"/>
      <c r="E683" s="30"/>
      <c r="F683" s="30"/>
      <c r="G683" s="166"/>
    </row>
    <row r="684">
      <c r="B684" s="30"/>
      <c r="C684" s="30"/>
      <c r="D684" s="30"/>
      <c r="E684" s="30"/>
      <c r="F684" s="30"/>
      <c r="G684" s="166"/>
    </row>
    <row r="685">
      <c r="B685" s="30"/>
      <c r="C685" s="30"/>
      <c r="D685" s="30"/>
      <c r="E685" s="30"/>
      <c r="F685" s="30"/>
      <c r="G685" s="166"/>
    </row>
    <row r="686">
      <c r="B686" s="30"/>
      <c r="C686" s="30"/>
      <c r="D686" s="30"/>
      <c r="E686" s="30"/>
      <c r="F686" s="30"/>
      <c r="G686" s="166"/>
    </row>
    <row r="687">
      <c r="B687" s="30"/>
      <c r="C687" s="30"/>
      <c r="D687" s="30"/>
      <c r="E687" s="30"/>
      <c r="F687" s="30"/>
      <c r="G687" s="166"/>
    </row>
    <row r="688">
      <c r="B688" s="30"/>
      <c r="C688" s="30"/>
      <c r="D688" s="30"/>
      <c r="E688" s="30"/>
      <c r="F688" s="30"/>
      <c r="G688" s="166"/>
    </row>
    <row r="689">
      <c r="B689" s="30"/>
      <c r="C689" s="30"/>
      <c r="D689" s="30"/>
      <c r="E689" s="30"/>
      <c r="F689" s="30"/>
      <c r="G689" s="166"/>
    </row>
    <row r="690">
      <c r="B690" s="30"/>
      <c r="C690" s="30"/>
      <c r="D690" s="30"/>
      <c r="E690" s="30"/>
      <c r="F690" s="30"/>
      <c r="G690" s="166"/>
    </row>
    <row r="691">
      <c r="B691" s="30"/>
      <c r="C691" s="30"/>
      <c r="D691" s="30"/>
      <c r="E691" s="30"/>
      <c r="F691" s="30"/>
      <c r="G691" s="166"/>
    </row>
    <row r="692">
      <c r="B692" s="30"/>
      <c r="C692" s="30"/>
      <c r="D692" s="30"/>
      <c r="E692" s="30"/>
      <c r="F692" s="30"/>
      <c r="G692" s="166"/>
    </row>
    <row r="693">
      <c r="B693" s="30"/>
      <c r="C693" s="30"/>
      <c r="D693" s="30"/>
      <c r="E693" s="30"/>
      <c r="F693" s="30"/>
      <c r="G693" s="166"/>
    </row>
    <row r="694">
      <c r="B694" s="30"/>
      <c r="C694" s="30"/>
      <c r="D694" s="30"/>
      <c r="E694" s="30"/>
      <c r="F694" s="30"/>
      <c r="G694" s="166"/>
    </row>
    <row r="695">
      <c r="B695" s="30"/>
      <c r="C695" s="30"/>
      <c r="D695" s="30"/>
      <c r="E695" s="30"/>
      <c r="F695" s="30"/>
      <c r="G695" s="166"/>
    </row>
    <row r="696">
      <c r="B696" s="30"/>
      <c r="C696" s="30"/>
      <c r="D696" s="30"/>
      <c r="E696" s="30"/>
      <c r="F696" s="30"/>
      <c r="G696" s="166"/>
    </row>
    <row r="697">
      <c r="B697" s="30"/>
      <c r="C697" s="30"/>
      <c r="D697" s="30"/>
      <c r="E697" s="30"/>
      <c r="F697" s="30"/>
      <c r="G697" s="166"/>
    </row>
    <row r="698">
      <c r="B698" s="30"/>
      <c r="C698" s="30"/>
      <c r="D698" s="30"/>
      <c r="E698" s="30"/>
      <c r="F698" s="30"/>
      <c r="G698" s="166"/>
    </row>
    <row r="699">
      <c r="B699" s="30"/>
      <c r="C699" s="30"/>
      <c r="D699" s="30"/>
      <c r="E699" s="30"/>
      <c r="F699" s="30"/>
      <c r="G699" s="166"/>
    </row>
    <row r="700">
      <c r="B700" s="30"/>
      <c r="C700" s="30"/>
      <c r="D700" s="30"/>
      <c r="E700" s="30"/>
      <c r="F700" s="30"/>
      <c r="G700" s="166"/>
    </row>
    <row r="701">
      <c r="B701" s="30"/>
      <c r="C701" s="30"/>
      <c r="D701" s="30"/>
      <c r="E701" s="30"/>
      <c r="F701" s="30"/>
      <c r="G701" s="166"/>
    </row>
    <row r="702">
      <c r="B702" s="30"/>
      <c r="C702" s="30"/>
      <c r="D702" s="30"/>
      <c r="E702" s="30"/>
      <c r="F702" s="30"/>
      <c r="G702" s="166"/>
    </row>
    <row r="703">
      <c r="B703" s="30"/>
      <c r="C703" s="30"/>
      <c r="D703" s="30"/>
      <c r="E703" s="30"/>
      <c r="F703" s="30"/>
      <c r="G703" s="166"/>
    </row>
    <row r="704">
      <c r="B704" s="30"/>
      <c r="C704" s="30"/>
      <c r="D704" s="30"/>
      <c r="E704" s="30"/>
      <c r="F704" s="30"/>
      <c r="G704" s="166"/>
    </row>
    <row r="705">
      <c r="B705" s="30"/>
      <c r="C705" s="30"/>
      <c r="D705" s="30"/>
      <c r="E705" s="30"/>
      <c r="F705" s="30"/>
      <c r="G705" s="166"/>
    </row>
    <row r="706">
      <c r="B706" s="30"/>
      <c r="C706" s="30"/>
      <c r="D706" s="30"/>
      <c r="E706" s="30"/>
      <c r="F706" s="30"/>
      <c r="G706" s="166"/>
    </row>
    <row r="707">
      <c r="B707" s="30"/>
      <c r="C707" s="30"/>
      <c r="D707" s="30"/>
      <c r="E707" s="30"/>
      <c r="F707" s="30"/>
      <c r="G707" s="166"/>
    </row>
    <row r="708">
      <c r="B708" s="30"/>
      <c r="C708" s="30"/>
      <c r="D708" s="30"/>
      <c r="E708" s="30"/>
      <c r="F708" s="30"/>
      <c r="G708" s="166"/>
    </row>
    <row r="709">
      <c r="B709" s="30"/>
      <c r="C709" s="30"/>
      <c r="D709" s="30"/>
      <c r="E709" s="30"/>
      <c r="F709" s="30"/>
      <c r="G709" s="166"/>
    </row>
    <row r="710">
      <c r="B710" s="30"/>
      <c r="C710" s="30"/>
      <c r="D710" s="30"/>
      <c r="E710" s="30"/>
      <c r="F710" s="30"/>
      <c r="G710" s="166"/>
    </row>
    <row r="711">
      <c r="B711" s="30"/>
      <c r="C711" s="30"/>
      <c r="D711" s="30"/>
      <c r="E711" s="30"/>
      <c r="F711" s="30"/>
      <c r="G711" s="166"/>
    </row>
    <row r="712">
      <c r="B712" s="30"/>
      <c r="C712" s="30"/>
      <c r="D712" s="30"/>
      <c r="E712" s="30"/>
      <c r="F712" s="30"/>
      <c r="G712" s="166"/>
    </row>
    <row r="713">
      <c r="B713" s="30"/>
      <c r="C713" s="30"/>
      <c r="D713" s="30"/>
      <c r="E713" s="30"/>
      <c r="F713" s="30"/>
      <c r="G713" s="166"/>
    </row>
    <row r="714">
      <c r="B714" s="30"/>
      <c r="C714" s="30"/>
      <c r="D714" s="30"/>
      <c r="E714" s="30"/>
      <c r="F714" s="30"/>
      <c r="G714" s="166"/>
    </row>
    <row r="715">
      <c r="B715" s="30"/>
      <c r="C715" s="30"/>
      <c r="D715" s="30"/>
      <c r="E715" s="30"/>
      <c r="F715" s="30"/>
      <c r="G715" s="166"/>
    </row>
    <row r="716">
      <c r="B716" s="30"/>
      <c r="C716" s="30"/>
      <c r="D716" s="30"/>
      <c r="E716" s="30"/>
      <c r="F716" s="30"/>
      <c r="G716" s="166"/>
    </row>
    <row r="717">
      <c r="B717" s="30"/>
      <c r="C717" s="30"/>
      <c r="D717" s="30"/>
      <c r="E717" s="30"/>
      <c r="F717" s="30"/>
      <c r="G717" s="166"/>
    </row>
    <row r="718">
      <c r="B718" s="30"/>
      <c r="C718" s="30"/>
      <c r="D718" s="30"/>
      <c r="E718" s="30"/>
      <c r="F718" s="30"/>
      <c r="G718" s="166"/>
    </row>
    <row r="719">
      <c r="B719" s="30"/>
      <c r="C719" s="30"/>
      <c r="D719" s="30"/>
      <c r="E719" s="30"/>
      <c r="F719" s="30"/>
      <c r="G719" s="166"/>
    </row>
    <row r="720">
      <c r="B720" s="30"/>
      <c r="C720" s="30"/>
      <c r="D720" s="30"/>
      <c r="E720" s="30"/>
      <c r="F720" s="30"/>
      <c r="G720" s="166"/>
    </row>
    <row r="721">
      <c r="B721" s="30"/>
      <c r="C721" s="30"/>
      <c r="D721" s="30"/>
      <c r="E721" s="30"/>
      <c r="F721" s="30"/>
      <c r="G721" s="166"/>
    </row>
    <row r="722">
      <c r="B722" s="30"/>
      <c r="C722" s="30"/>
      <c r="D722" s="30"/>
      <c r="E722" s="30"/>
      <c r="F722" s="30"/>
      <c r="G722" s="166"/>
    </row>
    <row r="723">
      <c r="B723" s="30"/>
      <c r="C723" s="30"/>
      <c r="D723" s="30"/>
      <c r="E723" s="30"/>
      <c r="F723" s="30"/>
      <c r="G723" s="166"/>
    </row>
    <row r="724">
      <c r="B724" s="30"/>
      <c r="C724" s="30"/>
      <c r="D724" s="30"/>
      <c r="E724" s="30"/>
      <c r="F724" s="30"/>
      <c r="G724" s="166"/>
    </row>
    <row r="725">
      <c r="B725" s="30"/>
      <c r="C725" s="30"/>
      <c r="D725" s="30"/>
      <c r="E725" s="30"/>
      <c r="F725" s="30"/>
      <c r="G725" s="166"/>
    </row>
    <row r="726">
      <c r="B726" s="30"/>
      <c r="C726" s="30"/>
      <c r="D726" s="30"/>
      <c r="E726" s="30"/>
      <c r="F726" s="30"/>
      <c r="G726" s="166"/>
    </row>
    <row r="727">
      <c r="B727" s="30"/>
      <c r="C727" s="30"/>
      <c r="D727" s="30"/>
      <c r="E727" s="30"/>
      <c r="F727" s="30"/>
      <c r="G727" s="166"/>
    </row>
    <row r="728">
      <c r="B728" s="30"/>
      <c r="C728" s="30"/>
      <c r="D728" s="30"/>
      <c r="E728" s="30"/>
      <c r="F728" s="30"/>
      <c r="G728" s="166"/>
    </row>
    <row r="729">
      <c r="B729" s="30"/>
      <c r="C729" s="30"/>
      <c r="D729" s="30"/>
      <c r="E729" s="30"/>
      <c r="F729" s="30"/>
      <c r="G729" s="166"/>
    </row>
    <row r="730">
      <c r="B730" s="30"/>
      <c r="C730" s="30"/>
      <c r="D730" s="30"/>
      <c r="E730" s="30"/>
      <c r="F730" s="30"/>
      <c r="G730" s="166"/>
    </row>
    <row r="731">
      <c r="B731" s="30"/>
      <c r="C731" s="30"/>
      <c r="D731" s="30"/>
      <c r="E731" s="30"/>
      <c r="F731" s="30"/>
      <c r="G731" s="166"/>
    </row>
    <row r="732">
      <c r="B732" s="30"/>
      <c r="C732" s="30"/>
      <c r="D732" s="30"/>
      <c r="E732" s="30"/>
      <c r="F732" s="30"/>
      <c r="G732" s="166"/>
    </row>
    <row r="733">
      <c r="B733" s="30"/>
      <c r="C733" s="30"/>
      <c r="D733" s="30"/>
      <c r="E733" s="30"/>
      <c r="F733" s="30"/>
      <c r="G733" s="166"/>
    </row>
    <row r="734">
      <c r="B734" s="30"/>
      <c r="C734" s="30"/>
      <c r="D734" s="30"/>
      <c r="E734" s="30"/>
      <c r="F734" s="30"/>
      <c r="G734" s="166"/>
    </row>
    <row r="735">
      <c r="B735" s="30"/>
      <c r="C735" s="30"/>
      <c r="D735" s="30"/>
      <c r="E735" s="30"/>
      <c r="F735" s="30"/>
      <c r="G735" s="166"/>
    </row>
    <row r="736">
      <c r="B736" s="30"/>
      <c r="C736" s="30"/>
      <c r="D736" s="30"/>
      <c r="E736" s="30"/>
      <c r="F736" s="30"/>
      <c r="G736" s="166"/>
    </row>
    <row r="737">
      <c r="B737" s="30"/>
      <c r="C737" s="30"/>
      <c r="D737" s="30"/>
      <c r="E737" s="30"/>
      <c r="F737" s="30"/>
      <c r="G737" s="166"/>
    </row>
    <row r="738">
      <c r="B738" s="30"/>
      <c r="C738" s="30"/>
      <c r="D738" s="30"/>
      <c r="E738" s="30"/>
      <c r="F738" s="30"/>
      <c r="G738" s="166"/>
    </row>
    <row r="739">
      <c r="B739" s="30"/>
      <c r="C739" s="30"/>
      <c r="D739" s="30"/>
      <c r="E739" s="30"/>
      <c r="F739" s="30"/>
      <c r="G739" s="166"/>
    </row>
    <row r="740">
      <c r="B740" s="30"/>
      <c r="C740" s="30"/>
      <c r="D740" s="30"/>
      <c r="E740" s="30"/>
      <c r="F740" s="30"/>
      <c r="G740" s="166"/>
    </row>
    <row r="741">
      <c r="B741" s="30"/>
      <c r="C741" s="30"/>
      <c r="D741" s="30"/>
      <c r="E741" s="30"/>
      <c r="F741" s="30"/>
      <c r="G741" s="166"/>
    </row>
    <row r="742">
      <c r="B742" s="30"/>
      <c r="C742" s="30"/>
      <c r="D742" s="30"/>
      <c r="E742" s="30"/>
      <c r="F742" s="30"/>
      <c r="G742" s="166"/>
    </row>
    <row r="743">
      <c r="B743" s="30"/>
      <c r="C743" s="30"/>
      <c r="D743" s="30"/>
      <c r="E743" s="30"/>
      <c r="F743" s="30"/>
      <c r="G743" s="166"/>
    </row>
    <row r="744">
      <c r="B744" s="30"/>
      <c r="C744" s="30"/>
      <c r="D744" s="30"/>
      <c r="E744" s="30"/>
      <c r="F744" s="30"/>
      <c r="G744" s="166"/>
    </row>
    <row r="745">
      <c r="B745" s="30"/>
      <c r="C745" s="30"/>
      <c r="D745" s="30"/>
      <c r="E745" s="30"/>
      <c r="F745" s="30"/>
      <c r="G745" s="166"/>
    </row>
    <row r="746">
      <c r="B746" s="30"/>
      <c r="C746" s="30"/>
      <c r="D746" s="30"/>
      <c r="E746" s="30"/>
      <c r="F746" s="30"/>
      <c r="G746" s="166"/>
    </row>
    <row r="747">
      <c r="B747" s="30"/>
      <c r="C747" s="30"/>
      <c r="D747" s="30"/>
      <c r="E747" s="30"/>
      <c r="F747" s="30"/>
      <c r="G747" s="166"/>
    </row>
    <row r="748">
      <c r="B748" s="30"/>
      <c r="C748" s="30"/>
      <c r="D748" s="30"/>
      <c r="E748" s="30"/>
      <c r="F748" s="30"/>
      <c r="G748" s="166"/>
    </row>
    <row r="749">
      <c r="B749" s="30"/>
      <c r="C749" s="30"/>
      <c r="D749" s="30"/>
      <c r="E749" s="30"/>
      <c r="F749" s="30"/>
      <c r="G749" s="166"/>
    </row>
    <row r="750">
      <c r="B750" s="30"/>
      <c r="C750" s="30"/>
      <c r="D750" s="30"/>
      <c r="E750" s="30"/>
      <c r="F750" s="30"/>
      <c r="G750" s="166"/>
    </row>
    <row r="751">
      <c r="B751" s="30"/>
      <c r="C751" s="30"/>
      <c r="D751" s="30"/>
      <c r="E751" s="30"/>
      <c r="F751" s="30"/>
      <c r="G751" s="166"/>
    </row>
    <row r="752">
      <c r="B752" s="30"/>
      <c r="C752" s="30"/>
      <c r="D752" s="30"/>
      <c r="E752" s="30"/>
      <c r="F752" s="30"/>
      <c r="G752" s="166"/>
    </row>
    <row r="753">
      <c r="B753" s="30"/>
      <c r="C753" s="30"/>
      <c r="D753" s="30"/>
      <c r="E753" s="30"/>
      <c r="F753" s="30"/>
      <c r="G753" s="166"/>
    </row>
    <row r="754">
      <c r="B754" s="30"/>
      <c r="C754" s="30"/>
      <c r="D754" s="30"/>
      <c r="E754" s="30"/>
      <c r="F754" s="30"/>
      <c r="G754" s="166"/>
    </row>
    <row r="755">
      <c r="B755" s="30"/>
      <c r="C755" s="30"/>
      <c r="D755" s="30"/>
      <c r="E755" s="30"/>
      <c r="F755" s="30"/>
      <c r="G755" s="166"/>
    </row>
    <row r="756">
      <c r="B756" s="30"/>
      <c r="C756" s="30"/>
      <c r="D756" s="30"/>
      <c r="E756" s="30"/>
      <c r="F756" s="30"/>
      <c r="G756" s="166"/>
    </row>
    <row r="757">
      <c r="B757" s="30"/>
      <c r="C757" s="30"/>
      <c r="D757" s="30"/>
      <c r="E757" s="30"/>
      <c r="F757" s="30"/>
      <c r="G757" s="166"/>
    </row>
    <row r="758">
      <c r="B758" s="30"/>
      <c r="C758" s="30"/>
      <c r="D758" s="30"/>
      <c r="E758" s="30"/>
      <c r="F758" s="30"/>
      <c r="G758" s="166"/>
    </row>
    <row r="759">
      <c r="B759" s="30"/>
      <c r="C759" s="30"/>
      <c r="D759" s="30"/>
      <c r="E759" s="30"/>
      <c r="F759" s="30"/>
      <c r="G759" s="166"/>
    </row>
    <row r="760">
      <c r="B760" s="30"/>
      <c r="C760" s="30"/>
      <c r="D760" s="30"/>
      <c r="E760" s="30"/>
      <c r="F760" s="30"/>
      <c r="G760" s="166"/>
    </row>
    <row r="761">
      <c r="B761" s="30"/>
      <c r="C761" s="30"/>
      <c r="D761" s="30"/>
      <c r="E761" s="30"/>
      <c r="F761" s="30"/>
      <c r="G761" s="166"/>
    </row>
    <row r="762">
      <c r="B762" s="30"/>
      <c r="C762" s="30"/>
      <c r="D762" s="30"/>
      <c r="E762" s="30"/>
      <c r="F762" s="30"/>
      <c r="G762" s="166"/>
    </row>
    <row r="763">
      <c r="B763" s="30"/>
      <c r="C763" s="30"/>
      <c r="D763" s="30"/>
      <c r="E763" s="30"/>
      <c r="F763" s="30"/>
      <c r="G763" s="166"/>
    </row>
    <row r="764">
      <c r="B764" s="30"/>
      <c r="C764" s="30"/>
      <c r="D764" s="30"/>
      <c r="E764" s="30"/>
      <c r="F764" s="30"/>
      <c r="G764" s="166"/>
    </row>
    <row r="765">
      <c r="B765" s="30"/>
      <c r="C765" s="30"/>
      <c r="D765" s="30"/>
      <c r="E765" s="30"/>
      <c r="F765" s="30"/>
      <c r="G765" s="166"/>
    </row>
    <row r="766">
      <c r="B766" s="30"/>
      <c r="C766" s="30"/>
      <c r="D766" s="30"/>
      <c r="E766" s="30"/>
      <c r="F766" s="30"/>
      <c r="G766" s="166"/>
    </row>
    <row r="767">
      <c r="B767" s="30"/>
      <c r="C767" s="30"/>
      <c r="D767" s="30"/>
      <c r="E767" s="30"/>
      <c r="F767" s="30"/>
      <c r="G767" s="166"/>
    </row>
    <row r="768">
      <c r="B768" s="30"/>
      <c r="C768" s="30"/>
      <c r="D768" s="30"/>
      <c r="E768" s="30"/>
      <c r="F768" s="30"/>
      <c r="G768" s="166"/>
    </row>
    <row r="769">
      <c r="B769" s="30"/>
      <c r="C769" s="30"/>
      <c r="D769" s="30"/>
      <c r="E769" s="30"/>
      <c r="F769" s="30"/>
      <c r="G769" s="166"/>
    </row>
    <row r="770">
      <c r="B770" s="30"/>
      <c r="C770" s="30"/>
      <c r="D770" s="30"/>
      <c r="E770" s="30"/>
      <c r="F770" s="30"/>
      <c r="G770" s="166"/>
    </row>
    <row r="771">
      <c r="B771" s="30"/>
      <c r="C771" s="30"/>
      <c r="D771" s="30"/>
      <c r="E771" s="30"/>
      <c r="F771" s="30"/>
      <c r="G771" s="166"/>
    </row>
    <row r="772">
      <c r="B772" s="30"/>
      <c r="C772" s="30"/>
      <c r="D772" s="30"/>
      <c r="E772" s="30"/>
      <c r="F772" s="30"/>
      <c r="G772" s="166"/>
    </row>
    <row r="773">
      <c r="B773" s="30"/>
      <c r="C773" s="30"/>
      <c r="D773" s="30"/>
      <c r="E773" s="30"/>
      <c r="F773" s="30"/>
      <c r="G773" s="166"/>
    </row>
    <row r="774">
      <c r="B774" s="30"/>
      <c r="C774" s="30"/>
      <c r="D774" s="30"/>
      <c r="E774" s="30"/>
      <c r="F774" s="30"/>
      <c r="G774" s="166"/>
    </row>
    <row r="775">
      <c r="B775" s="30"/>
      <c r="C775" s="30"/>
      <c r="D775" s="30"/>
      <c r="E775" s="30"/>
      <c r="F775" s="30"/>
      <c r="G775" s="166"/>
    </row>
    <row r="776">
      <c r="B776" s="30"/>
      <c r="C776" s="30"/>
      <c r="D776" s="30"/>
      <c r="E776" s="30"/>
      <c r="F776" s="30"/>
      <c r="G776" s="166"/>
    </row>
    <row r="777">
      <c r="B777" s="30"/>
      <c r="C777" s="30"/>
      <c r="D777" s="30"/>
      <c r="E777" s="30"/>
      <c r="F777" s="30"/>
      <c r="G777" s="166"/>
    </row>
    <row r="778">
      <c r="B778" s="30"/>
      <c r="C778" s="30"/>
      <c r="D778" s="30"/>
      <c r="E778" s="30"/>
      <c r="F778" s="30"/>
      <c r="G778" s="166"/>
    </row>
    <row r="779">
      <c r="B779" s="30"/>
      <c r="C779" s="30"/>
      <c r="D779" s="30"/>
      <c r="E779" s="30"/>
      <c r="F779" s="30"/>
      <c r="G779" s="166"/>
    </row>
    <row r="780">
      <c r="B780" s="30"/>
      <c r="C780" s="30"/>
      <c r="D780" s="30"/>
      <c r="E780" s="30"/>
      <c r="F780" s="30"/>
      <c r="G780" s="166"/>
    </row>
    <row r="781">
      <c r="B781" s="30"/>
      <c r="C781" s="30"/>
      <c r="D781" s="30"/>
      <c r="E781" s="30"/>
      <c r="F781" s="30"/>
      <c r="G781" s="166"/>
    </row>
    <row r="782">
      <c r="B782" s="30"/>
      <c r="C782" s="30"/>
      <c r="D782" s="30"/>
      <c r="E782" s="30"/>
      <c r="F782" s="30"/>
      <c r="G782" s="166"/>
    </row>
    <row r="783">
      <c r="B783" s="30"/>
      <c r="C783" s="30"/>
      <c r="D783" s="30"/>
      <c r="E783" s="30"/>
      <c r="F783" s="30"/>
      <c r="G783" s="166"/>
    </row>
    <row r="784">
      <c r="B784" s="30"/>
      <c r="C784" s="30"/>
      <c r="D784" s="30"/>
      <c r="E784" s="30"/>
      <c r="F784" s="30"/>
      <c r="G784" s="166"/>
    </row>
    <row r="785">
      <c r="B785" s="30"/>
      <c r="C785" s="30"/>
      <c r="D785" s="30"/>
      <c r="E785" s="30"/>
      <c r="F785" s="30"/>
      <c r="G785" s="166"/>
    </row>
    <row r="786">
      <c r="B786" s="30"/>
      <c r="C786" s="30"/>
      <c r="D786" s="30"/>
      <c r="E786" s="30"/>
      <c r="F786" s="30"/>
      <c r="G786" s="166"/>
    </row>
    <row r="787">
      <c r="B787" s="30"/>
      <c r="C787" s="30"/>
      <c r="D787" s="30"/>
      <c r="E787" s="30"/>
      <c r="F787" s="30"/>
      <c r="G787" s="166"/>
    </row>
    <row r="788">
      <c r="B788" s="30"/>
      <c r="C788" s="30"/>
      <c r="D788" s="30"/>
      <c r="E788" s="30"/>
      <c r="F788" s="30"/>
      <c r="G788" s="166"/>
    </row>
    <row r="789">
      <c r="B789" s="30"/>
      <c r="C789" s="30"/>
      <c r="D789" s="30"/>
      <c r="E789" s="30"/>
      <c r="F789" s="30"/>
      <c r="G789" s="166"/>
    </row>
    <row r="790">
      <c r="B790" s="30"/>
      <c r="C790" s="30"/>
      <c r="D790" s="30"/>
      <c r="E790" s="30"/>
      <c r="F790" s="30"/>
      <c r="G790" s="166"/>
    </row>
    <row r="791">
      <c r="B791" s="30"/>
      <c r="C791" s="30"/>
      <c r="D791" s="30"/>
      <c r="E791" s="30"/>
      <c r="F791" s="30"/>
      <c r="G791" s="166"/>
    </row>
    <row r="792">
      <c r="B792" s="30"/>
      <c r="C792" s="30"/>
      <c r="D792" s="30"/>
      <c r="E792" s="30"/>
      <c r="F792" s="30"/>
      <c r="G792" s="166"/>
    </row>
    <row r="793">
      <c r="B793" s="30"/>
      <c r="C793" s="30"/>
      <c r="D793" s="30"/>
      <c r="E793" s="30"/>
      <c r="F793" s="30"/>
      <c r="G793" s="166"/>
    </row>
    <row r="794">
      <c r="B794" s="30"/>
      <c r="C794" s="30"/>
      <c r="D794" s="30"/>
      <c r="E794" s="30"/>
      <c r="F794" s="30"/>
      <c r="G794" s="166"/>
    </row>
    <row r="795">
      <c r="B795" s="30"/>
      <c r="C795" s="30"/>
      <c r="D795" s="30"/>
      <c r="E795" s="30"/>
      <c r="F795" s="30"/>
      <c r="G795" s="166"/>
    </row>
    <row r="796">
      <c r="B796" s="30"/>
      <c r="C796" s="30"/>
      <c r="D796" s="30"/>
      <c r="E796" s="30"/>
      <c r="F796" s="30"/>
      <c r="G796" s="166"/>
    </row>
    <row r="797">
      <c r="B797" s="30"/>
      <c r="C797" s="30"/>
      <c r="D797" s="30"/>
      <c r="E797" s="30"/>
      <c r="F797" s="30"/>
      <c r="G797" s="166"/>
    </row>
    <row r="798">
      <c r="B798" s="30"/>
      <c r="C798" s="30"/>
      <c r="D798" s="30"/>
      <c r="E798" s="30"/>
      <c r="F798" s="30"/>
      <c r="G798" s="166"/>
    </row>
    <row r="799">
      <c r="B799" s="30"/>
      <c r="C799" s="30"/>
      <c r="D799" s="30"/>
      <c r="E799" s="30"/>
      <c r="F799" s="30"/>
      <c r="G799" s="166"/>
    </row>
    <row r="800">
      <c r="B800" s="30"/>
      <c r="C800" s="30"/>
      <c r="D800" s="30"/>
      <c r="E800" s="30"/>
      <c r="F800" s="30"/>
      <c r="G800" s="166"/>
    </row>
    <row r="801">
      <c r="B801" s="30"/>
      <c r="C801" s="30"/>
      <c r="D801" s="30"/>
      <c r="E801" s="30"/>
      <c r="F801" s="30"/>
      <c r="G801" s="166"/>
    </row>
    <row r="802">
      <c r="B802" s="30"/>
      <c r="C802" s="30"/>
      <c r="D802" s="30"/>
      <c r="E802" s="30"/>
      <c r="F802" s="30"/>
      <c r="G802" s="166"/>
    </row>
    <row r="803">
      <c r="B803" s="30"/>
      <c r="C803" s="30"/>
      <c r="D803" s="30"/>
      <c r="E803" s="30"/>
      <c r="F803" s="30"/>
      <c r="G803" s="166"/>
    </row>
    <row r="804">
      <c r="B804" s="30"/>
      <c r="C804" s="30"/>
      <c r="D804" s="30"/>
      <c r="E804" s="30"/>
      <c r="F804" s="30"/>
      <c r="G804" s="166"/>
    </row>
    <row r="805">
      <c r="B805" s="30"/>
      <c r="C805" s="30"/>
      <c r="D805" s="30"/>
      <c r="E805" s="30"/>
      <c r="F805" s="30"/>
      <c r="G805" s="166"/>
    </row>
    <row r="806">
      <c r="B806" s="30"/>
      <c r="C806" s="30"/>
      <c r="D806" s="30"/>
      <c r="E806" s="30"/>
      <c r="F806" s="30"/>
      <c r="G806" s="166"/>
    </row>
    <row r="807">
      <c r="B807" s="30"/>
      <c r="C807" s="30"/>
      <c r="D807" s="30"/>
      <c r="E807" s="30"/>
      <c r="F807" s="30"/>
      <c r="G807" s="166"/>
    </row>
    <row r="808">
      <c r="B808" s="30"/>
      <c r="C808" s="30"/>
      <c r="D808" s="30"/>
      <c r="E808" s="30"/>
      <c r="F808" s="30"/>
      <c r="G808" s="166"/>
    </row>
    <row r="809">
      <c r="B809" s="30"/>
      <c r="C809" s="30"/>
      <c r="D809" s="30"/>
      <c r="E809" s="30"/>
      <c r="F809" s="30"/>
      <c r="G809" s="166"/>
    </row>
    <row r="810">
      <c r="B810" s="30"/>
      <c r="C810" s="30"/>
      <c r="D810" s="30"/>
      <c r="E810" s="30"/>
      <c r="F810" s="30"/>
      <c r="G810" s="166"/>
    </row>
    <row r="811">
      <c r="B811" s="30"/>
      <c r="C811" s="30"/>
      <c r="D811" s="30"/>
      <c r="E811" s="30"/>
      <c r="F811" s="30"/>
      <c r="G811" s="166"/>
    </row>
    <row r="812">
      <c r="B812" s="30"/>
      <c r="C812" s="30"/>
      <c r="D812" s="30"/>
      <c r="E812" s="30"/>
      <c r="F812" s="30"/>
      <c r="G812" s="166"/>
    </row>
    <row r="813">
      <c r="B813" s="30"/>
      <c r="C813" s="30"/>
      <c r="D813" s="30"/>
      <c r="E813" s="30"/>
      <c r="F813" s="30"/>
      <c r="G813" s="166"/>
    </row>
    <row r="814">
      <c r="B814" s="30"/>
      <c r="C814" s="30"/>
      <c r="D814" s="30"/>
      <c r="E814" s="30"/>
      <c r="F814" s="30"/>
      <c r="G814" s="166"/>
    </row>
    <row r="815">
      <c r="B815" s="30"/>
      <c r="C815" s="30"/>
      <c r="D815" s="30"/>
      <c r="E815" s="30"/>
      <c r="F815" s="30"/>
      <c r="G815" s="166"/>
    </row>
    <row r="816">
      <c r="B816" s="30"/>
      <c r="C816" s="30"/>
      <c r="D816" s="30"/>
      <c r="E816" s="30"/>
      <c r="F816" s="30"/>
      <c r="G816" s="166"/>
    </row>
    <row r="817">
      <c r="B817" s="30"/>
      <c r="C817" s="30"/>
      <c r="D817" s="30"/>
      <c r="E817" s="30"/>
      <c r="F817" s="30"/>
      <c r="G817" s="166"/>
    </row>
    <row r="818">
      <c r="B818" s="30"/>
      <c r="C818" s="30"/>
      <c r="D818" s="30"/>
      <c r="E818" s="30"/>
      <c r="F818" s="30"/>
      <c r="G818" s="166"/>
    </row>
    <row r="819">
      <c r="B819" s="30"/>
      <c r="C819" s="30"/>
      <c r="D819" s="30"/>
      <c r="E819" s="30"/>
      <c r="F819" s="30"/>
      <c r="G819" s="166"/>
    </row>
    <row r="820">
      <c r="B820" s="30"/>
      <c r="C820" s="30"/>
      <c r="D820" s="30"/>
      <c r="E820" s="30"/>
      <c r="F820" s="30"/>
      <c r="G820" s="166"/>
    </row>
    <row r="821">
      <c r="B821" s="30"/>
      <c r="C821" s="30"/>
      <c r="D821" s="30"/>
      <c r="E821" s="30"/>
      <c r="F821" s="30"/>
      <c r="G821" s="166"/>
    </row>
    <row r="822">
      <c r="B822" s="30"/>
      <c r="C822" s="30"/>
      <c r="D822" s="30"/>
      <c r="E822" s="30"/>
      <c r="F822" s="30"/>
      <c r="G822" s="166"/>
    </row>
    <row r="823">
      <c r="B823" s="30"/>
      <c r="C823" s="30"/>
      <c r="D823" s="30"/>
      <c r="E823" s="30"/>
      <c r="F823" s="30"/>
      <c r="G823" s="166"/>
    </row>
    <row r="824">
      <c r="B824" s="30"/>
      <c r="C824" s="30"/>
      <c r="D824" s="30"/>
      <c r="E824" s="30"/>
      <c r="F824" s="30"/>
      <c r="G824" s="166"/>
    </row>
    <row r="825">
      <c r="B825" s="30"/>
      <c r="C825" s="30"/>
      <c r="D825" s="30"/>
      <c r="E825" s="30"/>
      <c r="F825" s="30"/>
      <c r="G825" s="166"/>
    </row>
    <row r="826">
      <c r="B826" s="30"/>
      <c r="C826" s="30"/>
      <c r="D826" s="30"/>
      <c r="E826" s="30"/>
      <c r="F826" s="30"/>
      <c r="G826" s="166"/>
    </row>
    <row r="827">
      <c r="B827" s="30"/>
      <c r="C827" s="30"/>
      <c r="D827" s="30"/>
      <c r="E827" s="30"/>
      <c r="F827" s="30"/>
      <c r="G827" s="166"/>
    </row>
    <row r="828">
      <c r="B828" s="30"/>
      <c r="C828" s="30"/>
      <c r="D828" s="30"/>
      <c r="E828" s="30"/>
      <c r="F828" s="30"/>
      <c r="G828" s="166"/>
    </row>
    <row r="829">
      <c r="B829" s="30"/>
      <c r="C829" s="30"/>
      <c r="D829" s="30"/>
      <c r="E829" s="30"/>
      <c r="F829" s="30"/>
      <c r="G829" s="166"/>
    </row>
    <row r="830">
      <c r="B830" s="30"/>
      <c r="C830" s="30"/>
      <c r="D830" s="30"/>
      <c r="E830" s="30"/>
      <c r="F830" s="30"/>
      <c r="G830" s="166"/>
    </row>
    <row r="831">
      <c r="B831" s="30"/>
      <c r="C831" s="30"/>
      <c r="D831" s="30"/>
      <c r="E831" s="30"/>
      <c r="F831" s="30"/>
      <c r="G831" s="166"/>
    </row>
    <row r="832">
      <c r="B832" s="30"/>
      <c r="C832" s="30"/>
      <c r="D832" s="30"/>
      <c r="E832" s="30"/>
      <c r="F832" s="30"/>
      <c r="G832" s="166"/>
    </row>
    <row r="833">
      <c r="B833" s="30"/>
      <c r="C833" s="30"/>
      <c r="D833" s="30"/>
      <c r="E833" s="30"/>
      <c r="F833" s="30"/>
      <c r="G833" s="166"/>
    </row>
    <row r="834">
      <c r="B834" s="30"/>
      <c r="C834" s="30"/>
      <c r="D834" s="30"/>
      <c r="E834" s="30"/>
      <c r="F834" s="30"/>
      <c r="G834" s="166"/>
    </row>
    <row r="835">
      <c r="B835" s="30"/>
      <c r="C835" s="30"/>
      <c r="D835" s="30"/>
      <c r="E835" s="30"/>
      <c r="F835" s="30"/>
      <c r="G835" s="166"/>
    </row>
    <row r="836">
      <c r="B836" s="30"/>
      <c r="C836" s="30"/>
      <c r="D836" s="30"/>
      <c r="E836" s="30"/>
      <c r="F836" s="30"/>
      <c r="G836" s="166"/>
    </row>
    <row r="837">
      <c r="B837" s="30"/>
      <c r="C837" s="30"/>
      <c r="D837" s="30"/>
      <c r="E837" s="30"/>
      <c r="F837" s="30"/>
      <c r="G837" s="166"/>
    </row>
    <row r="838">
      <c r="B838" s="30"/>
      <c r="C838" s="30"/>
      <c r="D838" s="30"/>
      <c r="E838" s="30"/>
      <c r="F838" s="30"/>
      <c r="G838" s="166"/>
    </row>
    <row r="839">
      <c r="B839" s="30"/>
      <c r="C839" s="30"/>
      <c r="D839" s="30"/>
      <c r="E839" s="30"/>
      <c r="F839" s="30"/>
      <c r="G839" s="166"/>
    </row>
    <row r="840">
      <c r="B840" s="30"/>
      <c r="C840" s="30"/>
      <c r="D840" s="30"/>
      <c r="E840" s="30"/>
      <c r="F840" s="30"/>
      <c r="G840" s="166"/>
    </row>
    <row r="841">
      <c r="B841" s="30"/>
      <c r="C841" s="30"/>
      <c r="D841" s="30"/>
      <c r="E841" s="30"/>
      <c r="F841" s="30"/>
      <c r="G841" s="166"/>
    </row>
    <row r="842">
      <c r="B842" s="30"/>
      <c r="C842" s="30"/>
      <c r="D842" s="30"/>
      <c r="E842" s="30"/>
      <c r="F842" s="30"/>
      <c r="G842" s="166"/>
    </row>
    <row r="843">
      <c r="B843" s="30"/>
      <c r="C843" s="30"/>
      <c r="D843" s="30"/>
      <c r="E843" s="30"/>
      <c r="F843" s="30"/>
      <c r="G843" s="166"/>
    </row>
    <row r="844">
      <c r="B844" s="30"/>
      <c r="C844" s="30"/>
      <c r="D844" s="30"/>
      <c r="E844" s="30"/>
      <c r="F844" s="30"/>
      <c r="G844" s="166"/>
    </row>
    <row r="845">
      <c r="B845" s="30"/>
      <c r="C845" s="30"/>
      <c r="D845" s="30"/>
      <c r="E845" s="30"/>
      <c r="F845" s="30"/>
      <c r="G845" s="166"/>
    </row>
    <row r="846">
      <c r="B846" s="30"/>
      <c r="C846" s="30"/>
      <c r="D846" s="30"/>
      <c r="E846" s="30"/>
      <c r="F846" s="30"/>
      <c r="G846" s="166"/>
    </row>
    <row r="847">
      <c r="B847" s="30"/>
      <c r="C847" s="30"/>
      <c r="D847" s="30"/>
      <c r="E847" s="30"/>
      <c r="F847" s="30"/>
      <c r="G847" s="166"/>
    </row>
    <row r="848">
      <c r="B848" s="30"/>
      <c r="C848" s="30"/>
      <c r="D848" s="30"/>
      <c r="E848" s="30"/>
      <c r="F848" s="30"/>
      <c r="G848" s="166"/>
    </row>
    <row r="849">
      <c r="B849" s="30"/>
      <c r="C849" s="30"/>
      <c r="D849" s="30"/>
      <c r="E849" s="30"/>
      <c r="F849" s="30"/>
      <c r="G849" s="166"/>
    </row>
    <row r="850">
      <c r="B850" s="30"/>
      <c r="C850" s="30"/>
      <c r="D850" s="30"/>
      <c r="E850" s="30"/>
      <c r="F850" s="30"/>
      <c r="G850" s="166"/>
    </row>
    <row r="851">
      <c r="B851" s="30"/>
      <c r="C851" s="30"/>
      <c r="D851" s="30"/>
      <c r="E851" s="30"/>
      <c r="F851" s="30"/>
      <c r="G851" s="166"/>
    </row>
    <row r="852">
      <c r="B852" s="30"/>
      <c r="C852" s="30"/>
      <c r="D852" s="30"/>
      <c r="E852" s="30"/>
      <c r="F852" s="30"/>
      <c r="G852" s="166"/>
    </row>
    <row r="853">
      <c r="B853" s="30"/>
      <c r="C853" s="30"/>
      <c r="D853" s="30"/>
      <c r="E853" s="30"/>
      <c r="F853" s="30"/>
      <c r="G853" s="166"/>
    </row>
    <row r="854">
      <c r="B854" s="30"/>
      <c r="C854" s="30"/>
      <c r="D854" s="30"/>
      <c r="E854" s="30"/>
      <c r="F854" s="30"/>
      <c r="G854" s="166"/>
    </row>
    <row r="855">
      <c r="B855" s="30"/>
      <c r="C855" s="30"/>
      <c r="D855" s="30"/>
      <c r="E855" s="30"/>
      <c r="F855" s="30"/>
      <c r="G855" s="166"/>
    </row>
    <row r="856">
      <c r="B856" s="30"/>
      <c r="C856" s="30"/>
      <c r="D856" s="30"/>
      <c r="E856" s="30"/>
      <c r="F856" s="30"/>
      <c r="G856" s="166"/>
    </row>
    <row r="857">
      <c r="B857" s="30"/>
      <c r="C857" s="30"/>
      <c r="D857" s="30"/>
      <c r="E857" s="30"/>
      <c r="F857" s="30"/>
      <c r="G857" s="166"/>
    </row>
    <row r="858">
      <c r="B858" s="30"/>
      <c r="C858" s="30"/>
      <c r="D858" s="30"/>
      <c r="E858" s="30"/>
      <c r="F858" s="30"/>
      <c r="G858" s="166"/>
    </row>
    <row r="859">
      <c r="B859" s="30"/>
      <c r="C859" s="30"/>
      <c r="D859" s="30"/>
      <c r="E859" s="30"/>
      <c r="F859" s="30"/>
      <c r="G859" s="166"/>
    </row>
    <row r="860">
      <c r="B860" s="30"/>
      <c r="C860" s="30"/>
      <c r="D860" s="30"/>
      <c r="E860" s="30"/>
      <c r="F860" s="30"/>
      <c r="G860" s="166"/>
    </row>
    <row r="861">
      <c r="B861" s="30"/>
      <c r="C861" s="30"/>
      <c r="D861" s="30"/>
      <c r="E861" s="30"/>
      <c r="F861" s="30"/>
      <c r="G861" s="166"/>
    </row>
    <row r="862">
      <c r="B862" s="30"/>
      <c r="C862" s="30"/>
      <c r="D862" s="30"/>
      <c r="E862" s="30"/>
      <c r="F862" s="30"/>
      <c r="G862" s="166"/>
    </row>
    <row r="863">
      <c r="B863" s="30"/>
      <c r="C863" s="30"/>
      <c r="D863" s="30"/>
      <c r="E863" s="30"/>
      <c r="F863" s="30"/>
      <c r="G863" s="166"/>
    </row>
    <row r="864">
      <c r="B864" s="30"/>
      <c r="C864" s="30"/>
      <c r="D864" s="30"/>
      <c r="E864" s="30"/>
      <c r="F864" s="30"/>
      <c r="G864" s="166"/>
    </row>
    <row r="865">
      <c r="B865" s="30"/>
      <c r="C865" s="30"/>
      <c r="D865" s="30"/>
      <c r="E865" s="30"/>
      <c r="F865" s="30"/>
      <c r="G865" s="166"/>
    </row>
    <row r="866">
      <c r="B866" s="30"/>
      <c r="C866" s="30"/>
      <c r="D866" s="30"/>
      <c r="E866" s="30"/>
      <c r="F866" s="30"/>
      <c r="G866" s="166"/>
    </row>
    <row r="867">
      <c r="B867" s="30"/>
      <c r="C867" s="30"/>
      <c r="D867" s="30"/>
      <c r="E867" s="30"/>
      <c r="F867" s="30"/>
      <c r="G867" s="166"/>
    </row>
    <row r="868">
      <c r="B868" s="30"/>
      <c r="C868" s="30"/>
      <c r="D868" s="30"/>
      <c r="E868" s="30"/>
      <c r="F868" s="30"/>
      <c r="G868" s="166"/>
    </row>
    <row r="869">
      <c r="B869" s="30"/>
      <c r="C869" s="30"/>
      <c r="D869" s="30"/>
      <c r="E869" s="30"/>
      <c r="F869" s="30"/>
      <c r="G869" s="166"/>
    </row>
    <row r="870">
      <c r="B870" s="30"/>
      <c r="C870" s="30"/>
      <c r="D870" s="30"/>
      <c r="E870" s="30"/>
      <c r="F870" s="30"/>
      <c r="G870" s="166"/>
    </row>
    <row r="871">
      <c r="B871" s="30"/>
      <c r="C871" s="30"/>
      <c r="D871" s="30"/>
      <c r="E871" s="30"/>
      <c r="F871" s="30"/>
      <c r="G871" s="166"/>
    </row>
    <row r="872">
      <c r="B872" s="30"/>
      <c r="C872" s="30"/>
      <c r="D872" s="30"/>
      <c r="E872" s="30"/>
      <c r="F872" s="30"/>
      <c r="G872" s="166"/>
    </row>
    <row r="873">
      <c r="B873" s="30"/>
      <c r="C873" s="30"/>
      <c r="D873" s="30"/>
      <c r="E873" s="30"/>
      <c r="F873" s="30"/>
      <c r="G873" s="166"/>
    </row>
    <row r="874">
      <c r="B874" s="30"/>
      <c r="C874" s="30"/>
      <c r="D874" s="30"/>
      <c r="E874" s="30"/>
      <c r="F874" s="30"/>
      <c r="G874" s="166"/>
    </row>
    <row r="875">
      <c r="B875" s="30"/>
      <c r="C875" s="30"/>
      <c r="D875" s="30"/>
      <c r="E875" s="30"/>
      <c r="F875" s="30"/>
      <c r="G875" s="166"/>
    </row>
    <row r="876">
      <c r="B876" s="30"/>
      <c r="C876" s="30"/>
      <c r="D876" s="30"/>
      <c r="E876" s="30"/>
      <c r="F876" s="30"/>
      <c r="G876" s="166"/>
    </row>
    <row r="877">
      <c r="B877" s="30"/>
      <c r="C877" s="30"/>
      <c r="D877" s="30"/>
      <c r="E877" s="30"/>
      <c r="F877" s="30"/>
      <c r="G877" s="166"/>
    </row>
    <row r="878">
      <c r="B878" s="30"/>
      <c r="C878" s="30"/>
      <c r="D878" s="30"/>
      <c r="E878" s="30"/>
      <c r="F878" s="30"/>
      <c r="G878" s="166"/>
    </row>
    <row r="879">
      <c r="B879" s="30"/>
      <c r="C879" s="30"/>
      <c r="D879" s="30"/>
      <c r="E879" s="30"/>
      <c r="F879" s="30"/>
      <c r="G879" s="166"/>
    </row>
    <row r="880">
      <c r="B880" s="30"/>
      <c r="C880" s="30"/>
      <c r="D880" s="30"/>
      <c r="E880" s="30"/>
      <c r="F880" s="30"/>
      <c r="G880" s="166"/>
    </row>
    <row r="881">
      <c r="B881" s="30"/>
      <c r="C881" s="30"/>
      <c r="D881" s="30"/>
      <c r="E881" s="30"/>
      <c r="F881" s="30"/>
      <c r="G881" s="166"/>
    </row>
    <row r="882">
      <c r="B882" s="30"/>
      <c r="C882" s="30"/>
      <c r="D882" s="30"/>
      <c r="E882" s="30"/>
      <c r="F882" s="30"/>
      <c r="G882" s="166"/>
    </row>
    <row r="883">
      <c r="B883" s="30"/>
      <c r="C883" s="30"/>
      <c r="D883" s="30"/>
      <c r="E883" s="30"/>
      <c r="F883" s="30"/>
      <c r="G883" s="166"/>
    </row>
    <row r="884">
      <c r="B884" s="30"/>
      <c r="C884" s="30"/>
      <c r="D884" s="30"/>
      <c r="E884" s="30"/>
      <c r="F884" s="30"/>
      <c r="G884" s="166"/>
    </row>
    <row r="885">
      <c r="B885" s="30"/>
      <c r="C885" s="30"/>
      <c r="D885" s="30"/>
      <c r="E885" s="30"/>
      <c r="F885" s="30"/>
      <c r="G885" s="166"/>
    </row>
    <row r="886">
      <c r="B886" s="30"/>
      <c r="C886" s="30"/>
      <c r="D886" s="30"/>
      <c r="E886" s="30"/>
      <c r="F886" s="30"/>
      <c r="G886" s="166"/>
    </row>
    <row r="887">
      <c r="B887" s="30"/>
      <c r="C887" s="30"/>
      <c r="D887" s="30"/>
      <c r="E887" s="30"/>
      <c r="F887" s="30"/>
      <c r="G887" s="166"/>
    </row>
    <row r="888">
      <c r="B888" s="30"/>
      <c r="C888" s="30"/>
      <c r="D888" s="30"/>
      <c r="E888" s="30"/>
      <c r="F888" s="30"/>
      <c r="G888" s="166"/>
    </row>
    <row r="889">
      <c r="B889" s="30"/>
      <c r="C889" s="30"/>
      <c r="D889" s="30"/>
      <c r="E889" s="30"/>
      <c r="F889" s="30"/>
      <c r="G889" s="166"/>
    </row>
    <row r="890">
      <c r="B890" s="30"/>
      <c r="C890" s="30"/>
      <c r="D890" s="30"/>
      <c r="E890" s="30"/>
      <c r="F890" s="30"/>
      <c r="G890" s="166"/>
    </row>
    <row r="891">
      <c r="B891" s="30"/>
      <c r="C891" s="30"/>
      <c r="D891" s="30"/>
      <c r="E891" s="30"/>
      <c r="F891" s="30"/>
      <c r="G891" s="166"/>
    </row>
    <row r="892">
      <c r="B892" s="30"/>
      <c r="C892" s="30"/>
      <c r="D892" s="30"/>
      <c r="E892" s="30"/>
      <c r="F892" s="30"/>
      <c r="G892" s="166"/>
    </row>
    <row r="893">
      <c r="B893" s="30"/>
      <c r="C893" s="30"/>
      <c r="D893" s="30"/>
      <c r="E893" s="30"/>
      <c r="F893" s="30"/>
      <c r="G893" s="166"/>
    </row>
    <row r="894">
      <c r="B894" s="30"/>
      <c r="C894" s="30"/>
      <c r="D894" s="30"/>
      <c r="E894" s="30"/>
      <c r="F894" s="30"/>
      <c r="G894" s="166"/>
    </row>
    <row r="895">
      <c r="B895" s="30"/>
      <c r="C895" s="30"/>
      <c r="D895" s="30"/>
      <c r="E895" s="30"/>
      <c r="F895" s="30"/>
      <c r="G895" s="166"/>
    </row>
    <row r="896">
      <c r="B896" s="30"/>
      <c r="C896" s="30"/>
      <c r="D896" s="30"/>
      <c r="E896" s="30"/>
      <c r="F896" s="30"/>
      <c r="G896" s="166"/>
    </row>
    <row r="897">
      <c r="B897" s="30"/>
      <c r="C897" s="30"/>
      <c r="D897" s="30"/>
      <c r="E897" s="30"/>
      <c r="F897" s="30"/>
      <c r="G897" s="166"/>
    </row>
    <row r="898">
      <c r="B898" s="30"/>
      <c r="C898" s="30"/>
      <c r="D898" s="30"/>
      <c r="E898" s="30"/>
      <c r="F898" s="30"/>
      <c r="G898" s="166"/>
    </row>
    <row r="899">
      <c r="B899" s="30"/>
      <c r="C899" s="30"/>
      <c r="D899" s="30"/>
      <c r="E899" s="30"/>
      <c r="F899" s="30"/>
      <c r="G899" s="166"/>
    </row>
    <row r="900">
      <c r="B900" s="30"/>
      <c r="C900" s="30"/>
      <c r="D900" s="30"/>
      <c r="E900" s="30"/>
      <c r="F900" s="30"/>
      <c r="G900" s="166"/>
    </row>
    <row r="901">
      <c r="B901" s="30"/>
      <c r="C901" s="30"/>
      <c r="D901" s="30"/>
      <c r="E901" s="30"/>
      <c r="F901" s="30"/>
      <c r="G901" s="166"/>
    </row>
    <row r="902">
      <c r="B902" s="30"/>
      <c r="C902" s="30"/>
      <c r="D902" s="30"/>
      <c r="E902" s="30"/>
      <c r="F902" s="30"/>
      <c r="G902" s="166"/>
    </row>
    <row r="903">
      <c r="B903" s="30"/>
      <c r="C903" s="30"/>
      <c r="D903" s="30"/>
      <c r="E903" s="30"/>
      <c r="F903" s="30"/>
      <c r="G903" s="166"/>
    </row>
    <row r="904">
      <c r="B904" s="30"/>
      <c r="C904" s="30"/>
      <c r="D904" s="30"/>
      <c r="E904" s="30"/>
      <c r="F904" s="30"/>
      <c r="G904" s="166"/>
    </row>
    <row r="905">
      <c r="B905" s="30"/>
      <c r="C905" s="30"/>
      <c r="D905" s="30"/>
      <c r="E905" s="30"/>
      <c r="F905" s="30"/>
      <c r="G905" s="166"/>
    </row>
    <row r="906">
      <c r="B906" s="30"/>
      <c r="C906" s="30"/>
      <c r="D906" s="30"/>
      <c r="E906" s="30"/>
      <c r="F906" s="30"/>
      <c r="G906" s="166"/>
    </row>
    <row r="907">
      <c r="B907" s="30"/>
      <c r="C907" s="30"/>
      <c r="D907" s="30"/>
      <c r="E907" s="30"/>
      <c r="F907" s="30"/>
      <c r="G907" s="166"/>
    </row>
    <row r="908">
      <c r="B908" s="30"/>
      <c r="C908" s="30"/>
      <c r="D908" s="30"/>
      <c r="E908" s="30"/>
      <c r="F908" s="30"/>
      <c r="G908" s="166"/>
    </row>
    <row r="909">
      <c r="B909" s="30"/>
      <c r="C909" s="30"/>
      <c r="D909" s="30"/>
      <c r="E909" s="30"/>
      <c r="F909" s="30"/>
      <c r="G909" s="166"/>
    </row>
    <row r="910">
      <c r="B910" s="30"/>
      <c r="C910" s="30"/>
      <c r="D910" s="30"/>
      <c r="E910" s="30"/>
      <c r="F910" s="30"/>
      <c r="G910" s="166"/>
    </row>
    <row r="911">
      <c r="B911" s="30"/>
      <c r="C911" s="30"/>
      <c r="D911" s="30"/>
      <c r="E911" s="30"/>
      <c r="F911" s="30"/>
      <c r="G911" s="166"/>
    </row>
    <row r="912">
      <c r="B912" s="30"/>
      <c r="C912" s="30"/>
      <c r="D912" s="30"/>
      <c r="E912" s="30"/>
      <c r="F912" s="30"/>
      <c r="G912" s="166"/>
    </row>
    <row r="913">
      <c r="B913" s="30"/>
      <c r="C913" s="30"/>
      <c r="D913" s="30"/>
      <c r="E913" s="30"/>
      <c r="F913" s="30"/>
      <c r="G913" s="166"/>
    </row>
    <row r="914">
      <c r="B914" s="30"/>
      <c r="C914" s="30"/>
      <c r="D914" s="30"/>
      <c r="E914" s="30"/>
      <c r="F914" s="30"/>
      <c r="G914" s="166"/>
    </row>
    <row r="915">
      <c r="B915" s="30"/>
      <c r="C915" s="30"/>
      <c r="D915" s="30"/>
      <c r="E915" s="30"/>
      <c r="F915" s="30"/>
      <c r="G915" s="166"/>
    </row>
    <row r="916">
      <c r="B916" s="30"/>
      <c r="C916" s="30"/>
      <c r="D916" s="30"/>
      <c r="E916" s="30"/>
      <c r="F916" s="30"/>
      <c r="G916" s="166"/>
    </row>
    <row r="917">
      <c r="B917" s="30"/>
      <c r="C917" s="30"/>
      <c r="D917" s="30"/>
      <c r="E917" s="30"/>
      <c r="F917" s="30"/>
      <c r="G917" s="166"/>
    </row>
    <row r="918">
      <c r="B918" s="30"/>
      <c r="C918" s="30"/>
      <c r="D918" s="30"/>
      <c r="E918" s="30"/>
      <c r="F918" s="30"/>
      <c r="G918" s="166"/>
    </row>
    <row r="919">
      <c r="B919" s="30"/>
      <c r="C919" s="30"/>
      <c r="D919" s="30"/>
      <c r="E919" s="30"/>
      <c r="F919" s="30"/>
      <c r="G919" s="166"/>
    </row>
    <row r="920">
      <c r="B920" s="30"/>
      <c r="C920" s="30"/>
      <c r="D920" s="30"/>
      <c r="E920" s="30"/>
      <c r="F920" s="30"/>
      <c r="G920" s="166"/>
    </row>
    <row r="921">
      <c r="B921" s="30"/>
      <c r="C921" s="30"/>
      <c r="D921" s="30"/>
      <c r="E921" s="30"/>
      <c r="F921" s="30"/>
      <c r="G921" s="166"/>
    </row>
    <row r="922">
      <c r="B922" s="30"/>
      <c r="C922" s="30"/>
      <c r="D922" s="30"/>
      <c r="E922" s="30"/>
      <c r="F922" s="30"/>
      <c r="G922" s="166"/>
    </row>
    <row r="923">
      <c r="B923" s="30"/>
      <c r="C923" s="30"/>
      <c r="D923" s="30"/>
      <c r="E923" s="30"/>
      <c r="F923" s="30"/>
      <c r="G923" s="166"/>
    </row>
    <row r="924">
      <c r="B924" s="30"/>
      <c r="C924" s="30"/>
      <c r="D924" s="30"/>
      <c r="E924" s="30"/>
      <c r="F924" s="30"/>
      <c r="G924" s="166"/>
    </row>
    <row r="925">
      <c r="B925" s="30"/>
      <c r="C925" s="30"/>
      <c r="D925" s="30"/>
      <c r="E925" s="30"/>
      <c r="F925" s="30"/>
      <c r="G925" s="166"/>
    </row>
    <row r="926">
      <c r="B926" s="30"/>
      <c r="C926" s="30"/>
      <c r="D926" s="30"/>
      <c r="E926" s="30"/>
      <c r="F926" s="30"/>
      <c r="G926" s="166"/>
    </row>
    <row r="927">
      <c r="B927" s="30"/>
      <c r="C927" s="30"/>
      <c r="D927" s="30"/>
      <c r="E927" s="30"/>
      <c r="F927" s="30"/>
      <c r="G927" s="166"/>
    </row>
    <row r="928">
      <c r="B928" s="30"/>
      <c r="C928" s="30"/>
      <c r="D928" s="30"/>
      <c r="E928" s="30"/>
      <c r="F928" s="30"/>
      <c r="G928" s="166"/>
    </row>
    <row r="929">
      <c r="B929" s="30"/>
      <c r="C929" s="30"/>
      <c r="D929" s="30"/>
      <c r="E929" s="30"/>
      <c r="F929" s="30"/>
      <c r="G929" s="166"/>
    </row>
    <row r="930">
      <c r="B930" s="30"/>
      <c r="C930" s="30"/>
      <c r="D930" s="30"/>
      <c r="E930" s="30"/>
      <c r="F930" s="30"/>
      <c r="G930" s="166"/>
    </row>
    <row r="931">
      <c r="B931" s="30"/>
      <c r="C931" s="30"/>
      <c r="D931" s="30"/>
      <c r="E931" s="30"/>
      <c r="F931" s="30"/>
      <c r="G931" s="166"/>
    </row>
    <row r="932">
      <c r="B932" s="30"/>
      <c r="C932" s="30"/>
      <c r="D932" s="30"/>
      <c r="E932" s="30"/>
      <c r="F932" s="30"/>
      <c r="G932" s="166"/>
    </row>
    <row r="933">
      <c r="B933" s="30"/>
      <c r="C933" s="30"/>
      <c r="D933" s="30"/>
      <c r="E933" s="30"/>
      <c r="F933" s="30"/>
      <c r="G933" s="166"/>
    </row>
    <row r="934">
      <c r="B934" s="30"/>
      <c r="C934" s="30"/>
      <c r="D934" s="30"/>
      <c r="E934" s="30"/>
      <c r="F934" s="30"/>
      <c r="G934" s="166"/>
    </row>
    <row r="935">
      <c r="B935" s="30"/>
      <c r="C935" s="30"/>
      <c r="D935" s="30"/>
      <c r="E935" s="30"/>
      <c r="F935" s="30"/>
      <c r="G935" s="166"/>
    </row>
    <row r="936">
      <c r="B936" s="30"/>
      <c r="C936" s="30"/>
      <c r="D936" s="30"/>
      <c r="E936" s="30"/>
      <c r="F936" s="30"/>
      <c r="G936" s="166"/>
    </row>
    <row r="937">
      <c r="B937" s="30"/>
      <c r="C937" s="30"/>
      <c r="D937" s="30"/>
      <c r="E937" s="30"/>
      <c r="F937" s="30"/>
      <c r="G937" s="166"/>
    </row>
    <row r="938">
      <c r="B938" s="30"/>
      <c r="C938" s="30"/>
      <c r="D938" s="30"/>
      <c r="E938" s="30"/>
      <c r="F938" s="30"/>
      <c r="G938" s="166"/>
    </row>
    <row r="939">
      <c r="B939" s="30"/>
      <c r="C939" s="30"/>
      <c r="D939" s="30"/>
      <c r="E939" s="30"/>
      <c r="F939" s="30"/>
      <c r="G939" s="166"/>
    </row>
    <row r="940">
      <c r="B940" s="30"/>
      <c r="C940" s="30"/>
      <c r="D940" s="30"/>
      <c r="E940" s="30"/>
      <c r="F940" s="30"/>
      <c r="G940" s="166"/>
    </row>
    <row r="941">
      <c r="B941" s="30"/>
      <c r="C941" s="30"/>
      <c r="D941" s="30"/>
      <c r="E941" s="30"/>
      <c r="F941" s="30"/>
      <c r="G941" s="166"/>
    </row>
    <row r="942">
      <c r="B942" s="30"/>
      <c r="C942" s="30"/>
      <c r="D942" s="30"/>
      <c r="E942" s="30"/>
      <c r="F942" s="30"/>
      <c r="G942" s="166"/>
    </row>
    <row r="943">
      <c r="B943" s="30"/>
      <c r="C943" s="30"/>
      <c r="D943" s="30"/>
      <c r="E943" s="30"/>
      <c r="F943" s="30"/>
      <c r="G943" s="166"/>
    </row>
    <row r="944">
      <c r="B944" s="30"/>
      <c r="C944" s="30"/>
      <c r="D944" s="30"/>
      <c r="E944" s="30"/>
      <c r="F944" s="30"/>
      <c r="G944" s="166"/>
    </row>
    <row r="945">
      <c r="B945" s="30"/>
      <c r="C945" s="30"/>
      <c r="D945" s="30"/>
      <c r="E945" s="30"/>
      <c r="F945" s="30"/>
      <c r="G945" s="166"/>
    </row>
    <row r="946">
      <c r="B946" s="30"/>
      <c r="C946" s="30"/>
      <c r="D946" s="30"/>
      <c r="E946" s="30"/>
      <c r="F946" s="30"/>
      <c r="G946" s="166"/>
    </row>
    <row r="947">
      <c r="B947" s="30"/>
      <c r="C947" s="30"/>
      <c r="D947" s="30"/>
      <c r="E947" s="30"/>
      <c r="F947" s="30"/>
      <c r="G947" s="166"/>
    </row>
    <row r="948">
      <c r="B948" s="30"/>
      <c r="C948" s="30"/>
      <c r="D948" s="30"/>
      <c r="E948" s="30"/>
      <c r="F948" s="30"/>
      <c r="G948" s="166"/>
    </row>
    <row r="949">
      <c r="B949" s="30"/>
      <c r="C949" s="30"/>
      <c r="D949" s="30"/>
      <c r="E949" s="30"/>
      <c r="F949" s="30"/>
      <c r="G949" s="166"/>
    </row>
    <row r="950">
      <c r="B950" s="30"/>
      <c r="C950" s="30"/>
      <c r="D950" s="30"/>
      <c r="E950" s="30"/>
      <c r="F950" s="30"/>
      <c r="G950" s="166"/>
    </row>
    <row r="951">
      <c r="B951" s="30"/>
      <c r="C951" s="30"/>
      <c r="D951" s="30"/>
      <c r="E951" s="30"/>
      <c r="F951" s="30"/>
      <c r="G951" s="166"/>
    </row>
    <row r="952">
      <c r="B952" s="30"/>
      <c r="C952" s="30"/>
      <c r="D952" s="30"/>
      <c r="E952" s="30"/>
      <c r="F952" s="30"/>
      <c r="G952" s="166"/>
    </row>
    <row r="953">
      <c r="B953" s="30"/>
      <c r="C953" s="30"/>
      <c r="D953" s="30"/>
      <c r="E953" s="30"/>
      <c r="F953" s="30"/>
      <c r="G953" s="166"/>
    </row>
    <row r="954">
      <c r="B954" s="30"/>
      <c r="C954" s="30"/>
      <c r="D954" s="30"/>
      <c r="E954" s="30"/>
      <c r="F954" s="30"/>
      <c r="G954" s="166"/>
    </row>
    <row r="955">
      <c r="B955" s="30"/>
      <c r="C955" s="30"/>
      <c r="D955" s="30"/>
      <c r="E955" s="30"/>
      <c r="F955" s="30"/>
      <c r="G955" s="166"/>
    </row>
    <row r="956">
      <c r="B956" s="30"/>
      <c r="C956" s="30"/>
      <c r="D956" s="30"/>
      <c r="E956" s="30"/>
      <c r="F956" s="30"/>
      <c r="G956" s="166"/>
    </row>
    <row r="957">
      <c r="B957" s="30"/>
      <c r="C957" s="30"/>
      <c r="D957" s="30"/>
      <c r="E957" s="30"/>
      <c r="F957" s="30"/>
      <c r="G957" s="166"/>
    </row>
    <row r="958">
      <c r="B958" s="30"/>
      <c r="C958" s="30"/>
      <c r="D958" s="30"/>
      <c r="E958" s="30"/>
      <c r="F958" s="30"/>
      <c r="G958" s="166"/>
    </row>
    <row r="959">
      <c r="B959" s="30"/>
      <c r="C959" s="30"/>
      <c r="D959" s="30"/>
      <c r="E959" s="30"/>
      <c r="F959" s="30"/>
      <c r="G959" s="166"/>
    </row>
    <row r="960">
      <c r="B960" s="30"/>
      <c r="C960" s="30"/>
      <c r="D960" s="30"/>
      <c r="E960" s="30"/>
      <c r="F960" s="30"/>
      <c r="G960" s="166"/>
    </row>
    <row r="961">
      <c r="B961" s="30"/>
      <c r="C961" s="30"/>
      <c r="D961" s="30"/>
      <c r="E961" s="30"/>
      <c r="F961" s="30"/>
      <c r="G961" s="166"/>
    </row>
    <row r="962">
      <c r="B962" s="30"/>
      <c r="C962" s="30"/>
      <c r="D962" s="30"/>
      <c r="E962" s="30"/>
      <c r="F962" s="30"/>
      <c r="G962" s="166"/>
    </row>
    <row r="963">
      <c r="B963" s="30"/>
      <c r="C963" s="30"/>
      <c r="D963" s="30"/>
      <c r="E963" s="30"/>
      <c r="F963" s="30"/>
      <c r="G963" s="166"/>
    </row>
    <row r="964">
      <c r="B964" s="30"/>
      <c r="C964" s="30"/>
      <c r="D964" s="30"/>
      <c r="E964" s="30"/>
      <c r="F964" s="30"/>
      <c r="G964" s="166"/>
    </row>
    <row r="965">
      <c r="B965" s="30"/>
      <c r="C965" s="30"/>
      <c r="D965" s="30"/>
      <c r="E965" s="30"/>
      <c r="F965" s="30"/>
      <c r="G965" s="166"/>
    </row>
    <row r="966">
      <c r="B966" s="30"/>
      <c r="C966" s="30"/>
      <c r="D966" s="30"/>
      <c r="E966" s="30"/>
      <c r="F966" s="30"/>
      <c r="G966" s="166"/>
    </row>
    <row r="967">
      <c r="B967" s="30"/>
      <c r="C967" s="30"/>
      <c r="D967" s="30"/>
      <c r="E967" s="30"/>
      <c r="F967" s="30"/>
      <c r="G967" s="166"/>
    </row>
    <row r="968">
      <c r="B968" s="30"/>
      <c r="C968" s="30"/>
      <c r="D968" s="30"/>
      <c r="E968" s="30"/>
      <c r="F968" s="30"/>
      <c r="G968" s="166"/>
    </row>
    <row r="969">
      <c r="B969" s="30"/>
      <c r="C969" s="30"/>
      <c r="D969" s="30"/>
      <c r="E969" s="30"/>
      <c r="F969" s="30"/>
      <c r="G969" s="166"/>
    </row>
    <row r="970">
      <c r="B970" s="30"/>
      <c r="C970" s="30"/>
      <c r="D970" s="30"/>
      <c r="E970" s="30"/>
      <c r="F970" s="30"/>
      <c r="G970" s="166"/>
    </row>
    <row r="971">
      <c r="B971" s="30"/>
      <c r="C971" s="30"/>
      <c r="D971" s="30"/>
      <c r="E971" s="30"/>
      <c r="F971" s="30"/>
      <c r="G971" s="166"/>
    </row>
    <row r="972">
      <c r="B972" s="30"/>
      <c r="C972" s="30"/>
      <c r="D972" s="30"/>
      <c r="E972" s="30"/>
      <c r="F972" s="30"/>
      <c r="G972" s="166"/>
    </row>
    <row r="973">
      <c r="B973" s="30"/>
      <c r="C973" s="30"/>
      <c r="D973" s="30"/>
      <c r="E973" s="30"/>
      <c r="F973" s="30"/>
      <c r="G973" s="166"/>
    </row>
    <row r="974">
      <c r="B974" s="30"/>
      <c r="C974" s="30"/>
      <c r="D974" s="30"/>
      <c r="E974" s="30"/>
      <c r="F974" s="30"/>
      <c r="G974" s="166"/>
    </row>
    <row r="975">
      <c r="B975" s="30"/>
      <c r="C975" s="30"/>
      <c r="D975" s="30"/>
      <c r="E975" s="30"/>
      <c r="F975" s="30"/>
      <c r="G975" s="166"/>
    </row>
    <row r="976">
      <c r="B976" s="30"/>
      <c r="C976" s="30"/>
      <c r="D976" s="30"/>
      <c r="E976" s="30"/>
      <c r="F976" s="30"/>
      <c r="G976" s="166"/>
    </row>
    <row r="977">
      <c r="B977" s="30"/>
      <c r="C977" s="30"/>
      <c r="D977" s="30"/>
      <c r="E977" s="30"/>
      <c r="F977" s="30"/>
      <c r="G977" s="166"/>
    </row>
    <row r="978">
      <c r="B978" s="30"/>
      <c r="C978" s="30"/>
      <c r="D978" s="30"/>
      <c r="E978" s="30"/>
      <c r="F978" s="30"/>
      <c r="G978" s="166"/>
    </row>
    <row r="979">
      <c r="B979" s="30"/>
      <c r="C979" s="30"/>
      <c r="D979" s="30"/>
      <c r="E979" s="30"/>
      <c r="F979" s="30"/>
      <c r="G979" s="166"/>
    </row>
    <row r="980">
      <c r="B980" s="30"/>
      <c r="C980" s="30"/>
      <c r="D980" s="30"/>
      <c r="E980" s="30"/>
      <c r="F980" s="30"/>
      <c r="G980" s="166"/>
    </row>
    <row r="981">
      <c r="B981" s="30"/>
      <c r="C981" s="30"/>
      <c r="D981" s="30"/>
      <c r="E981" s="30"/>
      <c r="F981" s="30"/>
      <c r="G981" s="166"/>
    </row>
    <row r="982">
      <c r="B982" s="30"/>
      <c r="C982" s="30"/>
      <c r="D982" s="30"/>
      <c r="E982" s="30"/>
      <c r="F982" s="30"/>
      <c r="G982" s="166"/>
    </row>
    <row r="983">
      <c r="B983" s="30"/>
      <c r="C983" s="30"/>
      <c r="D983" s="30"/>
      <c r="E983" s="30"/>
      <c r="F983" s="30"/>
      <c r="G983" s="166"/>
    </row>
    <row r="984">
      <c r="B984" s="30"/>
      <c r="C984" s="30"/>
      <c r="D984" s="30"/>
      <c r="E984" s="30"/>
      <c r="F984" s="30"/>
      <c r="G984" s="166"/>
    </row>
    <row r="985">
      <c r="B985" s="30"/>
      <c r="C985" s="30"/>
      <c r="D985" s="30"/>
      <c r="E985" s="30"/>
      <c r="F985" s="30"/>
      <c r="G985" s="166"/>
    </row>
    <row r="986">
      <c r="B986" s="30"/>
      <c r="C986" s="30"/>
      <c r="D986" s="30"/>
      <c r="E986" s="30"/>
      <c r="F986" s="30"/>
      <c r="G986" s="166"/>
    </row>
    <row r="987">
      <c r="B987" s="30"/>
      <c r="C987" s="30"/>
      <c r="D987" s="30"/>
      <c r="E987" s="30"/>
      <c r="F987" s="30"/>
      <c r="G987" s="166"/>
    </row>
    <row r="988">
      <c r="B988" s="30"/>
      <c r="C988" s="30"/>
      <c r="D988" s="30"/>
      <c r="E988" s="30"/>
      <c r="F988" s="30"/>
      <c r="G988" s="166"/>
    </row>
    <row r="989">
      <c r="B989" s="30"/>
      <c r="C989" s="30"/>
      <c r="D989" s="30"/>
      <c r="E989" s="30"/>
      <c r="F989" s="30"/>
      <c r="G989" s="166"/>
    </row>
    <row r="990">
      <c r="B990" s="30"/>
      <c r="C990" s="30"/>
      <c r="D990" s="30"/>
      <c r="E990" s="30"/>
      <c r="F990" s="30"/>
      <c r="G990" s="166"/>
    </row>
    <row r="991">
      <c r="B991" s="30"/>
      <c r="C991" s="30"/>
      <c r="D991" s="30"/>
      <c r="E991" s="30"/>
      <c r="F991" s="30"/>
      <c r="G991" s="166"/>
    </row>
    <row r="992">
      <c r="B992" s="30"/>
      <c r="C992" s="30"/>
      <c r="D992" s="30"/>
      <c r="E992" s="30"/>
      <c r="F992" s="30"/>
      <c r="G992" s="166"/>
    </row>
    <row r="993">
      <c r="B993" s="30"/>
      <c r="C993" s="30"/>
      <c r="D993" s="30"/>
      <c r="E993" s="30"/>
      <c r="F993" s="30"/>
      <c r="G993" s="166"/>
    </row>
    <row r="994">
      <c r="B994" s="30"/>
      <c r="C994" s="30"/>
      <c r="D994" s="30"/>
      <c r="E994" s="30"/>
      <c r="F994" s="30"/>
      <c r="G994" s="166"/>
    </row>
    <row r="995">
      <c r="B995" s="30"/>
      <c r="C995" s="30"/>
      <c r="D995" s="30"/>
      <c r="E995" s="30"/>
      <c r="F995" s="30"/>
      <c r="G995" s="166"/>
    </row>
    <row r="996">
      <c r="B996" s="30"/>
      <c r="C996" s="30"/>
      <c r="D996" s="30"/>
      <c r="E996" s="30"/>
      <c r="F996" s="30"/>
      <c r="G996" s="166"/>
    </row>
    <row r="997">
      <c r="B997" s="30"/>
      <c r="C997" s="30"/>
      <c r="D997" s="30"/>
      <c r="E997" s="30"/>
      <c r="F997" s="30"/>
      <c r="G997" s="166"/>
    </row>
    <row r="998">
      <c r="B998" s="30"/>
      <c r="C998" s="30"/>
      <c r="D998" s="30"/>
      <c r="E998" s="30"/>
      <c r="F998" s="30"/>
      <c r="G998" s="166"/>
    </row>
    <row r="999">
      <c r="B999" s="30"/>
      <c r="C999" s="30"/>
      <c r="D999" s="30"/>
      <c r="E999" s="30"/>
      <c r="F999" s="30"/>
      <c r="G999" s="166"/>
    </row>
    <row r="1000">
      <c r="B1000" s="30"/>
      <c r="C1000" s="30"/>
      <c r="D1000" s="30"/>
      <c r="E1000" s="30"/>
      <c r="F1000" s="30"/>
      <c r="G1000" s="166"/>
    </row>
    <row r="1001">
      <c r="B1001" s="30"/>
      <c r="C1001" s="30"/>
      <c r="D1001" s="30"/>
      <c r="E1001" s="30"/>
      <c r="F1001" s="30"/>
      <c r="G1001" s="166"/>
    </row>
    <row r="1002">
      <c r="B1002" s="30"/>
      <c r="C1002" s="30"/>
      <c r="D1002" s="30"/>
      <c r="E1002" s="30"/>
      <c r="F1002" s="30"/>
      <c r="G1002" s="166"/>
    </row>
    <row r="1003">
      <c r="B1003" s="30"/>
      <c r="C1003" s="30"/>
      <c r="D1003" s="30"/>
      <c r="E1003" s="30"/>
      <c r="F1003" s="30"/>
      <c r="G1003" s="166"/>
    </row>
    <row r="1004">
      <c r="B1004" s="30"/>
      <c r="C1004" s="30"/>
      <c r="D1004" s="30"/>
      <c r="E1004" s="30"/>
      <c r="F1004" s="30"/>
      <c r="G1004" s="166"/>
    </row>
    <row r="1005">
      <c r="B1005" s="30"/>
      <c r="C1005" s="30"/>
      <c r="D1005" s="30"/>
      <c r="E1005" s="30"/>
      <c r="F1005" s="30"/>
      <c r="G1005" s="166"/>
    </row>
    <row r="1006">
      <c r="B1006" s="30"/>
      <c r="C1006" s="30"/>
      <c r="D1006" s="30"/>
      <c r="E1006" s="30"/>
      <c r="F1006" s="30"/>
      <c r="G1006" s="166"/>
    </row>
    <row r="1007">
      <c r="B1007" s="30"/>
      <c r="C1007" s="30"/>
      <c r="D1007" s="30"/>
      <c r="E1007" s="30"/>
      <c r="F1007" s="30"/>
      <c r="G1007" s="166"/>
    </row>
    <row r="1008">
      <c r="B1008" s="30"/>
      <c r="C1008" s="30"/>
      <c r="D1008" s="30"/>
      <c r="E1008" s="30"/>
      <c r="F1008" s="30"/>
      <c r="G1008" s="166"/>
    </row>
    <row r="1009">
      <c r="B1009" s="30"/>
      <c r="C1009" s="30"/>
      <c r="D1009" s="30"/>
      <c r="E1009" s="30"/>
      <c r="F1009" s="30"/>
      <c r="G1009" s="166"/>
    </row>
    <row r="1010">
      <c r="B1010" s="30"/>
      <c r="C1010" s="30"/>
      <c r="D1010" s="30"/>
      <c r="E1010" s="30"/>
      <c r="F1010" s="30"/>
      <c r="G1010" s="166"/>
    </row>
    <row r="1011">
      <c r="B1011" s="30"/>
      <c r="C1011" s="30"/>
      <c r="D1011" s="30"/>
      <c r="E1011" s="30"/>
      <c r="F1011" s="30"/>
      <c r="G1011" s="166"/>
    </row>
    <row r="1012">
      <c r="B1012" s="30"/>
      <c r="C1012" s="30"/>
      <c r="D1012" s="30"/>
      <c r="E1012" s="30"/>
      <c r="F1012" s="30"/>
      <c r="G1012" s="166"/>
    </row>
    <row r="1013">
      <c r="B1013" s="30"/>
      <c r="C1013" s="30"/>
      <c r="D1013" s="30"/>
      <c r="E1013" s="30"/>
      <c r="F1013" s="30"/>
      <c r="G1013" s="166"/>
    </row>
    <row r="1014">
      <c r="B1014" s="30"/>
      <c r="C1014" s="30"/>
      <c r="D1014" s="30"/>
      <c r="E1014" s="30"/>
      <c r="F1014" s="30"/>
      <c r="G1014" s="166"/>
    </row>
    <row r="1015">
      <c r="B1015" s="30"/>
      <c r="C1015" s="30"/>
      <c r="D1015" s="30"/>
      <c r="E1015" s="30"/>
      <c r="F1015" s="30"/>
      <c r="G1015" s="166"/>
    </row>
    <row r="1016">
      <c r="B1016" s="30"/>
      <c r="C1016" s="30"/>
      <c r="D1016" s="30"/>
      <c r="E1016" s="30"/>
      <c r="F1016" s="30"/>
      <c r="G1016" s="166"/>
    </row>
    <row r="1017">
      <c r="B1017" s="30"/>
      <c r="C1017" s="30"/>
      <c r="D1017" s="30"/>
      <c r="E1017" s="30"/>
      <c r="F1017" s="30"/>
      <c r="G1017" s="166"/>
    </row>
    <row r="1018">
      <c r="B1018" s="30"/>
      <c r="C1018" s="30"/>
      <c r="D1018" s="30"/>
      <c r="E1018" s="30"/>
      <c r="F1018" s="30"/>
      <c r="G1018" s="166"/>
    </row>
    <row r="1019">
      <c r="B1019" s="30"/>
      <c r="C1019" s="30"/>
      <c r="D1019" s="30"/>
      <c r="E1019" s="30"/>
      <c r="F1019" s="30"/>
      <c r="G1019" s="166"/>
    </row>
    <row r="1020">
      <c r="B1020" s="30"/>
      <c r="C1020" s="30"/>
      <c r="D1020" s="30"/>
      <c r="E1020" s="30"/>
      <c r="F1020" s="30"/>
      <c r="G1020" s="166"/>
    </row>
    <row r="1021">
      <c r="B1021" s="30"/>
      <c r="C1021" s="30"/>
      <c r="D1021" s="30"/>
      <c r="E1021" s="30"/>
      <c r="F1021" s="30"/>
      <c r="G1021" s="166"/>
    </row>
    <row r="1022">
      <c r="B1022" s="30"/>
      <c r="C1022" s="30"/>
      <c r="D1022" s="30"/>
      <c r="E1022" s="30"/>
      <c r="F1022" s="30"/>
      <c r="G1022" s="166"/>
    </row>
    <row r="1023">
      <c r="B1023" s="30"/>
      <c r="C1023" s="30"/>
      <c r="D1023" s="30"/>
      <c r="E1023" s="30"/>
      <c r="F1023" s="30"/>
      <c r="G1023" s="166"/>
    </row>
    <row r="1024">
      <c r="B1024" s="30"/>
      <c r="C1024" s="30"/>
      <c r="D1024" s="30"/>
      <c r="E1024" s="30"/>
      <c r="F1024" s="30"/>
      <c r="G1024" s="166"/>
    </row>
    <row r="1025">
      <c r="B1025" s="30"/>
      <c r="C1025" s="30"/>
      <c r="D1025" s="30"/>
      <c r="E1025" s="30"/>
      <c r="F1025" s="30"/>
      <c r="G1025" s="166"/>
    </row>
  </sheetData>
  <mergeCells count="2">
    <mergeCell ref="A1:G1"/>
    <mergeCell ref="B49:G49"/>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79.38"/>
  </cols>
  <sheetData>
    <row r="1">
      <c r="A1" s="6" t="s">
        <v>5951</v>
      </c>
      <c r="B1" s="72" t="s">
        <v>5952</v>
      </c>
    </row>
    <row r="2">
      <c r="A2" s="10">
        <v>41214.0</v>
      </c>
      <c r="B2" s="173" t="s">
        <v>5953</v>
      </c>
    </row>
    <row r="3">
      <c r="A3" s="10">
        <v>41219.0</v>
      </c>
      <c r="B3" s="173" t="s">
        <v>5954</v>
      </c>
    </row>
    <row r="4">
      <c r="B4" s="173" t="s">
        <v>5955</v>
      </c>
    </row>
    <row r="5">
      <c r="B5" s="173" t="s">
        <v>5956</v>
      </c>
    </row>
    <row r="6">
      <c r="B6" s="173" t="s">
        <v>5957</v>
      </c>
    </row>
    <row r="7">
      <c r="A7" s="10">
        <v>41232.0</v>
      </c>
      <c r="B7" s="173" t="s">
        <v>5958</v>
      </c>
    </row>
    <row r="8">
      <c r="A8" s="10">
        <v>41346.0</v>
      </c>
      <c r="B8" s="173" t="s">
        <v>5959</v>
      </c>
    </row>
    <row r="9">
      <c r="A9" s="10">
        <v>41358.0</v>
      </c>
      <c r="B9" s="173" t="s">
        <v>5960</v>
      </c>
    </row>
    <row r="10">
      <c r="A10" s="10">
        <v>41387.0</v>
      </c>
      <c r="B10" s="173" t="s">
        <v>5961</v>
      </c>
    </row>
    <row r="11">
      <c r="A11" s="10">
        <v>41404.0</v>
      </c>
      <c r="B11" s="173" t="s">
        <v>5962</v>
      </c>
    </row>
    <row r="12">
      <c r="A12" s="10">
        <v>41410.0</v>
      </c>
      <c r="B12" s="173" t="s">
        <v>5963</v>
      </c>
    </row>
    <row r="13">
      <c r="A13" s="10">
        <v>41417.0</v>
      </c>
      <c r="B13" s="173" t="s">
        <v>5964</v>
      </c>
    </row>
    <row r="14">
      <c r="B14" s="173" t="s">
        <v>5965</v>
      </c>
    </row>
    <row r="15">
      <c r="A15" s="10">
        <v>41436.0</v>
      </c>
      <c r="B15" s="173" t="s">
        <v>5966</v>
      </c>
    </row>
    <row r="16">
      <c r="A16" s="10">
        <v>41445.0</v>
      </c>
      <c r="B16" s="173" t="s">
        <v>5967</v>
      </c>
    </row>
    <row r="17">
      <c r="A17" s="10">
        <v>41452.0</v>
      </c>
      <c r="B17" s="173" t="s">
        <v>5968</v>
      </c>
    </row>
    <row r="18">
      <c r="A18" s="10">
        <v>41459.0</v>
      </c>
      <c r="B18" s="173" t="s">
        <v>5969</v>
      </c>
    </row>
    <row r="19">
      <c r="A19" s="10">
        <v>41478.0</v>
      </c>
      <c r="B19" s="173" t="s">
        <v>5970</v>
      </c>
    </row>
    <row r="20">
      <c r="A20" s="10">
        <v>41480.0</v>
      </c>
      <c r="B20" s="173" t="s">
        <v>5971</v>
      </c>
    </row>
    <row r="21">
      <c r="A21" s="10">
        <v>41509.0</v>
      </c>
      <c r="B21" s="173" t="s">
        <v>5972</v>
      </c>
    </row>
    <row r="22">
      <c r="A22" s="10">
        <v>41522.0</v>
      </c>
      <c r="B22" s="173" t="s">
        <v>5973</v>
      </c>
    </row>
    <row r="23">
      <c r="A23" s="10">
        <v>41526.0</v>
      </c>
      <c r="B23" s="173" t="s">
        <v>5974</v>
      </c>
    </row>
    <row r="24">
      <c r="A24" s="10">
        <v>41535.0</v>
      </c>
      <c r="B24" s="173" t="s">
        <v>5975</v>
      </c>
    </row>
    <row r="25">
      <c r="A25" s="10">
        <v>41544.0</v>
      </c>
      <c r="B25" s="173" t="s">
        <v>5976</v>
      </c>
    </row>
    <row r="26">
      <c r="A26" s="10">
        <v>41546.0</v>
      </c>
      <c r="B26" s="173" t="s">
        <v>5977</v>
      </c>
    </row>
    <row r="27">
      <c r="A27" s="10">
        <v>41557.0</v>
      </c>
      <c r="B27" s="173" t="s">
        <v>5978</v>
      </c>
    </row>
    <row r="28">
      <c r="A28" s="10">
        <v>41569.0</v>
      </c>
      <c r="B28" s="173" t="s">
        <v>5979</v>
      </c>
    </row>
    <row r="29">
      <c r="A29" s="10">
        <v>41597.0</v>
      </c>
      <c r="B29" s="173" t="s">
        <v>5980</v>
      </c>
    </row>
    <row r="30">
      <c r="A30" s="10">
        <v>41625.0</v>
      </c>
      <c r="B30" s="173" t="s">
        <v>5981</v>
      </c>
    </row>
    <row r="31">
      <c r="A31" s="10">
        <v>41653.0</v>
      </c>
      <c r="B31" s="173" t="s">
        <v>5982</v>
      </c>
    </row>
    <row r="32">
      <c r="A32" s="10">
        <v>41702.0</v>
      </c>
      <c r="B32" s="173" t="s">
        <v>5983</v>
      </c>
    </row>
    <row r="33">
      <c r="A33" s="10">
        <v>41708.0</v>
      </c>
      <c r="B33" s="173" t="s">
        <v>5984</v>
      </c>
    </row>
    <row r="34">
      <c r="A34" s="10">
        <v>41715.0</v>
      </c>
      <c r="B34" s="173" t="s">
        <v>5985</v>
      </c>
    </row>
    <row r="35">
      <c r="A35" s="10">
        <v>41716.0</v>
      </c>
      <c r="B35" s="173" t="s">
        <v>5986</v>
      </c>
    </row>
    <row r="36">
      <c r="A36" s="10">
        <v>41718.0</v>
      </c>
      <c r="B36" s="173" t="s">
        <v>5987</v>
      </c>
    </row>
    <row r="37">
      <c r="B37" s="173" t="s">
        <v>5988</v>
      </c>
    </row>
    <row r="38">
      <c r="A38" s="10">
        <v>41722.0</v>
      </c>
      <c r="B38" s="173" t="s">
        <v>5989</v>
      </c>
    </row>
    <row r="39">
      <c r="A39" s="10">
        <v>41723.0</v>
      </c>
      <c r="B39" s="173" t="s">
        <v>5990</v>
      </c>
    </row>
    <row r="40">
      <c r="A40" s="10">
        <v>41729.0</v>
      </c>
      <c r="B40" s="173" t="s">
        <v>5991</v>
      </c>
    </row>
    <row r="41">
      <c r="A41" s="10">
        <v>41730.0</v>
      </c>
      <c r="B41" s="173" t="s">
        <v>5992</v>
      </c>
    </row>
    <row r="42">
      <c r="A42" s="10">
        <v>41731.0</v>
      </c>
      <c r="B42" s="173" t="s">
        <v>5993</v>
      </c>
    </row>
    <row r="43">
      <c r="A43" s="10">
        <v>41732.0</v>
      </c>
      <c r="B43" s="173" t="s">
        <v>5994</v>
      </c>
    </row>
    <row r="44">
      <c r="A44" s="10">
        <v>41736.0</v>
      </c>
      <c r="B44" s="173" t="s">
        <v>5995</v>
      </c>
    </row>
    <row r="45">
      <c r="A45" s="10">
        <v>41737.0</v>
      </c>
      <c r="B45" s="173" t="s">
        <v>5996</v>
      </c>
    </row>
    <row r="46">
      <c r="B46" s="173" t="s">
        <v>5997</v>
      </c>
    </row>
    <row r="47">
      <c r="A47" s="10">
        <v>41738.0</v>
      </c>
      <c r="B47" s="173" t="s">
        <v>5998</v>
      </c>
    </row>
    <row r="48">
      <c r="A48" s="10">
        <v>41739.0</v>
      </c>
      <c r="B48" s="173" t="s">
        <v>5999</v>
      </c>
    </row>
    <row r="49">
      <c r="A49" s="10">
        <v>41743.0</v>
      </c>
      <c r="B49" s="173" t="s">
        <v>6000</v>
      </c>
    </row>
    <row r="50">
      <c r="B50" s="173" t="s">
        <v>6001</v>
      </c>
    </row>
    <row r="51">
      <c r="A51" s="10">
        <v>41744.0</v>
      </c>
      <c r="B51" s="173" t="s">
        <v>6002</v>
      </c>
    </row>
    <row r="52">
      <c r="A52" s="10">
        <v>41747.0</v>
      </c>
      <c r="B52" s="173" t="s">
        <v>6003</v>
      </c>
    </row>
    <row r="53">
      <c r="A53" s="10">
        <v>41748.0</v>
      </c>
      <c r="B53" s="173" t="s">
        <v>6004</v>
      </c>
    </row>
    <row r="54">
      <c r="A54" s="10">
        <v>41751.0</v>
      </c>
      <c r="B54" s="173" t="s">
        <v>6005</v>
      </c>
    </row>
    <row r="55">
      <c r="A55" s="10">
        <v>41752.0</v>
      </c>
      <c r="B55" s="173" t="s">
        <v>6006</v>
      </c>
    </row>
    <row r="56">
      <c r="A56" s="10">
        <v>41753.0</v>
      </c>
      <c r="B56" s="173" t="s">
        <v>6007</v>
      </c>
    </row>
    <row r="57">
      <c r="B57" s="173" t="s">
        <v>6008</v>
      </c>
    </row>
    <row r="58">
      <c r="B58" s="173" t="s">
        <v>6009</v>
      </c>
    </row>
    <row r="59">
      <c r="A59" s="10">
        <v>41754.0</v>
      </c>
      <c r="B59" s="173" t="s">
        <v>6010</v>
      </c>
    </row>
    <row r="60">
      <c r="A60" s="10">
        <v>41755.0</v>
      </c>
      <c r="B60" s="173" t="s">
        <v>6011</v>
      </c>
    </row>
    <row r="61">
      <c r="A61" s="10">
        <v>41757.0</v>
      </c>
      <c r="B61" s="173" t="s">
        <v>6012</v>
      </c>
    </row>
    <row r="62">
      <c r="A62" s="10">
        <v>41758.0</v>
      </c>
      <c r="B62" s="173" t="s">
        <v>6013</v>
      </c>
    </row>
    <row r="63">
      <c r="A63" s="10">
        <v>41759.0</v>
      </c>
      <c r="B63" s="173" t="s">
        <v>6014</v>
      </c>
    </row>
    <row r="64">
      <c r="A64" s="10">
        <v>41762.0</v>
      </c>
      <c r="B64" s="173" t="s">
        <v>6015</v>
      </c>
    </row>
    <row r="65">
      <c r="A65" s="10">
        <v>41763.0</v>
      </c>
      <c r="B65" s="173" t="s">
        <v>6016</v>
      </c>
    </row>
    <row r="66">
      <c r="A66" s="10">
        <v>41764.0</v>
      </c>
      <c r="B66" s="173" t="s">
        <v>6017</v>
      </c>
    </row>
    <row r="67">
      <c r="A67" s="10">
        <v>41765.0</v>
      </c>
      <c r="B67" s="173" t="s">
        <v>6018</v>
      </c>
    </row>
    <row r="68">
      <c r="A68" s="10">
        <v>41766.0</v>
      </c>
      <c r="B68" s="173" t="s">
        <v>6019</v>
      </c>
    </row>
    <row r="69">
      <c r="A69" s="10">
        <v>41769.0</v>
      </c>
      <c r="B69" s="173" t="s">
        <v>6020</v>
      </c>
    </row>
    <row r="70">
      <c r="A70" s="10">
        <v>41770.0</v>
      </c>
      <c r="B70" s="173" t="s">
        <v>6021</v>
      </c>
    </row>
    <row r="71">
      <c r="A71" s="10">
        <v>41773.0</v>
      </c>
      <c r="B71" s="173" t="s">
        <v>6022</v>
      </c>
    </row>
    <row r="72">
      <c r="A72" s="10">
        <v>41774.0</v>
      </c>
      <c r="B72" s="173" t="s">
        <v>6023</v>
      </c>
    </row>
    <row r="73">
      <c r="A73" s="10">
        <v>41775.0</v>
      </c>
      <c r="B73" s="173" t="s">
        <v>6024</v>
      </c>
    </row>
    <row r="74">
      <c r="B74" s="173" t="s">
        <v>6025</v>
      </c>
    </row>
    <row r="75">
      <c r="A75" s="10">
        <v>41776.0</v>
      </c>
      <c r="B75" s="173" t="s">
        <v>6026</v>
      </c>
    </row>
    <row r="76">
      <c r="A76" s="10">
        <v>41779.0</v>
      </c>
      <c r="B76" s="173" t="s">
        <v>6027</v>
      </c>
    </row>
    <row r="77">
      <c r="A77" s="10">
        <v>41780.0</v>
      </c>
      <c r="B77" s="173" t="s">
        <v>6028</v>
      </c>
    </row>
    <row r="78">
      <c r="B78" s="173" t="s">
        <v>6029</v>
      </c>
    </row>
    <row r="79">
      <c r="A79" s="10">
        <v>41781.0</v>
      </c>
      <c r="B79" s="173" t="s">
        <v>6030</v>
      </c>
    </row>
    <row r="80">
      <c r="A80" s="10">
        <v>41782.0</v>
      </c>
      <c r="B80" s="173" t="s">
        <v>6031</v>
      </c>
    </row>
    <row r="81">
      <c r="B81" s="173" t="s">
        <v>6032</v>
      </c>
    </row>
    <row r="82">
      <c r="B82" s="173" t="s">
        <v>6033</v>
      </c>
    </row>
    <row r="83">
      <c r="A83" s="10">
        <v>41787.0</v>
      </c>
      <c r="B83" s="173" t="s">
        <v>6034</v>
      </c>
    </row>
    <row r="84">
      <c r="A84" s="10">
        <v>41792.0</v>
      </c>
      <c r="B84" s="173" t="s">
        <v>6035</v>
      </c>
    </row>
    <row r="85">
      <c r="A85" s="10">
        <v>41793.0</v>
      </c>
      <c r="B85" s="173" t="s">
        <v>6036</v>
      </c>
    </row>
    <row r="86">
      <c r="A86" s="10">
        <v>41798.0</v>
      </c>
      <c r="B86" s="173" t="s">
        <v>6037</v>
      </c>
    </row>
    <row r="87">
      <c r="A87" s="10">
        <v>41799.0</v>
      </c>
      <c r="B87" s="173" t="s">
        <v>6038</v>
      </c>
    </row>
    <row r="88">
      <c r="A88" s="10">
        <v>41801.0</v>
      </c>
      <c r="B88" s="173" t="s">
        <v>6039</v>
      </c>
    </row>
    <row r="89">
      <c r="A89" s="10">
        <v>41803.0</v>
      </c>
      <c r="B89" s="173" t="s">
        <v>6040</v>
      </c>
    </row>
    <row r="90">
      <c r="A90" s="10">
        <v>41806.0</v>
      </c>
      <c r="B90" s="173" t="s">
        <v>6041</v>
      </c>
    </row>
    <row r="91">
      <c r="A91" s="10">
        <v>41807.0</v>
      </c>
      <c r="B91" s="173" t="s">
        <v>6042</v>
      </c>
    </row>
    <row r="92">
      <c r="A92" s="10">
        <v>41809.0</v>
      </c>
      <c r="B92" s="173" t="s">
        <v>6043</v>
      </c>
    </row>
    <row r="93">
      <c r="A93" s="10">
        <v>41815.0</v>
      </c>
      <c r="B93" s="173" t="s">
        <v>6044</v>
      </c>
    </row>
    <row r="94">
      <c r="A94" s="10">
        <v>41817.0</v>
      </c>
      <c r="B94" s="173" t="s">
        <v>6045</v>
      </c>
    </row>
    <row r="95">
      <c r="A95" s="10">
        <v>41819.0</v>
      </c>
      <c r="B95" s="173" t="s">
        <v>6046</v>
      </c>
    </row>
    <row r="96">
      <c r="A96" s="10">
        <v>41820.0</v>
      </c>
      <c r="B96" s="173" t="s">
        <v>6047</v>
      </c>
    </row>
    <row r="97">
      <c r="B97" s="173" t="s">
        <v>6048</v>
      </c>
    </row>
    <row r="98">
      <c r="B98" s="173" t="s">
        <v>6049</v>
      </c>
    </row>
    <row r="99">
      <c r="A99" s="10">
        <v>41821.0</v>
      </c>
      <c r="B99" s="173" t="s">
        <v>6050</v>
      </c>
    </row>
    <row r="100">
      <c r="A100" s="10">
        <v>41822.0</v>
      </c>
      <c r="B100" s="173" t="s">
        <v>6051</v>
      </c>
    </row>
    <row r="101">
      <c r="B101" s="173" t="s">
        <v>6052</v>
      </c>
    </row>
    <row r="102">
      <c r="B102" s="173" t="s">
        <v>6053</v>
      </c>
    </row>
    <row r="103">
      <c r="B103" s="173" t="s">
        <v>6054</v>
      </c>
    </row>
    <row r="104">
      <c r="A104" s="10">
        <v>41823.0</v>
      </c>
      <c r="B104" s="173" t="s">
        <v>6055</v>
      </c>
    </row>
    <row r="105">
      <c r="A105" s="10">
        <v>41826.0</v>
      </c>
      <c r="B105" s="173" t="s">
        <v>6056</v>
      </c>
    </row>
    <row r="106">
      <c r="A106" s="10">
        <v>41829.0</v>
      </c>
      <c r="B106" s="173" t="s">
        <v>6057</v>
      </c>
    </row>
    <row r="107">
      <c r="A107" s="10">
        <v>41830.0</v>
      </c>
      <c r="B107" s="173" t="s">
        <v>6058</v>
      </c>
    </row>
    <row r="108">
      <c r="A108" s="10">
        <v>41834.0</v>
      </c>
      <c r="B108" s="173" t="s">
        <v>6059</v>
      </c>
    </row>
    <row r="109">
      <c r="A109" s="10">
        <v>41835.0</v>
      </c>
      <c r="B109" s="173" t="s">
        <v>6060</v>
      </c>
    </row>
    <row r="110">
      <c r="A110" s="10">
        <v>41836.0</v>
      </c>
      <c r="B110" s="173" t="s">
        <v>6061</v>
      </c>
    </row>
    <row r="111">
      <c r="B111" s="173" t="s">
        <v>6062</v>
      </c>
    </row>
    <row r="112">
      <c r="A112" s="10">
        <v>41842.0</v>
      </c>
      <c r="B112" s="173" t="s">
        <v>6063</v>
      </c>
    </row>
    <row r="113">
      <c r="B113" s="173" t="s">
        <v>6064</v>
      </c>
    </row>
    <row r="114">
      <c r="B114" s="173" t="s">
        <v>6065</v>
      </c>
    </row>
    <row r="115">
      <c r="A115" s="10">
        <v>41846.0</v>
      </c>
      <c r="B115" s="173" t="s">
        <v>6066</v>
      </c>
    </row>
    <row r="116">
      <c r="A116" s="10">
        <v>41851.0</v>
      </c>
      <c r="B116" s="173" t="s">
        <v>6067</v>
      </c>
    </row>
    <row r="117">
      <c r="A117" s="10">
        <v>41854.0</v>
      </c>
      <c r="B117" s="173" t="s">
        <v>6068</v>
      </c>
    </row>
    <row r="118">
      <c r="A118" s="10">
        <v>41856.0</v>
      </c>
      <c r="B118" s="173" t="s">
        <v>6069</v>
      </c>
    </row>
    <row r="119">
      <c r="A119" s="10">
        <v>41862.0</v>
      </c>
      <c r="B119" s="173" t="s">
        <v>6070</v>
      </c>
    </row>
    <row r="120">
      <c r="A120" s="10">
        <v>41864.0</v>
      </c>
      <c r="B120" s="173" t="s">
        <v>6071</v>
      </c>
    </row>
    <row r="121">
      <c r="A121" s="10">
        <v>41865.0</v>
      </c>
      <c r="B121" s="173" t="s">
        <v>6072</v>
      </c>
    </row>
    <row r="122">
      <c r="A122" s="10">
        <v>41868.0</v>
      </c>
      <c r="B122" s="173" t="s">
        <v>6073</v>
      </c>
    </row>
    <row r="123">
      <c r="A123" s="10">
        <v>41878.0</v>
      </c>
      <c r="B123" s="173" t="s">
        <v>6074</v>
      </c>
    </row>
    <row r="124">
      <c r="A124" s="10">
        <v>41879.0</v>
      </c>
      <c r="B124" s="173" t="s">
        <v>6075</v>
      </c>
    </row>
    <row r="125">
      <c r="A125" s="10">
        <v>41886.0</v>
      </c>
      <c r="B125" s="173" t="s">
        <v>6076</v>
      </c>
    </row>
    <row r="126">
      <c r="A126" s="10">
        <v>41887.0</v>
      </c>
      <c r="B126" s="173" t="s">
        <v>6077</v>
      </c>
    </row>
    <row r="127">
      <c r="A127" s="10">
        <v>41890.0</v>
      </c>
      <c r="B127" s="173" t="s">
        <v>6078</v>
      </c>
    </row>
    <row r="128">
      <c r="A128" s="10">
        <v>41894.0</v>
      </c>
      <c r="B128" s="173" t="s">
        <v>6079</v>
      </c>
    </row>
    <row r="129">
      <c r="A129" s="10">
        <v>41899.0</v>
      </c>
      <c r="B129" s="173" t="s">
        <v>6080</v>
      </c>
    </row>
    <row r="130">
      <c r="A130" s="10">
        <v>41901.0</v>
      </c>
      <c r="B130" s="173" t="s">
        <v>6081</v>
      </c>
    </row>
    <row r="131">
      <c r="B131" s="173" t="s">
        <v>6082</v>
      </c>
    </row>
    <row r="132">
      <c r="A132" s="10">
        <v>41902.0</v>
      </c>
      <c r="B132" s="173" t="s">
        <v>6083</v>
      </c>
    </row>
    <row r="133">
      <c r="B133" s="173" t="s">
        <v>6084</v>
      </c>
    </row>
    <row r="134">
      <c r="A134" s="10">
        <v>41904.0</v>
      </c>
      <c r="B134" s="173" t="s">
        <v>6085</v>
      </c>
    </row>
    <row r="135">
      <c r="A135" s="10">
        <v>41906.0</v>
      </c>
      <c r="B135" s="173" t="s">
        <v>6086</v>
      </c>
    </row>
    <row r="136">
      <c r="A136" s="10">
        <v>41907.0</v>
      </c>
      <c r="B136" s="173" t="s">
        <v>6087</v>
      </c>
    </row>
    <row r="137">
      <c r="A137" s="10">
        <v>41917.0</v>
      </c>
      <c r="B137" s="173" t="s">
        <v>6088</v>
      </c>
    </row>
    <row r="138">
      <c r="A138" s="10">
        <v>41919.0</v>
      </c>
      <c r="B138" s="173" t="s">
        <v>6089</v>
      </c>
    </row>
    <row r="139">
      <c r="A139" s="10">
        <v>41921.0</v>
      </c>
      <c r="B139" s="173" t="s">
        <v>6090</v>
      </c>
    </row>
    <row r="140">
      <c r="B140" s="173" t="s">
        <v>6091</v>
      </c>
    </row>
    <row r="141">
      <c r="A141" s="10">
        <v>41922.0</v>
      </c>
      <c r="B141" s="173" t="s">
        <v>6092</v>
      </c>
    </row>
    <row r="142">
      <c r="A142" s="10">
        <v>41926.0</v>
      </c>
      <c r="B142" s="173" t="s">
        <v>6093</v>
      </c>
    </row>
    <row r="143">
      <c r="A143" s="10">
        <v>41927.0</v>
      </c>
      <c r="B143" s="173" t="s">
        <v>6094</v>
      </c>
    </row>
    <row r="144">
      <c r="A144" s="10">
        <v>41928.0</v>
      </c>
      <c r="B144" s="173" t="s">
        <v>6095</v>
      </c>
    </row>
    <row r="145">
      <c r="A145" s="10">
        <v>41933.0</v>
      </c>
      <c r="B145" s="173" t="s">
        <v>6096</v>
      </c>
    </row>
    <row r="146">
      <c r="A146" s="10">
        <v>41934.0</v>
      </c>
      <c r="B146" s="173" t="s">
        <v>6097</v>
      </c>
    </row>
    <row r="147">
      <c r="A147" s="10">
        <v>41939.0</v>
      </c>
      <c r="B147" s="173" t="s">
        <v>6098</v>
      </c>
    </row>
    <row r="148">
      <c r="A148" s="10">
        <v>41948.0</v>
      </c>
      <c r="B148" s="173" t="s">
        <v>6099</v>
      </c>
    </row>
    <row r="149">
      <c r="A149" s="10">
        <v>41949.0</v>
      </c>
      <c r="B149" s="173" t="s">
        <v>6100</v>
      </c>
    </row>
    <row r="150">
      <c r="A150" s="10">
        <v>41962.0</v>
      </c>
      <c r="B150" s="173" t="s">
        <v>6101</v>
      </c>
    </row>
    <row r="151">
      <c r="A151" s="10">
        <v>41963.0</v>
      </c>
      <c r="B151" s="173" t="s">
        <v>6102</v>
      </c>
    </row>
    <row r="152">
      <c r="A152" s="10">
        <v>41964.0</v>
      </c>
      <c r="B152" s="173" t="s">
        <v>6103</v>
      </c>
    </row>
    <row r="153">
      <c r="A153" s="10">
        <v>41970.0</v>
      </c>
      <c r="B153" s="173" t="s">
        <v>6104</v>
      </c>
    </row>
    <row r="154">
      <c r="A154" s="10">
        <v>42017.0</v>
      </c>
      <c r="B154" s="173" t="s">
        <v>6105</v>
      </c>
    </row>
    <row r="155">
      <c r="A155" s="10">
        <v>42019.0</v>
      </c>
      <c r="B155" s="173" t="s">
        <v>6106</v>
      </c>
    </row>
    <row r="156">
      <c r="A156" s="10">
        <v>42047.0</v>
      </c>
      <c r="B156" s="173" t="s">
        <v>6107</v>
      </c>
    </row>
    <row r="157">
      <c r="A157" s="10">
        <v>42053.0</v>
      </c>
      <c r="B157" s="173" t="s">
        <v>6108</v>
      </c>
    </row>
    <row r="158">
      <c r="A158" s="10">
        <v>42055.0</v>
      </c>
      <c r="B158" s="173" t="s">
        <v>6109</v>
      </c>
    </row>
    <row r="159">
      <c r="A159" s="10">
        <v>42058.0</v>
      </c>
      <c r="B159" s="173" t="s">
        <v>6110</v>
      </c>
    </row>
    <row r="160">
      <c r="B160" s="173" t="s">
        <v>6111</v>
      </c>
    </row>
    <row r="161">
      <c r="A161" s="10">
        <v>42059.0</v>
      </c>
      <c r="B161" s="173" t="s">
        <v>6112</v>
      </c>
    </row>
    <row r="162">
      <c r="A162" s="10">
        <v>42061.0</v>
      </c>
      <c r="B162" s="173" t="s">
        <v>6113</v>
      </c>
    </row>
    <row r="163">
      <c r="A163" s="10">
        <v>42067.0</v>
      </c>
      <c r="B163" s="173" t="s">
        <v>6114</v>
      </c>
    </row>
    <row r="164">
      <c r="A164" s="10">
        <v>42069.0</v>
      </c>
      <c r="B164" s="173" t="s">
        <v>6115</v>
      </c>
    </row>
    <row r="165">
      <c r="A165" s="10">
        <v>42072.0</v>
      </c>
      <c r="B165" s="173" t="s">
        <v>6116</v>
      </c>
    </row>
    <row r="166">
      <c r="A166" s="10">
        <v>42073.0</v>
      </c>
      <c r="B166" s="173" t="s">
        <v>6117</v>
      </c>
    </row>
    <row r="167">
      <c r="A167" s="10">
        <v>42074.0</v>
      </c>
      <c r="B167" s="173" t="s">
        <v>6118</v>
      </c>
    </row>
    <row r="168">
      <c r="A168" s="10">
        <v>42075.0</v>
      </c>
      <c r="B168" s="173" t="s">
        <v>6119</v>
      </c>
    </row>
    <row r="169">
      <c r="A169" s="10">
        <v>42076.0</v>
      </c>
      <c r="B169" s="173" t="s">
        <v>6120</v>
      </c>
    </row>
    <row r="170">
      <c r="A170" s="10">
        <v>42078.0</v>
      </c>
      <c r="B170" s="173" t="s">
        <v>6121</v>
      </c>
    </row>
    <row r="171">
      <c r="A171" s="10">
        <v>42081.0</v>
      </c>
      <c r="B171" s="173" t="s">
        <v>6122</v>
      </c>
    </row>
    <row r="172">
      <c r="B172" s="173" t="s">
        <v>6123</v>
      </c>
    </row>
    <row r="173">
      <c r="A173" s="10">
        <v>42082.0</v>
      </c>
      <c r="B173" s="173" t="s">
        <v>6124</v>
      </c>
    </row>
    <row r="174">
      <c r="A174" s="10">
        <v>42085.0</v>
      </c>
      <c r="B174" s="173" t="s">
        <v>6125</v>
      </c>
    </row>
    <row r="175">
      <c r="A175" s="10">
        <v>42086.0</v>
      </c>
      <c r="B175" s="173" t="s">
        <v>6126</v>
      </c>
    </row>
    <row r="176">
      <c r="B176" s="173" t="s">
        <v>6127</v>
      </c>
    </row>
    <row r="177">
      <c r="A177" s="10">
        <v>42087.0</v>
      </c>
      <c r="B177" s="173" t="s">
        <v>6128</v>
      </c>
    </row>
    <row r="178">
      <c r="A178" s="10">
        <v>42089.0</v>
      </c>
      <c r="B178" s="173" t="s">
        <v>6129</v>
      </c>
    </row>
    <row r="179">
      <c r="A179" s="10">
        <v>42092.0</v>
      </c>
      <c r="B179" s="173" t="s">
        <v>6130</v>
      </c>
    </row>
    <row r="180">
      <c r="A180" s="10">
        <v>42094.0</v>
      </c>
      <c r="B180" s="173" t="s">
        <v>6131</v>
      </c>
    </row>
    <row r="181">
      <c r="B181" s="173" t="s">
        <v>6132</v>
      </c>
    </row>
    <row r="182">
      <c r="A182" s="10">
        <v>42095.0</v>
      </c>
      <c r="B182" s="173" t="s">
        <v>6133</v>
      </c>
    </row>
    <row r="183">
      <c r="A183" s="10">
        <v>42096.0</v>
      </c>
      <c r="B183" s="173" t="s">
        <v>6134</v>
      </c>
    </row>
    <row r="184">
      <c r="A184" s="10">
        <v>42101.0</v>
      </c>
      <c r="B184" s="173" t="s">
        <v>6135</v>
      </c>
    </row>
    <row r="185">
      <c r="A185" s="10">
        <v>42102.0</v>
      </c>
      <c r="B185" s="173" t="s">
        <v>6136</v>
      </c>
    </row>
    <row r="186">
      <c r="A186" s="10">
        <v>42107.0</v>
      </c>
      <c r="B186" s="173" t="s">
        <v>6137</v>
      </c>
    </row>
    <row r="187">
      <c r="A187" s="10">
        <v>42108.0</v>
      </c>
      <c r="B187" s="173" t="s">
        <v>6138</v>
      </c>
    </row>
    <row r="188">
      <c r="A188" s="10">
        <v>42109.0</v>
      </c>
      <c r="B188" s="173" t="s">
        <v>6139</v>
      </c>
    </row>
    <row r="189">
      <c r="A189" s="10">
        <v>42111.0</v>
      </c>
      <c r="B189" s="173" t="s">
        <v>6140</v>
      </c>
    </row>
    <row r="190">
      <c r="A190" s="10">
        <v>42114.0</v>
      </c>
      <c r="B190" s="173" t="s">
        <v>6141</v>
      </c>
    </row>
    <row r="191">
      <c r="A191" s="10">
        <v>42116.0</v>
      </c>
      <c r="B191" s="173" t="s">
        <v>6142</v>
      </c>
    </row>
    <row r="192">
      <c r="A192" s="10">
        <v>42121.0</v>
      </c>
      <c r="B192" s="173" t="s">
        <v>6143</v>
      </c>
    </row>
    <row r="193">
      <c r="A193" s="10">
        <v>42122.0</v>
      </c>
      <c r="B193" s="173" t="s">
        <v>6144</v>
      </c>
    </row>
    <row r="194">
      <c r="A194" s="10">
        <v>42123.0</v>
      </c>
      <c r="B194" s="173" t="s">
        <v>6145</v>
      </c>
    </row>
    <row r="195">
      <c r="A195" s="10">
        <v>42125.0</v>
      </c>
      <c r="B195" s="173" t="s">
        <v>6146</v>
      </c>
    </row>
    <row r="196">
      <c r="A196" s="10">
        <v>42126.0</v>
      </c>
      <c r="B196" s="173" t="s">
        <v>6147</v>
      </c>
    </row>
    <row r="197">
      <c r="A197" s="10">
        <v>42131.0</v>
      </c>
      <c r="B197" s="173" t="s">
        <v>6148</v>
      </c>
    </row>
    <row r="198">
      <c r="A198" s="10">
        <v>42132.0</v>
      </c>
      <c r="B198" s="173" t="s">
        <v>6149</v>
      </c>
    </row>
    <row r="199">
      <c r="A199" s="10">
        <v>42133.0</v>
      </c>
      <c r="B199" s="173" t="s">
        <v>6150</v>
      </c>
    </row>
    <row r="200">
      <c r="A200" s="10">
        <v>42136.0</v>
      </c>
      <c r="B200" s="173" t="s">
        <v>6151</v>
      </c>
    </row>
    <row r="201">
      <c r="A201" s="10">
        <v>42138.0</v>
      </c>
      <c r="B201" s="173" t="s">
        <v>6152</v>
      </c>
    </row>
    <row r="202">
      <c r="A202" s="10">
        <v>42139.0</v>
      </c>
      <c r="B202" s="173" t="s">
        <v>6153</v>
      </c>
    </row>
    <row r="203">
      <c r="A203" s="10">
        <v>42142.0</v>
      </c>
      <c r="B203" s="173" t="s">
        <v>6154</v>
      </c>
    </row>
    <row r="204">
      <c r="A204" s="10">
        <v>42145.0</v>
      </c>
      <c r="B204" s="173" t="s">
        <v>6155</v>
      </c>
    </row>
    <row r="205">
      <c r="A205" s="10">
        <v>42146.0</v>
      </c>
      <c r="B205" s="173" t="s">
        <v>6156</v>
      </c>
    </row>
    <row r="206">
      <c r="A206" s="10">
        <v>42148.0</v>
      </c>
      <c r="B206" s="173" t="s">
        <v>6157</v>
      </c>
    </row>
    <row r="207">
      <c r="A207" s="10">
        <v>42152.0</v>
      </c>
      <c r="B207" s="173" t="s">
        <v>6158</v>
      </c>
    </row>
    <row r="208">
      <c r="A208" s="10">
        <v>42157.0</v>
      </c>
      <c r="B208" s="173" t="s">
        <v>6159</v>
      </c>
    </row>
    <row r="209">
      <c r="A209" s="10">
        <v>42158.0</v>
      </c>
      <c r="B209" s="173" t="s">
        <v>6160</v>
      </c>
    </row>
    <row r="210">
      <c r="A210" s="10">
        <v>42159.0</v>
      </c>
      <c r="B210" s="173" t="s">
        <v>6161</v>
      </c>
    </row>
    <row r="211">
      <c r="A211" s="10">
        <v>42163.0</v>
      </c>
      <c r="B211" s="173" t="s">
        <v>6162</v>
      </c>
    </row>
    <row r="212">
      <c r="A212" s="10">
        <v>42167.0</v>
      </c>
      <c r="B212" s="173" t="s">
        <v>6163</v>
      </c>
    </row>
    <row r="213">
      <c r="A213" s="10">
        <v>42170.0</v>
      </c>
      <c r="B213" s="173" t="s">
        <v>6164</v>
      </c>
    </row>
    <row r="214">
      <c r="A214" s="10">
        <v>42171.0</v>
      </c>
      <c r="B214" s="173" t="s">
        <v>6165</v>
      </c>
    </row>
    <row r="215">
      <c r="A215" s="10">
        <v>42172.0</v>
      </c>
      <c r="B215" s="173" t="s">
        <v>6166</v>
      </c>
    </row>
    <row r="216">
      <c r="A216" s="10">
        <v>42173.0</v>
      </c>
      <c r="B216" s="173" t="s">
        <v>6167</v>
      </c>
    </row>
    <row r="217">
      <c r="A217" s="10">
        <v>42174.0</v>
      </c>
      <c r="B217" s="173" t="s">
        <v>6168</v>
      </c>
    </row>
    <row r="218">
      <c r="A218" s="10">
        <v>42177.0</v>
      </c>
      <c r="B218" s="173" t="s">
        <v>6169</v>
      </c>
    </row>
    <row r="219">
      <c r="A219" s="10">
        <v>42178.0</v>
      </c>
      <c r="B219" s="173" t="s">
        <v>6170</v>
      </c>
    </row>
    <row r="220">
      <c r="B220" s="173" t="s">
        <v>6171</v>
      </c>
    </row>
    <row r="221">
      <c r="A221" s="10">
        <v>42179.0</v>
      </c>
      <c r="B221" s="173" t="s">
        <v>6172</v>
      </c>
    </row>
    <row r="222">
      <c r="A222" s="10">
        <v>42183.0</v>
      </c>
      <c r="B222" s="173" t="s">
        <v>6173</v>
      </c>
    </row>
    <row r="223">
      <c r="A223" s="10">
        <v>42184.0</v>
      </c>
      <c r="B223" s="173" t="s">
        <v>6174</v>
      </c>
    </row>
    <row r="224">
      <c r="A224" s="10">
        <v>42188.0</v>
      </c>
      <c r="B224" s="173" t="s">
        <v>6175</v>
      </c>
    </row>
    <row r="225">
      <c r="B225" s="173" t="s">
        <v>6176</v>
      </c>
    </row>
    <row r="226">
      <c r="A226" s="10">
        <v>42193.0</v>
      </c>
      <c r="B226" s="173" t="s">
        <v>6177</v>
      </c>
    </row>
    <row r="227">
      <c r="A227" s="10">
        <v>42194.0</v>
      </c>
      <c r="B227" s="173" t="s">
        <v>6178</v>
      </c>
    </row>
    <row r="228">
      <c r="A228" s="10">
        <v>42197.0</v>
      </c>
      <c r="B228" s="173" t="s">
        <v>6179</v>
      </c>
    </row>
    <row r="229">
      <c r="A229" s="10">
        <v>42198.0</v>
      </c>
      <c r="B229" s="173" t="s">
        <v>6180</v>
      </c>
    </row>
    <row r="230">
      <c r="A230" s="10">
        <v>42200.0</v>
      </c>
      <c r="B230" s="173" t="s">
        <v>6181</v>
      </c>
    </row>
    <row r="231">
      <c r="A231" s="10">
        <v>42201.0</v>
      </c>
      <c r="B231" s="173" t="s">
        <v>6182</v>
      </c>
    </row>
    <row r="232">
      <c r="A232" s="10">
        <v>42202.0</v>
      </c>
      <c r="B232" s="173" t="s">
        <v>6183</v>
      </c>
    </row>
    <row r="233">
      <c r="A233" s="10">
        <v>42205.0</v>
      </c>
      <c r="B233" s="173" t="s">
        <v>6184</v>
      </c>
    </row>
    <row r="234">
      <c r="A234" s="10">
        <v>42209.0</v>
      </c>
      <c r="B234" s="173" t="s">
        <v>6185</v>
      </c>
    </row>
    <row r="235">
      <c r="B235" s="173" t="s">
        <v>6186</v>
      </c>
    </row>
    <row r="236">
      <c r="A236" s="10">
        <v>42211.0</v>
      </c>
      <c r="B236" s="173" t="s">
        <v>6187</v>
      </c>
    </row>
    <row r="237">
      <c r="A237" s="10">
        <v>42214.0</v>
      </c>
      <c r="B237" s="173" t="s">
        <v>6188</v>
      </c>
    </row>
    <row r="238">
      <c r="A238" s="10">
        <v>42215.0</v>
      </c>
      <c r="B238" s="173" t="s">
        <v>6189</v>
      </c>
    </row>
    <row r="239">
      <c r="A239" s="10">
        <v>42216.0</v>
      </c>
      <c r="B239" s="173" t="s">
        <v>6190</v>
      </c>
    </row>
    <row r="240">
      <c r="A240" s="10">
        <v>42220.0</v>
      </c>
      <c r="B240" s="173" t="s">
        <v>6191</v>
      </c>
    </row>
    <row r="241">
      <c r="A241" s="10">
        <v>42221.0</v>
      </c>
      <c r="B241" s="173" t="s">
        <v>6192</v>
      </c>
    </row>
    <row r="242">
      <c r="A242" s="10">
        <v>42222.0</v>
      </c>
      <c r="B242" s="173" t="s">
        <v>6193</v>
      </c>
    </row>
    <row r="243">
      <c r="A243" s="10">
        <v>42223.0</v>
      </c>
      <c r="B243" s="173" t="s">
        <v>6194</v>
      </c>
    </row>
    <row r="244">
      <c r="A244" s="10">
        <v>42224.0</v>
      </c>
      <c r="B244" s="173" t="s">
        <v>6195</v>
      </c>
    </row>
    <row r="245">
      <c r="A245" s="10">
        <v>42227.0</v>
      </c>
      <c r="B245" s="173" t="s">
        <v>6196</v>
      </c>
    </row>
    <row r="246">
      <c r="A246" s="10">
        <v>42228.0</v>
      </c>
      <c r="B246" s="173" t="s">
        <v>6197</v>
      </c>
    </row>
    <row r="247">
      <c r="A247" s="10">
        <v>42230.0</v>
      </c>
      <c r="B247" s="173" t="s">
        <v>6198</v>
      </c>
    </row>
    <row r="248">
      <c r="A248" s="10">
        <v>42234.0</v>
      </c>
      <c r="B248" s="173" t="s">
        <v>6199</v>
      </c>
    </row>
    <row r="249">
      <c r="A249" s="10">
        <v>42235.0</v>
      </c>
      <c r="B249" s="173" t="s">
        <v>6200</v>
      </c>
    </row>
    <row r="250">
      <c r="A250" s="10">
        <v>42236.0</v>
      </c>
      <c r="B250" s="173" t="s">
        <v>6201</v>
      </c>
    </row>
    <row r="251">
      <c r="A251" s="10">
        <v>42240.0</v>
      </c>
      <c r="B251" s="173" t="s">
        <v>6202</v>
      </c>
    </row>
    <row r="252">
      <c r="A252" s="10">
        <v>42242.0</v>
      </c>
      <c r="B252" s="173" t="s">
        <v>6203</v>
      </c>
    </row>
    <row r="253">
      <c r="A253" s="10">
        <v>42248.0</v>
      </c>
      <c r="B253" s="173" t="s">
        <v>6204</v>
      </c>
    </row>
    <row r="254">
      <c r="A254" s="10">
        <v>42249.0</v>
      </c>
      <c r="B254" s="173" t="s">
        <v>6205</v>
      </c>
    </row>
    <row r="255">
      <c r="A255" s="10">
        <v>42250.0</v>
      </c>
      <c r="B255" s="173" t="s">
        <v>6206</v>
      </c>
    </row>
    <row r="256">
      <c r="A256" s="10">
        <v>42255.0</v>
      </c>
      <c r="B256" s="173" t="s">
        <v>6207</v>
      </c>
    </row>
    <row r="257">
      <c r="A257" s="10">
        <v>42256.0</v>
      </c>
      <c r="B257" s="173" t="s">
        <v>6208</v>
      </c>
    </row>
    <row r="258">
      <c r="A258" s="10">
        <v>42262.0</v>
      </c>
      <c r="B258" s="173" t="s">
        <v>6209</v>
      </c>
    </row>
    <row r="259">
      <c r="A259" s="10">
        <v>42264.0</v>
      </c>
      <c r="B259" s="173" t="s">
        <v>6210</v>
      </c>
    </row>
    <row r="260">
      <c r="A260" s="10">
        <v>42269.0</v>
      </c>
      <c r="B260" s="173" t="s">
        <v>6211</v>
      </c>
    </row>
    <row r="261">
      <c r="A261" s="10">
        <v>42275.0</v>
      </c>
      <c r="B261" s="173" t="s">
        <v>6212</v>
      </c>
    </row>
    <row r="262">
      <c r="A262" s="10">
        <v>42277.0</v>
      </c>
      <c r="B262" s="173" t="s">
        <v>6213</v>
      </c>
    </row>
    <row r="263">
      <c r="A263" s="10">
        <v>42279.0</v>
      </c>
      <c r="B263" s="173" t="s">
        <v>6214</v>
      </c>
    </row>
    <row r="264">
      <c r="A264" s="10">
        <v>42282.0</v>
      </c>
      <c r="B264" s="173" t="s">
        <v>6215</v>
      </c>
    </row>
    <row r="265">
      <c r="A265" s="10">
        <v>42286.0</v>
      </c>
      <c r="B265" s="173" t="s">
        <v>6216</v>
      </c>
    </row>
    <row r="266">
      <c r="A266" s="10">
        <v>42298.0</v>
      </c>
      <c r="B266" s="173" t="s">
        <v>6217</v>
      </c>
    </row>
    <row r="267">
      <c r="A267" s="10">
        <v>42300.0</v>
      </c>
      <c r="B267" s="173" t="s">
        <v>6218</v>
      </c>
    </row>
    <row r="268">
      <c r="A268" s="10">
        <v>42307.0</v>
      </c>
      <c r="B268" s="173" t="s">
        <v>6219</v>
      </c>
    </row>
    <row r="269">
      <c r="A269" s="10">
        <v>42310.0</v>
      </c>
      <c r="B269" s="173" t="s">
        <v>6220</v>
      </c>
    </row>
    <row r="270">
      <c r="A270" s="10">
        <v>42313.0</v>
      </c>
      <c r="B270" s="173" t="s">
        <v>6221</v>
      </c>
    </row>
    <row r="271">
      <c r="A271" s="10"/>
      <c r="B271" s="173" t="s">
        <v>6222</v>
      </c>
    </row>
    <row r="272">
      <c r="A272" s="10">
        <v>42318.0</v>
      </c>
      <c r="B272" s="173" t="s">
        <v>6223</v>
      </c>
    </row>
    <row r="273">
      <c r="A273" s="10">
        <v>42329.0</v>
      </c>
      <c r="B273" s="173" t="s">
        <v>6224</v>
      </c>
    </row>
    <row r="274">
      <c r="A274" s="10">
        <v>42345.0</v>
      </c>
      <c r="B274" s="173" t="s">
        <v>6225</v>
      </c>
    </row>
    <row r="275">
      <c r="A275" s="10">
        <v>42347.0</v>
      </c>
      <c r="B275" s="173" t="s">
        <v>6226</v>
      </c>
    </row>
    <row r="276">
      <c r="A276" s="10">
        <v>42354.0</v>
      </c>
      <c r="B276" s="173" t="s">
        <v>6227</v>
      </c>
    </row>
    <row r="277">
      <c r="A277" s="10">
        <v>42355.0</v>
      </c>
      <c r="B277" s="173" t="s">
        <v>6228</v>
      </c>
    </row>
    <row r="278">
      <c r="A278" s="10">
        <v>42380.0</v>
      </c>
      <c r="B278" s="173" t="s">
        <v>6229</v>
      </c>
    </row>
    <row r="279">
      <c r="A279" s="10">
        <v>42405.0</v>
      </c>
      <c r="B279" s="173" t="s">
        <v>6230</v>
      </c>
    </row>
    <row r="280">
      <c r="A280" s="10">
        <v>42430.0</v>
      </c>
      <c r="B280" s="173" t="s">
        <v>6231</v>
      </c>
    </row>
    <row r="281">
      <c r="A281" s="10">
        <v>42437.0</v>
      </c>
      <c r="B281" s="173" t="s">
        <v>6232</v>
      </c>
    </row>
    <row r="282">
      <c r="A282" s="10">
        <v>42438.0</v>
      </c>
      <c r="B282" s="173" t="s">
        <v>6233</v>
      </c>
    </row>
    <row r="283">
      <c r="A283" s="10">
        <v>42443.0</v>
      </c>
      <c r="B283" s="173" t="s">
        <v>6234</v>
      </c>
    </row>
    <row r="284">
      <c r="A284" s="10">
        <v>42444.0</v>
      </c>
      <c r="B284" s="173" t="s">
        <v>6235</v>
      </c>
    </row>
    <row r="285">
      <c r="A285" s="10">
        <v>42445.0</v>
      </c>
      <c r="B285" s="173" t="s">
        <v>6236</v>
      </c>
    </row>
    <row r="286">
      <c r="A286" s="10">
        <v>42446.0</v>
      </c>
      <c r="B286" s="173" t="s">
        <v>6237</v>
      </c>
    </row>
    <row r="287">
      <c r="A287" s="10">
        <v>42449.0</v>
      </c>
      <c r="B287" s="173" t="s">
        <v>6238</v>
      </c>
    </row>
    <row r="288">
      <c r="A288" s="10">
        <v>42455.0</v>
      </c>
      <c r="B288" s="173" t="s">
        <v>6239</v>
      </c>
    </row>
    <row r="289">
      <c r="A289" s="10">
        <v>42457.0</v>
      </c>
      <c r="B289" s="173" t="s">
        <v>6240</v>
      </c>
    </row>
    <row r="290">
      <c r="A290" s="10">
        <v>42459.0</v>
      </c>
      <c r="B290" s="173" t="s">
        <v>6241</v>
      </c>
    </row>
    <row r="291">
      <c r="A291" s="10">
        <v>42464.0</v>
      </c>
      <c r="B291" s="173" t="s">
        <v>6242</v>
      </c>
    </row>
    <row r="292">
      <c r="A292" s="10">
        <v>42466.0</v>
      </c>
      <c r="B292" s="173" t="s">
        <v>6243</v>
      </c>
    </row>
    <row r="293">
      <c r="A293" s="10">
        <v>42471.0</v>
      </c>
      <c r="B293" s="173" t="s">
        <v>6244</v>
      </c>
    </row>
    <row r="294">
      <c r="A294" s="10">
        <v>42472.0</v>
      </c>
      <c r="B294" s="173" t="s">
        <v>6245</v>
      </c>
    </row>
    <row r="295">
      <c r="A295" s="10">
        <v>42473.0</v>
      </c>
      <c r="B295" s="173" t="s">
        <v>6246</v>
      </c>
    </row>
    <row r="296">
      <c r="A296" s="10">
        <v>42474.0</v>
      </c>
      <c r="B296" s="173" t="s">
        <v>6247</v>
      </c>
    </row>
    <row r="297">
      <c r="A297" s="10">
        <v>42478.0</v>
      </c>
      <c r="B297" s="173" t="s">
        <v>6248</v>
      </c>
    </row>
    <row r="298">
      <c r="A298" s="10">
        <v>42479.0</v>
      </c>
      <c r="B298" s="173" t="s">
        <v>6249</v>
      </c>
    </row>
    <row r="299">
      <c r="A299" s="10">
        <v>42481.0</v>
      </c>
      <c r="B299" s="173" t="s">
        <v>6250</v>
      </c>
    </row>
    <row r="300">
      <c r="A300" s="10">
        <v>42485.0</v>
      </c>
      <c r="B300" s="173" t="s">
        <v>6251</v>
      </c>
    </row>
    <row r="301">
      <c r="A301" s="10">
        <v>42486.0</v>
      </c>
      <c r="B301" s="173" t="s">
        <v>6252</v>
      </c>
    </row>
    <row r="302">
      <c r="A302" s="10">
        <v>42487.0</v>
      </c>
      <c r="B302" s="173" t="s">
        <v>6253</v>
      </c>
    </row>
    <row r="303">
      <c r="A303" s="10">
        <v>42492.0</v>
      </c>
      <c r="B303" s="173" t="s">
        <v>6254</v>
      </c>
    </row>
    <row r="304">
      <c r="A304" s="10">
        <v>42495.0</v>
      </c>
      <c r="B304" s="173" t="s">
        <v>6255</v>
      </c>
    </row>
    <row r="305">
      <c r="A305" s="10">
        <v>42499.0</v>
      </c>
      <c r="B305" s="173" t="s">
        <v>6256</v>
      </c>
    </row>
    <row r="306">
      <c r="A306" s="10">
        <v>42501.0</v>
      </c>
      <c r="B306" s="173" t="s">
        <v>6257</v>
      </c>
    </row>
    <row r="307">
      <c r="A307" s="10">
        <v>42503.0</v>
      </c>
      <c r="B307" s="173" t="s">
        <v>6258</v>
      </c>
    </row>
    <row r="308">
      <c r="A308" s="10">
        <v>42506.0</v>
      </c>
      <c r="B308" s="173" t="s">
        <v>6259</v>
      </c>
    </row>
    <row r="309">
      <c r="A309" s="10">
        <v>42507.0</v>
      </c>
      <c r="B309" s="173" t="s">
        <v>6260</v>
      </c>
    </row>
    <row r="310">
      <c r="A310" s="10">
        <v>42508.0</v>
      </c>
      <c r="B310" s="173" t="s">
        <v>6261</v>
      </c>
    </row>
    <row r="311">
      <c r="A311" s="10">
        <v>42514.0</v>
      </c>
      <c r="B311" s="173" t="s">
        <v>6262</v>
      </c>
    </row>
    <row r="312">
      <c r="A312" s="10">
        <v>42515.0</v>
      </c>
      <c r="B312" s="173" t="s">
        <v>6263</v>
      </c>
    </row>
    <row r="313">
      <c r="A313" s="10">
        <v>42517.0</v>
      </c>
      <c r="B313" s="173" t="s">
        <v>6264</v>
      </c>
    </row>
    <row r="314">
      <c r="A314" s="10">
        <v>42518.0</v>
      </c>
      <c r="B314" s="173" t="s">
        <v>6265</v>
      </c>
    </row>
    <row r="315">
      <c r="A315" s="10">
        <v>42523.0</v>
      </c>
      <c r="B315" s="173" t="s">
        <v>6266</v>
      </c>
    </row>
    <row r="316">
      <c r="A316" s="10">
        <v>42527.0</v>
      </c>
      <c r="B316" s="173" t="s">
        <v>6267</v>
      </c>
    </row>
    <row r="317">
      <c r="A317" s="10">
        <v>42528.0</v>
      </c>
      <c r="B317" s="173" t="s">
        <v>6268</v>
      </c>
    </row>
    <row r="318">
      <c r="A318" s="10">
        <v>42531.0</v>
      </c>
      <c r="B318" s="173" t="s">
        <v>6269</v>
      </c>
    </row>
    <row r="319">
      <c r="A319" s="10">
        <v>42537.0</v>
      </c>
      <c r="B319" s="173" t="s">
        <v>6270</v>
      </c>
    </row>
    <row r="320">
      <c r="A320" s="10">
        <v>42538.0</v>
      </c>
      <c r="B320" s="173" t="s">
        <v>6271</v>
      </c>
    </row>
    <row r="321">
      <c r="A321" s="10">
        <v>42539.0</v>
      </c>
      <c r="B321" s="173" t="s">
        <v>6272</v>
      </c>
    </row>
    <row r="322">
      <c r="A322" s="10">
        <v>42541.0</v>
      </c>
      <c r="B322" s="173" t="s">
        <v>6273</v>
      </c>
    </row>
    <row r="323">
      <c r="A323" s="10">
        <v>42542.0</v>
      </c>
      <c r="B323" s="173" t="s">
        <v>6274</v>
      </c>
    </row>
    <row r="324">
      <c r="A324" s="10">
        <v>42543.0</v>
      </c>
      <c r="B324" s="173" t="s">
        <v>6275</v>
      </c>
    </row>
    <row r="325">
      <c r="A325" s="10">
        <v>42544.0</v>
      </c>
      <c r="B325" s="173" t="s">
        <v>6276</v>
      </c>
    </row>
    <row r="326">
      <c r="A326" s="10">
        <v>42545.0</v>
      </c>
      <c r="B326" s="173" t="s">
        <v>6277</v>
      </c>
    </row>
    <row r="327">
      <c r="A327" s="10">
        <v>42548.0</v>
      </c>
      <c r="B327" s="173" t="s">
        <v>6278</v>
      </c>
    </row>
    <row r="328">
      <c r="A328" s="10">
        <v>42549.0</v>
      </c>
      <c r="B328" s="173" t="s">
        <v>6279</v>
      </c>
    </row>
    <row r="329">
      <c r="A329" s="10">
        <v>42551.0</v>
      </c>
      <c r="B329" s="173" t="s">
        <v>6280</v>
      </c>
    </row>
    <row r="330">
      <c r="A330" s="10">
        <v>42561.0</v>
      </c>
      <c r="B330" s="173" t="s">
        <v>6281</v>
      </c>
    </row>
    <row r="331">
      <c r="A331" s="10">
        <v>42562.0</v>
      </c>
      <c r="B331" s="173" t="s">
        <v>6282</v>
      </c>
    </row>
    <row r="332">
      <c r="A332" s="10">
        <v>42570.0</v>
      </c>
      <c r="B332" s="173" t="s">
        <v>6283</v>
      </c>
    </row>
    <row r="333">
      <c r="A333" s="10">
        <v>42571.0</v>
      </c>
      <c r="B333" s="173" t="s">
        <v>6284</v>
      </c>
    </row>
    <row r="334">
      <c r="A334" s="10">
        <v>42572.0</v>
      </c>
      <c r="B334" s="173" t="s">
        <v>6285</v>
      </c>
    </row>
    <row r="335">
      <c r="A335" s="10">
        <v>42575.0</v>
      </c>
      <c r="B335" s="173" t="s">
        <v>6286</v>
      </c>
    </row>
    <row r="336">
      <c r="A336" s="10">
        <v>42576.0</v>
      </c>
      <c r="B336" s="173" t="s">
        <v>6287</v>
      </c>
    </row>
    <row r="337">
      <c r="A337" s="10">
        <v>42577.0</v>
      </c>
      <c r="B337" s="173" t="s">
        <v>6288</v>
      </c>
    </row>
    <row r="338">
      <c r="A338" s="10">
        <v>42578.0</v>
      </c>
      <c r="B338" s="173" t="s">
        <v>6289</v>
      </c>
    </row>
    <row r="339">
      <c r="A339" s="10">
        <v>42580.0</v>
      </c>
      <c r="B339" s="173" t="s">
        <v>6290</v>
      </c>
    </row>
    <row r="340">
      <c r="A340" s="10">
        <v>42584.0</v>
      </c>
      <c r="B340" s="173" t="s">
        <v>6291</v>
      </c>
    </row>
    <row r="341">
      <c r="A341" s="10">
        <v>42585.0</v>
      </c>
      <c r="B341" s="173" t="s">
        <v>6292</v>
      </c>
    </row>
    <row r="342">
      <c r="A342" s="10">
        <v>42586.0</v>
      </c>
      <c r="B342" s="173" t="s">
        <v>6293</v>
      </c>
    </row>
    <row r="343">
      <c r="A343" s="10">
        <v>42590.0</v>
      </c>
      <c r="B343" s="173" t="s">
        <v>6294</v>
      </c>
    </row>
    <row r="344">
      <c r="A344" s="10">
        <v>42597.0</v>
      </c>
      <c r="B344" s="173" t="s">
        <v>6295</v>
      </c>
    </row>
    <row r="345">
      <c r="A345" s="10">
        <v>42598.0</v>
      </c>
      <c r="B345" s="173" t="s">
        <v>6296</v>
      </c>
    </row>
    <row r="346">
      <c r="A346" s="10">
        <v>42601.0</v>
      </c>
      <c r="B346" s="173" t="s">
        <v>6297</v>
      </c>
    </row>
    <row r="347">
      <c r="A347" s="10">
        <v>42604.0</v>
      </c>
      <c r="B347" s="173" t="s">
        <v>6298</v>
      </c>
    </row>
    <row r="348">
      <c r="A348" s="10">
        <v>42605.0</v>
      </c>
      <c r="B348" s="173" t="s">
        <v>6299</v>
      </c>
    </row>
    <row r="349">
      <c r="A349" s="10">
        <v>42606.0</v>
      </c>
      <c r="B349" s="173" t="s">
        <v>6300</v>
      </c>
    </row>
    <row r="350">
      <c r="A350" s="10">
        <v>42617.0</v>
      </c>
      <c r="B350" s="173" t="s">
        <v>6301</v>
      </c>
    </row>
    <row r="351">
      <c r="A351" s="10">
        <v>42619.0</v>
      </c>
      <c r="B351" s="173" t="s">
        <v>6302</v>
      </c>
    </row>
    <row r="352">
      <c r="A352" s="10">
        <v>42625.0</v>
      </c>
      <c r="B352" s="173" t="s">
        <v>6303</v>
      </c>
    </row>
    <row r="353">
      <c r="A353" s="10">
        <v>42634.0</v>
      </c>
      <c r="B353" s="173" t="s">
        <v>6304</v>
      </c>
    </row>
    <row r="354">
      <c r="A354" s="10">
        <v>42641.0</v>
      </c>
      <c r="B354" s="173" t="s">
        <v>6305</v>
      </c>
    </row>
    <row r="355">
      <c r="A355" s="10">
        <v>42647.0</v>
      </c>
      <c r="B355" s="173" t="s">
        <v>6306</v>
      </c>
    </row>
    <row r="356">
      <c r="A356" s="10">
        <v>42649.0</v>
      </c>
      <c r="B356" s="173" t="s">
        <v>6307</v>
      </c>
    </row>
    <row r="357">
      <c r="A357" s="10">
        <v>42655.0</v>
      </c>
      <c r="B357" s="173" t="s">
        <v>6308</v>
      </c>
    </row>
    <row r="358">
      <c r="A358" s="10">
        <v>42656.0</v>
      </c>
      <c r="B358" s="173" t="s">
        <v>6309</v>
      </c>
    </row>
    <row r="359">
      <c r="A359" s="10">
        <v>42659.0</v>
      </c>
      <c r="B359" s="173" t="s">
        <v>6310</v>
      </c>
    </row>
    <row r="360">
      <c r="A360" s="10">
        <v>42668.0</v>
      </c>
      <c r="B360" s="173" t="s">
        <v>6311</v>
      </c>
    </row>
    <row r="361">
      <c r="A361" s="10">
        <v>42676.0</v>
      </c>
      <c r="B361" s="173" t="s">
        <v>6312</v>
      </c>
    </row>
    <row r="362">
      <c r="A362" s="10">
        <v>42686.0</v>
      </c>
      <c r="B362" s="173" t="s">
        <v>6313</v>
      </c>
    </row>
    <row r="363">
      <c r="A363" s="10">
        <v>42693.0</v>
      </c>
      <c r="B363" s="173" t="s">
        <v>6314</v>
      </c>
    </row>
    <row r="364">
      <c r="A364" s="10">
        <v>42720.0</v>
      </c>
      <c r="B364" s="173" t="s">
        <v>6315</v>
      </c>
    </row>
    <row r="365">
      <c r="A365" s="10">
        <v>42744.0</v>
      </c>
      <c r="B365" s="173" t="s">
        <v>6316</v>
      </c>
    </row>
    <row r="366">
      <c r="A366" s="10">
        <v>42746.0</v>
      </c>
      <c r="B366" s="173" t="s">
        <v>6317</v>
      </c>
    </row>
    <row r="367">
      <c r="A367" s="10">
        <v>42765.0</v>
      </c>
      <c r="B367" s="173" t="s">
        <v>6318</v>
      </c>
    </row>
    <row r="368">
      <c r="A368" s="10">
        <v>42767.0</v>
      </c>
      <c r="B368" s="173" t="s">
        <v>6319</v>
      </c>
    </row>
    <row r="369">
      <c r="A369" s="10">
        <v>42782.0</v>
      </c>
      <c r="B369" s="173" t="s">
        <v>6320</v>
      </c>
    </row>
    <row r="370">
      <c r="A370" s="10">
        <v>42795.0</v>
      </c>
      <c r="B370" s="173" t="s">
        <v>6321</v>
      </c>
    </row>
    <row r="371">
      <c r="A371" s="10">
        <v>42804.0</v>
      </c>
      <c r="B371" s="173" t="s">
        <v>6322</v>
      </c>
    </row>
    <row r="372">
      <c r="A372" s="10">
        <v>42807.0</v>
      </c>
      <c r="B372" s="173" t="s">
        <v>6323</v>
      </c>
    </row>
    <row r="373">
      <c r="A373" s="10">
        <v>42809.0</v>
      </c>
      <c r="B373" s="173" t="s">
        <v>6324</v>
      </c>
    </row>
    <row r="374">
      <c r="A374" s="10">
        <v>42815.0</v>
      </c>
      <c r="B374" s="173" t="s">
        <v>6325</v>
      </c>
    </row>
    <row r="375">
      <c r="A375" s="10">
        <v>42816.0</v>
      </c>
      <c r="B375" s="173" t="s">
        <v>6326</v>
      </c>
    </row>
    <row r="376">
      <c r="A376" s="10">
        <v>42817.0</v>
      </c>
      <c r="B376" s="173" t="s">
        <v>6327</v>
      </c>
    </row>
    <row r="377">
      <c r="A377" s="10">
        <v>42818.0</v>
      </c>
      <c r="B377" s="173" t="s">
        <v>6328</v>
      </c>
    </row>
    <row r="378">
      <c r="A378" s="10">
        <v>42821.0</v>
      </c>
      <c r="B378" s="173" t="s">
        <v>6329</v>
      </c>
    </row>
    <row r="379">
      <c r="A379" s="10">
        <v>42822.0</v>
      </c>
      <c r="B379" s="173" t="s">
        <v>6330</v>
      </c>
    </row>
    <row r="380">
      <c r="A380" s="10">
        <v>42823.0</v>
      </c>
      <c r="B380" s="173" t="s">
        <v>6331</v>
      </c>
    </row>
    <row r="381">
      <c r="A381" s="10">
        <v>42825.0</v>
      </c>
      <c r="B381" s="173" t="s">
        <v>6332</v>
      </c>
    </row>
    <row r="382">
      <c r="A382" s="10">
        <v>42841.0</v>
      </c>
      <c r="B382" s="173" t="s">
        <v>6333</v>
      </c>
    </row>
    <row r="383">
      <c r="A383" s="10"/>
      <c r="B383" s="173" t="s">
        <v>6334</v>
      </c>
    </row>
    <row r="384">
      <c r="A384" s="10">
        <v>42844.0</v>
      </c>
      <c r="B384" s="173" t="s">
        <v>6335</v>
      </c>
    </row>
    <row r="385">
      <c r="A385" s="10">
        <v>42851.0</v>
      </c>
      <c r="B385" s="173" t="s">
        <v>6336</v>
      </c>
    </row>
    <row r="386">
      <c r="A386" s="10">
        <v>42852.0</v>
      </c>
      <c r="B386" s="173" t="s">
        <v>6337</v>
      </c>
    </row>
    <row r="387">
      <c r="A387" s="10">
        <v>42854.0</v>
      </c>
      <c r="B387" s="173" t="s">
        <v>6338</v>
      </c>
    </row>
    <row r="388">
      <c r="A388" s="10">
        <v>42856.0</v>
      </c>
      <c r="B388" s="173" t="s">
        <v>6339</v>
      </c>
    </row>
    <row r="389">
      <c r="A389" s="10">
        <v>42857.0</v>
      </c>
      <c r="B389" s="173" t="s">
        <v>6340</v>
      </c>
    </row>
    <row r="390">
      <c r="A390" s="10">
        <v>42858.0</v>
      </c>
      <c r="B390" s="173" t="s">
        <v>6341</v>
      </c>
    </row>
    <row r="391">
      <c r="A391" s="10">
        <v>42859.0</v>
      </c>
      <c r="B391" s="173" t="s">
        <v>6342</v>
      </c>
    </row>
    <row r="392">
      <c r="A392" s="10">
        <v>42860.0</v>
      </c>
      <c r="B392" s="173" t="s">
        <v>6343</v>
      </c>
    </row>
    <row r="393">
      <c r="A393" s="10">
        <v>42863.0</v>
      </c>
      <c r="B393" s="173" t="s">
        <v>6344</v>
      </c>
    </row>
    <row r="394">
      <c r="A394" s="10">
        <v>42867.0</v>
      </c>
      <c r="B394" s="173" t="s">
        <v>6345</v>
      </c>
    </row>
    <row r="395">
      <c r="A395" s="10">
        <v>42869.0</v>
      </c>
      <c r="B395" s="173" t="s">
        <v>6346</v>
      </c>
    </row>
    <row r="396">
      <c r="A396" s="10">
        <v>42870.0</v>
      </c>
      <c r="B396" s="173" t="s">
        <v>6347</v>
      </c>
    </row>
    <row r="397">
      <c r="A397" s="10">
        <v>42872.0</v>
      </c>
      <c r="B397" s="173" t="s">
        <v>6348</v>
      </c>
    </row>
    <row r="398">
      <c r="A398" s="10">
        <v>42874.0</v>
      </c>
      <c r="B398" s="173" t="s">
        <v>6349</v>
      </c>
    </row>
    <row r="399">
      <c r="A399" s="10">
        <v>42878.0</v>
      </c>
      <c r="B399" s="173" t="s">
        <v>6350</v>
      </c>
    </row>
    <row r="400">
      <c r="A400" s="10">
        <v>42879.0</v>
      </c>
      <c r="B400" s="173" t="s">
        <v>6351</v>
      </c>
    </row>
    <row r="401">
      <c r="A401" s="10">
        <v>42885.0</v>
      </c>
      <c r="B401" s="173" t="s">
        <v>6352</v>
      </c>
    </row>
    <row r="402">
      <c r="A402" s="10">
        <v>42887.0</v>
      </c>
      <c r="B402" s="173" t="s">
        <v>6353</v>
      </c>
    </row>
    <row r="403">
      <c r="A403" s="10">
        <v>42888.0</v>
      </c>
      <c r="B403" s="173" t="s">
        <v>6354</v>
      </c>
    </row>
    <row r="404">
      <c r="A404" s="10">
        <v>42891.0</v>
      </c>
      <c r="B404" s="173" t="s">
        <v>6355</v>
      </c>
    </row>
    <row r="405">
      <c r="A405" s="10">
        <v>42897.0</v>
      </c>
      <c r="B405" s="173" t="s">
        <v>6356</v>
      </c>
    </row>
    <row r="406">
      <c r="A406" s="10">
        <v>42906.0</v>
      </c>
      <c r="B406" s="173" t="s">
        <v>6357</v>
      </c>
    </row>
    <row r="407">
      <c r="A407" s="10">
        <v>42907.0</v>
      </c>
      <c r="B407" s="173" t="s">
        <v>6358</v>
      </c>
    </row>
    <row r="408">
      <c r="A408" s="10">
        <v>42908.0</v>
      </c>
      <c r="B408" s="173" t="s">
        <v>6359</v>
      </c>
    </row>
    <row r="409">
      <c r="A409" s="10">
        <v>42909.0</v>
      </c>
      <c r="B409" s="173" t="s">
        <v>6360</v>
      </c>
    </row>
    <row r="410">
      <c r="A410" s="10">
        <v>42910.0</v>
      </c>
      <c r="B410" s="173" t="s">
        <v>6361</v>
      </c>
    </row>
    <row r="411">
      <c r="A411" s="10">
        <v>42912.0</v>
      </c>
      <c r="B411" s="173" t="s">
        <v>6362</v>
      </c>
    </row>
    <row r="412">
      <c r="A412" s="10">
        <v>42913.0</v>
      </c>
      <c r="B412" s="173" t="s">
        <v>6363</v>
      </c>
    </row>
    <row r="413">
      <c r="A413" s="10">
        <v>42914.0</v>
      </c>
      <c r="B413" s="173" t="s">
        <v>6364</v>
      </c>
    </row>
    <row r="414">
      <c r="A414" s="10">
        <v>42915.0</v>
      </c>
      <c r="B414" s="173" t="s">
        <v>6365</v>
      </c>
    </row>
    <row r="415">
      <c r="A415" s="10">
        <v>42916.0</v>
      </c>
      <c r="B415" s="173" t="s">
        <v>6366</v>
      </c>
    </row>
    <row r="416">
      <c r="A416" s="10">
        <v>42920.0</v>
      </c>
      <c r="B416" s="173" t="s">
        <v>6367</v>
      </c>
    </row>
    <row r="417">
      <c r="A417" s="10">
        <v>42923.0</v>
      </c>
      <c r="B417" s="173" t="s">
        <v>6368</v>
      </c>
    </row>
    <row r="418">
      <c r="A418" s="10">
        <v>42926.0</v>
      </c>
      <c r="B418" s="173" t="s">
        <v>6369</v>
      </c>
    </row>
    <row r="419">
      <c r="A419" s="10">
        <v>42933.0</v>
      </c>
      <c r="B419" s="173" t="s">
        <v>6370</v>
      </c>
    </row>
    <row r="420">
      <c r="A420" s="10">
        <v>42935.0</v>
      </c>
      <c r="B420" s="173" t="s">
        <v>6371</v>
      </c>
    </row>
    <row r="421">
      <c r="A421" s="10">
        <v>42936.0</v>
      </c>
      <c r="B421" s="173" t="s">
        <v>6372</v>
      </c>
    </row>
    <row r="422">
      <c r="A422" s="10">
        <v>42937.0</v>
      </c>
      <c r="B422" s="173" t="s">
        <v>6373</v>
      </c>
    </row>
    <row r="423">
      <c r="A423" s="10">
        <v>42939.0</v>
      </c>
      <c r="B423" s="173" t="s">
        <v>6374</v>
      </c>
    </row>
    <row r="424">
      <c r="A424" s="10">
        <v>42940.0</v>
      </c>
      <c r="B424" s="173" t="s">
        <v>6375</v>
      </c>
    </row>
    <row r="425">
      <c r="A425" s="10">
        <v>42941.0</v>
      </c>
      <c r="B425" s="173" t="s">
        <v>6376</v>
      </c>
    </row>
    <row r="426">
      <c r="A426" s="10">
        <v>42942.0</v>
      </c>
      <c r="B426" s="173" t="s">
        <v>6377</v>
      </c>
    </row>
    <row r="427">
      <c r="A427" s="10">
        <v>42944.0</v>
      </c>
      <c r="B427" s="173" t="s">
        <v>6378</v>
      </c>
    </row>
    <row r="428">
      <c r="A428" s="10">
        <v>42948.0</v>
      </c>
      <c r="B428" s="173" t="s">
        <v>6379</v>
      </c>
    </row>
    <row r="429">
      <c r="A429" s="10">
        <v>42949.0</v>
      </c>
      <c r="B429" s="173" t="s">
        <v>6380</v>
      </c>
    </row>
    <row r="430">
      <c r="A430" s="10">
        <v>42963.0</v>
      </c>
      <c r="B430" s="173" t="s">
        <v>6381</v>
      </c>
    </row>
    <row r="431">
      <c r="A431" s="10">
        <v>42967.0</v>
      </c>
      <c r="B431" s="173" t="s">
        <v>6382</v>
      </c>
    </row>
    <row r="432">
      <c r="A432" s="10">
        <v>42969.0</v>
      </c>
      <c r="B432" s="173" t="s">
        <v>6383</v>
      </c>
    </row>
    <row r="433">
      <c r="A433" s="10">
        <v>42976.0</v>
      </c>
      <c r="B433" s="173" t="s">
        <v>6384</v>
      </c>
    </row>
    <row r="434">
      <c r="A434" s="10">
        <v>42977.0</v>
      </c>
      <c r="B434" s="173" t="s">
        <v>6385</v>
      </c>
    </row>
    <row r="435">
      <c r="A435" s="10">
        <v>42981.0</v>
      </c>
      <c r="B435" s="173" t="s">
        <v>6386</v>
      </c>
    </row>
    <row r="436">
      <c r="A436" s="10">
        <v>42982.0</v>
      </c>
      <c r="B436" s="173" t="s">
        <v>6387</v>
      </c>
    </row>
    <row r="437">
      <c r="A437" s="10">
        <v>42984.0</v>
      </c>
      <c r="B437" s="173" t="s">
        <v>6388</v>
      </c>
    </row>
    <row r="438">
      <c r="A438" s="10">
        <v>42985.0</v>
      </c>
      <c r="B438" s="173" t="s">
        <v>6389</v>
      </c>
    </row>
    <row r="439">
      <c r="A439" s="10">
        <v>42993.0</v>
      </c>
      <c r="B439" s="173" t="s">
        <v>6390</v>
      </c>
    </row>
    <row r="440">
      <c r="A440" s="10">
        <v>42996.0</v>
      </c>
      <c r="B440" s="173" t="s">
        <v>6391</v>
      </c>
    </row>
    <row r="441">
      <c r="A441" s="10">
        <v>43004.0</v>
      </c>
      <c r="B441" s="173" t="s">
        <v>6392</v>
      </c>
    </row>
    <row r="442">
      <c r="A442" s="10">
        <v>43021.0</v>
      </c>
      <c r="B442" s="173" t="s">
        <v>6393</v>
      </c>
    </row>
    <row r="443">
      <c r="A443" s="10">
        <v>43027.0</v>
      </c>
      <c r="B443" s="173" t="s">
        <v>6394</v>
      </c>
    </row>
    <row r="444">
      <c r="A444" s="10">
        <v>43028.0</v>
      </c>
      <c r="B444" s="173" t="s">
        <v>6395</v>
      </c>
    </row>
    <row r="445">
      <c r="A445" s="10">
        <v>43039.0</v>
      </c>
      <c r="B445" s="173" t="s">
        <v>6396</v>
      </c>
    </row>
    <row r="446">
      <c r="A446" s="10">
        <v>43040.0</v>
      </c>
      <c r="B446" s="173" t="s">
        <v>6397</v>
      </c>
    </row>
    <row r="447">
      <c r="A447" s="10">
        <v>43146.0</v>
      </c>
      <c r="B447" s="173" t="s">
        <v>6398</v>
      </c>
    </row>
    <row r="448">
      <c r="A448" s="10">
        <v>43158.0</v>
      </c>
      <c r="B448" s="173" t="s">
        <v>6399</v>
      </c>
    </row>
    <row r="449">
      <c r="A449" s="10">
        <v>43167.0</v>
      </c>
      <c r="B449" s="173" t="s">
        <v>6400</v>
      </c>
    </row>
    <row r="450">
      <c r="A450" s="10">
        <v>43168.0</v>
      </c>
      <c r="B450" s="173" t="s">
        <v>6401</v>
      </c>
    </row>
    <row r="451">
      <c r="A451" s="10">
        <v>43171.0</v>
      </c>
      <c r="B451" s="173" t="s">
        <v>6402</v>
      </c>
    </row>
    <row r="452">
      <c r="A452" s="10">
        <v>43172.0</v>
      </c>
      <c r="B452" s="173" t="s">
        <v>6403</v>
      </c>
    </row>
    <row r="453">
      <c r="A453" s="10">
        <v>43173.0</v>
      </c>
      <c r="B453" s="173" t="s">
        <v>6404</v>
      </c>
    </row>
    <row r="454">
      <c r="A454" s="10">
        <v>43177.0</v>
      </c>
      <c r="B454" s="173" t="s">
        <v>6405</v>
      </c>
    </row>
    <row r="455">
      <c r="A455" s="10">
        <v>408421.0</v>
      </c>
      <c r="B455" s="173" t="s">
        <v>6406</v>
      </c>
    </row>
    <row r="456">
      <c r="A456" s="10">
        <v>43181.0</v>
      </c>
      <c r="B456" s="173" t="s">
        <v>6407</v>
      </c>
    </row>
    <row r="457">
      <c r="A457" s="10">
        <v>43185.0</v>
      </c>
      <c r="B457" s="173" t="s">
        <v>6408</v>
      </c>
    </row>
    <row r="458">
      <c r="A458" s="10">
        <v>43187.0</v>
      </c>
      <c r="B458" s="173" t="s">
        <v>6409</v>
      </c>
    </row>
    <row r="459">
      <c r="A459" s="10">
        <v>43190.0</v>
      </c>
      <c r="B459" s="173" t="s">
        <v>6410</v>
      </c>
    </row>
    <row r="460">
      <c r="A460" s="10">
        <v>43194.0</v>
      </c>
      <c r="B460" s="173" t="s">
        <v>6411</v>
      </c>
    </row>
    <row r="461">
      <c r="A461" s="10"/>
      <c r="B461" s="173" t="s">
        <v>6412</v>
      </c>
    </row>
    <row r="462">
      <c r="A462" s="10">
        <v>43196.0</v>
      </c>
      <c r="B462" s="173" t="s">
        <v>6413</v>
      </c>
    </row>
    <row r="463">
      <c r="A463" s="10">
        <v>43202.0</v>
      </c>
      <c r="B463" s="173" t="s">
        <v>6414</v>
      </c>
    </row>
    <row r="464">
      <c r="A464" s="10">
        <v>43203.0</v>
      </c>
      <c r="B464" s="173" t="s">
        <v>6415</v>
      </c>
    </row>
    <row r="465">
      <c r="A465" s="10">
        <v>43207.0</v>
      </c>
      <c r="B465" s="173" t="s">
        <v>6416</v>
      </c>
    </row>
    <row r="466">
      <c r="A466" s="10">
        <v>43209.0</v>
      </c>
      <c r="B466" s="173" t="s">
        <v>6417</v>
      </c>
    </row>
    <row r="467">
      <c r="A467" s="10">
        <v>43211.0</v>
      </c>
      <c r="B467" s="173" t="s">
        <v>6418</v>
      </c>
    </row>
    <row r="468">
      <c r="A468" s="10">
        <v>43212.0</v>
      </c>
      <c r="B468" s="173" t="s">
        <v>6419</v>
      </c>
    </row>
    <row r="469">
      <c r="A469" s="10">
        <v>43213.0</v>
      </c>
      <c r="B469" s="173" t="s">
        <v>6420</v>
      </c>
    </row>
    <row r="470">
      <c r="A470" s="10">
        <v>43220.0</v>
      </c>
      <c r="B470" s="173" t="s">
        <v>6421</v>
      </c>
    </row>
    <row r="471">
      <c r="A471" s="10">
        <v>43225.0</v>
      </c>
      <c r="B471" s="173" t="s">
        <v>6422</v>
      </c>
    </row>
    <row r="472">
      <c r="A472" s="10">
        <v>43227.0</v>
      </c>
      <c r="B472" s="173" t="s">
        <v>6423</v>
      </c>
    </row>
    <row r="473">
      <c r="A473" s="10">
        <v>43228.0</v>
      </c>
      <c r="B473" s="173" t="s">
        <v>6424</v>
      </c>
    </row>
    <row r="474">
      <c r="A474" s="10">
        <v>43229.0</v>
      </c>
      <c r="B474" s="173" t="s">
        <v>6425</v>
      </c>
    </row>
    <row r="475">
      <c r="A475" s="10">
        <v>43230.0</v>
      </c>
      <c r="B475" s="173" t="s">
        <v>6426</v>
      </c>
    </row>
    <row r="476">
      <c r="A476" s="10">
        <v>43234.0</v>
      </c>
      <c r="B476" s="173" t="s">
        <v>6427</v>
      </c>
    </row>
    <row r="477">
      <c r="A477" s="10">
        <v>43237.0</v>
      </c>
      <c r="B477" s="173" t="s">
        <v>6428</v>
      </c>
    </row>
    <row r="478">
      <c r="A478" s="10">
        <v>43239.0</v>
      </c>
      <c r="B478" s="173" t="s">
        <v>6429</v>
      </c>
    </row>
    <row r="479">
      <c r="A479" s="10">
        <v>43240.0</v>
      </c>
      <c r="B479" s="173" t="s">
        <v>6430</v>
      </c>
    </row>
    <row r="480">
      <c r="A480" s="10">
        <v>43242.0</v>
      </c>
      <c r="B480" s="173" t="s">
        <v>6431</v>
      </c>
    </row>
    <row r="481">
      <c r="A481" s="10">
        <v>43248.0</v>
      </c>
      <c r="B481" s="173" t="s">
        <v>6432</v>
      </c>
    </row>
    <row r="482">
      <c r="A482" s="10">
        <v>43250.0</v>
      </c>
      <c r="B482" s="173" t="s">
        <v>6433</v>
      </c>
    </row>
    <row r="483">
      <c r="A483" s="10">
        <v>43251.0</v>
      </c>
      <c r="B483" s="173" t="s">
        <v>6434</v>
      </c>
    </row>
    <row r="484">
      <c r="A484" s="10">
        <v>43254.0</v>
      </c>
      <c r="B484" s="173" t="s">
        <v>6435</v>
      </c>
    </row>
    <row r="485">
      <c r="A485" s="10">
        <v>43256.0</v>
      </c>
      <c r="B485" s="173" t="s">
        <v>6436</v>
      </c>
    </row>
    <row r="486">
      <c r="A486" s="10">
        <v>43257.0</v>
      </c>
      <c r="B486" s="173" t="s">
        <v>6437</v>
      </c>
    </row>
    <row r="487">
      <c r="A487" s="10">
        <v>43259.0</v>
      </c>
      <c r="B487" s="173" t="s">
        <v>6438</v>
      </c>
    </row>
    <row r="488">
      <c r="A488" s="10">
        <v>43261.0</v>
      </c>
      <c r="B488" s="173" t="s">
        <v>6439</v>
      </c>
    </row>
    <row r="489">
      <c r="A489" s="10">
        <v>43262.0</v>
      </c>
      <c r="B489" s="173" t="s">
        <v>6440</v>
      </c>
    </row>
    <row r="490">
      <c r="A490" s="10">
        <v>43263.0</v>
      </c>
      <c r="B490" s="173" t="s">
        <v>6441</v>
      </c>
    </row>
    <row r="491">
      <c r="A491" s="10">
        <v>43264.0</v>
      </c>
      <c r="B491" s="173" t="s">
        <v>6442</v>
      </c>
    </row>
    <row r="492">
      <c r="A492" s="10">
        <v>43265.0</v>
      </c>
      <c r="B492" s="173" t="s">
        <v>6443</v>
      </c>
    </row>
    <row r="493">
      <c r="A493" s="10">
        <v>43266.0</v>
      </c>
      <c r="B493" s="173" t="s">
        <v>6444</v>
      </c>
    </row>
    <row r="494">
      <c r="A494" s="10">
        <v>43269.0</v>
      </c>
      <c r="B494" s="173" t="s">
        <v>6445</v>
      </c>
    </row>
    <row r="495">
      <c r="A495" s="10">
        <v>43270.0</v>
      </c>
      <c r="B495" s="173" t="s">
        <v>6446</v>
      </c>
    </row>
    <row r="496">
      <c r="A496" s="10">
        <v>43271.0</v>
      </c>
      <c r="B496" s="173" t="s">
        <v>6447</v>
      </c>
    </row>
    <row r="497">
      <c r="A497" s="10">
        <v>43273.0</v>
      </c>
      <c r="B497" s="173" t="s">
        <v>6448</v>
      </c>
    </row>
    <row r="498">
      <c r="A498" s="10">
        <v>43276.0</v>
      </c>
      <c r="B498" s="173" t="s">
        <v>6449</v>
      </c>
    </row>
    <row r="499">
      <c r="A499" s="10">
        <v>43277.0</v>
      </c>
      <c r="B499" s="173" t="s">
        <v>6450</v>
      </c>
    </row>
    <row r="500">
      <c r="A500" s="10">
        <v>43278.0</v>
      </c>
      <c r="B500" s="173" t="s">
        <v>6451</v>
      </c>
    </row>
    <row r="501">
      <c r="A501" s="10">
        <v>43279.0</v>
      </c>
      <c r="B501" s="173" t="s">
        <v>6452</v>
      </c>
    </row>
    <row r="502">
      <c r="A502" s="10">
        <v>43283.0</v>
      </c>
      <c r="B502" s="173" t="s">
        <v>6453</v>
      </c>
    </row>
    <row r="503">
      <c r="A503" s="10">
        <v>43284.0</v>
      </c>
      <c r="B503" s="173" t="s">
        <v>6454</v>
      </c>
    </row>
    <row r="504">
      <c r="A504" s="10">
        <v>43286.0</v>
      </c>
      <c r="B504" s="173" t="s">
        <v>6455</v>
      </c>
    </row>
    <row r="505">
      <c r="A505" s="10">
        <v>43287.0</v>
      </c>
      <c r="B505" s="173" t="s">
        <v>6456</v>
      </c>
    </row>
    <row r="506">
      <c r="A506" s="10">
        <v>43289.0</v>
      </c>
      <c r="B506" s="173" t="s">
        <v>6457</v>
      </c>
    </row>
    <row r="507">
      <c r="A507" s="10">
        <v>43290.0</v>
      </c>
      <c r="B507" s="173" t="s">
        <v>6458</v>
      </c>
    </row>
    <row r="508">
      <c r="A508" s="10">
        <v>43291.0</v>
      </c>
      <c r="B508" s="173" t="s">
        <v>6459</v>
      </c>
    </row>
    <row r="509">
      <c r="A509" s="10">
        <v>43292.0</v>
      </c>
      <c r="B509" s="173" t="s">
        <v>6460</v>
      </c>
    </row>
    <row r="510">
      <c r="A510" s="10">
        <v>43293.0</v>
      </c>
      <c r="B510" s="173" t="s">
        <v>6461</v>
      </c>
    </row>
    <row r="511">
      <c r="A511" s="10">
        <v>43297.0</v>
      </c>
      <c r="B511" s="173" t="s">
        <v>6462</v>
      </c>
    </row>
    <row r="512">
      <c r="A512" s="10">
        <v>43299.0</v>
      </c>
      <c r="B512" s="173" t="s">
        <v>6463</v>
      </c>
    </row>
    <row r="513">
      <c r="A513" s="10">
        <v>43301.0</v>
      </c>
      <c r="B513" s="173" t="s">
        <v>6464</v>
      </c>
    </row>
    <row r="514">
      <c r="A514" s="10">
        <v>43303.0</v>
      </c>
      <c r="B514" s="173" t="s">
        <v>6465</v>
      </c>
    </row>
    <row r="515">
      <c r="A515" s="10">
        <v>43304.0</v>
      </c>
      <c r="B515" s="173" t="s">
        <v>6466</v>
      </c>
    </row>
    <row r="516">
      <c r="A516" s="10">
        <v>43305.0</v>
      </c>
      <c r="B516" s="173" t="s">
        <v>6467</v>
      </c>
    </row>
    <row r="517">
      <c r="A517" s="10">
        <v>43306.0</v>
      </c>
      <c r="B517" s="173" t="s">
        <v>6468</v>
      </c>
    </row>
    <row r="518">
      <c r="A518" s="10">
        <v>43310.0</v>
      </c>
      <c r="B518" s="173" t="s">
        <v>6469</v>
      </c>
    </row>
    <row r="519">
      <c r="A519" s="10">
        <v>43312.0</v>
      </c>
      <c r="B519" s="173" t="s">
        <v>6470</v>
      </c>
    </row>
    <row r="520">
      <c r="A520" s="10">
        <v>43313.0</v>
      </c>
      <c r="B520" s="173" t="s">
        <v>6471</v>
      </c>
    </row>
    <row r="521">
      <c r="A521" s="10">
        <v>43316.0</v>
      </c>
      <c r="B521" s="173" t="s">
        <v>6472</v>
      </c>
    </row>
    <row r="522">
      <c r="A522" s="10">
        <v>43317.0</v>
      </c>
      <c r="B522" s="173" t="s">
        <v>6473</v>
      </c>
    </row>
    <row r="523">
      <c r="A523" s="10">
        <v>43319.0</v>
      </c>
      <c r="B523" s="173" t="s">
        <v>6474</v>
      </c>
    </row>
    <row r="524">
      <c r="A524" s="10">
        <v>43321.0</v>
      </c>
      <c r="B524" s="173" t="s">
        <v>6475</v>
      </c>
    </row>
    <row r="525">
      <c r="A525" s="10">
        <v>43327.0</v>
      </c>
      <c r="B525" s="173" t="s">
        <v>6476</v>
      </c>
    </row>
    <row r="526">
      <c r="A526" s="10">
        <v>43333.0</v>
      </c>
      <c r="B526" s="173" t="s">
        <v>6477</v>
      </c>
    </row>
    <row r="527">
      <c r="A527" s="10">
        <v>43336.0</v>
      </c>
      <c r="B527" s="173" t="s">
        <v>6478</v>
      </c>
    </row>
    <row r="528">
      <c r="A528" s="10">
        <v>43347.0</v>
      </c>
      <c r="B528" s="173" t="s">
        <v>6479</v>
      </c>
    </row>
    <row r="529">
      <c r="A529" s="10">
        <v>43354.0</v>
      </c>
      <c r="B529" s="173" t="s">
        <v>6480</v>
      </c>
    </row>
    <row r="530">
      <c r="A530" s="10">
        <v>43357.0</v>
      </c>
      <c r="B530" s="173" t="s">
        <v>6481</v>
      </c>
    </row>
    <row r="531">
      <c r="A531" s="10">
        <v>43362.0</v>
      </c>
      <c r="B531" s="173" t="s">
        <v>6482</v>
      </c>
    </row>
    <row r="532">
      <c r="A532" s="10">
        <v>43363.0</v>
      </c>
      <c r="B532" s="173" t="s">
        <v>6483</v>
      </c>
    </row>
    <row r="533">
      <c r="A533" s="10">
        <v>43365.0</v>
      </c>
      <c r="B533" s="173" t="s">
        <v>6484</v>
      </c>
    </row>
    <row r="534">
      <c r="A534" s="10">
        <v>43368.0</v>
      </c>
      <c r="B534" s="173" t="s">
        <v>6485</v>
      </c>
    </row>
    <row r="535">
      <c r="A535" s="10">
        <v>43373.0</v>
      </c>
      <c r="B535" s="173" t="s">
        <v>6486</v>
      </c>
    </row>
    <row r="536">
      <c r="A536" s="10">
        <v>43380.0</v>
      </c>
      <c r="B536" s="173" t="s">
        <v>6487</v>
      </c>
    </row>
    <row r="537">
      <c r="A537" s="10">
        <v>43381.0</v>
      </c>
      <c r="B537" s="173" t="s">
        <v>6488</v>
      </c>
    </row>
    <row r="538">
      <c r="A538" s="10">
        <v>43390.0</v>
      </c>
      <c r="B538" s="173" t="s">
        <v>6489</v>
      </c>
    </row>
    <row r="539">
      <c r="A539" s="10">
        <v>43396.0</v>
      </c>
      <c r="B539" s="173" t="s">
        <v>6490</v>
      </c>
    </row>
    <row r="540">
      <c r="A540" s="10">
        <v>43398.0</v>
      </c>
      <c r="B540" s="173" t="s">
        <v>6491</v>
      </c>
    </row>
    <row r="541">
      <c r="A541" s="10">
        <v>43402.0</v>
      </c>
      <c r="B541" s="173" t="s">
        <v>6492</v>
      </c>
    </row>
    <row r="542">
      <c r="A542" s="10">
        <v>43404.0</v>
      </c>
      <c r="B542" s="173" t="s">
        <v>6493</v>
      </c>
    </row>
    <row r="543">
      <c r="A543" s="10">
        <v>43410.0</v>
      </c>
      <c r="B543" s="173" t="s">
        <v>6494</v>
      </c>
    </row>
    <row r="544">
      <c r="A544" s="10">
        <v>43411.0</v>
      </c>
      <c r="B544" s="173" t="s">
        <v>6495</v>
      </c>
    </row>
    <row r="545">
      <c r="A545" s="10">
        <v>43413.0</v>
      </c>
      <c r="B545" s="173" t="s">
        <v>6496</v>
      </c>
    </row>
    <row r="546">
      <c r="A546" s="10">
        <v>43418.0</v>
      </c>
      <c r="B546" s="173" t="s">
        <v>6497</v>
      </c>
    </row>
    <row r="547">
      <c r="A547" s="10">
        <v>43430.0</v>
      </c>
      <c r="B547" s="173" t="s">
        <v>6498</v>
      </c>
    </row>
    <row r="548">
      <c r="A548" s="10">
        <v>43438.0</v>
      </c>
      <c r="B548" s="173" t="s">
        <v>6499</v>
      </c>
    </row>
    <row r="549">
      <c r="A549" s="10">
        <v>43456.0</v>
      </c>
      <c r="B549" s="173" t="s">
        <v>6500</v>
      </c>
    </row>
    <row r="550">
      <c r="A550" s="10">
        <v>43457.0</v>
      </c>
      <c r="B550" s="173" t="s">
        <v>6501</v>
      </c>
    </row>
    <row r="551">
      <c r="A551" s="10">
        <v>43482.0</v>
      </c>
      <c r="B551" s="173" t="s">
        <v>6502</v>
      </c>
    </row>
    <row r="552">
      <c r="A552" s="10">
        <v>43492.0</v>
      </c>
      <c r="B552" s="173" t="s">
        <v>6503</v>
      </c>
    </row>
    <row r="553">
      <c r="A553" s="10">
        <v>43496.0</v>
      </c>
      <c r="B553" s="173" t="s">
        <v>6504</v>
      </c>
    </row>
    <row r="554">
      <c r="A554" s="10">
        <v>43520.0</v>
      </c>
      <c r="B554" s="173" t="s">
        <v>6505</v>
      </c>
    </row>
    <row r="555">
      <c r="A555" s="10">
        <v>43529.0</v>
      </c>
      <c r="B555" s="173" t="s">
        <v>6506</v>
      </c>
    </row>
    <row r="556">
      <c r="A556" s="10">
        <v>43532.0</v>
      </c>
      <c r="B556" s="173" t="s">
        <v>6507</v>
      </c>
    </row>
    <row r="557">
      <c r="A557" s="10">
        <v>43536.0</v>
      </c>
      <c r="B557" s="173" t="s">
        <v>6508</v>
      </c>
    </row>
    <row r="558">
      <c r="A558" s="10">
        <v>43537.0</v>
      </c>
      <c r="B558" s="173" t="s">
        <v>6509</v>
      </c>
    </row>
    <row r="559">
      <c r="A559" s="10">
        <v>43539.0</v>
      </c>
      <c r="B559" s="173" t="s">
        <v>6510</v>
      </c>
    </row>
    <row r="560">
      <c r="A560" s="10">
        <v>43542.0</v>
      </c>
      <c r="B560" s="173" t="s">
        <v>6511</v>
      </c>
    </row>
    <row r="561">
      <c r="A561" s="10">
        <v>43544.0</v>
      </c>
      <c r="B561" s="173" t="s">
        <v>6512</v>
      </c>
    </row>
    <row r="562">
      <c r="A562" s="10">
        <v>43547.0</v>
      </c>
      <c r="B562" s="173" t="s">
        <v>6513</v>
      </c>
    </row>
    <row r="563">
      <c r="A563" s="10">
        <v>43549.0</v>
      </c>
      <c r="B563" s="173" t="s">
        <v>6514</v>
      </c>
    </row>
    <row r="564">
      <c r="A564" s="10">
        <v>43551.0</v>
      </c>
      <c r="B564" s="173" t="s">
        <v>6515</v>
      </c>
    </row>
    <row r="565">
      <c r="A565" s="10">
        <v>43555.0</v>
      </c>
      <c r="B565" s="173" t="s">
        <v>6516</v>
      </c>
    </row>
    <row r="566">
      <c r="A566" s="10">
        <v>43558.0</v>
      </c>
      <c r="B566" s="173" t="s">
        <v>6517</v>
      </c>
    </row>
    <row r="567">
      <c r="A567" s="10">
        <v>43562.0</v>
      </c>
      <c r="B567" s="173" t="s">
        <v>6518</v>
      </c>
    </row>
    <row r="568">
      <c r="A568" s="10">
        <v>43564.0</v>
      </c>
      <c r="B568" s="173" t="s">
        <v>6519</v>
      </c>
    </row>
    <row r="569">
      <c r="A569" s="10">
        <v>43565.0</v>
      </c>
      <c r="B569" s="173" t="s">
        <v>6520</v>
      </c>
    </row>
    <row r="570">
      <c r="A570" s="10">
        <v>43571.0</v>
      </c>
      <c r="B570" s="173" t="s">
        <v>6521</v>
      </c>
    </row>
    <row r="571">
      <c r="A571" s="10">
        <v>43577.0</v>
      </c>
      <c r="B571" s="173" t="s">
        <v>6522</v>
      </c>
    </row>
    <row r="572">
      <c r="A572" s="10">
        <v>43578.0</v>
      </c>
      <c r="B572" s="173" t="s">
        <v>6523</v>
      </c>
    </row>
    <row r="573">
      <c r="A573" s="10">
        <v>43583.0</v>
      </c>
      <c r="B573" s="173" t="s">
        <v>6524</v>
      </c>
    </row>
    <row r="574">
      <c r="A574" s="10">
        <v>43584.0</v>
      </c>
      <c r="B574" s="173" t="s">
        <v>6525</v>
      </c>
    </row>
    <row r="575">
      <c r="A575" s="10">
        <v>43585.0</v>
      </c>
      <c r="B575" s="173" t="s">
        <v>6526</v>
      </c>
    </row>
    <row r="576">
      <c r="A576" s="10">
        <v>43588.0</v>
      </c>
      <c r="B576" s="173" t="s">
        <v>6527</v>
      </c>
    </row>
    <row r="577">
      <c r="A577" s="10">
        <v>43590.0</v>
      </c>
      <c r="B577" s="173" t="s">
        <v>6528</v>
      </c>
    </row>
    <row r="578">
      <c r="A578" s="10">
        <v>43591.0</v>
      </c>
      <c r="B578" s="173" t="s">
        <v>6529</v>
      </c>
    </row>
    <row r="579">
      <c r="A579" s="10">
        <v>43594.0</v>
      </c>
      <c r="B579" s="173" t="s">
        <v>6530</v>
      </c>
    </row>
    <row r="580">
      <c r="A580" s="10">
        <v>43598.0</v>
      </c>
      <c r="B580" s="173" t="s">
        <v>6531</v>
      </c>
    </row>
    <row r="581">
      <c r="A581" s="10">
        <v>43600.0</v>
      </c>
      <c r="B581" s="173" t="s">
        <v>6532</v>
      </c>
    </row>
    <row r="582">
      <c r="A582" s="10">
        <v>43603.0</v>
      </c>
      <c r="B582" s="173" t="s">
        <v>6533</v>
      </c>
    </row>
    <row r="583">
      <c r="A583" s="10">
        <v>43608.0</v>
      </c>
      <c r="B583" s="173" t="s">
        <v>6534</v>
      </c>
    </row>
    <row r="584">
      <c r="A584" s="10">
        <v>43612.0</v>
      </c>
      <c r="B584" s="173" t="s">
        <v>6535</v>
      </c>
    </row>
    <row r="585">
      <c r="A585" s="10"/>
      <c r="B585" s="173" t="s">
        <v>6536</v>
      </c>
    </row>
    <row r="586">
      <c r="A586" s="10">
        <v>43614.0</v>
      </c>
      <c r="B586" s="173" t="s">
        <v>6537</v>
      </c>
    </row>
    <row r="587">
      <c r="A587" s="10">
        <v>43615.0</v>
      </c>
      <c r="B587" s="173" t="s">
        <v>6538</v>
      </c>
    </row>
    <row r="588">
      <c r="A588" s="10">
        <v>43616.0</v>
      </c>
      <c r="B588" s="173" t="s">
        <v>6539</v>
      </c>
    </row>
    <row r="589">
      <c r="A589" s="10">
        <v>43620.0</v>
      </c>
      <c r="B589" s="173" t="s">
        <v>6540</v>
      </c>
    </row>
    <row r="590">
      <c r="A590" s="10">
        <v>43626.0</v>
      </c>
      <c r="B590" s="173" t="s">
        <v>6541</v>
      </c>
    </row>
    <row r="591">
      <c r="A591" s="10">
        <v>43627.0</v>
      </c>
      <c r="B591" s="173" t="s">
        <v>6542</v>
      </c>
    </row>
    <row r="592">
      <c r="A592" s="10">
        <v>43631.0</v>
      </c>
      <c r="B592" s="173" t="s">
        <v>6543</v>
      </c>
    </row>
    <row r="593">
      <c r="A593" s="10">
        <v>43634.0</v>
      </c>
      <c r="B593" s="173" t="s">
        <v>6544</v>
      </c>
    </row>
    <row r="594">
      <c r="A594" s="10">
        <v>43637.0</v>
      </c>
      <c r="B594" s="173" t="s">
        <v>6545</v>
      </c>
    </row>
    <row r="595">
      <c r="A595" s="10">
        <v>43642.0</v>
      </c>
      <c r="B595" s="173" t="s">
        <v>6546</v>
      </c>
    </row>
    <row r="596">
      <c r="A596" s="10">
        <v>43643.0</v>
      </c>
      <c r="B596" s="173" t="s">
        <v>6547</v>
      </c>
    </row>
    <row r="597">
      <c r="A597" s="10">
        <v>43644.0</v>
      </c>
      <c r="B597" s="173" t="s">
        <v>6548</v>
      </c>
    </row>
    <row r="598">
      <c r="A598" s="10">
        <v>43645.0</v>
      </c>
      <c r="B598" s="173" t="s">
        <v>6549</v>
      </c>
    </row>
    <row r="599">
      <c r="A599" s="10">
        <v>43647.0</v>
      </c>
      <c r="B599" s="173" t="s">
        <v>6550</v>
      </c>
    </row>
    <row r="600">
      <c r="A600" s="10">
        <v>43653.0</v>
      </c>
      <c r="B600" s="173" t="s">
        <v>6551</v>
      </c>
    </row>
    <row r="601">
      <c r="A601" s="10">
        <v>43658.0</v>
      </c>
      <c r="B601" s="173" t="s">
        <v>6552</v>
      </c>
    </row>
    <row r="602">
      <c r="A602" s="10">
        <v>43666.0</v>
      </c>
      <c r="B602" s="173" t="s">
        <v>6553</v>
      </c>
    </row>
    <row r="603">
      <c r="A603" s="10">
        <v>43668.0</v>
      </c>
      <c r="B603" s="173" t="s">
        <v>6554</v>
      </c>
    </row>
    <row r="604">
      <c r="A604" s="10">
        <v>43669.0</v>
      </c>
      <c r="B604" s="173" t="s">
        <v>6555</v>
      </c>
    </row>
    <row r="605">
      <c r="A605" s="10">
        <v>43672.0</v>
      </c>
      <c r="B605" s="173" t="s">
        <v>6556</v>
      </c>
    </row>
    <row r="606">
      <c r="A606" s="10">
        <v>43674.0</v>
      </c>
      <c r="B606" s="173" t="s">
        <v>6557</v>
      </c>
    </row>
    <row r="607">
      <c r="A607" s="10">
        <v>43678.0</v>
      </c>
      <c r="B607" s="173" t="s">
        <v>6558</v>
      </c>
    </row>
    <row r="608">
      <c r="A608" s="10">
        <v>43679.0</v>
      </c>
      <c r="B608" s="173" t="s">
        <v>6559</v>
      </c>
    </row>
    <row r="609">
      <c r="A609" s="10">
        <v>43682.0</v>
      </c>
      <c r="B609" s="173" t="s">
        <v>6560</v>
      </c>
    </row>
    <row r="610">
      <c r="A610" s="10">
        <v>43684.0</v>
      </c>
      <c r="B610" s="173" t="s">
        <v>6561</v>
      </c>
    </row>
    <row r="611">
      <c r="A611" s="10">
        <v>43688.0</v>
      </c>
      <c r="B611" s="173" t="s">
        <v>6562</v>
      </c>
    </row>
    <row r="612">
      <c r="A612" s="10">
        <v>43691.0</v>
      </c>
      <c r="B612" s="173" t="s">
        <v>6563</v>
      </c>
    </row>
    <row r="613">
      <c r="A613" s="10">
        <v>43694.0</v>
      </c>
      <c r="B613" s="173" t="s">
        <v>6564</v>
      </c>
    </row>
    <row r="614">
      <c r="A614" s="10">
        <v>43697.0</v>
      </c>
      <c r="B614" s="173" t="s">
        <v>6565</v>
      </c>
    </row>
    <row r="615">
      <c r="A615" s="10">
        <v>43700.0</v>
      </c>
      <c r="B615" s="173" t="s">
        <v>6566</v>
      </c>
    </row>
    <row r="616">
      <c r="A616" s="10">
        <v>43701.0</v>
      </c>
      <c r="B616" s="173" t="s">
        <v>6567</v>
      </c>
    </row>
    <row r="617">
      <c r="A617" s="10">
        <v>43703.0</v>
      </c>
      <c r="B617" s="173" t="s">
        <v>6568</v>
      </c>
    </row>
    <row r="618">
      <c r="A618" s="10">
        <v>43712.0</v>
      </c>
      <c r="B618" s="173" t="s">
        <v>6569</v>
      </c>
    </row>
    <row r="619">
      <c r="A619" s="10">
        <v>43717.0</v>
      </c>
      <c r="B619" s="173" t="s">
        <v>6570</v>
      </c>
    </row>
    <row r="620">
      <c r="A620" s="10">
        <v>43726.0</v>
      </c>
      <c r="B620" s="173" t="s">
        <v>6571</v>
      </c>
    </row>
    <row r="621">
      <c r="A621" s="10">
        <v>43734.0</v>
      </c>
      <c r="B621" s="173" t="s">
        <v>6572</v>
      </c>
    </row>
    <row r="622">
      <c r="A622" s="10">
        <v>43737.0</v>
      </c>
      <c r="B622" s="173" t="s">
        <v>6573</v>
      </c>
    </row>
    <row r="623">
      <c r="A623" s="10">
        <v>43742.0</v>
      </c>
      <c r="B623" s="173" t="s">
        <v>6574</v>
      </c>
    </row>
    <row r="624">
      <c r="A624" s="10">
        <v>43744.0</v>
      </c>
      <c r="B624" s="173" t="s">
        <v>6575</v>
      </c>
    </row>
    <row r="625">
      <c r="A625" s="10">
        <v>43757.0</v>
      </c>
      <c r="B625" s="173" t="s">
        <v>6576</v>
      </c>
    </row>
    <row r="626">
      <c r="A626" s="10">
        <v>43758.0</v>
      </c>
      <c r="B626" s="173" t="s">
        <v>6577</v>
      </c>
    </row>
    <row r="627">
      <c r="A627" s="10">
        <v>43763.0</v>
      </c>
      <c r="B627" s="173" t="s">
        <v>6578</v>
      </c>
    </row>
    <row r="628">
      <c r="A628" s="10">
        <v>43769.0</v>
      </c>
      <c r="B628" s="173" t="s">
        <v>6579</v>
      </c>
    </row>
    <row r="629">
      <c r="A629" s="10">
        <v>43828.0</v>
      </c>
      <c r="B629" s="173" t="s">
        <v>6580</v>
      </c>
    </row>
    <row r="630">
      <c r="A630" s="10">
        <v>43837.0</v>
      </c>
      <c r="B630" s="173" t="s">
        <v>6581</v>
      </c>
    </row>
    <row r="631">
      <c r="A631" s="10">
        <v>43873.0</v>
      </c>
      <c r="B631" s="173" t="s">
        <v>6582</v>
      </c>
    </row>
    <row r="632">
      <c r="A632" s="10">
        <v>43874.0</v>
      </c>
      <c r="B632" s="173" t="s">
        <v>6583</v>
      </c>
    </row>
    <row r="633">
      <c r="A633" s="10">
        <v>43875.0</v>
      </c>
      <c r="B633" s="173" t="s">
        <v>6584</v>
      </c>
    </row>
    <row r="634">
      <c r="A634" s="10">
        <v>43877.0</v>
      </c>
      <c r="B634" s="173" t="s">
        <v>6585</v>
      </c>
    </row>
    <row r="635">
      <c r="A635" s="10">
        <v>43879.0</v>
      </c>
      <c r="B635" s="173" t="s">
        <v>6586</v>
      </c>
    </row>
    <row r="636">
      <c r="A636" s="10">
        <v>43882.0</v>
      </c>
      <c r="B636" s="173" t="s">
        <v>6587</v>
      </c>
    </row>
    <row r="637">
      <c r="A637" s="10">
        <v>43885.0</v>
      </c>
      <c r="B637" s="173" t="s">
        <v>6588</v>
      </c>
    </row>
    <row r="638">
      <c r="A638" s="10">
        <v>43886.0</v>
      </c>
      <c r="B638" s="173" t="s">
        <v>6589</v>
      </c>
    </row>
    <row r="639">
      <c r="A639" s="10">
        <v>43887.0</v>
      </c>
      <c r="B639" s="173" t="s">
        <v>6590</v>
      </c>
    </row>
    <row r="640">
      <c r="A640" s="10">
        <v>43893.0</v>
      </c>
      <c r="B640" s="173" t="s">
        <v>6591</v>
      </c>
    </row>
    <row r="641">
      <c r="A641" s="10">
        <v>43899.0</v>
      </c>
      <c r="B641" s="173" t="s">
        <v>6592</v>
      </c>
    </row>
    <row r="642">
      <c r="A642" s="10">
        <v>43901.0</v>
      </c>
      <c r="B642" s="173" t="s">
        <v>6593</v>
      </c>
    </row>
    <row r="643">
      <c r="A643" s="10">
        <v>43908.0</v>
      </c>
      <c r="B643" s="173" t="s">
        <v>6594</v>
      </c>
    </row>
    <row r="644">
      <c r="A644" s="10">
        <v>43909.0</v>
      </c>
      <c r="B644" s="173" t="s">
        <v>6595</v>
      </c>
    </row>
    <row r="645">
      <c r="A645" s="10">
        <v>43910.0</v>
      </c>
      <c r="B645" s="173" t="s">
        <v>6596</v>
      </c>
    </row>
    <row r="646">
      <c r="A646" s="10">
        <v>43914.0</v>
      </c>
      <c r="B646" s="173" t="s">
        <v>6597</v>
      </c>
    </row>
    <row r="647">
      <c r="A647" s="10">
        <v>43916.0</v>
      </c>
      <c r="B647" s="173" t="s">
        <v>6598</v>
      </c>
    </row>
    <row r="648">
      <c r="A648" s="10">
        <v>43918.0</v>
      </c>
      <c r="B648" s="173" t="s">
        <v>6599</v>
      </c>
    </row>
    <row r="649">
      <c r="A649" s="10">
        <v>43921.0</v>
      </c>
      <c r="B649" s="173" t="s">
        <v>6600</v>
      </c>
    </row>
    <row r="650">
      <c r="A650" s="10">
        <v>43926.0</v>
      </c>
      <c r="B650" s="173" t="s">
        <v>6601</v>
      </c>
    </row>
    <row r="651">
      <c r="A651" s="10">
        <v>43932.0</v>
      </c>
      <c r="B651" s="173" t="s">
        <v>6602</v>
      </c>
    </row>
    <row r="652">
      <c r="A652" s="10">
        <v>43944.0</v>
      </c>
      <c r="B652" s="173" t="s">
        <v>6603</v>
      </c>
    </row>
    <row r="653">
      <c r="A653" s="10">
        <v>43966.0</v>
      </c>
      <c r="B653" s="173" t="s">
        <v>6604</v>
      </c>
    </row>
    <row r="654">
      <c r="A654" s="10">
        <v>43985.0</v>
      </c>
      <c r="B654" s="173" t="s">
        <v>6605</v>
      </c>
    </row>
    <row r="655">
      <c r="A655" s="10">
        <v>44016.0</v>
      </c>
      <c r="B655" s="173" t="s">
        <v>6606</v>
      </c>
    </row>
    <row r="656">
      <c r="A656" s="10">
        <v>44017.0</v>
      </c>
      <c r="B656" s="173" t="s">
        <v>6607</v>
      </c>
    </row>
    <row r="657">
      <c r="A657" s="10">
        <v>44025.0</v>
      </c>
      <c r="B657" s="173" t="s">
        <v>6608</v>
      </c>
    </row>
    <row r="658">
      <c r="A658" s="10">
        <v>44032.0</v>
      </c>
      <c r="B658" s="173" t="s">
        <v>6609</v>
      </c>
    </row>
    <row r="659">
      <c r="A659" s="10">
        <v>44035.0</v>
      </c>
      <c r="B659" s="173" t="s">
        <v>6610</v>
      </c>
    </row>
    <row r="660">
      <c r="A660" s="10">
        <v>44041.0</v>
      </c>
      <c r="B660" s="173" t="s">
        <v>6611</v>
      </c>
    </row>
    <row r="661">
      <c r="A661" s="10">
        <v>44042.0</v>
      </c>
      <c r="B661" s="174" t="s">
        <v>6612</v>
      </c>
    </row>
    <row r="662">
      <c r="A662" s="10">
        <v>44043.0</v>
      </c>
      <c r="B662" s="173" t="s">
        <v>6613</v>
      </c>
    </row>
    <row r="663">
      <c r="A663" s="10">
        <v>44048.0</v>
      </c>
      <c r="B663" s="173" t="s">
        <v>6614</v>
      </c>
    </row>
    <row r="664">
      <c r="A664" s="10">
        <v>44061.0</v>
      </c>
      <c r="B664" s="173" t="s">
        <v>6615</v>
      </c>
    </row>
    <row r="665">
      <c r="A665" s="10">
        <v>44065.0</v>
      </c>
      <c r="B665" s="173" t="s">
        <v>6616</v>
      </c>
    </row>
    <row r="666">
      <c r="A666" s="10">
        <v>44074.0</v>
      </c>
      <c r="B666" s="173" t="s">
        <v>6617</v>
      </c>
    </row>
    <row r="667">
      <c r="A667" s="10">
        <v>44075.0</v>
      </c>
      <c r="B667" s="173" t="s">
        <v>6618</v>
      </c>
    </row>
    <row r="668">
      <c r="A668" s="10">
        <v>44077.0</v>
      </c>
      <c r="B668" s="173" t="s">
        <v>6619</v>
      </c>
    </row>
    <row r="669">
      <c r="A669" s="10">
        <v>44092.0</v>
      </c>
      <c r="B669" s="173" t="s">
        <v>6620</v>
      </c>
    </row>
    <row r="670">
      <c r="A670" s="10">
        <v>44095.0</v>
      </c>
      <c r="B670" s="173" t="s">
        <v>6621</v>
      </c>
    </row>
    <row r="671">
      <c r="A671" s="10">
        <v>44097.0</v>
      </c>
      <c r="B671" s="173" t="s">
        <v>6622</v>
      </c>
    </row>
    <row r="672">
      <c r="A672" s="10">
        <v>44102.0</v>
      </c>
      <c r="B672" s="173" t="s">
        <v>6623</v>
      </c>
    </row>
    <row r="673">
      <c r="A673" s="10">
        <v>44106.0</v>
      </c>
      <c r="B673" s="173" t="s">
        <v>6624</v>
      </c>
    </row>
    <row r="674">
      <c r="A674" s="10">
        <v>44108.0</v>
      </c>
      <c r="B674" s="173" t="s">
        <v>6625</v>
      </c>
    </row>
    <row r="675">
      <c r="A675" s="10">
        <v>44126.0</v>
      </c>
      <c r="B675" s="173" t="s">
        <v>6626</v>
      </c>
    </row>
    <row r="676">
      <c r="A676" s="10">
        <v>44133.0</v>
      </c>
      <c r="B676" s="173" t="s">
        <v>6627</v>
      </c>
    </row>
    <row r="677">
      <c r="A677" s="10">
        <v>44137.0</v>
      </c>
      <c r="B677" s="173" t="s">
        <v>6628</v>
      </c>
    </row>
    <row r="678">
      <c r="A678" s="10">
        <v>44146.0</v>
      </c>
      <c r="B678" s="173" t="s">
        <v>6629</v>
      </c>
    </row>
    <row r="679">
      <c r="A679" s="10">
        <v>44151.0</v>
      </c>
      <c r="B679" s="173" t="s">
        <v>6630</v>
      </c>
    </row>
    <row r="680">
      <c r="A680" s="10">
        <v>44157.0</v>
      </c>
      <c r="B680" s="173" t="s">
        <v>6631</v>
      </c>
    </row>
    <row r="681">
      <c r="A681" s="10">
        <v>44158.0</v>
      </c>
      <c r="B681" s="173" t="s">
        <v>6632</v>
      </c>
    </row>
    <row r="682">
      <c r="A682" s="10">
        <v>44173.0</v>
      </c>
      <c r="B682" s="173" t="s">
        <v>6633</v>
      </c>
    </row>
    <row r="683">
      <c r="A683" s="10">
        <v>44176.0</v>
      </c>
      <c r="B683" s="173" t="s">
        <v>6634</v>
      </c>
    </row>
    <row r="684">
      <c r="A684" s="10">
        <v>44188.0</v>
      </c>
      <c r="B684" s="173" t="s">
        <v>6635</v>
      </c>
    </row>
    <row r="685">
      <c r="A685" s="10">
        <v>44211.0</v>
      </c>
      <c r="B685" s="173" t="s">
        <v>6636</v>
      </c>
    </row>
    <row r="686">
      <c r="A686" s="10">
        <v>44235.0</v>
      </c>
      <c r="B686" s="173" t="s">
        <v>6637</v>
      </c>
    </row>
    <row r="687">
      <c r="A687" s="10">
        <v>44248.0</v>
      </c>
      <c r="B687" s="173" t="s">
        <v>6638</v>
      </c>
    </row>
    <row r="688">
      <c r="A688" s="10">
        <v>44255.0</v>
      </c>
      <c r="B688" s="173" t="s">
        <v>6639</v>
      </c>
    </row>
    <row r="689">
      <c r="A689" s="10">
        <v>44272.0</v>
      </c>
      <c r="B689" s="173" t="s">
        <v>6640</v>
      </c>
    </row>
    <row r="690">
      <c r="A690" s="10">
        <v>44274.0</v>
      </c>
      <c r="B690" s="173" t="s">
        <v>6641</v>
      </c>
    </row>
    <row r="691">
      <c r="A691" s="10">
        <v>44276.0</v>
      </c>
      <c r="B691" s="173" t="s">
        <v>6642</v>
      </c>
    </row>
    <row r="692">
      <c r="A692" s="10">
        <v>44278.0</v>
      </c>
      <c r="B692" s="173" t="s">
        <v>6643</v>
      </c>
    </row>
    <row r="693">
      <c r="A693" s="10">
        <v>44279.0</v>
      </c>
      <c r="B693" s="173" t="s">
        <v>6644</v>
      </c>
    </row>
    <row r="694">
      <c r="A694" s="10">
        <v>44280.0</v>
      </c>
      <c r="B694" s="173" t="s">
        <v>6645</v>
      </c>
    </row>
    <row r="695">
      <c r="A695" s="10">
        <v>44284.0</v>
      </c>
      <c r="B695" s="173" t="s">
        <v>6646</v>
      </c>
    </row>
    <row r="696">
      <c r="A696" s="10">
        <v>44285.0</v>
      </c>
      <c r="B696" s="173" t="s">
        <v>6647</v>
      </c>
    </row>
    <row r="697">
      <c r="A697" s="10">
        <v>409527.0</v>
      </c>
      <c r="B697" s="173" t="s">
        <v>6648</v>
      </c>
    </row>
    <row r="698">
      <c r="A698" s="10">
        <v>44288.0</v>
      </c>
      <c r="B698" s="173" t="s">
        <v>6649</v>
      </c>
    </row>
    <row r="699">
      <c r="A699" s="10">
        <v>44290.0</v>
      </c>
      <c r="B699" s="173" t="s">
        <v>6650</v>
      </c>
    </row>
    <row r="700">
      <c r="A700" s="10">
        <v>44295.0</v>
      </c>
      <c r="B700" s="173" t="s">
        <v>6651</v>
      </c>
    </row>
    <row r="701">
      <c r="A701" s="10">
        <v>44299.0</v>
      </c>
      <c r="B701" s="173" t="s">
        <v>6652</v>
      </c>
    </row>
    <row r="702">
      <c r="A702" s="10">
        <v>44300.0</v>
      </c>
      <c r="B702" s="173" t="s">
        <v>6653</v>
      </c>
    </row>
    <row r="703">
      <c r="A703" s="10">
        <v>44303.0</v>
      </c>
      <c r="B703" s="173" t="s">
        <v>6654</v>
      </c>
    </row>
    <row r="704">
      <c r="A704" s="10">
        <v>44306.0</v>
      </c>
      <c r="B704" s="173" t="s">
        <v>6655</v>
      </c>
    </row>
    <row r="705">
      <c r="A705" s="10">
        <v>44307.0</v>
      </c>
      <c r="B705" s="173" t="s">
        <v>6656</v>
      </c>
    </row>
    <row r="706">
      <c r="A706" s="10">
        <v>44315.0</v>
      </c>
      <c r="B706" s="173" t="s">
        <v>6657</v>
      </c>
    </row>
    <row r="707">
      <c r="A707" s="10">
        <v>44316.0</v>
      </c>
      <c r="B707" s="173" t="s">
        <v>6658</v>
      </c>
    </row>
    <row r="708">
      <c r="A708" s="10">
        <v>44319.0</v>
      </c>
      <c r="B708" s="173" t="s">
        <v>6659</v>
      </c>
    </row>
    <row r="709">
      <c r="A709" s="10">
        <v>44323.0</v>
      </c>
      <c r="B709" s="173" t="s">
        <v>6660</v>
      </c>
    </row>
    <row r="710">
      <c r="A710" s="10">
        <v>44328.0</v>
      </c>
      <c r="B710" s="173" t="s">
        <v>6661</v>
      </c>
    </row>
    <row r="711">
      <c r="A711" s="10">
        <v>44329.0</v>
      </c>
      <c r="B711" s="173" t="s">
        <v>6662</v>
      </c>
    </row>
    <row r="712">
      <c r="A712" s="10">
        <v>44330.0</v>
      </c>
      <c r="B712" s="173" t="s">
        <v>6663</v>
      </c>
    </row>
    <row r="713">
      <c r="A713" s="10">
        <v>44335.0</v>
      </c>
      <c r="B713" s="173" t="s">
        <v>6664</v>
      </c>
    </row>
    <row r="714">
      <c r="A714" s="10">
        <v>44337.0</v>
      </c>
      <c r="B714" s="173" t="s">
        <v>6665</v>
      </c>
    </row>
    <row r="715">
      <c r="A715" s="10">
        <v>44340.0</v>
      </c>
      <c r="B715" s="173" t="s">
        <v>6666</v>
      </c>
    </row>
    <row r="716">
      <c r="A716" s="10">
        <v>44342.0</v>
      </c>
      <c r="B716" s="173" t="s">
        <v>6667</v>
      </c>
    </row>
    <row r="717">
      <c r="A717" s="10">
        <v>44343.0</v>
      </c>
      <c r="B717" s="173" t="s">
        <v>6668</v>
      </c>
    </row>
    <row r="718">
      <c r="A718" s="10">
        <v>44346.0</v>
      </c>
      <c r="B718" s="173" t="s">
        <v>6669</v>
      </c>
    </row>
    <row r="719">
      <c r="A719" s="10">
        <v>44350.0</v>
      </c>
      <c r="B719" s="173" t="s">
        <v>6670</v>
      </c>
    </row>
    <row r="720">
      <c r="A720" s="10">
        <v>44354.0</v>
      </c>
      <c r="B720" s="173" t="s">
        <v>6671</v>
      </c>
    </row>
    <row r="721">
      <c r="A721" s="10">
        <v>44355.0</v>
      </c>
      <c r="B721" s="173" t="s">
        <v>6672</v>
      </c>
    </row>
    <row r="722">
      <c r="A722" s="10">
        <v>44356.0</v>
      </c>
      <c r="B722" s="173" t="s">
        <v>6673</v>
      </c>
    </row>
    <row r="723">
      <c r="A723" s="10">
        <v>44358.0</v>
      </c>
      <c r="B723" s="173" t="s">
        <v>6674</v>
      </c>
    </row>
    <row r="724">
      <c r="A724" s="10">
        <v>44363.0</v>
      </c>
      <c r="B724" s="173" t="s">
        <v>6675</v>
      </c>
    </row>
    <row r="725">
      <c r="A725" s="10">
        <v>44365.0</v>
      </c>
      <c r="B725" s="173" t="s">
        <v>6676</v>
      </c>
    </row>
    <row r="726">
      <c r="A726" s="10">
        <v>44369.0</v>
      </c>
      <c r="B726" s="173" t="s">
        <v>6677</v>
      </c>
    </row>
    <row r="727">
      <c r="A727" s="10">
        <v>44376.0</v>
      </c>
      <c r="B727" s="173" t="s">
        <v>6678</v>
      </c>
    </row>
    <row r="728">
      <c r="A728" s="10">
        <v>44390.0</v>
      </c>
      <c r="B728" s="173" t="s">
        <v>6679</v>
      </c>
    </row>
    <row r="729">
      <c r="A729" s="10">
        <v>44391.0</v>
      </c>
      <c r="B729" s="173" t="s">
        <v>6680</v>
      </c>
    </row>
    <row r="730">
      <c r="A730" s="10">
        <v>44393.0</v>
      </c>
      <c r="B730" s="173" t="s">
        <v>6681</v>
      </c>
    </row>
    <row r="731">
      <c r="A731" s="10">
        <v>44400.0</v>
      </c>
      <c r="B731" s="173" t="s">
        <v>6682</v>
      </c>
    </row>
    <row r="732">
      <c r="A732" s="10">
        <v>44404.0</v>
      </c>
      <c r="B732" s="173" t="s">
        <v>6683</v>
      </c>
    </row>
    <row r="733">
      <c r="A733" s="10">
        <v>44405.0</v>
      </c>
      <c r="B733" s="173" t="s">
        <v>6684</v>
      </c>
    </row>
    <row r="734">
      <c r="A734" s="10">
        <v>44407.0</v>
      </c>
      <c r="B734" s="173" t="s">
        <v>6685</v>
      </c>
    </row>
    <row r="735">
      <c r="A735" s="10">
        <v>409653.0</v>
      </c>
      <c r="B735" s="173" t="s">
        <v>6686</v>
      </c>
    </row>
    <row r="736">
      <c r="A736" s="10">
        <v>44412.0</v>
      </c>
      <c r="B736" s="173" t="s">
        <v>6687</v>
      </c>
    </row>
    <row r="737">
      <c r="A737" s="10">
        <v>44414.0</v>
      </c>
      <c r="B737" s="173" t="s">
        <v>6688</v>
      </c>
    </row>
    <row r="738">
      <c r="A738" s="10">
        <v>44417.0</v>
      </c>
      <c r="B738" s="173" t="s">
        <v>6689</v>
      </c>
    </row>
    <row r="739">
      <c r="A739" s="10">
        <v>44420.0</v>
      </c>
      <c r="B739" s="173" t="s">
        <v>6690</v>
      </c>
    </row>
    <row r="740">
      <c r="A740" s="10">
        <v>44424.0</v>
      </c>
      <c r="B740" s="173" t="s">
        <v>6691</v>
      </c>
    </row>
    <row r="741">
      <c r="A741" s="10">
        <v>44425.0</v>
      </c>
      <c r="B741" s="173" t="s">
        <v>6692</v>
      </c>
    </row>
    <row r="742">
      <c r="A742" s="10">
        <v>44428.0</v>
      </c>
      <c r="B742" s="173" t="s">
        <v>6693</v>
      </c>
    </row>
    <row r="743">
      <c r="A743" s="10">
        <v>44430.0</v>
      </c>
      <c r="B743" s="173" t="s">
        <v>6694</v>
      </c>
    </row>
    <row r="744">
      <c r="A744" s="10">
        <v>44434.0</v>
      </c>
      <c r="B744" s="173" t="s">
        <v>6695</v>
      </c>
    </row>
    <row r="745">
      <c r="A745" s="10">
        <v>44435.0</v>
      </c>
      <c r="B745" s="173" t="s">
        <v>6696</v>
      </c>
    </row>
    <row r="746">
      <c r="A746" s="10">
        <v>44439.0</v>
      </c>
      <c r="B746" s="173" t="s">
        <v>6697</v>
      </c>
    </row>
    <row r="747">
      <c r="A747" s="10">
        <v>44440.0</v>
      </c>
      <c r="B747" s="173" t="s">
        <v>6698</v>
      </c>
    </row>
    <row r="748">
      <c r="A748" s="10">
        <v>44442.0</v>
      </c>
      <c r="B748" s="173" t="s">
        <v>6699</v>
      </c>
    </row>
    <row r="749">
      <c r="A749" s="10">
        <v>44447.0</v>
      </c>
      <c r="B749" s="173" t="s">
        <v>6700</v>
      </c>
    </row>
    <row r="750">
      <c r="A750" s="10">
        <v>44449.0</v>
      </c>
      <c r="B750" s="173" t="s">
        <v>6701</v>
      </c>
    </row>
    <row r="751">
      <c r="A751" s="10">
        <v>44451.0</v>
      </c>
      <c r="B751" s="173" t="s">
        <v>6702</v>
      </c>
    </row>
    <row r="752">
      <c r="A752" s="10">
        <v>44451.0</v>
      </c>
      <c r="B752" s="173" t="s">
        <v>6703</v>
      </c>
    </row>
    <row r="753">
      <c r="A753" s="10">
        <v>44455.0</v>
      </c>
      <c r="B753" s="173" t="s">
        <v>6704</v>
      </c>
    </row>
    <row r="754">
      <c r="A754" s="10">
        <v>44465.0</v>
      </c>
      <c r="B754" s="173" t="s">
        <v>6705</v>
      </c>
    </row>
    <row r="755">
      <c r="A755" s="10">
        <v>44469.0</v>
      </c>
      <c r="B755" s="173" t="s">
        <v>6706</v>
      </c>
    </row>
    <row r="756">
      <c r="A756" s="10">
        <v>44490.0</v>
      </c>
      <c r="B756" s="173" t="s">
        <v>6707</v>
      </c>
    </row>
    <row r="757">
      <c r="A757" s="10">
        <v>44494.0</v>
      </c>
      <c r="B757" s="173" t="s">
        <v>6708</v>
      </c>
    </row>
    <row r="758">
      <c r="A758" s="10">
        <v>44498.0</v>
      </c>
      <c r="B758" s="173" t="s">
        <v>6709</v>
      </c>
    </row>
    <row r="759">
      <c r="A759" s="10">
        <v>44515.0</v>
      </c>
      <c r="B759" s="173" t="s">
        <v>6710</v>
      </c>
    </row>
    <row r="760">
      <c r="A760" s="10">
        <v>44518.0</v>
      </c>
      <c r="B760" s="173" t="s">
        <v>6711</v>
      </c>
    </row>
    <row r="761">
      <c r="A761" s="10">
        <v>44528.0</v>
      </c>
      <c r="B761" s="173" t="s">
        <v>6712</v>
      </c>
    </row>
    <row r="762">
      <c r="A762" s="10">
        <v>44530.0</v>
      </c>
      <c r="B762" s="173" t="s">
        <v>6713</v>
      </c>
    </row>
    <row r="763">
      <c r="A763" s="10">
        <v>44538.0</v>
      </c>
      <c r="B763" s="173" t="s">
        <v>6714</v>
      </c>
    </row>
    <row r="764">
      <c r="A764" s="10">
        <v>44543.0</v>
      </c>
      <c r="B764" s="173" t="s">
        <v>6715</v>
      </c>
    </row>
    <row r="765">
      <c r="A765" s="10">
        <v>44583.0</v>
      </c>
      <c r="B765" s="173" t="s">
        <v>6716</v>
      </c>
    </row>
    <row r="766">
      <c r="A766" s="10">
        <v>44599.0</v>
      </c>
      <c r="B766" s="173" t="s">
        <v>6717</v>
      </c>
    </row>
    <row r="767">
      <c r="A767" s="10">
        <v>44619.0</v>
      </c>
      <c r="B767" s="173" t="s">
        <v>6718</v>
      </c>
    </row>
    <row r="768">
      <c r="A768" s="10">
        <v>44627.0</v>
      </c>
      <c r="B768" s="173" t="s">
        <v>6719</v>
      </c>
    </row>
    <row r="769">
      <c r="A769" s="10">
        <v>44628.0</v>
      </c>
      <c r="B769" s="173" t="s">
        <v>6720</v>
      </c>
    </row>
    <row r="770">
      <c r="A770" s="10">
        <v>44632.0</v>
      </c>
      <c r="B770" s="173" t="s">
        <v>6721</v>
      </c>
    </row>
    <row r="771">
      <c r="A771" s="10">
        <v>44641.0</v>
      </c>
      <c r="B771" s="173" t="s">
        <v>6722</v>
      </c>
    </row>
    <row r="772">
      <c r="A772" s="10">
        <v>44654.0</v>
      </c>
      <c r="B772" s="173" t="s">
        <v>6723</v>
      </c>
    </row>
    <row r="773">
      <c r="A773" s="10">
        <v>44657.0</v>
      </c>
      <c r="B773" s="173" t="s">
        <v>6724</v>
      </c>
    </row>
    <row r="774">
      <c r="A774" s="10">
        <v>44671.0</v>
      </c>
      <c r="B774" s="173" t="s">
        <v>6725</v>
      </c>
    </row>
    <row r="775">
      <c r="A775" s="10">
        <v>44673.0</v>
      </c>
      <c r="B775" s="173" t="s">
        <v>6726</v>
      </c>
    </row>
    <row r="776">
      <c r="A776" s="10">
        <v>44676.0</v>
      </c>
      <c r="B776" s="173" t="s">
        <v>6727</v>
      </c>
    </row>
    <row r="777">
      <c r="A777" s="10">
        <v>44677.0</v>
      </c>
      <c r="B777" s="173" t="s">
        <v>6728</v>
      </c>
    </row>
    <row r="778">
      <c r="A778" s="10">
        <v>44680.0</v>
      </c>
      <c r="B778" s="173" t="s">
        <v>6729</v>
      </c>
    </row>
    <row r="779">
      <c r="A779" s="10">
        <v>44685.0</v>
      </c>
      <c r="B779" s="173" t="s">
        <v>6730</v>
      </c>
    </row>
    <row r="780">
      <c r="A780" s="10">
        <v>44693.0</v>
      </c>
      <c r="B780" s="173" t="s">
        <v>6731</v>
      </c>
    </row>
    <row r="781">
      <c r="A781" s="10">
        <v>44697.0</v>
      </c>
      <c r="B781" s="173" t="s">
        <v>6732</v>
      </c>
    </row>
    <row r="782">
      <c r="A782" s="10">
        <v>44699.0</v>
      </c>
      <c r="B782" s="173" t="s">
        <v>6733</v>
      </c>
    </row>
    <row r="783">
      <c r="A783" s="10">
        <v>44702.0</v>
      </c>
      <c r="B783" s="173" t="s">
        <v>6734</v>
      </c>
    </row>
    <row r="784">
      <c r="A784" s="10">
        <v>44704.0</v>
      </c>
      <c r="B784" s="173" t="s">
        <v>6735</v>
      </c>
    </row>
    <row r="785">
      <c r="A785" s="10">
        <v>44711.0</v>
      </c>
      <c r="B785" s="173" t="s">
        <v>6736</v>
      </c>
    </row>
    <row r="786">
      <c r="A786" s="10">
        <v>44715.0</v>
      </c>
      <c r="B786" s="173" t="s">
        <v>6737</v>
      </c>
    </row>
    <row r="787">
      <c r="A787" s="10">
        <v>44716.0</v>
      </c>
      <c r="B787" s="173" t="s">
        <v>6738</v>
      </c>
    </row>
    <row r="788">
      <c r="A788" s="10">
        <v>44716.0</v>
      </c>
      <c r="B788" s="173" t="s">
        <v>6739</v>
      </c>
    </row>
    <row r="789">
      <c r="A789" s="10">
        <v>44719.0</v>
      </c>
      <c r="B789" s="173" t="s">
        <v>6740</v>
      </c>
    </row>
    <row r="790">
      <c r="A790" s="10">
        <v>44723.0</v>
      </c>
      <c r="B790" s="173" t="s">
        <v>6741</v>
      </c>
    </row>
    <row r="791">
      <c r="A791" s="10">
        <v>44728.0</v>
      </c>
      <c r="B791" s="173" t="s">
        <v>6742</v>
      </c>
    </row>
    <row r="792">
      <c r="A792" s="10">
        <v>44732.0</v>
      </c>
      <c r="B792" s="173" t="s">
        <v>6743</v>
      </c>
    </row>
    <row r="793">
      <c r="A793" s="10">
        <v>44733.0</v>
      </c>
      <c r="B793" s="173" t="s">
        <v>6744</v>
      </c>
    </row>
    <row r="794">
      <c r="A794" s="10">
        <v>44742.0</v>
      </c>
      <c r="B794" s="173" t="s">
        <v>6745</v>
      </c>
    </row>
    <row r="795">
      <c r="A795" s="10">
        <v>44743.0</v>
      </c>
      <c r="B795" s="173" t="s">
        <v>6746</v>
      </c>
    </row>
    <row r="796">
      <c r="A796" s="10">
        <v>44749.0</v>
      </c>
      <c r="B796" s="173" t="s">
        <v>6747</v>
      </c>
    </row>
    <row r="797">
      <c r="A797" s="10">
        <v>44750.0</v>
      </c>
      <c r="B797" s="173" t="s">
        <v>6748</v>
      </c>
    </row>
    <row r="798">
      <c r="A798" s="10">
        <v>44754.0</v>
      </c>
      <c r="B798" s="173" t="s">
        <v>6749</v>
      </c>
    </row>
    <row r="799">
      <c r="A799" s="10">
        <v>44755.0</v>
      </c>
      <c r="B799" s="173" t="s">
        <v>6750</v>
      </c>
    </row>
    <row r="800">
      <c r="A800" s="10">
        <v>44756.0</v>
      </c>
      <c r="B800" s="173" t="s">
        <v>6751</v>
      </c>
    </row>
    <row r="801">
      <c r="A801" s="10">
        <v>44757.0</v>
      </c>
      <c r="B801" s="173" t="s">
        <v>6752</v>
      </c>
    </row>
    <row r="802">
      <c r="A802" s="10">
        <v>44760.0</v>
      </c>
      <c r="B802" s="173" t="s">
        <v>6753</v>
      </c>
    </row>
    <row r="803">
      <c r="A803" s="10">
        <v>44762.0</v>
      </c>
      <c r="B803" s="173" t="s">
        <v>6754</v>
      </c>
    </row>
    <row r="804">
      <c r="A804" s="10">
        <v>44763.0</v>
      </c>
      <c r="B804" s="173" t="s">
        <v>6755</v>
      </c>
    </row>
    <row r="805">
      <c r="A805" s="10">
        <v>44764.0</v>
      </c>
      <c r="B805" s="173" t="s">
        <v>6756</v>
      </c>
    </row>
    <row r="806">
      <c r="A806" s="10">
        <v>44765.0</v>
      </c>
      <c r="B806" s="173" t="s">
        <v>6757</v>
      </c>
    </row>
    <row r="807">
      <c r="A807" s="10">
        <v>44767.0</v>
      </c>
      <c r="B807" s="173" t="s">
        <v>6758</v>
      </c>
    </row>
    <row r="808">
      <c r="A808" s="10">
        <v>44776.0</v>
      </c>
      <c r="B808" s="173" t="s">
        <v>6759</v>
      </c>
    </row>
    <row r="809">
      <c r="A809" s="10">
        <v>44777.0</v>
      </c>
      <c r="B809" s="173" t="s">
        <v>6760</v>
      </c>
    </row>
    <row r="810">
      <c r="A810" s="10">
        <v>44782.0</v>
      </c>
      <c r="B810" s="173" t="s">
        <v>6761</v>
      </c>
    </row>
    <row r="811">
      <c r="A811" s="10">
        <v>44784.0</v>
      </c>
      <c r="B811" s="173" t="s">
        <v>6762</v>
      </c>
    </row>
    <row r="812">
      <c r="A812" s="10">
        <v>44788.0</v>
      </c>
      <c r="B812" s="173" t="s">
        <v>6763</v>
      </c>
    </row>
    <row r="813">
      <c r="A813" s="10">
        <v>44789.0</v>
      </c>
      <c r="B813" s="173" t="s">
        <v>6764</v>
      </c>
    </row>
    <row r="814">
      <c r="A814" s="10">
        <v>44790.0</v>
      </c>
      <c r="B814" s="173" t="s">
        <v>6765</v>
      </c>
    </row>
    <row r="815">
      <c r="A815" s="10">
        <v>44792.0</v>
      </c>
      <c r="B815" s="173" t="s">
        <v>6766</v>
      </c>
    </row>
    <row r="816">
      <c r="A816" s="10">
        <v>44793.0</v>
      </c>
      <c r="B816" s="173" t="s">
        <v>6767</v>
      </c>
    </row>
    <row r="817">
      <c r="A817" s="10">
        <v>44796.0</v>
      </c>
      <c r="B817" s="173" t="s">
        <v>6768</v>
      </c>
    </row>
    <row r="818">
      <c r="A818" s="10">
        <v>44797.0</v>
      </c>
      <c r="B818" s="173" t="s">
        <v>6769</v>
      </c>
    </row>
    <row r="819">
      <c r="A819" s="10">
        <v>44806.0</v>
      </c>
      <c r="B819" s="173" t="s">
        <v>6770</v>
      </c>
    </row>
    <row r="820">
      <c r="A820" s="10">
        <v>44810.0</v>
      </c>
      <c r="B820" s="173" t="s">
        <v>6771</v>
      </c>
    </row>
    <row r="821">
      <c r="A821" s="10">
        <v>44812.0</v>
      </c>
      <c r="B821" s="173" t="s">
        <v>6772</v>
      </c>
    </row>
    <row r="822">
      <c r="A822" s="10">
        <v>44817.0</v>
      </c>
      <c r="B822" s="173" t="s">
        <v>6773</v>
      </c>
    </row>
    <row r="823">
      <c r="A823" s="10">
        <v>44819.0</v>
      </c>
      <c r="B823" s="173" t="s">
        <v>6774</v>
      </c>
    </row>
    <row r="824">
      <c r="A824" s="10">
        <v>44833.0</v>
      </c>
      <c r="B824" s="173" t="s">
        <v>6775</v>
      </c>
    </row>
    <row r="825">
      <c r="A825" s="10">
        <v>44846.0</v>
      </c>
      <c r="B825" s="173" t="s">
        <v>6776</v>
      </c>
    </row>
    <row r="826">
      <c r="A826" s="10">
        <v>44879.0</v>
      </c>
      <c r="B826" s="173" t="s">
        <v>6777</v>
      </c>
    </row>
    <row r="827">
      <c r="A827" s="10">
        <v>44880.0</v>
      </c>
      <c r="B827" s="173" t="s">
        <v>6778</v>
      </c>
    </row>
    <row r="828">
      <c r="A828" s="10">
        <v>44888.0</v>
      </c>
      <c r="B828" s="173" t="s">
        <v>6779</v>
      </c>
    </row>
    <row r="829">
      <c r="A829" s="10">
        <v>44896.0</v>
      </c>
      <c r="B829" s="173" t="s">
        <v>6780</v>
      </c>
    </row>
    <row r="830">
      <c r="A830" s="10">
        <v>44898.0</v>
      </c>
      <c r="B830" s="173" t="s">
        <v>6781</v>
      </c>
    </row>
    <row r="831">
      <c r="A831" s="10">
        <v>44902.0</v>
      </c>
      <c r="B831" s="173" t="s">
        <v>6782</v>
      </c>
    </row>
    <row r="832">
      <c r="A832" s="10">
        <v>44903.0</v>
      </c>
      <c r="B832" s="173" t="s">
        <v>6783</v>
      </c>
    </row>
    <row r="833">
      <c r="A833" s="10">
        <v>44906.0</v>
      </c>
      <c r="B833" s="173" t="s">
        <v>6784</v>
      </c>
    </row>
    <row r="834">
      <c r="A834" s="10">
        <v>44908.0</v>
      </c>
      <c r="B834" s="173" t="s">
        <v>6785</v>
      </c>
    </row>
    <row r="835">
      <c r="A835" s="10">
        <v>44909.0</v>
      </c>
      <c r="B835" s="173" t="s">
        <v>6786</v>
      </c>
    </row>
    <row r="836">
      <c r="A836" s="10">
        <v>44936.0</v>
      </c>
      <c r="B836" s="173" t="s">
        <v>6787</v>
      </c>
    </row>
    <row r="837">
      <c r="A837" s="10">
        <v>44965.0</v>
      </c>
      <c r="B837" s="173" t="s">
        <v>6788</v>
      </c>
    </row>
    <row r="838">
      <c r="A838" s="10">
        <v>44985.0</v>
      </c>
      <c r="B838" s="173" t="s">
        <v>6789</v>
      </c>
    </row>
    <row r="839">
      <c r="A839" s="10">
        <v>410230.0</v>
      </c>
      <c r="B839" s="173" t="s">
        <v>6790</v>
      </c>
    </row>
    <row r="840">
      <c r="A840" s="10">
        <v>45005.0</v>
      </c>
      <c r="B840" s="173" t="s">
        <v>6791</v>
      </c>
    </row>
    <row r="841">
      <c r="A841" s="10">
        <v>45006.0</v>
      </c>
      <c r="B841" s="173" t="s">
        <v>6792</v>
      </c>
    </row>
    <row r="842">
      <c r="A842" s="10">
        <v>45009.0</v>
      </c>
      <c r="B842" s="173" t="s">
        <v>6793</v>
      </c>
    </row>
    <row r="843">
      <c r="A843" s="10">
        <v>45022.0</v>
      </c>
      <c r="B843" s="173" t="s">
        <v>6794</v>
      </c>
    </row>
    <row r="844">
      <c r="A844" s="10">
        <v>45026.0</v>
      </c>
      <c r="B844" s="173" t="s">
        <v>6795</v>
      </c>
    </row>
    <row r="845">
      <c r="A845" s="10">
        <v>45028.0</v>
      </c>
      <c r="B845" s="173" t="s">
        <v>6796</v>
      </c>
    </row>
    <row r="846">
      <c r="A846" s="10">
        <v>45030.0</v>
      </c>
      <c r="B846" s="173" t="s">
        <v>6797</v>
      </c>
    </row>
    <row r="847">
      <c r="A847" s="10">
        <v>45042.0</v>
      </c>
      <c r="B847" s="173" t="s">
        <v>6798</v>
      </c>
    </row>
    <row r="848">
      <c r="A848" s="10">
        <v>45047.0</v>
      </c>
      <c r="B848" s="173" t="s">
        <v>6799</v>
      </c>
    </row>
    <row r="849">
      <c r="A849" s="10">
        <v>45051.0</v>
      </c>
      <c r="B849" s="173" t="s">
        <v>6800</v>
      </c>
    </row>
    <row r="850">
      <c r="A850" s="10">
        <v>45065.0</v>
      </c>
      <c r="B850" s="173" t="s">
        <v>6801</v>
      </c>
    </row>
    <row r="851">
      <c r="A851" s="10">
        <v>45066.0</v>
      </c>
      <c r="B851" s="173" t="s">
        <v>6802</v>
      </c>
    </row>
    <row r="852">
      <c r="A852" s="17">
        <v>45070.0</v>
      </c>
      <c r="B852" s="173" t="s">
        <v>6803</v>
      </c>
    </row>
    <row r="853">
      <c r="A853" s="10">
        <v>45071.0</v>
      </c>
      <c r="B853" s="173" t="s">
        <v>6419</v>
      </c>
    </row>
    <row r="854">
      <c r="A854" s="10">
        <v>45089.0</v>
      </c>
      <c r="B854" s="173" t="s">
        <v>6804</v>
      </c>
    </row>
    <row r="855">
      <c r="A855" s="10">
        <v>45090.0</v>
      </c>
      <c r="B855" s="173" t="s">
        <v>6805</v>
      </c>
    </row>
    <row r="856">
      <c r="A856" s="10">
        <v>45091.0</v>
      </c>
      <c r="B856" s="173" t="s">
        <v>6806</v>
      </c>
    </row>
    <row r="857">
      <c r="A857" s="10">
        <v>45092.0</v>
      </c>
      <c r="B857" s="173" t="s">
        <v>6807</v>
      </c>
    </row>
    <row r="858">
      <c r="A858" s="10">
        <v>45093.0</v>
      </c>
      <c r="B858" s="173" t="s">
        <v>6808</v>
      </c>
    </row>
    <row r="859">
      <c r="A859" s="10">
        <v>45096.0</v>
      </c>
      <c r="B859" s="173" t="s">
        <v>6809</v>
      </c>
    </row>
    <row r="860">
      <c r="A860" s="10">
        <v>45106.0</v>
      </c>
      <c r="B860" s="173" t="s">
        <v>6810</v>
      </c>
    </row>
    <row r="861">
      <c r="A861" s="10">
        <v>45118.0</v>
      </c>
      <c r="B861" s="173" t="s">
        <v>6811</v>
      </c>
    </row>
    <row r="862">
      <c r="A862" s="10">
        <v>45132.0</v>
      </c>
      <c r="B862" s="173" t="s">
        <v>6812</v>
      </c>
    </row>
    <row r="863">
      <c r="A863" s="10">
        <v>45140.0</v>
      </c>
      <c r="B863" s="173" t="s">
        <v>6813</v>
      </c>
    </row>
    <row r="864">
      <c r="A864" s="10">
        <v>45148.0</v>
      </c>
      <c r="B864" s="173" t="s">
        <v>6814</v>
      </c>
    </row>
    <row r="865">
      <c r="A865" s="10">
        <v>45149.0</v>
      </c>
      <c r="B865" s="173" t="s">
        <v>6815</v>
      </c>
    </row>
    <row r="866">
      <c r="A866" s="10">
        <v>45152.0</v>
      </c>
      <c r="B866" s="173" t="s">
        <v>6816</v>
      </c>
    </row>
    <row r="867">
      <c r="A867" s="10">
        <v>45154.0</v>
      </c>
      <c r="B867" s="173" t="s">
        <v>6817</v>
      </c>
    </row>
    <row r="868">
      <c r="A868" s="10">
        <v>45161.0</v>
      </c>
      <c r="B868" s="173" t="s">
        <v>6818</v>
      </c>
    </row>
    <row r="869">
      <c r="A869" s="10">
        <v>45167.0</v>
      </c>
      <c r="B869" s="173" t="s">
        <v>6819</v>
      </c>
    </row>
    <row r="870">
      <c r="A870" s="10">
        <v>45187.0</v>
      </c>
      <c r="B870" s="173" t="s">
        <v>6820</v>
      </c>
    </row>
    <row r="871">
      <c r="A871" s="10">
        <v>45190.0</v>
      </c>
      <c r="B871" s="173" t="s">
        <v>6821</v>
      </c>
    </row>
    <row r="872">
      <c r="A872" s="10">
        <v>45194.0</v>
      </c>
      <c r="B872" s="173" t="s">
        <v>6822</v>
      </c>
    </row>
    <row r="873">
      <c r="A873" s="10">
        <v>45202.0</v>
      </c>
      <c r="B873" s="173" t="s">
        <v>6823</v>
      </c>
    </row>
    <row r="874">
      <c r="A874" s="10">
        <v>45205.0</v>
      </c>
      <c r="B874" s="173" t="s">
        <v>6824</v>
      </c>
    </row>
    <row r="875">
      <c r="A875" s="10">
        <v>45210.0</v>
      </c>
      <c r="B875" s="173" t="s">
        <v>6825</v>
      </c>
    </row>
    <row r="876">
      <c r="A876" s="10">
        <v>45213.0</v>
      </c>
      <c r="B876" s="173" t="s">
        <v>6826</v>
      </c>
    </row>
    <row r="877">
      <c r="A877" s="10">
        <v>45214.0</v>
      </c>
      <c r="B877" s="173" t="s">
        <v>6827</v>
      </c>
    </row>
    <row r="878">
      <c r="A878" s="10">
        <v>45218.0</v>
      </c>
      <c r="B878" s="173" t="s">
        <v>6828</v>
      </c>
    </row>
    <row r="879">
      <c r="A879" s="10">
        <v>45222.0</v>
      </c>
      <c r="B879" s="173" t="s">
        <v>6829</v>
      </c>
    </row>
    <row r="880">
      <c r="A880" s="10">
        <v>45236.0</v>
      </c>
      <c r="B880" s="173" t="s">
        <v>6830</v>
      </c>
    </row>
    <row r="881">
      <c r="A881" s="10">
        <v>45250.0</v>
      </c>
      <c r="B881" s="173" t="s">
        <v>6831</v>
      </c>
    </row>
    <row r="882">
      <c r="A882" s="10">
        <v>45257.0</v>
      </c>
      <c r="B882" s="173" t="s">
        <v>6832</v>
      </c>
    </row>
    <row r="883">
      <c r="A883" s="10">
        <v>45265.0</v>
      </c>
      <c r="B883" s="173" t="s">
        <v>6833</v>
      </c>
    </row>
    <row r="884">
      <c r="A884" s="10">
        <v>45273.0</v>
      </c>
      <c r="B884" s="173" t="s">
        <v>6834</v>
      </c>
    </row>
    <row r="885">
      <c r="A885" s="10">
        <v>45280.0</v>
      </c>
      <c r="B885" s="173" t="s">
        <v>6835</v>
      </c>
    </row>
    <row r="886">
      <c r="A886" s="10">
        <v>45308.0</v>
      </c>
      <c r="B886" s="173" t="s">
        <v>6836</v>
      </c>
    </row>
    <row r="887">
      <c r="A887" s="10">
        <v>45346.0</v>
      </c>
      <c r="B887" s="173" t="s">
        <v>6837</v>
      </c>
    </row>
    <row r="888">
      <c r="A888" s="10">
        <v>45349.0</v>
      </c>
      <c r="B888" s="173" t="s">
        <v>6838</v>
      </c>
    </row>
    <row r="889">
      <c r="A889" s="10">
        <v>45354.0</v>
      </c>
      <c r="B889" s="173" t="s">
        <v>6839</v>
      </c>
    </row>
    <row r="890">
      <c r="A890" s="10">
        <v>45356.0</v>
      </c>
      <c r="B890" s="173" t="s">
        <v>6840</v>
      </c>
    </row>
    <row r="891">
      <c r="A891" s="10">
        <v>45362.0</v>
      </c>
      <c r="B891" s="173" t="s">
        <v>6841</v>
      </c>
    </row>
    <row r="892">
      <c r="A892" s="10">
        <v>45375.0</v>
      </c>
      <c r="B892" s="173" t="s">
        <v>6842</v>
      </c>
    </row>
    <row r="893">
      <c r="A893" s="10">
        <v>45387.0</v>
      </c>
      <c r="B893" s="173" t="s">
        <v>6843</v>
      </c>
    </row>
    <row r="894">
      <c r="A894" s="10">
        <v>45388.0</v>
      </c>
      <c r="B894" s="173" t="s">
        <v>6844</v>
      </c>
    </row>
    <row r="895">
      <c r="A895" s="10">
        <v>45392.0</v>
      </c>
      <c r="B895" s="173" t="s">
        <v>6845</v>
      </c>
    </row>
    <row r="896">
      <c r="A896" s="10">
        <v>45394.0</v>
      </c>
      <c r="B896" s="173" t="s">
        <v>6846</v>
      </c>
    </row>
    <row r="897">
      <c r="A897" s="10">
        <v>45410.0</v>
      </c>
      <c r="B897" s="173" t="s">
        <v>6847</v>
      </c>
    </row>
    <row r="898">
      <c r="A898" s="10">
        <v>45411.0</v>
      </c>
      <c r="B898" s="173" t="s">
        <v>6848</v>
      </c>
    </row>
    <row r="899">
      <c r="A899" s="10">
        <v>45417.0</v>
      </c>
      <c r="B899" s="173" t="s">
        <v>6849</v>
      </c>
    </row>
    <row r="900">
      <c r="A900" s="10">
        <v>45423.0</v>
      </c>
      <c r="B900" s="173" t="s">
        <v>6850</v>
      </c>
    </row>
    <row r="901">
      <c r="A901" s="10">
        <v>45444.0</v>
      </c>
      <c r="B901" s="173" t="s">
        <v>6851</v>
      </c>
    </row>
    <row r="902">
      <c r="A902" s="10"/>
      <c r="B902" s="173" t="s">
        <v>6852</v>
      </c>
    </row>
    <row r="903">
      <c r="A903" s="10">
        <v>45445.0</v>
      </c>
      <c r="B903" s="173" t="s">
        <v>6853</v>
      </c>
    </row>
    <row r="904">
      <c r="A904" s="10">
        <v>45448.0</v>
      </c>
      <c r="B904" s="173" t="s">
        <v>6854</v>
      </c>
    </row>
    <row r="905">
      <c r="A905" s="10">
        <v>45451.0</v>
      </c>
      <c r="B905" s="173" t="s">
        <v>6855</v>
      </c>
    </row>
    <row r="906">
      <c r="A906" s="10">
        <v>45458.0</v>
      </c>
      <c r="B906" s="173" t="s">
        <v>6856</v>
      </c>
    </row>
    <row r="907">
      <c r="A907" s="10">
        <v>45460.0</v>
      </c>
      <c r="B907" s="173" t="s">
        <v>6857</v>
      </c>
    </row>
    <row r="908">
      <c r="A908" s="10">
        <v>45472.0</v>
      </c>
      <c r="B908" s="173" t="s">
        <v>6858</v>
      </c>
    </row>
    <row r="909">
      <c r="A909" s="10">
        <v>45475.0</v>
      </c>
      <c r="B909" s="173" t="s">
        <v>6859</v>
      </c>
    </row>
    <row r="910">
      <c r="A910" s="10">
        <v>45488.0</v>
      </c>
      <c r="B910" s="173" t="s">
        <v>6860</v>
      </c>
    </row>
    <row r="911">
      <c r="A911" s="10">
        <v>45489.0</v>
      </c>
      <c r="B911" s="173" t="s">
        <v>6861</v>
      </c>
    </row>
    <row r="912">
      <c r="A912" s="10">
        <v>45491.0</v>
      </c>
      <c r="B912" s="173" t="s">
        <v>6862</v>
      </c>
    </row>
    <row r="913">
      <c r="A913" s="10">
        <v>45500.0</v>
      </c>
      <c r="B913" s="173" t="s">
        <v>6863</v>
      </c>
    </row>
    <row r="914">
      <c r="A914" s="10">
        <v>45501.0</v>
      </c>
      <c r="B914" s="173" t="s">
        <v>6864</v>
      </c>
    </row>
    <row r="915">
      <c r="A915" s="10">
        <v>410749.0</v>
      </c>
      <c r="B915" s="173" t="s">
        <v>6865</v>
      </c>
    </row>
    <row r="916">
      <c r="A916" s="10">
        <v>45521.0</v>
      </c>
      <c r="B916" s="173" t="s">
        <v>6866</v>
      </c>
    </row>
    <row r="917">
      <c r="A917" s="10">
        <v>45535.0</v>
      </c>
      <c r="B917" s="173" t="s">
        <v>6867</v>
      </c>
    </row>
    <row r="918">
      <c r="A918" s="10">
        <v>45557.0</v>
      </c>
      <c r="B918" s="173" t="s">
        <v>6868</v>
      </c>
    </row>
    <row r="919">
      <c r="A919" s="10">
        <v>45561.0</v>
      </c>
      <c r="B919" s="173" t="s">
        <v>6869</v>
      </c>
    </row>
    <row r="920">
      <c r="A920" s="10">
        <v>45572.0</v>
      </c>
      <c r="B920" s="173" t="s">
        <v>6870</v>
      </c>
    </row>
    <row r="921">
      <c r="A921" s="10">
        <v>45577.0</v>
      </c>
      <c r="B921" s="173" t="s">
        <v>6871</v>
      </c>
    </row>
    <row r="922">
      <c r="A922" s="10">
        <v>45610.0</v>
      </c>
      <c r="B922" s="173" t="s">
        <v>6872</v>
      </c>
    </row>
    <row r="923">
      <c r="A923" s="10">
        <v>45619.0</v>
      </c>
      <c r="B923" s="173" t="s">
        <v>6873</v>
      </c>
    </row>
    <row r="924">
      <c r="A924" s="10">
        <v>45667.0</v>
      </c>
      <c r="B924" s="173" t="s">
        <v>6874</v>
      </c>
    </row>
    <row r="925">
      <c r="A925" s="10">
        <v>45699.0</v>
      </c>
      <c r="B925" s="173" t="s">
        <v>6875</v>
      </c>
    </row>
    <row r="926">
      <c r="A926" s="10"/>
      <c r="B926" s="173" t="s">
        <v>6876</v>
      </c>
    </row>
    <row r="927">
      <c r="A927" s="10">
        <v>45704.0</v>
      </c>
      <c r="B927" s="173" t="s">
        <v>6877</v>
      </c>
    </row>
    <row r="928">
      <c r="A928" s="10">
        <v>45710.0</v>
      </c>
      <c r="B928" s="173" t="s">
        <v>6878</v>
      </c>
    </row>
    <row r="929">
      <c r="A929" s="10">
        <v>45711.0</v>
      </c>
      <c r="B929" s="173" t="s">
        <v>6879</v>
      </c>
    </row>
    <row r="930">
      <c r="A930" s="10">
        <v>45717.0</v>
      </c>
      <c r="B930" s="173" t="s">
        <v>6880</v>
      </c>
    </row>
    <row r="931">
      <c r="A931" s="10">
        <v>45718.0</v>
      </c>
      <c r="B931" s="173" t="s">
        <v>6881</v>
      </c>
    </row>
    <row r="932">
      <c r="A932" s="10">
        <v>45723.0</v>
      </c>
      <c r="B932" s="173" t="s">
        <v>6882</v>
      </c>
    </row>
    <row r="933">
      <c r="A933" s="10">
        <v>45726.0</v>
      </c>
      <c r="B933" s="173" t="s">
        <v>6883</v>
      </c>
    </row>
    <row r="934">
      <c r="A934" s="10">
        <v>45734.0</v>
      </c>
      <c r="B934" s="173" t="s">
        <v>6884</v>
      </c>
    </row>
    <row r="935">
      <c r="A935" s="10">
        <v>45737.0</v>
      </c>
      <c r="B935" s="173" t="s">
        <v>6885</v>
      </c>
    </row>
    <row r="936">
      <c r="A936" s="10">
        <v>45744.0</v>
      </c>
      <c r="B936" s="173" t="s">
        <v>6886</v>
      </c>
    </row>
    <row r="937">
      <c r="A937" s="10">
        <v>45746.0</v>
      </c>
      <c r="B937" s="173" t="s">
        <v>6887</v>
      </c>
    </row>
    <row r="938">
      <c r="A938" s="10">
        <v>45750.0</v>
      </c>
      <c r="B938" s="173" t="s">
        <v>6888</v>
      </c>
    </row>
    <row r="939">
      <c r="A939" s="10">
        <v>45756.0</v>
      </c>
      <c r="B939" s="173" t="s">
        <v>6889</v>
      </c>
    </row>
    <row r="940">
      <c r="A940" s="10">
        <v>45762.0</v>
      </c>
      <c r="B940" s="173" t="s">
        <v>6890</v>
      </c>
    </row>
    <row r="941">
      <c r="A941" s="10">
        <v>45763.0</v>
      </c>
      <c r="B941" s="173" t="s">
        <v>6891</v>
      </c>
    </row>
    <row r="942">
      <c r="A942" s="10">
        <v>45769.0</v>
      </c>
      <c r="B942" s="173" t="s">
        <v>6892</v>
      </c>
    </row>
    <row r="943">
      <c r="A943" s="10">
        <v>45776.0</v>
      </c>
      <c r="B943" s="173" t="s">
        <v>6893</v>
      </c>
    </row>
    <row r="944">
      <c r="A944" s="10">
        <v>45784.0</v>
      </c>
      <c r="B944" s="173" t="s">
        <v>6894</v>
      </c>
    </row>
    <row r="945">
      <c r="A945" s="10">
        <v>45790.0</v>
      </c>
      <c r="B945" s="173" t="s">
        <v>6895</v>
      </c>
    </row>
    <row r="946">
      <c r="A946" s="10">
        <v>45791.0</v>
      </c>
      <c r="B946" s="173" t="s">
        <v>6896</v>
      </c>
    </row>
    <row r="947">
      <c r="A947" s="10">
        <v>45795.0</v>
      </c>
      <c r="B947" s="173" t="s">
        <v>6897</v>
      </c>
    </row>
    <row r="948">
      <c r="A948" s="10">
        <v>45798.0</v>
      </c>
      <c r="B948" s="173" t="s">
        <v>6898</v>
      </c>
    </row>
    <row r="949">
      <c r="A949" s="10">
        <v>45801.0</v>
      </c>
      <c r="B949" s="173" t="s">
        <v>6899</v>
      </c>
    </row>
    <row r="950">
      <c r="A950" s="10">
        <v>45807.0</v>
      </c>
      <c r="B950" s="173" t="s">
        <v>6900</v>
      </c>
    </row>
    <row r="951">
      <c r="A951" s="10">
        <v>45810.0</v>
      </c>
      <c r="B951" s="173" t="s">
        <v>6901</v>
      </c>
    </row>
    <row r="952">
      <c r="A952" s="10">
        <v>45814.0</v>
      </c>
      <c r="B952" s="173" t="s">
        <v>6902</v>
      </c>
    </row>
    <row r="953">
      <c r="A953" s="10">
        <v>45821.0</v>
      </c>
      <c r="B953" s="173" t="s">
        <v>6903</v>
      </c>
    </row>
    <row r="954">
      <c r="A954" s="10">
        <v>45826.0</v>
      </c>
      <c r="B954" s="173" t="s">
        <v>6904</v>
      </c>
    </row>
    <row r="955">
      <c r="A955" s="10">
        <v>45829.0</v>
      </c>
      <c r="B955" s="173" t="s">
        <v>6905</v>
      </c>
    </row>
    <row r="956">
      <c r="A956" s="10">
        <v>45834.0</v>
      </c>
      <c r="B956" s="173" t="s">
        <v>6906</v>
      </c>
    </row>
    <row r="957">
      <c r="A957" s="10">
        <v>45842.0</v>
      </c>
      <c r="B957" s="173" t="s">
        <v>6907</v>
      </c>
    </row>
    <row r="958">
      <c r="A958" s="10">
        <v>45844.0</v>
      </c>
      <c r="B958" s="173" t="s">
        <v>6908</v>
      </c>
    </row>
    <row r="959">
      <c r="A959" s="10">
        <v>45878.0</v>
      </c>
      <c r="B959" s="173" t="s">
        <v>6909</v>
      </c>
    </row>
    <row r="960">
      <c r="A960" s="10">
        <v>45898.0</v>
      </c>
      <c r="B960" s="173" t="s">
        <v>6910</v>
      </c>
    </row>
    <row r="961">
      <c r="A961" s="10">
        <v>45975.0</v>
      </c>
      <c r="B961" s="173" t="s">
        <v>6911</v>
      </c>
    </row>
    <row r="962">
      <c r="A962" s="10">
        <v>45984.0</v>
      </c>
      <c r="B962" s="173" t="s">
        <v>6912</v>
      </c>
    </row>
    <row r="963">
      <c r="A963" s="10">
        <v>46014.0</v>
      </c>
      <c r="B963" s="173" t="s">
        <v>6913</v>
      </c>
    </row>
    <row r="964">
      <c r="A964" s="10"/>
      <c r="B964" s="173"/>
    </row>
    <row r="965">
      <c r="A965" s="10"/>
      <c r="B965" s="173"/>
    </row>
    <row r="966">
      <c r="A966" s="10"/>
      <c r="B966" s="173"/>
    </row>
    <row r="967">
      <c r="A967" s="10"/>
      <c r="B967" s="173"/>
    </row>
    <row r="968">
      <c r="A968" s="10"/>
      <c r="B968" s="173"/>
    </row>
    <row r="969">
      <c r="A969" s="10"/>
      <c r="B969" s="173"/>
    </row>
    <row r="970">
      <c r="A970" s="10"/>
      <c r="B970" s="173"/>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2.5"/>
    <col customWidth="1" min="3" max="3" width="15.5"/>
    <col customWidth="1" min="5" max="5" width="14.75"/>
    <col customWidth="1" hidden="1" min="6" max="6" width="11.13"/>
    <col customWidth="1" hidden="1" min="7" max="7" width="13.38"/>
    <col customWidth="1" min="8" max="8" width="10.75"/>
    <col customWidth="1" min="9" max="9" width="12.25"/>
    <col customWidth="1" hidden="1" min="10" max="10" width="13.75"/>
    <col customWidth="1" min="12" max="12" width="4.63"/>
    <col customWidth="1" min="13" max="13" width="10.88"/>
    <col customWidth="1" min="14" max="14" width="14.88"/>
    <col customWidth="1" min="21" max="21" width="12.63"/>
  </cols>
  <sheetData>
    <row r="1">
      <c r="A1" s="6" t="s">
        <v>9</v>
      </c>
      <c r="B1" s="5" t="s">
        <v>6914</v>
      </c>
      <c r="C1" s="5" t="s">
        <v>6915</v>
      </c>
      <c r="D1" s="13"/>
      <c r="E1" s="6" t="s">
        <v>6916</v>
      </c>
      <c r="F1" s="5" t="s">
        <v>6917</v>
      </c>
      <c r="G1" s="5" t="s">
        <v>6918</v>
      </c>
      <c r="H1" s="5" t="s">
        <v>6914</v>
      </c>
      <c r="I1" s="175" t="s">
        <v>6919</v>
      </c>
      <c r="J1" s="176" t="s">
        <v>6920</v>
      </c>
      <c r="K1" s="88"/>
      <c r="L1" s="5" t="s">
        <v>20</v>
      </c>
      <c r="M1" s="5" t="s">
        <v>6914</v>
      </c>
      <c r="N1" s="5" t="s">
        <v>6921</v>
      </c>
      <c r="X1" s="177"/>
    </row>
    <row r="2">
      <c r="A2" s="13" t="s">
        <v>6922</v>
      </c>
      <c r="B2" s="30">
        <f>COUNTIF('TJ List'!H:H,"California")+COUNTIF('TJ List'!H:H,"Arizona")+COUNTIF('TJ List'!H:H,"New Mexico")+COUNTIF('TJ List'!H:H,"Texas")+COUNTIF('TJ List'!H:H,"Louisiana")+COUNTIF('TJ List'!H:H,"Mississippi")+COUNTIF('TJ List'!H:H,"Alabama")+COUNTIF('TJ List'!H:H,"Georgia")+COUNTIF('TJ List'!H:H,"South Carolina")+COUNTIF('TJ List'!H:H,"Florida")+COUNTIF('TJ List'!H:H,"Hawaii")</f>
        <v>1081</v>
      </c>
      <c r="C2" s="178">
        <f>
(SUMIF('TJ List'!H:H,"California",'TJ List'!J:J)+SUMIF('TJ List'!H:H,"Arizona",'TJ List'!J:J)+SUMIF('TJ List'!H:H,"New Mexico",'TJ List'!J:J)+SUMIF('TJ List'!H:H,"Texas",'TJ List'!J:J)+SUMIF('TJ List'!H:H,"Louisiana",'TJ List'!J:J)+SUMIF('TJ List'!H:H,"Mississippi",'TJ List'!J:J)+SUMIF('TJ List'!H:H,"Alabama",'TJ List'!J:J)+SUMIF('TJ List'!H:H,"Georgia",'TJ List'!J:J)+SUMIF('TJ List'!H:H,"South Carolina",'TJ List'!J:J)+SUMIF('TJ List'!H:H,"Florida",'TJ List'!J:J)+SUMIF('TJ List'!H:H,"Hawaii",'TJ List'!J:J))/(COUNTIF('TJ List'!H:H,"California")+COUNTIF('TJ List'!H:H,"Arizona")+COUNTIF('TJ List'!H:H,"New Mexico")+COUNTIF('TJ List'!H:H,"Texas")+COUNTIF('TJ List'!H:H,"Louisiana")+COUNTIF('TJ List'!H:H,"Mississippi")+COUNTIF('TJ List'!H:H,"Alabama")+COUNTIF('TJ List'!H:H,"Georgia")+COUNTIF('TJ List'!H:H,"South Carolina")+COUNTIF('TJ List'!H:H,"Florida")+COUNTIF('TJ List'!H:H,"Hawaii"))
</f>
        <v>23.24421832</v>
      </c>
      <c r="E2" s="13" t="s">
        <v>243</v>
      </c>
      <c r="F2" s="11">
        <v>1.0</v>
      </c>
      <c r="G2" s="11">
        <v>1.0</v>
      </c>
      <c r="H2" s="30">
        <f>COUNTIF('TJ List'!H:H,E2)</f>
        <v>38</v>
      </c>
      <c r="I2" s="179">
        <f>COUNTIFS('TJ List'!H:H,E2,'TJ List'!E:E,"P")</f>
        <v>34</v>
      </c>
      <c r="J2" s="180">
        <v>4779736.0</v>
      </c>
      <c r="L2" s="13">
        <v>2025.0</v>
      </c>
      <c r="M2" s="30">
        <f>COUNTIFS('TJ List'!S:S,L2)</f>
        <v>70</v>
      </c>
      <c r="N2" s="30">
        <f>COUNTIFS('TJ List'!S:S,L2,'TJ List'!D:D,"MLB")</f>
        <v>29</v>
      </c>
      <c r="X2" s="177"/>
    </row>
    <row r="3">
      <c r="A3" s="13" t="s">
        <v>6923</v>
      </c>
      <c r="B3" s="30">
        <f>COUNTIF('TJ List'!G:G,"United States")-B2</f>
        <v>1031</v>
      </c>
      <c r="C3" s="121">
        <f>(SUM('TJ List'!J:J)-(B2*C2)-(B4*C4))/B3</f>
        <v>23.08094556</v>
      </c>
      <c r="E3" s="13" t="s">
        <v>2694</v>
      </c>
      <c r="F3" s="11">
        <v>1.0</v>
      </c>
      <c r="G3" s="11">
        <v>0.0</v>
      </c>
      <c r="H3" s="30">
        <f>COUNTIF('TJ List'!H:H,E3)</f>
        <v>1</v>
      </c>
      <c r="I3" s="179">
        <f>COUNTIFS('TJ List'!H:H,E3,'TJ List'!E:E,"P")</f>
        <v>1</v>
      </c>
      <c r="J3" s="180">
        <v>710231.0</v>
      </c>
      <c r="L3" s="13">
        <v>2024.0</v>
      </c>
      <c r="M3" s="30">
        <f>COUNTIFS('TJ List'!S:S,L3)</f>
        <v>107</v>
      </c>
      <c r="N3" s="30">
        <f>COUNTIFS('TJ List'!S:S,L3,'TJ List'!D:D,"MLB")</f>
        <v>34</v>
      </c>
      <c r="X3" s="177"/>
    </row>
    <row r="4">
      <c r="A4" s="13" t="s">
        <v>6924</v>
      </c>
      <c r="B4" s="30">
        <f>COUNTIF('TJ List'!G:G,"&lt;&gt;United States")</f>
        <v>564</v>
      </c>
      <c r="C4" s="121">
        <f>AVERAGEIF('TJ List'!G:G,"&lt;&gt;United States",'TJ List'!J:J)</f>
        <v>23.25451264</v>
      </c>
      <c r="E4" s="13" t="s">
        <v>317</v>
      </c>
      <c r="F4" s="11">
        <v>1.0</v>
      </c>
      <c r="G4" s="11">
        <v>1.0</v>
      </c>
      <c r="H4" s="30">
        <f>COUNTIF('TJ List'!H:H,E4)</f>
        <v>44</v>
      </c>
      <c r="I4" s="179">
        <f>COUNTIFS('TJ List'!H:H,E4,'TJ List'!E:E,"P")</f>
        <v>41</v>
      </c>
      <c r="J4" s="180">
        <v>6392017.0</v>
      </c>
      <c r="L4" s="13">
        <v>2023.0</v>
      </c>
      <c r="M4" s="30">
        <f>COUNTIFS('TJ List'!S:S,L4)</f>
        <v>129</v>
      </c>
      <c r="N4" s="30">
        <f>COUNTIFS('TJ List'!S:S,L4,'TJ List'!D:D,"MLB")</f>
        <v>34</v>
      </c>
      <c r="X4" s="177"/>
    </row>
    <row r="5">
      <c r="B5" s="30"/>
      <c r="C5" s="30"/>
      <c r="E5" s="13" t="s">
        <v>669</v>
      </c>
      <c r="F5" s="11">
        <v>1.0</v>
      </c>
      <c r="G5" s="11">
        <v>0.0</v>
      </c>
      <c r="H5" s="30">
        <f>COUNTIF('TJ List'!H:H,E5)</f>
        <v>14</v>
      </c>
      <c r="I5" s="179">
        <f>COUNTIFS('TJ List'!H:H,E5,'TJ List'!E:E,"P")</f>
        <v>13</v>
      </c>
      <c r="J5" s="180">
        <v>2915918.0</v>
      </c>
      <c r="L5" s="11">
        <v>2022.0</v>
      </c>
      <c r="M5" s="30">
        <f>COUNTIFS('TJ List'!S:S,L5)</f>
        <v>131</v>
      </c>
      <c r="N5" s="30">
        <f>COUNTIFS('TJ List'!S:S,L5,'TJ List'!D:D,"MLB")</f>
        <v>28</v>
      </c>
      <c r="X5" s="177"/>
    </row>
    <row r="6">
      <c r="A6" s="6" t="s">
        <v>6925</v>
      </c>
      <c r="B6" s="5" t="s">
        <v>17</v>
      </c>
      <c r="C6" s="5" t="s">
        <v>18</v>
      </c>
      <c r="E6" s="13" t="s">
        <v>67</v>
      </c>
      <c r="F6" s="11">
        <v>1.0</v>
      </c>
      <c r="G6" s="11">
        <v>1.0</v>
      </c>
      <c r="H6" s="30">
        <f>COUNTIF('TJ List'!H:H,E6)</f>
        <v>367</v>
      </c>
      <c r="I6" s="179">
        <f>COUNTIFS('TJ List'!H:H,E6,'TJ List'!E:E,"P")</f>
        <v>326</v>
      </c>
      <c r="J6" s="180">
        <v>3.7253956E7</v>
      </c>
      <c r="L6" s="11">
        <v>2021.0</v>
      </c>
      <c r="M6" s="30">
        <f>COUNTIFS('TJ List'!S:S,L6)</f>
        <v>172</v>
      </c>
      <c r="N6" s="30">
        <f>COUNTIFS('TJ List'!S:S,L6,'TJ List'!D:D,"MLB")</f>
        <v>35</v>
      </c>
      <c r="X6" s="177"/>
    </row>
    <row r="7">
      <c r="A7" s="13" t="s">
        <v>4681</v>
      </c>
      <c r="B7" s="179">
        <f>SUMIFS('TJ List'!P:P,'TJ List'!E:E,"P")</f>
        <v>66037</v>
      </c>
      <c r="C7" s="179">
        <f>SUMIFS('TJ List'!Q:Q,'TJ List'!E:E,"P")</f>
        <v>143976.665</v>
      </c>
      <c r="E7" s="13" t="s">
        <v>652</v>
      </c>
      <c r="F7" s="11">
        <v>1.0</v>
      </c>
      <c r="G7" s="11">
        <v>0.0</v>
      </c>
      <c r="H7" s="30">
        <f>COUNTIF('TJ List'!H:H,E7)</f>
        <v>26</v>
      </c>
      <c r="I7" s="179">
        <f>COUNTIFS('TJ List'!H:H,E7,'TJ List'!E:E,"P")</f>
        <v>26</v>
      </c>
      <c r="J7" s="180">
        <v>5029196.0</v>
      </c>
      <c r="K7" s="101"/>
      <c r="L7" s="11">
        <v>2020.0</v>
      </c>
      <c r="M7" s="30">
        <f>COUNTIFS('TJ List'!S:S,L7)</f>
        <v>89</v>
      </c>
      <c r="N7" s="30">
        <f>COUNTIFS('TJ List'!S:S,L7,'TJ List'!D:D,"MLB")</f>
        <v>29</v>
      </c>
      <c r="X7" s="177"/>
    </row>
    <row r="8">
      <c r="A8" s="13" t="s">
        <v>6926</v>
      </c>
      <c r="B8" s="181">
        <f>SUM('TJ List'!P:P)-B7</f>
        <v>27944</v>
      </c>
      <c r="C8" s="181">
        <f>SUM('TJ List'!Q:Q)-C7</f>
        <v>101279</v>
      </c>
      <c r="E8" s="13" t="s">
        <v>276</v>
      </c>
      <c r="F8" s="11">
        <v>1.0</v>
      </c>
      <c r="G8" s="11">
        <v>0.0</v>
      </c>
      <c r="H8" s="30">
        <f>COUNTIF('TJ List'!H:H,E8)</f>
        <v>31</v>
      </c>
      <c r="I8" s="179">
        <f>COUNTIFS('TJ List'!H:H,E8,'TJ List'!E:E,"P")</f>
        <v>27</v>
      </c>
      <c r="J8" s="180">
        <v>3574097.0</v>
      </c>
      <c r="K8" s="101"/>
      <c r="L8" s="11">
        <v>2019.0</v>
      </c>
      <c r="M8" s="30">
        <f>COUNTIFS('TJ List'!S:S,L8)</f>
        <v>139</v>
      </c>
      <c r="N8" s="30">
        <f>COUNTIFS('TJ List'!S:S,L8,'TJ List'!D:D,"MLB")</f>
        <v>19</v>
      </c>
      <c r="X8" s="177"/>
    </row>
    <row r="9">
      <c r="B9" s="30"/>
      <c r="C9" s="30"/>
      <c r="E9" s="13" t="s">
        <v>65</v>
      </c>
      <c r="F9" s="11">
        <v>0.0</v>
      </c>
      <c r="G9" s="11">
        <v>0.0</v>
      </c>
      <c r="H9" s="30">
        <f>COUNTIF('TJ List'!H:H,E9)</f>
        <v>6</v>
      </c>
      <c r="I9" s="179">
        <f>COUNTIFS('TJ List'!H:H,E9,'TJ List'!E:E,"P")</f>
        <v>6</v>
      </c>
      <c r="J9" s="180">
        <v>897934.0</v>
      </c>
      <c r="L9" s="11">
        <v>2018.0</v>
      </c>
      <c r="M9" s="30">
        <f>COUNTIFS('TJ List'!S:S,L9)</f>
        <v>146</v>
      </c>
      <c r="N9" s="30">
        <f>COUNTIFS('TJ List'!S:S,L9,'TJ List'!D:D,"MLB")</f>
        <v>28</v>
      </c>
      <c r="X9" s="177"/>
    </row>
    <row r="10">
      <c r="A10" s="6" t="s">
        <v>21</v>
      </c>
      <c r="B10" s="5" t="s">
        <v>6914</v>
      </c>
      <c r="C10" s="5" t="s">
        <v>6921</v>
      </c>
      <c r="E10" s="13" t="s">
        <v>84</v>
      </c>
      <c r="F10" s="11">
        <v>1.0</v>
      </c>
      <c r="G10" s="11">
        <v>0.0</v>
      </c>
      <c r="H10" s="30">
        <f>COUNTIF('TJ List'!H:H,E10)</f>
        <v>211</v>
      </c>
      <c r="I10" s="179">
        <f>COUNTIFS('TJ List'!H:H,E10,'TJ List'!E:E,"P")</f>
        <v>195</v>
      </c>
      <c r="J10" s="180">
        <v>1.880131E7</v>
      </c>
      <c r="K10" s="101"/>
      <c r="L10" s="11">
        <v>2017.0</v>
      </c>
      <c r="M10" s="30">
        <f>COUNTIFS('TJ List'!S:S,L10)</f>
        <v>161</v>
      </c>
      <c r="N10" s="30">
        <f>COUNTIFS('TJ List'!S:S,L10,'TJ List'!D:D,"MLB")</f>
        <v>20</v>
      </c>
      <c r="O10" s="50"/>
      <c r="P10" s="15"/>
      <c r="X10" s="177"/>
    </row>
    <row r="11">
      <c r="A11" s="79" t="s">
        <v>6927</v>
      </c>
      <c r="B11" s="30">
        <f>COUNTIFS('TJ List'!T:T,1,'TJ List'!U:U,"&gt;1")</f>
        <v>15</v>
      </c>
      <c r="C11" s="30">
        <f>COUNTIFS('TJ List'!T:T,1,'TJ List'!U:U,"&gt;1",'TJ List'!D:D,"MLB")</f>
        <v>2</v>
      </c>
      <c r="E11" s="13" t="s">
        <v>163</v>
      </c>
      <c r="F11" s="11">
        <v>1.0</v>
      </c>
      <c r="G11" s="11">
        <v>0.0</v>
      </c>
      <c r="H11" s="30">
        <f>COUNTIF('TJ List'!H:H,E11)</f>
        <v>95</v>
      </c>
      <c r="I11" s="179">
        <f>COUNTIFS('TJ List'!H:H,E11,'TJ List'!E:E,"P")</f>
        <v>85</v>
      </c>
      <c r="J11" s="180">
        <v>9687653.0</v>
      </c>
      <c r="K11" s="101"/>
      <c r="L11" s="11">
        <v>2016.0</v>
      </c>
      <c r="M11" s="30">
        <f>COUNTIFS('TJ List'!S:S,L11)</f>
        <v>159</v>
      </c>
      <c r="N11" s="30">
        <f>COUNTIFS('TJ List'!S:S,L11,'TJ List'!D:D,"MLB")</f>
        <v>19</v>
      </c>
      <c r="O11" s="182"/>
      <c r="P11" s="182"/>
      <c r="X11" s="177"/>
    </row>
    <row r="12">
      <c r="A12" s="79" t="s">
        <v>6928</v>
      </c>
      <c r="B12" s="30">
        <f>COUNTIFS('TJ List'!T:T,2)</f>
        <v>58</v>
      </c>
      <c r="C12" s="30">
        <f>COUNTIFS('TJ List'!T:T,2,'TJ List'!D:D,"MLB")</f>
        <v>8</v>
      </c>
      <c r="E12" s="13" t="s">
        <v>222</v>
      </c>
      <c r="F12" s="11">
        <v>0.0</v>
      </c>
      <c r="G12" s="11">
        <v>0.0</v>
      </c>
      <c r="H12" s="30">
        <f>COUNTIF('TJ List'!H:H,E12)</f>
        <v>13</v>
      </c>
      <c r="I12" s="179">
        <f>COUNTIFS('TJ List'!H:H,E12,'TJ List'!E:E,"P")</f>
        <v>13</v>
      </c>
      <c r="J12" s="180">
        <v>1360301.0</v>
      </c>
      <c r="K12" s="101"/>
      <c r="L12" s="11">
        <v>2015.0</v>
      </c>
      <c r="M12" s="30">
        <f>COUNTIFS('TJ List'!S:S,L12)</f>
        <v>171</v>
      </c>
      <c r="N12" s="30">
        <f>COUNTIFS('TJ List'!S:S,L12,'TJ List'!D:D,"MLB")</f>
        <v>26</v>
      </c>
      <c r="O12" s="182"/>
      <c r="P12" s="182"/>
      <c r="X12" s="177"/>
    </row>
    <row r="13">
      <c r="A13" s="79" t="s">
        <v>6929</v>
      </c>
      <c r="B13" s="30">
        <f>COUNTIFS('TJ List'!T:T,3)</f>
        <v>247</v>
      </c>
      <c r="C13" s="30">
        <f>COUNTIFS('TJ List'!T:T,3,'TJ List'!D:D,"MLB")</f>
        <v>81</v>
      </c>
      <c r="E13" s="13" t="s">
        <v>546</v>
      </c>
      <c r="F13" s="11">
        <v>1.0</v>
      </c>
      <c r="G13" s="11">
        <v>0.0</v>
      </c>
      <c r="H13" s="30">
        <f>COUNTIF('TJ List'!H:H,E13)</f>
        <v>4</v>
      </c>
      <c r="I13" s="179">
        <f>COUNTIFS('TJ List'!H:H,E13,'TJ List'!E:E,"P")</f>
        <v>4</v>
      </c>
      <c r="J13" s="180">
        <v>1567582.0</v>
      </c>
      <c r="K13" s="101"/>
      <c r="L13" s="11">
        <v>2014.0</v>
      </c>
      <c r="M13" s="30">
        <f>COUNTIFS('TJ List'!S:S,L13)</f>
        <v>156</v>
      </c>
      <c r="N13" s="30">
        <f>COUNTIFS('TJ List'!S:S,L13,'TJ List'!D:D,"MLB")</f>
        <v>31</v>
      </c>
      <c r="O13" s="182"/>
      <c r="P13" s="182"/>
      <c r="X13" s="177"/>
    </row>
    <row r="14">
      <c r="A14" s="79" t="s">
        <v>6930</v>
      </c>
      <c r="B14" s="30">
        <f>COUNTIFS('TJ List'!T:T,4)</f>
        <v>285</v>
      </c>
      <c r="C14" s="30">
        <f>COUNTIFS('TJ List'!T:T,4,'TJ List'!D:D,"MLB")</f>
        <v>88</v>
      </c>
      <c r="E14" s="13" t="s">
        <v>73</v>
      </c>
      <c r="F14" s="11">
        <v>1.0</v>
      </c>
      <c r="G14" s="11">
        <v>0.0</v>
      </c>
      <c r="H14" s="30">
        <f>COUNTIF('TJ List'!H:H,E14)</f>
        <v>75</v>
      </c>
      <c r="I14" s="179">
        <f>COUNTIFS('TJ List'!H:H,E14,'TJ List'!E:E,"P")</f>
        <v>73</v>
      </c>
      <c r="J14" s="180">
        <v>1.2830632E7</v>
      </c>
      <c r="K14" s="101"/>
      <c r="L14" s="11">
        <v>2013.0</v>
      </c>
      <c r="M14" s="30">
        <f>COUNTIFS('TJ List'!S:S,L14)</f>
        <v>112</v>
      </c>
      <c r="N14" s="30">
        <f>COUNTIFS('TJ List'!S:S,L14,'TJ List'!D:D,"MLB")</f>
        <v>20</v>
      </c>
      <c r="O14" s="182"/>
      <c r="P14" s="182"/>
      <c r="X14" s="177"/>
    </row>
    <row r="15">
      <c r="A15" s="79" t="s">
        <v>6931</v>
      </c>
      <c r="B15" s="30">
        <f>COUNTIFS('TJ List'!T:T,5)</f>
        <v>284</v>
      </c>
      <c r="C15" s="30">
        <f>COUNTIFS('TJ List'!T:T,5,'TJ List'!D:D,"MLB")</f>
        <v>87</v>
      </c>
      <c r="E15" s="13" t="s">
        <v>412</v>
      </c>
      <c r="F15" s="11">
        <v>1.0</v>
      </c>
      <c r="G15" s="11">
        <v>0.0</v>
      </c>
      <c r="H15" s="30">
        <f>COUNTIF('TJ List'!H:H,E15)</f>
        <v>36</v>
      </c>
      <c r="I15" s="179">
        <f>COUNTIFS('TJ List'!H:H,E15,'TJ List'!E:E,"P")</f>
        <v>36</v>
      </c>
      <c r="J15" s="180">
        <v>6483802.0</v>
      </c>
      <c r="K15" s="101"/>
      <c r="L15" s="11">
        <v>2012.0</v>
      </c>
      <c r="M15" s="30">
        <f>COUNTIFS('TJ List'!S:S,L15)</f>
        <v>116</v>
      </c>
      <c r="N15" s="30">
        <f>COUNTIFS('TJ List'!S:S,L15,'TJ List'!D:D,"MLB")</f>
        <v>36</v>
      </c>
      <c r="O15" s="182"/>
      <c r="P15" s="182"/>
      <c r="X15" s="177"/>
    </row>
    <row r="16">
      <c r="A16" s="79" t="s">
        <v>6932</v>
      </c>
      <c r="B16" s="30">
        <f>COUNTIFS('TJ List'!T:T,6)</f>
        <v>278</v>
      </c>
      <c r="C16" s="30">
        <f>COUNTIFS('TJ List'!T:T,6,'TJ List'!D:D,"MLB")</f>
        <v>91</v>
      </c>
      <c r="E16" s="13" t="s">
        <v>735</v>
      </c>
      <c r="F16" s="11">
        <v>1.0</v>
      </c>
      <c r="G16" s="11">
        <v>1.0</v>
      </c>
      <c r="H16" s="30">
        <f>COUNTIF('TJ List'!H:H,E16)</f>
        <v>20</v>
      </c>
      <c r="I16" s="179">
        <f>COUNTIFS('TJ List'!H:H,E16,'TJ List'!E:E,"P")</f>
        <v>19</v>
      </c>
      <c r="J16" s="180">
        <v>3046355.0</v>
      </c>
      <c r="K16" s="101"/>
      <c r="L16" s="11">
        <v>2011.0</v>
      </c>
      <c r="M16" s="30">
        <f>COUNTIFS('TJ List'!S:S,L16)</f>
        <v>80</v>
      </c>
      <c r="N16" s="30">
        <f>COUNTIFS('TJ List'!S:S,L16,'TJ List'!D:D,"MLB")</f>
        <v>17</v>
      </c>
      <c r="O16" s="182"/>
      <c r="P16" s="182"/>
      <c r="X16" s="177"/>
    </row>
    <row r="17">
      <c r="A17" s="79" t="s">
        <v>6933</v>
      </c>
      <c r="B17" s="30">
        <f>COUNTIFS('TJ List'!T:T,7)</f>
        <v>265</v>
      </c>
      <c r="C17" s="30">
        <f>COUNTIFS('TJ List'!T:T,7,'TJ List'!D:D,"MLB")</f>
        <v>78</v>
      </c>
      <c r="E17" s="13" t="s">
        <v>119</v>
      </c>
      <c r="F17" s="11">
        <v>1.0</v>
      </c>
      <c r="G17" s="11">
        <v>0.0</v>
      </c>
      <c r="H17" s="30">
        <f>COUNTIF('TJ List'!H:H,E17)</f>
        <v>25</v>
      </c>
      <c r="I17" s="179">
        <f>COUNTIFS('TJ List'!H:H,E17,'TJ List'!E:E,"P")</f>
        <v>24</v>
      </c>
      <c r="J17" s="180">
        <v>2853118.0</v>
      </c>
      <c r="K17" s="101"/>
      <c r="L17" s="11">
        <v>2010.0</v>
      </c>
      <c r="M17" s="30">
        <f>COUNTIFS('TJ List'!S:S,L17)</f>
        <v>80</v>
      </c>
      <c r="N17" s="30">
        <f>COUNTIFS('TJ List'!S:S,L17,'TJ List'!D:D,"MLB")</f>
        <v>17</v>
      </c>
      <c r="O17" s="182"/>
      <c r="P17" s="182"/>
      <c r="X17" s="177"/>
    </row>
    <row r="18">
      <c r="A18" s="79" t="s">
        <v>6934</v>
      </c>
      <c r="B18" s="30">
        <f>COUNTIFS('TJ List'!T:T,8)</f>
        <v>214</v>
      </c>
      <c r="C18" s="30">
        <f>COUNTIFS('TJ List'!T:T,8,'TJ List'!D:D,"MLB")</f>
        <v>78</v>
      </c>
      <c r="E18" s="13" t="s">
        <v>231</v>
      </c>
      <c r="F18" s="11">
        <v>1.0</v>
      </c>
      <c r="G18" s="11">
        <v>1.0</v>
      </c>
      <c r="H18" s="30">
        <f>COUNTIF('TJ List'!H:H,E18)</f>
        <v>31</v>
      </c>
      <c r="I18" s="179">
        <f>COUNTIFS('TJ List'!H:H,E18,'TJ List'!E:E,"P")</f>
        <v>28</v>
      </c>
      <c r="J18" s="180">
        <v>4339367.0</v>
      </c>
      <c r="K18" s="101"/>
      <c r="L18" s="11">
        <v>2009.0</v>
      </c>
      <c r="M18" s="30">
        <f>COUNTIFS('TJ List'!S:S,L18)</f>
        <v>77</v>
      </c>
      <c r="N18" s="30">
        <f>COUNTIFS('TJ List'!S:S,L18,'TJ List'!D:D,"MLB")</f>
        <v>21</v>
      </c>
      <c r="O18" s="182"/>
      <c r="P18" s="182"/>
      <c r="X18" s="177"/>
    </row>
    <row r="19">
      <c r="A19" s="79" t="s">
        <v>6935</v>
      </c>
      <c r="B19" s="30">
        <f>COUNTIFS('TJ List'!T:T,9)</f>
        <v>159</v>
      </c>
      <c r="C19" s="30">
        <f>COUNTIFS('TJ List'!T:T,9,'TJ List'!D:D,"MLB")</f>
        <v>70</v>
      </c>
      <c r="E19" s="13" t="s">
        <v>240</v>
      </c>
      <c r="F19" s="11">
        <v>1.0</v>
      </c>
      <c r="G19" s="11">
        <v>0.0</v>
      </c>
      <c r="H19" s="30">
        <f>COUNTIF('TJ List'!H:H,E19)</f>
        <v>31</v>
      </c>
      <c r="I19" s="179">
        <f>COUNTIFS('TJ List'!H:H,E19,'TJ List'!E:E,"P")</f>
        <v>30</v>
      </c>
      <c r="J19" s="180">
        <v>4533372.0</v>
      </c>
      <c r="K19" s="101"/>
      <c r="L19" s="11">
        <v>2008.0</v>
      </c>
      <c r="M19" s="30">
        <f>COUNTIFS('TJ List'!S:S,L19)</f>
        <v>51</v>
      </c>
      <c r="N19" s="30">
        <f>COUNTIFS('TJ List'!S:S,L19,'TJ List'!D:D,"MLB")</f>
        <v>15</v>
      </c>
      <c r="O19" s="182"/>
      <c r="P19" s="182"/>
      <c r="X19" s="177"/>
    </row>
    <row r="20">
      <c r="A20" s="79" t="s">
        <v>6936</v>
      </c>
      <c r="B20" s="30">
        <f>COUNTIFS('TJ List'!T:T,10)</f>
        <v>112</v>
      </c>
      <c r="C20" s="30">
        <f>COUNTIFS('TJ List'!T:T,10,'TJ List'!D:D,"MLB")</f>
        <v>44</v>
      </c>
      <c r="E20" s="13" t="s">
        <v>440</v>
      </c>
      <c r="F20" s="11">
        <v>1.0</v>
      </c>
      <c r="G20" s="11">
        <v>1.0</v>
      </c>
      <c r="H20" s="30">
        <f>COUNTIF('TJ List'!H:H,E20)</f>
        <v>3</v>
      </c>
      <c r="I20" s="179">
        <f>COUNTIFS('TJ List'!H:H,E20,'TJ List'!E:E,"P")</f>
        <v>3</v>
      </c>
      <c r="J20" s="180">
        <v>1328361.0</v>
      </c>
      <c r="K20" s="101"/>
      <c r="L20" s="11">
        <v>2007.0</v>
      </c>
      <c r="M20" s="30">
        <f>COUNTIFS('TJ List'!S:S,L20)</f>
        <v>72</v>
      </c>
      <c r="N20" s="30">
        <f>COUNTIFS('TJ List'!S:S,L20,'TJ List'!D:D,"MLB")</f>
        <v>22</v>
      </c>
      <c r="O20" s="182"/>
      <c r="P20" s="182"/>
      <c r="X20" s="177"/>
    </row>
    <row r="21">
      <c r="A21" s="79" t="s">
        <v>6937</v>
      </c>
      <c r="B21" s="30">
        <f>COUNTIFS('TJ List'!T:T,11)</f>
        <v>42</v>
      </c>
      <c r="C21" s="30">
        <f>COUNTIFS('TJ List'!T:T,11,'TJ List'!D:D,"MLB")</f>
        <v>10</v>
      </c>
      <c r="E21" s="13" t="s">
        <v>566</v>
      </c>
      <c r="F21" s="11">
        <v>1.0</v>
      </c>
      <c r="G21" s="11">
        <v>0.0</v>
      </c>
      <c r="H21" s="30">
        <f>COUNTIF('TJ List'!H:H,E21)</f>
        <v>23</v>
      </c>
      <c r="I21" s="179">
        <f>COUNTIFS('TJ List'!H:H,E21,'TJ List'!E:E,"P")</f>
        <v>22</v>
      </c>
      <c r="J21" s="180">
        <v>5773552.0</v>
      </c>
      <c r="K21" s="101"/>
      <c r="L21" s="11">
        <v>2006.0</v>
      </c>
      <c r="M21" s="30">
        <f>COUNTIFS('TJ List'!S:S,L21)</f>
        <v>54</v>
      </c>
      <c r="N21" s="30">
        <f>COUNTIFS('TJ List'!S:S,L21,'TJ List'!D:D,"MLB")</f>
        <v>20</v>
      </c>
      <c r="O21" s="182"/>
      <c r="P21" s="182"/>
      <c r="X21" s="177"/>
    </row>
    <row r="22">
      <c r="A22" s="79" t="s">
        <v>6938</v>
      </c>
      <c r="B22" s="30">
        <f>COUNTIFS('TJ List'!T:T,12)</f>
        <v>26</v>
      </c>
      <c r="C22" s="30">
        <f>COUNTIFS('TJ List'!T:T,12,'TJ List'!D:D,"MLB")</f>
        <v>8</v>
      </c>
      <c r="E22" s="13" t="s">
        <v>729</v>
      </c>
      <c r="F22" s="11">
        <v>0.0</v>
      </c>
      <c r="G22" s="11">
        <v>0.0</v>
      </c>
      <c r="H22" s="30">
        <f>COUNTIF('TJ List'!H:H,E22)</f>
        <v>34</v>
      </c>
      <c r="I22" s="179">
        <f>COUNTIFS('TJ List'!H:H,E22,'TJ List'!E:E,"P")</f>
        <v>34</v>
      </c>
      <c r="J22" s="180">
        <v>6547629.0</v>
      </c>
      <c r="L22" s="11">
        <v>2005.0</v>
      </c>
      <c r="M22" s="30">
        <f>COUNTIFS('TJ List'!S:S,L22)</f>
        <v>55</v>
      </c>
      <c r="N22" s="30">
        <f>COUNTIFS('TJ List'!S:S,L22,'TJ List'!D:D,"MLB")</f>
        <v>17</v>
      </c>
      <c r="X22" s="177"/>
    </row>
    <row r="23">
      <c r="B23" s="30"/>
      <c r="C23" s="30"/>
      <c r="E23" s="13" t="s">
        <v>129</v>
      </c>
      <c r="F23" s="11">
        <v>1.0</v>
      </c>
      <c r="G23" s="11">
        <v>1.0</v>
      </c>
      <c r="H23" s="30">
        <f>COUNTIF('TJ List'!H:H,E23)</f>
        <v>27</v>
      </c>
      <c r="I23" s="179">
        <f>COUNTIFS('TJ List'!H:H,E23,'TJ List'!E:E,"P")</f>
        <v>27</v>
      </c>
      <c r="J23" s="180">
        <v>9883640.0</v>
      </c>
      <c r="K23" s="101"/>
      <c r="L23" s="11">
        <v>2004.0</v>
      </c>
      <c r="M23" s="30">
        <f>COUNTIFS('TJ List'!S:S,L23)</f>
        <v>47</v>
      </c>
      <c r="N23" s="30">
        <f>COUNTIFS('TJ List'!S:S,L23,'TJ List'!D:D,"MLB")</f>
        <v>13</v>
      </c>
      <c r="O23" s="50"/>
      <c r="P23" s="15"/>
      <c r="X23" s="177"/>
    </row>
    <row r="24">
      <c r="B24" s="30"/>
      <c r="C24" s="30"/>
      <c r="E24" s="13" t="s">
        <v>258</v>
      </c>
      <c r="F24" s="11">
        <v>1.0</v>
      </c>
      <c r="G24" s="11">
        <v>0.0</v>
      </c>
      <c r="H24" s="30">
        <f>COUNTIF('TJ List'!H:H,E24)</f>
        <v>25</v>
      </c>
      <c r="I24" s="179">
        <f>COUNTIFS('TJ List'!H:H,E24,'TJ List'!E:E,"P")</f>
        <v>23</v>
      </c>
      <c r="J24" s="180">
        <v>5303925.0</v>
      </c>
      <c r="K24" s="182"/>
      <c r="L24" s="11">
        <v>2003.0</v>
      </c>
      <c r="M24" s="30">
        <f>COUNTIFS('TJ List'!S:S,L24)</f>
        <v>48</v>
      </c>
      <c r="N24" s="30">
        <f>COUNTIFS('TJ List'!S:S,L24,'TJ List'!D:D,"MLB")</f>
        <v>19</v>
      </c>
      <c r="O24" s="182"/>
      <c r="P24" s="182"/>
      <c r="S24" s="182"/>
      <c r="X24" s="177"/>
    </row>
    <row r="25">
      <c r="B25" s="30"/>
      <c r="C25" s="30"/>
      <c r="E25" s="13" t="s">
        <v>159</v>
      </c>
      <c r="F25" s="11">
        <v>1.0</v>
      </c>
      <c r="G25" s="11">
        <v>0.0</v>
      </c>
      <c r="H25" s="30">
        <f>COUNTIF('TJ List'!H:H,E25)</f>
        <v>25</v>
      </c>
      <c r="I25" s="179">
        <f>COUNTIFS('TJ List'!H:H,E25,'TJ List'!E:E,"P")</f>
        <v>24</v>
      </c>
      <c r="J25" s="180">
        <v>2967297.0</v>
      </c>
      <c r="K25" s="182"/>
      <c r="L25" s="11">
        <v>2002.0</v>
      </c>
      <c r="M25" s="30">
        <f>COUNTIFS('TJ List'!S:S,L25)</f>
        <v>35</v>
      </c>
      <c r="N25" s="30">
        <f>COUNTIFS('TJ List'!S:S,L25,'TJ List'!D:D,"MLB")</f>
        <v>15</v>
      </c>
      <c r="O25" s="182"/>
      <c r="P25" s="182"/>
      <c r="S25" s="182"/>
      <c r="X25" s="177"/>
    </row>
    <row r="26">
      <c r="B26" s="30"/>
      <c r="C26" s="30"/>
      <c r="E26" s="13" t="s">
        <v>74</v>
      </c>
      <c r="F26" s="11">
        <v>1.0</v>
      </c>
      <c r="G26" s="11">
        <v>0.0</v>
      </c>
      <c r="H26" s="30">
        <f>COUNTIF('TJ List'!H:H,E26)</f>
        <v>31</v>
      </c>
      <c r="I26" s="179">
        <f>COUNTIFS('TJ List'!H:H,E26,'TJ List'!E:E,"P")</f>
        <v>29</v>
      </c>
      <c r="J26" s="180">
        <v>5988927.0</v>
      </c>
      <c r="K26" s="182"/>
      <c r="L26" s="11">
        <v>2001.0</v>
      </c>
      <c r="M26" s="30">
        <f>COUNTIFS('TJ List'!S:S,L26)</f>
        <v>33</v>
      </c>
      <c r="N26" s="30">
        <f>COUNTIFS('TJ List'!S:S,L26,'TJ List'!D:D,"MLB")</f>
        <v>15</v>
      </c>
      <c r="O26" s="182"/>
      <c r="P26" s="182"/>
      <c r="S26" s="182"/>
      <c r="X26" s="177"/>
    </row>
    <row r="27">
      <c r="B27" s="30"/>
      <c r="C27" s="30"/>
      <c r="E27" s="13" t="s">
        <v>1848</v>
      </c>
      <c r="F27" s="11">
        <v>0.0</v>
      </c>
      <c r="G27" s="11">
        <v>0.0</v>
      </c>
      <c r="H27" s="30">
        <f>COUNTIF('TJ List'!H:H,E27)</f>
        <v>3</v>
      </c>
      <c r="I27" s="179">
        <f>COUNTIFS('TJ List'!H:H,E27,'TJ List'!E:E,"P")</f>
        <v>3</v>
      </c>
      <c r="J27" s="180">
        <v>989415.0</v>
      </c>
      <c r="K27" s="182"/>
      <c r="L27" s="11">
        <v>2000.0</v>
      </c>
      <c r="M27" s="30">
        <f>COUNTIFS('TJ List'!S:S,L27)</f>
        <v>29</v>
      </c>
      <c r="N27" s="30">
        <f>COUNTIFS('TJ List'!S:S,L27,'TJ List'!D:D,"MLB")</f>
        <v>16</v>
      </c>
      <c r="O27" s="182"/>
      <c r="P27" s="182"/>
      <c r="S27" s="182"/>
      <c r="X27" s="177"/>
    </row>
    <row r="28">
      <c r="B28" s="30"/>
      <c r="C28" s="30"/>
      <c r="E28" s="13" t="s">
        <v>133</v>
      </c>
      <c r="F28" s="11">
        <v>1.0</v>
      </c>
      <c r="G28" s="11">
        <v>0.0</v>
      </c>
      <c r="H28" s="30">
        <f>COUNTIF('TJ List'!H:H,E28)</f>
        <v>16</v>
      </c>
      <c r="I28" s="179">
        <f>COUNTIFS('TJ List'!H:H,E28,'TJ List'!E:E,"P")</f>
        <v>14</v>
      </c>
      <c r="J28" s="180">
        <v>1826341.0</v>
      </c>
      <c r="K28" s="182"/>
      <c r="L28" s="11">
        <v>1999.0</v>
      </c>
      <c r="M28" s="30">
        <f>COUNTIFS('TJ List'!S:S,L28)</f>
        <v>19</v>
      </c>
      <c r="N28" s="30">
        <f>COUNTIFS('TJ List'!S:S,L28,'TJ List'!D:D,"MLB")</f>
        <v>10</v>
      </c>
      <c r="O28" s="182"/>
      <c r="P28" s="182"/>
      <c r="S28" s="182"/>
      <c r="X28" s="177"/>
    </row>
    <row r="29">
      <c r="B29" s="30"/>
      <c r="C29" s="30"/>
      <c r="E29" s="13" t="s">
        <v>301</v>
      </c>
      <c r="F29" s="11">
        <v>1.0</v>
      </c>
      <c r="G29" s="11">
        <v>0.0</v>
      </c>
      <c r="H29" s="30">
        <f>COUNTIF('TJ List'!H:H,E29)</f>
        <v>22</v>
      </c>
      <c r="I29" s="179">
        <f>COUNTIFS('TJ List'!H:H,E29,'TJ List'!E:E,"P")</f>
        <v>20</v>
      </c>
      <c r="J29" s="180">
        <v>2700551.0</v>
      </c>
      <c r="K29" s="182"/>
      <c r="L29" s="11">
        <v>1998.0</v>
      </c>
      <c r="M29" s="30">
        <f>COUNTIFS('TJ List'!S:S,L29)</f>
        <v>15</v>
      </c>
      <c r="N29" s="30">
        <f>COUNTIFS('TJ List'!S:S,L29,'TJ List'!D:D,"MLB")</f>
        <v>8</v>
      </c>
      <c r="O29" s="182"/>
      <c r="P29" s="182"/>
      <c r="S29" s="182"/>
      <c r="X29" s="177"/>
    </row>
    <row r="30">
      <c r="B30" s="30"/>
      <c r="C30" s="30"/>
      <c r="E30" s="13" t="s">
        <v>2291</v>
      </c>
      <c r="F30" s="11">
        <v>0.0</v>
      </c>
      <c r="G30" s="11">
        <v>0.0</v>
      </c>
      <c r="H30" s="30">
        <f>COUNTIF('TJ List'!H:H,E30)</f>
        <v>4</v>
      </c>
      <c r="I30" s="179">
        <f>COUNTIFS('TJ List'!H:H,E30,'TJ List'!E:E,"P")</f>
        <v>4</v>
      </c>
      <c r="J30" s="180">
        <v>1316470.0</v>
      </c>
      <c r="K30" s="182"/>
      <c r="L30" s="11">
        <v>1997.0</v>
      </c>
      <c r="M30" s="30">
        <f>COUNTIFS('TJ List'!S:S,L30)</f>
        <v>11</v>
      </c>
      <c r="N30" s="30">
        <f>COUNTIFS('TJ List'!S:S,L30,'TJ List'!D:D,"MLB")</f>
        <v>5</v>
      </c>
      <c r="O30" s="182"/>
      <c r="P30" s="182"/>
      <c r="S30" s="182"/>
      <c r="X30" s="177"/>
    </row>
    <row r="31">
      <c r="B31" s="30"/>
      <c r="C31" s="30"/>
      <c r="E31" s="13" t="s">
        <v>139</v>
      </c>
      <c r="F31" s="11">
        <v>1.0</v>
      </c>
      <c r="G31" s="11">
        <v>0.0</v>
      </c>
      <c r="H31" s="30">
        <f>COUNTIF('TJ List'!H:H,E31)</f>
        <v>46</v>
      </c>
      <c r="I31" s="179">
        <f>COUNTIFS('TJ List'!H:H,E31,'TJ List'!E:E,"P")</f>
        <v>44</v>
      </c>
      <c r="J31" s="180">
        <v>8791894.0</v>
      </c>
      <c r="K31" s="182"/>
      <c r="L31" s="11">
        <v>1996.0</v>
      </c>
      <c r="M31" s="30">
        <f>COUNTIFS('TJ List'!S:S,L31)</f>
        <v>11</v>
      </c>
      <c r="N31" s="30">
        <f>COUNTIFS('TJ List'!S:S,L31,'TJ List'!D:D,"MLB")</f>
        <v>5</v>
      </c>
      <c r="O31" s="182"/>
      <c r="P31" s="182"/>
      <c r="S31" s="182"/>
      <c r="X31" s="177"/>
    </row>
    <row r="32">
      <c r="B32" s="30"/>
      <c r="C32" s="30"/>
      <c r="E32" s="13" t="s">
        <v>265</v>
      </c>
      <c r="F32" s="11">
        <v>1.0</v>
      </c>
      <c r="G32" s="11">
        <v>0.0</v>
      </c>
      <c r="H32" s="30">
        <f>COUNTIF('TJ List'!H:H,E32)</f>
        <v>8</v>
      </c>
      <c r="I32" s="179">
        <f>COUNTIFS('TJ List'!H:H,E32,'TJ List'!E:E,"P")</f>
        <v>7</v>
      </c>
      <c r="J32" s="180">
        <v>2059179.0</v>
      </c>
      <c r="K32" s="182"/>
      <c r="L32" s="11">
        <v>1995.0</v>
      </c>
      <c r="M32" s="30">
        <f>COUNTIFS('TJ List'!S:S,L32)</f>
        <v>12</v>
      </c>
      <c r="N32" s="30">
        <f>COUNTIFS('TJ List'!S:S,L32,'TJ List'!D:D,"MLB")</f>
        <v>10</v>
      </c>
      <c r="O32" s="182"/>
      <c r="P32" s="182"/>
      <c r="S32" s="182"/>
      <c r="X32" s="177"/>
    </row>
    <row r="33">
      <c r="B33" s="30"/>
      <c r="C33" s="30"/>
      <c r="E33" s="13" t="s">
        <v>59</v>
      </c>
      <c r="F33" s="11">
        <v>1.0</v>
      </c>
      <c r="G33" s="11">
        <v>1.0</v>
      </c>
      <c r="H33" s="30">
        <f>COUNTIF('TJ List'!H:H,E33)</f>
        <v>82</v>
      </c>
      <c r="I33" s="179">
        <f>COUNTIFS('TJ List'!H:H,E33,'TJ List'!E:E,"P")</f>
        <v>70</v>
      </c>
      <c r="J33" s="180">
        <v>1.9378102E7</v>
      </c>
      <c r="K33" s="182"/>
      <c r="L33" s="11">
        <v>1994.0</v>
      </c>
      <c r="M33" s="30">
        <f>COUNTIFS('TJ List'!S:S,L33)</f>
        <v>9</v>
      </c>
      <c r="N33" s="30">
        <f>COUNTIFS('TJ List'!S:S,L33,'TJ List'!D:D,"MLB")</f>
        <v>6</v>
      </c>
      <c r="O33" s="182"/>
      <c r="P33" s="182"/>
      <c r="S33" s="182"/>
      <c r="X33" s="177"/>
    </row>
    <row r="34">
      <c r="B34" s="30"/>
      <c r="C34" s="30"/>
      <c r="E34" s="13" t="s">
        <v>127</v>
      </c>
      <c r="F34" s="11">
        <v>1.0</v>
      </c>
      <c r="G34" s="11">
        <v>0.0</v>
      </c>
      <c r="H34" s="30">
        <f>COUNTIF('TJ List'!H:H,E34)</f>
        <v>67</v>
      </c>
      <c r="I34" s="179">
        <f>COUNTIFS('TJ List'!H:H,E34,'TJ List'!E:E,"P")</f>
        <v>62</v>
      </c>
      <c r="J34" s="180">
        <v>9535483.0</v>
      </c>
      <c r="K34" s="182"/>
      <c r="L34" s="11">
        <v>1993.0</v>
      </c>
      <c r="M34" s="30">
        <f>COUNTIFS('TJ List'!S:S,L34)</f>
        <v>7</v>
      </c>
      <c r="N34" s="30">
        <f>COUNTIFS('TJ List'!S:S,L34,'TJ List'!D:D,"MLB")</f>
        <v>6</v>
      </c>
      <c r="O34" s="182"/>
      <c r="P34" s="182"/>
      <c r="S34" s="182"/>
      <c r="X34" s="177"/>
    </row>
    <row r="35">
      <c r="B35" s="30"/>
      <c r="C35" s="30"/>
      <c r="E35" s="13" t="s">
        <v>251</v>
      </c>
      <c r="F35" s="11">
        <v>1.0</v>
      </c>
      <c r="G35" s="11">
        <v>0.0</v>
      </c>
      <c r="H35" s="30">
        <f>COUNTIF('TJ List'!H:H,E35)</f>
        <v>2</v>
      </c>
      <c r="I35" s="179">
        <f>COUNTIFS('TJ List'!H:H,E35,'TJ List'!E:E,"P")</f>
        <v>2</v>
      </c>
      <c r="J35" s="180">
        <v>672591.0</v>
      </c>
      <c r="L35" s="11">
        <v>1992.0</v>
      </c>
      <c r="M35" s="30">
        <f>COUNTIFS('TJ List'!S:S,L35)</f>
        <v>8</v>
      </c>
      <c r="N35" s="30">
        <f>COUNTIFS('TJ List'!S:S,L35,'TJ List'!D:D,"MLB")</f>
        <v>4</v>
      </c>
      <c r="X35" s="177"/>
    </row>
    <row r="36">
      <c r="B36" s="30"/>
      <c r="C36" s="30"/>
      <c r="E36" s="13" t="s">
        <v>236</v>
      </c>
      <c r="F36" s="11">
        <v>1.0</v>
      </c>
      <c r="G36" s="11">
        <v>0.0</v>
      </c>
      <c r="H36" s="30">
        <f>COUNTIF('TJ List'!H:H,E36)</f>
        <v>68</v>
      </c>
      <c r="I36" s="179">
        <f>COUNTIFS('TJ List'!H:H,E36,'TJ List'!E:E,"P")</f>
        <v>60</v>
      </c>
      <c r="J36" s="180">
        <v>1.1536504E7</v>
      </c>
      <c r="K36" s="101"/>
      <c r="L36" s="11">
        <v>1991.0</v>
      </c>
      <c r="M36" s="30">
        <f>COUNTIFS('TJ List'!S:S,L36)</f>
        <v>10</v>
      </c>
      <c r="N36" s="30">
        <f>COUNTIFS('TJ List'!S:S,L36,'TJ List'!D:D,"MLB")</f>
        <v>6</v>
      </c>
      <c r="O36" s="50"/>
      <c r="P36" s="15"/>
      <c r="X36" s="177"/>
    </row>
    <row r="37">
      <c r="B37" s="30"/>
      <c r="C37" s="30"/>
      <c r="E37" s="13" t="s">
        <v>112</v>
      </c>
      <c r="F37" s="11">
        <v>1.0</v>
      </c>
      <c r="G37" s="11">
        <v>1.0</v>
      </c>
      <c r="H37" s="30">
        <f>COUNTIF('TJ List'!H:H,E37)</f>
        <v>52</v>
      </c>
      <c r="I37" s="179">
        <f>COUNTIFS('TJ List'!H:H,E37,'TJ List'!E:E,"P")</f>
        <v>49</v>
      </c>
      <c r="J37" s="180">
        <v>3751351.0</v>
      </c>
      <c r="K37" s="182"/>
      <c r="L37" s="11">
        <v>1990.0</v>
      </c>
      <c r="M37" s="30">
        <f>COUNTIFS('TJ List'!S:S,L37)</f>
        <v>8</v>
      </c>
      <c r="N37" s="30">
        <f>COUNTIFS('TJ List'!S:S,L37,'TJ List'!D:D,"MLB")</f>
        <v>3</v>
      </c>
      <c r="O37" s="182"/>
      <c r="P37" s="182"/>
      <c r="S37" s="182"/>
      <c r="X37" s="177"/>
    </row>
    <row r="38">
      <c r="B38" s="30"/>
      <c r="C38" s="30"/>
      <c r="E38" s="13" t="s">
        <v>451</v>
      </c>
      <c r="F38" s="11">
        <v>1.0</v>
      </c>
      <c r="G38" s="11">
        <v>0.0</v>
      </c>
      <c r="H38" s="30">
        <f>COUNTIF('TJ List'!H:H,E38)</f>
        <v>16</v>
      </c>
      <c r="I38" s="179">
        <f>COUNTIFS('TJ List'!H:H,E38,'TJ List'!E:E,"P")</f>
        <v>15</v>
      </c>
      <c r="J38" s="180">
        <v>3831074.0</v>
      </c>
      <c r="K38" s="182"/>
      <c r="L38" s="11">
        <v>1989.0</v>
      </c>
      <c r="M38" s="30">
        <f>COUNTIFS('TJ List'!S:S,L38)</f>
        <v>7</v>
      </c>
      <c r="N38" s="30">
        <f>COUNTIFS('TJ List'!S:S,L38,'TJ List'!D:D,"MLB")</f>
        <v>5</v>
      </c>
      <c r="O38" s="182"/>
      <c r="P38" s="182"/>
      <c r="S38" s="182"/>
      <c r="X38" s="177"/>
    </row>
    <row r="39">
      <c r="B39" s="30"/>
      <c r="C39" s="30"/>
      <c r="E39" s="13" t="s">
        <v>109</v>
      </c>
      <c r="F39" s="11">
        <v>1.0</v>
      </c>
      <c r="G39" s="11">
        <v>1.0</v>
      </c>
      <c r="H39" s="30">
        <f>COUNTIF('TJ List'!H:H,E39)</f>
        <v>49</v>
      </c>
      <c r="I39" s="179">
        <f>COUNTIFS('TJ List'!H:H,E39,'TJ List'!E:E,"P")</f>
        <v>41</v>
      </c>
      <c r="J39" s="180">
        <v>1.2702379E7</v>
      </c>
      <c r="K39" s="182"/>
      <c r="L39" s="11">
        <v>1988.0</v>
      </c>
      <c r="M39" s="30">
        <f>COUNTIFS('TJ List'!S:S,L39)</f>
        <v>6</v>
      </c>
      <c r="N39" s="30">
        <f>COUNTIFS('TJ List'!S:S,L39,'TJ List'!D:D,"MLB")</f>
        <v>3</v>
      </c>
      <c r="O39" s="182"/>
      <c r="P39" s="182"/>
      <c r="S39" s="182"/>
      <c r="X39" s="177"/>
    </row>
    <row r="40">
      <c r="B40" s="30"/>
      <c r="C40" s="30"/>
      <c r="E40" s="13" t="s">
        <v>89</v>
      </c>
      <c r="F40" s="11">
        <v>1.0</v>
      </c>
      <c r="G40" s="11">
        <v>0.0</v>
      </c>
      <c r="H40" s="30">
        <f>COUNTIF('TJ List'!H:H,E40)</f>
        <v>6</v>
      </c>
      <c r="I40" s="179">
        <f>COUNTIFS('TJ List'!H:H,E40,'TJ List'!E:E,"P")</f>
        <v>5</v>
      </c>
      <c r="J40" s="180">
        <v>1052567.0</v>
      </c>
      <c r="K40" s="182"/>
      <c r="L40" s="11">
        <v>1987.0</v>
      </c>
      <c r="M40" s="30">
        <f>COUNTIFS('TJ List'!S:S,L40)</f>
        <v>2</v>
      </c>
      <c r="N40" s="30">
        <f>COUNTIFS('TJ List'!S:S,L40,'TJ List'!D:D,"MLB")</f>
        <v>0</v>
      </c>
      <c r="O40" s="182"/>
      <c r="P40" s="182"/>
      <c r="S40" s="182"/>
      <c r="X40" s="177"/>
    </row>
    <row r="41">
      <c r="B41" s="30"/>
      <c r="C41" s="30"/>
      <c r="E41" s="13" t="s">
        <v>173</v>
      </c>
      <c r="F41" s="11">
        <v>1.0</v>
      </c>
      <c r="G41" s="11">
        <v>0.0</v>
      </c>
      <c r="H41" s="30">
        <f>COUNTIF('TJ List'!H:H,E41)</f>
        <v>14</v>
      </c>
      <c r="I41" s="179">
        <f>COUNTIFS('TJ List'!H:H,E41,'TJ List'!E:E,"P")</f>
        <v>12</v>
      </c>
      <c r="J41" s="180">
        <v>4625364.0</v>
      </c>
      <c r="K41" s="182"/>
      <c r="L41" s="11">
        <v>1986.0</v>
      </c>
      <c r="M41" s="30">
        <f>COUNTIFS('TJ List'!S:S,L41)</f>
        <v>5</v>
      </c>
      <c r="N41" s="30">
        <f>COUNTIFS('TJ List'!S:S,L41,'TJ List'!D:D,"MLB")</f>
        <v>4</v>
      </c>
      <c r="O41" s="182"/>
      <c r="P41" s="182"/>
      <c r="S41" s="182"/>
      <c r="X41" s="177"/>
    </row>
    <row r="42">
      <c r="B42" s="30"/>
      <c r="C42" s="30"/>
      <c r="E42" s="13" t="s">
        <v>3633</v>
      </c>
      <c r="F42" s="11">
        <v>1.0</v>
      </c>
      <c r="G42" s="11">
        <v>1.0</v>
      </c>
      <c r="H42" s="30">
        <f>COUNTIF('TJ List'!H:H,E42)</f>
        <v>1</v>
      </c>
      <c r="I42" s="179">
        <f>COUNTIFS('TJ List'!H:H,E42,'TJ List'!E:E,"P")</f>
        <v>1</v>
      </c>
      <c r="J42" s="180">
        <v>814180.0</v>
      </c>
      <c r="K42" s="182"/>
      <c r="L42" s="11">
        <v>1985.0</v>
      </c>
      <c r="M42" s="30">
        <f>COUNTIFS('TJ List'!S:S,L42)</f>
        <v>3</v>
      </c>
      <c r="N42" s="30">
        <f>COUNTIFS('TJ List'!S:S,L42,'TJ List'!D:D,"MLB")</f>
        <v>0</v>
      </c>
      <c r="O42" s="182"/>
      <c r="P42" s="182"/>
      <c r="S42" s="182"/>
      <c r="X42" s="177"/>
    </row>
    <row r="43">
      <c r="B43" s="30"/>
      <c r="C43" s="30"/>
      <c r="E43" s="13" t="s">
        <v>262</v>
      </c>
      <c r="F43" s="11">
        <v>1.0</v>
      </c>
      <c r="G43" s="11">
        <v>1.0</v>
      </c>
      <c r="H43" s="30">
        <f>COUNTIF('TJ List'!H:H,E43)</f>
        <v>43</v>
      </c>
      <c r="I43" s="179">
        <f>COUNTIFS('TJ List'!H:H,E43,'TJ List'!E:E,"P")</f>
        <v>41</v>
      </c>
      <c r="J43" s="180">
        <v>6346105.0</v>
      </c>
      <c r="K43" s="182"/>
      <c r="L43" s="11">
        <v>1984.0</v>
      </c>
      <c r="M43" s="30">
        <f>COUNTIFS('TJ List'!S:S,L43)</f>
        <v>2</v>
      </c>
      <c r="N43" s="30">
        <f>COUNTIFS('TJ List'!S:S,L43,'TJ List'!D:D,"MLB")</f>
        <v>2</v>
      </c>
      <c r="O43" s="182"/>
      <c r="P43" s="182"/>
      <c r="S43" s="182"/>
      <c r="X43" s="177"/>
    </row>
    <row r="44">
      <c r="B44" s="30"/>
      <c r="C44" s="30"/>
      <c r="E44" s="13" t="s">
        <v>56</v>
      </c>
      <c r="F44" s="11">
        <v>1.0</v>
      </c>
      <c r="G44" s="11">
        <v>0.0</v>
      </c>
      <c r="H44" s="30">
        <f>COUNTIF('TJ List'!H:H,E44)</f>
        <v>235</v>
      </c>
      <c r="I44" s="179">
        <f>COUNTIFS('TJ List'!H:H,E44,'TJ List'!E:E,"P")</f>
        <v>217</v>
      </c>
      <c r="J44" s="180">
        <v>2.5145561E7</v>
      </c>
      <c r="K44" s="182"/>
      <c r="L44" s="11">
        <v>1983.0</v>
      </c>
      <c r="M44" s="30">
        <f>COUNTIFS('TJ List'!S:S,L44)</f>
        <v>3</v>
      </c>
      <c r="N44" s="30">
        <f>COUNTIFS('TJ List'!S:S,L44,'TJ List'!D:D,"MLB")</f>
        <v>1</v>
      </c>
      <c r="O44" s="182"/>
      <c r="P44" s="182"/>
      <c r="S44" s="182"/>
      <c r="X44" s="177"/>
    </row>
    <row r="45">
      <c r="B45" s="30"/>
      <c r="C45" s="30"/>
      <c r="E45" s="13" t="s">
        <v>205</v>
      </c>
      <c r="F45" s="11">
        <v>1.0</v>
      </c>
      <c r="G45" s="11">
        <v>0.0</v>
      </c>
      <c r="H45" s="30">
        <f>COUNTIF('TJ List'!H:H,E45)</f>
        <v>6</v>
      </c>
      <c r="I45" s="179">
        <f>COUNTIFS('TJ List'!H:H,E45,'TJ List'!E:E,"P")</f>
        <v>6</v>
      </c>
      <c r="J45" s="180">
        <v>2763885.0</v>
      </c>
      <c r="K45" s="182"/>
      <c r="L45" s="11">
        <v>1982.0</v>
      </c>
      <c r="M45" s="30">
        <f>COUNTIFS('TJ List'!S:S,L45)</f>
        <v>4</v>
      </c>
      <c r="N45" s="30">
        <f>COUNTIFS('TJ List'!S:S,L45,'TJ List'!D:D,"MLB")</f>
        <v>3</v>
      </c>
      <c r="O45" s="182"/>
      <c r="P45" s="182"/>
      <c r="S45" s="182"/>
      <c r="X45" s="177"/>
    </row>
    <row r="46">
      <c r="B46" s="30"/>
      <c r="C46" s="30"/>
      <c r="E46" s="13" t="s">
        <v>363</v>
      </c>
      <c r="F46" s="11">
        <v>1.0</v>
      </c>
      <c r="G46" s="11">
        <v>1.0</v>
      </c>
      <c r="H46" s="30">
        <f>COUNTIF('TJ List'!H:H,E46)</f>
        <v>1</v>
      </c>
      <c r="I46" s="179">
        <f>COUNTIFS('TJ List'!H:H,E46,'TJ List'!E:E,"P")</f>
        <v>1</v>
      </c>
      <c r="J46" s="180">
        <v>625741.0</v>
      </c>
      <c r="K46" s="182"/>
      <c r="L46" s="11">
        <v>1981.0</v>
      </c>
      <c r="M46" s="30">
        <f>COUNTIFS('TJ List'!S:S,L46)</f>
        <v>3</v>
      </c>
      <c r="N46" s="30">
        <f>COUNTIFS('TJ List'!S:S,L46,'TJ List'!D:D,"MLB")</f>
        <v>1</v>
      </c>
      <c r="O46" s="182"/>
      <c r="P46" s="182"/>
      <c r="S46" s="182"/>
      <c r="X46" s="177"/>
    </row>
    <row r="47">
      <c r="B47" s="30"/>
      <c r="C47" s="30"/>
      <c r="E47" s="13" t="s">
        <v>46</v>
      </c>
      <c r="F47" s="11">
        <v>1.0</v>
      </c>
      <c r="G47" s="11">
        <v>0.0</v>
      </c>
      <c r="H47" s="30">
        <f>COUNTIF('TJ List'!H:H,E47)</f>
        <v>52</v>
      </c>
      <c r="I47" s="179">
        <f>COUNTIFS('TJ List'!H:H,E47,'TJ List'!E:E,"P")</f>
        <v>49</v>
      </c>
      <c r="J47" s="180">
        <v>8001024.0</v>
      </c>
      <c r="K47" s="182"/>
      <c r="L47" s="11">
        <v>1980.0</v>
      </c>
      <c r="M47" s="30">
        <f>COUNTIFS('TJ List'!S:S,L47)</f>
        <v>0</v>
      </c>
      <c r="N47" s="30">
        <f>COUNTIFS('TJ List'!S:S,L47,'TJ List'!D:D,"MLB")</f>
        <v>0</v>
      </c>
      <c r="O47" s="182"/>
      <c r="P47" s="182"/>
      <c r="S47" s="182"/>
      <c r="X47" s="177"/>
    </row>
    <row r="48">
      <c r="B48" s="30"/>
      <c r="C48" s="30"/>
      <c r="E48" s="13" t="s">
        <v>182</v>
      </c>
      <c r="F48" s="11">
        <v>1.0</v>
      </c>
      <c r="G48" s="11">
        <v>1.0</v>
      </c>
      <c r="H48" s="30">
        <f>COUNTIF('TJ List'!H:H,E48)</f>
        <v>52</v>
      </c>
      <c r="I48" s="179">
        <f>COUNTIFS('TJ List'!H:H,E48,'TJ List'!E:E,"P")</f>
        <v>49</v>
      </c>
      <c r="J48" s="180">
        <v>6724540.0</v>
      </c>
      <c r="L48" s="11">
        <v>1979.0</v>
      </c>
      <c r="M48" s="30">
        <f>COUNTIFS('TJ List'!S:S,L48)</f>
        <v>0</v>
      </c>
      <c r="N48" s="30">
        <f>COUNTIFS('TJ List'!S:S,L48,'TJ List'!D:D,"MLB")</f>
        <v>0</v>
      </c>
      <c r="X48" s="177"/>
    </row>
    <row r="49">
      <c r="B49" s="30"/>
      <c r="C49" s="30"/>
      <c r="E49" s="13" t="s">
        <v>320</v>
      </c>
      <c r="F49" s="11">
        <v>0.0</v>
      </c>
      <c r="G49" s="11">
        <v>0.0</v>
      </c>
      <c r="H49" s="30">
        <f>COUNTIF('TJ List'!H:H,E49)</f>
        <v>5</v>
      </c>
      <c r="I49" s="179">
        <f>COUNTIFS('TJ List'!H:H,E49,'TJ List'!E:E,"P")</f>
        <v>5</v>
      </c>
      <c r="J49" s="180">
        <v>1852994.0</v>
      </c>
      <c r="L49" s="11">
        <v>1978.0</v>
      </c>
      <c r="M49" s="30">
        <f>COUNTIFS('TJ List'!S:S,L49)</f>
        <v>1</v>
      </c>
      <c r="N49" s="30">
        <f>COUNTIFS('TJ List'!S:S,L49,'TJ List'!D:D,"MLB")</f>
        <v>1</v>
      </c>
      <c r="X49" s="177"/>
    </row>
    <row r="50">
      <c r="B50" s="30"/>
      <c r="C50" s="30"/>
      <c r="E50" s="13" t="s">
        <v>957</v>
      </c>
      <c r="F50" s="11">
        <v>1.0</v>
      </c>
      <c r="G50" s="11">
        <v>1.0</v>
      </c>
      <c r="H50" s="30">
        <f>COUNTIF('TJ List'!H:H,E50)</f>
        <v>16</v>
      </c>
      <c r="I50" s="179">
        <f>COUNTIFS('TJ List'!H:H,E50,'TJ List'!E:E,"P")</f>
        <v>16</v>
      </c>
      <c r="J50" s="180">
        <v>5686986.0</v>
      </c>
      <c r="L50" s="11">
        <v>1977.0</v>
      </c>
      <c r="M50" s="30">
        <f>COUNTIFS('TJ List'!S:S,L50)</f>
        <v>0</v>
      </c>
      <c r="N50" s="30">
        <f>COUNTIFS('TJ List'!S:S,L50,'TJ List'!D:D,"MLB")</f>
        <v>0</v>
      </c>
      <c r="X50" s="177"/>
    </row>
    <row r="51">
      <c r="B51" s="30"/>
      <c r="C51" s="30"/>
      <c r="E51" s="13" t="s">
        <v>2934</v>
      </c>
      <c r="F51" s="11">
        <v>0.0</v>
      </c>
      <c r="G51" s="11">
        <v>0.0</v>
      </c>
      <c r="H51" s="30">
        <f>COUNTIF('TJ List'!H:H,E51)</f>
        <v>1</v>
      </c>
      <c r="I51" s="179">
        <f>COUNTIFS('TJ List'!H:H,E51,'TJ List'!E:E,"P")</f>
        <v>1</v>
      </c>
      <c r="J51" s="180">
        <v>563626.0</v>
      </c>
      <c r="L51" s="11">
        <v>1976.0</v>
      </c>
      <c r="M51" s="30">
        <f>COUNTIFS('TJ List'!S:S,L51)</f>
        <v>0</v>
      </c>
      <c r="N51" s="30">
        <f>COUNTIFS('TJ List'!S:S,L51,'TJ List'!D:D,"MLB")</f>
        <v>0</v>
      </c>
      <c r="O51" s="183"/>
      <c r="P51" s="182"/>
      <c r="X51" s="177"/>
    </row>
    <row r="52">
      <c r="B52" s="30"/>
      <c r="C52" s="30"/>
      <c r="F52" s="30"/>
      <c r="G52" s="30"/>
      <c r="H52" s="30"/>
      <c r="I52" s="179"/>
      <c r="J52" s="180"/>
      <c r="L52" s="11">
        <v>1975.0</v>
      </c>
      <c r="M52" s="30">
        <f>COUNTIFS('TJ List'!S:S,L52)</f>
        <v>0</v>
      </c>
      <c r="N52" s="30">
        <f>COUNTIFS('TJ List'!S:S,L52,'TJ List'!D:D,"MLB")</f>
        <v>0</v>
      </c>
      <c r="O52" s="183"/>
      <c r="P52" s="182"/>
    </row>
    <row r="53">
      <c r="B53" s="30"/>
      <c r="C53" s="30"/>
      <c r="F53" s="30"/>
      <c r="G53" s="30"/>
      <c r="H53" s="30"/>
      <c r="I53" s="179"/>
      <c r="J53" s="180"/>
      <c r="L53" s="11">
        <v>1974.0</v>
      </c>
      <c r="M53" s="30">
        <f>COUNTIFS('TJ List'!S:S,L53)</f>
        <v>1</v>
      </c>
      <c r="N53" s="30">
        <f>COUNTIFS('TJ List'!S:S,L53,'TJ List'!D:D,"MLB")</f>
        <v>1</v>
      </c>
      <c r="O53" s="183"/>
      <c r="P53" s="182"/>
    </row>
    <row r="54">
      <c r="B54" s="30"/>
      <c r="C54" s="30"/>
      <c r="F54" s="30"/>
      <c r="G54" s="30"/>
      <c r="H54" s="30"/>
      <c r="I54" s="179"/>
      <c r="J54" s="180"/>
      <c r="L54" s="30"/>
      <c r="M54" s="30"/>
      <c r="N54" s="30"/>
      <c r="O54" s="183"/>
      <c r="P54" s="182"/>
    </row>
    <row r="55">
      <c r="B55" s="30"/>
      <c r="C55" s="30"/>
      <c r="F55" s="30"/>
      <c r="G55" s="30"/>
      <c r="H55" s="30"/>
      <c r="I55" s="179"/>
      <c r="J55" s="180"/>
      <c r="L55" s="30"/>
      <c r="M55" s="30"/>
      <c r="N55" s="30"/>
      <c r="O55" s="183"/>
      <c r="P55" s="182"/>
    </row>
    <row r="56">
      <c r="B56" s="30"/>
      <c r="C56" s="30"/>
      <c r="F56" s="30"/>
      <c r="G56" s="30"/>
      <c r="H56" s="30"/>
      <c r="I56" s="179"/>
      <c r="J56" s="180"/>
      <c r="L56" s="30"/>
      <c r="M56" s="30"/>
      <c r="N56" s="30"/>
      <c r="O56" s="183"/>
      <c r="P56" s="182"/>
    </row>
    <row r="57">
      <c r="B57" s="30"/>
      <c r="C57" s="30"/>
      <c r="F57" s="30"/>
      <c r="G57" s="30"/>
      <c r="H57" s="30"/>
      <c r="I57" s="179"/>
      <c r="J57" s="180"/>
      <c r="L57" s="30"/>
      <c r="M57" s="30"/>
      <c r="N57" s="30"/>
      <c r="O57" s="183"/>
      <c r="P57" s="182"/>
    </row>
    <row r="58">
      <c r="B58" s="30"/>
      <c r="C58" s="30"/>
      <c r="F58" s="30"/>
      <c r="G58" s="30"/>
      <c r="H58" s="30"/>
      <c r="I58" s="179"/>
      <c r="J58" s="180"/>
      <c r="L58" s="30"/>
      <c r="M58" s="30"/>
      <c r="N58" s="30"/>
      <c r="O58" s="183"/>
      <c r="P58" s="182"/>
    </row>
    <row r="59">
      <c r="B59" s="30"/>
      <c r="C59" s="30"/>
      <c r="F59" s="30"/>
      <c r="G59" s="30"/>
      <c r="H59" s="30"/>
      <c r="I59" s="179"/>
      <c r="J59" s="180"/>
      <c r="L59" s="30"/>
      <c r="M59" s="30"/>
      <c r="N59" s="30"/>
      <c r="O59" s="183"/>
      <c r="P59" s="182"/>
    </row>
    <row r="60">
      <c r="B60" s="30"/>
      <c r="C60" s="30"/>
      <c r="F60" s="30"/>
      <c r="G60" s="30"/>
      <c r="H60" s="30"/>
      <c r="I60" s="179"/>
      <c r="J60" s="180"/>
      <c r="L60" s="30"/>
      <c r="M60" s="30"/>
      <c r="N60" s="30"/>
      <c r="O60" s="183"/>
      <c r="P60" s="182"/>
    </row>
    <row r="61">
      <c r="B61" s="30"/>
      <c r="C61" s="30"/>
      <c r="F61" s="30"/>
      <c r="G61" s="30"/>
      <c r="H61" s="30"/>
      <c r="I61" s="179"/>
      <c r="J61" s="180"/>
      <c r="L61" s="30"/>
      <c r="M61" s="30"/>
      <c r="N61" s="30"/>
      <c r="O61" s="183"/>
      <c r="P61" s="182"/>
    </row>
    <row r="62">
      <c r="B62" s="30"/>
      <c r="C62" s="30"/>
      <c r="F62" s="30"/>
      <c r="G62" s="30"/>
      <c r="H62" s="30"/>
      <c r="I62" s="179"/>
      <c r="J62" s="180"/>
      <c r="L62" s="30"/>
      <c r="M62" s="30"/>
      <c r="N62" s="30"/>
    </row>
    <row r="63">
      <c r="B63" s="30"/>
      <c r="C63" s="30"/>
      <c r="F63" s="30"/>
      <c r="G63" s="30"/>
      <c r="H63" s="30"/>
      <c r="I63" s="179"/>
      <c r="J63" s="180"/>
      <c r="L63" s="30"/>
      <c r="M63" s="30"/>
      <c r="N63" s="30"/>
    </row>
    <row r="64">
      <c r="B64" s="30"/>
      <c r="C64" s="30"/>
      <c r="F64" s="30"/>
      <c r="G64" s="30"/>
      <c r="H64" s="30"/>
      <c r="I64" s="179"/>
      <c r="J64" s="180"/>
      <c r="L64" s="30"/>
      <c r="M64" s="30"/>
      <c r="N64" s="30"/>
      <c r="O64" s="183"/>
      <c r="P64" s="182"/>
    </row>
    <row r="65">
      <c r="B65" s="30"/>
      <c r="C65" s="30"/>
      <c r="F65" s="30"/>
      <c r="G65" s="30"/>
      <c r="H65" s="30"/>
      <c r="I65" s="179"/>
      <c r="J65" s="180"/>
      <c r="L65" s="30"/>
      <c r="M65" s="30"/>
      <c r="N65" s="30"/>
      <c r="O65" s="183"/>
      <c r="P65" s="182"/>
    </row>
    <row r="66">
      <c r="B66" s="30"/>
      <c r="C66" s="30"/>
      <c r="F66" s="30"/>
      <c r="G66" s="30"/>
      <c r="H66" s="30"/>
      <c r="I66" s="179"/>
      <c r="J66" s="180"/>
      <c r="L66" s="30"/>
      <c r="M66" s="30"/>
      <c r="N66" s="30"/>
      <c r="O66" s="183"/>
      <c r="P66" s="182"/>
    </row>
    <row r="67">
      <c r="B67" s="30"/>
      <c r="C67" s="30"/>
      <c r="F67" s="30"/>
      <c r="G67" s="30"/>
      <c r="H67" s="30"/>
      <c r="I67" s="179"/>
      <c r="J67" s="180"/>
      <c r="L67" s="30"/>
      <c r="M67" s="30"/>
      <c r="N67" s="30"/>
      <c r="O67" s="183"/>
      <c r="P67" s="182"/>
    </row>
    <row r="68">
      <c r="B68" s="30"/>
      <c r="C68" s="30"/>
      <c r="F68" s="30"/>
      <c r="G68" s="30"/>
      <c r="H68" s="30"/>
      <c r="I68" s="179"/>
      <c r="J68" s="180"/>
      <c r="L68" s="30"/>
      <c r="M68" s="30"/>
      <c r="N68" s="30"/>
      <c r="O68" s="183"/>
      <c r="P68" s="182"/>
    </row>
    <row r="69">
      <c r="B69" s="30"/>
      <c r="C69" s="30"/>
      <c r="F69" s="30"/>
      <c r="G69" s="30"/>
      <c r="H69" s="30"/>
      <c r="I69" s="179"/>
      <c r="J69" s="180"/>
      <c r="L69" s="30"/>
      <c r="M69" s="30"/>
      <c r="N69" s="30"/>
      <c r="O69" s="183"/>
      <c r="P69" s="182"/>
    </row>
    <row r="70">
      <c r="B70" s="30"/>
      <c r="C70" s="30"/>
      <c r="F70" s="30"/>
      <c r="G70" s="30"/>
      <c r="H70" s="30"/>
      <c r="I70" s="179"/>
      <c r="J70" s="180"/>
      <c r="L70" s="30"/>
      <c r="M70" s="30"/>
      <c r="N70" s="30"/>
      <c r="O70" s="183"/>
      <c r="P70" s="182"/>
    </row>
    <row r="71">
      <c r="B71" s="30"/>
      <c r="C71" s="30"/>
      <c r="F71" s="30"/>
      <c r="G71" s="30"/>
      <c r="H71" s="30"/>
      <c r="I71" s="179"/>
      <c r="J71" s="180"/>
      <c r="L71" s="30"/>
      <c r="M71" s="30"/>
      <c r="N71" s="30"/>
      <c r="O71" s="183"/>
      <c r="P71" s="182"/>
    </row>
    <row r="72">
      <c r="B72" s="30"/>
      <c r="C72" s="30"/>
      <c r="F72" s="30"/>
      <c r="G72" s="30"/>
      <c r="H72" s="30"/>
      <c r="I72" s="179"/>
      <c r="J72" s="180"/>
      <c r="L72" s="30"/>
      <c r="M72" s="30"/>
      <c r="N72" s="30"/>
      <c r="O72" s="183"/>
      <c r="P72" s="182"/>
    </row>
    <row r="73">
      <c r="B73" s="30"/>
      <c r="C73" s="30"/>
      <c r="F73" s="30"/>
      <c r="G73" s="30"/>
      <c r="H73" s="30"/>
      <c r="I73" s="179"/>
      <c r="J73" s="180"/>
      <c r="L73" s="30"/>
      <c r="M73" s="30"/>
      <c r="N73" s="30"/>
      <c r="O73" s="183"/>
      <c r="P73" s="182"/>
    </row>
    <row r="74">
      <c r="B74" s="30"/>
      <c r="C74" s="30"/>
      <c r="F74" s="30"/>
      <c r="G74" s="30"/>
      <c r="H74" s="30"/>
      <c r="I74" s="179"/>
      <c r="J74" s="180"/>
      <c r="L74" s="30"/>
      <c r="M74" s="30"/>
      <c r="N74" s="30"/>
      <c r="O74" s="183"/>
      <c r="P74" s="182"/>
    </row>
    <row r="75">
      <c r="B75" s="30"/>
      <c r="C75" s="30"/>
      <c r="F75" s="30"/>
      <c r="G75" s="30"/>
      <c r="H75" s="30"/>
      <c r="I75" s="179"/>
      <c r="J75" s="180"/>
      <c r="L75" s="30"/>
      <c r="M75" s="30"/>
      <c r="N75" s="30"/>
    </row>
    <row r="76">
      <c r="B76" s="30"/>
      <c r="C76" s="30"/>
      <c r="F76" s="30"/>
      <c r="G76" s="30"/>
      <c r="H76" s="30"/>
      <c r="I76" s="179"/>
      <c r="J76" s="180"/>
      <c r="L76" s="30"/>
      <c r="M76" s="30"/>
      <c r="N76" s="30"/>
    </row>
    <row r="77">
      <c r="B77" s="30"/>
      <c r="C77" s="30"/>
      <c r="F77" s="30"/>
      <c r="G77" s="30"/>
      <c r="H77" s="30"/>
      <c r="I77" s="179"/>
      <c r="J77" s="180"/>
      <c r="L77" s="30"/>
      <c r="M77" s="30"/>
      <c r="N77" s="30"/>
      <c r="O77" s="183"/>
      <c r="P77" s="182"/>
    </row>
    <row r="78">
      <c r="B78" s="30"/>
      <c r="C78" s="30"/>
      <c r="F78" s="30"/>
      <c r="G78" s="30"/>
      <c r="H78" s="30"/>
      <c r="I78" s="179"/>
      <c r="J78" s="180"/>
      <c r="L78" s="30"/>
      <c r="M78" s="30"/>
      <c r="N78" s="30"/>
      <c r="O78" s="183"/>
      <c r="P78" s="182"/>
    </row>
    <row r="79">
      <c r="B79" s="30"/>
      <c r="C79" s="30"/>
      <c r="F79" s="30"/>
      <c r="G79" s="30"/>
      <c r="H79" s="30"/>
      <c r="I79" s="179"/>
      <c r="J79" s="180"/>
      <c r="L79" s="30"/>
      <c r="M79" s="30"/>
      <c r="N79" s="30"/>
      <c r="O79" s="183"/>
      <c r="P79" s="182"/>
    </row>
    <row r="80">
      <c r="B80" s="30"/>
      <c r="C80" s="30"/>
      <c r="F80" s="30"/>
      <c r="G80" s="30"/>
      <c r="H80" s="30"/>
      <c r="I80" s="179"/>
      <c r="J80" s="180"/>
      <c r="L80" s="30"/>
      <c r="M80" s="30"/>
      <c r="N80" s="30"/>
      <c r="O80" s="183"/>
      <c r="P80" s="182"/>
    </row>
    <row r="81">
      <c r="B81" s="30"/>
      <c r="C81" s="30"/>
      <c r="F81" s="30"/>
      <c r="G81" s="30"/>
      <c r="H81" s="30"/>
      <c r="I81" s="179"/>
      <c r="J81" s="180"/>
      <c r="L81" s="30"/>
      <c r="M81" s="30"/>
      <c r="N81" s="30"/>
      <c r="O81" s="183"/>
      <c r="P81" s="182"/>
    </row>
    <row r="82">
      <c r="B82" s="30"/>
      <c r="C82" s="30"/>
      <c r="F82" s="30"/>
      <c r="G82" s="30"/>
      <c r="H82" s="30"/>
      <c r="I82" s="179"/>
      <c r="J82" s="180"/>
      <c r="L82" s="30"/>
      <c r="M82" s="30"/>
      <c r="N82" s="30"/>
      <c r="O82" s="183"/>
      <c r="P82" s="182"/>
    </row>
    <row r="83">
      <c r="B83" s="30"/>
      <c r="C83" s="30"/>
      <c r="F83" s="30"/>
      <c r="G83" s="30"/>
      <c r="H83" s="30"/>
      <c r="I83" s="179"/>
      <c r="J83" s="180"/>
      <c r="L83" s="30"/>
      <c r="M83" s="30"/>
      <c r="N83" s="30"/>
      <c r="O83" s="183"/>
      <c r="P83" s="182"/>
    </row>
    <row r="84">
      <c r="B84" s="30"/>
      <c r="C84" s="30"/>
      <c r="F84" s="30"/>
      <c r="G84" s="30"/>
      <c r="H84" s="30"/>
      <c r="I84" s="179"/>
      <c r="J84" s="180"/>
      <c r="L84" s="30"/>
      <c r="M84" s="30"/>
      <c r="N84" s="30"/>
      <c r="O84" s="183"/>
      <c r="P84" s="182"/>
    </row>
    <row r="85">
      <c r="B85" s="30"/>
      <c r="C85" s="30"/>
      <c r="F85" s="30"/>
      <c r="G85" s="30"/>
      <c r="H85" s="30"/>
      <c r="I85" s="179"/>
      <c r="J85" s="180"/>
      <c r="L85" s="30"/>
      <c r="M85" s="30"/>
      <c r="N85" s="30"/>
      <c r="O85" s="183"/>
      <c r="P85" s="182"/>
    </row>
    <row r="86">
      <c r="B86" s="30"/>
      <c r="C86" s="30"/>
      <c r="F86" s="30"/>
      <c r="G86" s="30"/>
      <c r="H86" s="30"/>
      <c r="I86" s="179"/>
      <c r="J86" s="180"/>
      <c r="L86" s="30"/>
      <c r="M86" s="30"/>
      <c r="N86" s="30"/>
      <c r="O86" s="183"/>
      <c r="P86" s="182"/>
    </row>
    <row r="87">
      <c r="B87" s="30"/>
      <c r="C87" s="30"/>
      <c r="F87" s="30"/>
      <c r="G87" s="30"/>
      <c r="H87" s="30"/>
      <c r="I87" s="179"/>
      <c r="J87" s="180"/>
      <c r="L87" s="30"/>
      <c r="M87" s="30"/>
      <c r="N87" s="30"/>
      <c r="O87" s="183"/>
      <c r="P87" s="182"/>
    </row>
    <row r="88">
      <c r="B88" s="30"/>
      <c r="C88" s="30"/>
      <c r="F88" s="30"/>
      <c r="G88" s="30"/>
      <c r="H88" s="30"/>
      <c r="I88" s="179"/>
      <c r="J88" s="180"/>
      <c r="L88" s="30"/>
      <c r="M88" s="30"/>
      <c r="N88" s="30"/>
    </row>
    <row r="89">
      <c r="B89" s="30"/>
      <c r="C89" s="30"/>
      <c r="F89" s="30"/>
      <c r="G89" s="30"/>
      <c r="H89" s="30"/>
      <c r="I89" s="179"/>
      <c r="J89" s="180"/>
      <c r="L89" s="30"/>
      <c r="M89" s="30"/>
      <c r="N89" s="30"/>
    </row>
    <row r="90">
      <c r="B90" s="30"/>
      <c r="C90" s="30"/>
      <c r="F90" s="30"/>
      <c r="G90" s="30"/>
      <c r="H90" s="30"/>
      <c r="I90" s="179"/>
      <c r="J90" s="180"/>
      <c r="L90" s="30"/>
      <c r="M90" s="30"/>
      <c r="N90" s="30"/>
      <c r="O90" s="183"/>
      <c r="P90" s="182"/>
    </row>
    <row r="91">
      <c r="B91" s="30"/>
      <c r="C91" s="30"/>
      <c r="F91" s="30"/>
      <c r="G91" s="30"/>
      <c r="H91" s="30"/>
      <c r="I91" s="179"/>
      <c r="J91" s="180"/>
      <c r="L91" s="30"/>
      <c r="M91" s="30"/>
      <c r="N91" s="30"/>
      <c r="O91" s="183"/>
      <c r="P91" s="182"/>
    </row>
    <row r="92">
      <c r="B92" s="30"/>
      <c r="C92" s="30"/>
      <c r="F92" s="30"/>
      <c r="G92" s="30"/>
      <c r="H92" s="30"/>
      <c r="I92" s="179"/>
      <c r="J92" s="180"/>
      <c r="L92" s="30"/>
      <c r="M92" s="30"/>
      <c r="N92" s="30"/>
      <c r="O92" s="183"/>
      <c r="P92" s="182"/>
    </row>
    <row r="93">
      <c r="B93" s="30"/>
      <c r="C93" s="30"/>
      <c r="F93" s="30"/>
      <c r="G93" s="30"/>
      <c r="H93" s="30"/>
      <c r="I93" s="179"/>
      <c r="J93" s="180"/>
      <c r="L93" s="30"/>
      <c r="M93" s="30"/>
      <c r="N93" s="30"/>
      <c r="O93" s="183"/>
      <c r="P93" s="182"/>
    </row>
    <row r="94">
      <c r="B94" s="30"/>
      <c r="C94" s="30"/>
      <c r="F94" s="30"/>
      <c r="G94" s="30"/>
      <c r="H94" s="30"/>
      <c r="I94" s="179"/>
      <c r="J94" s="180"/>
      <c r="L94" s="30"/>
      <c r="M94" s="30"/>
      <c r="N94" s="30"/>
      <c r="O94" s="183"/>
      <c r="P94" s="182"/>
    </row>
    <row r="95">
      <c r="B95" s="30"/>
      <c r="C95" s="30"/>
      <c r="F95" s="30"/>
      <c r="G95" s="30"/>
      <c r="H95" s="30"/>
      <c r="I95" s="179"/>
      <c r="J95" s="180"/>
      <c r="L95" s="30"/>
      <c r="M95" s="30"/>
      <c r="N95" s="30"/>
      <c r="O95" s="183"/>
      <c r="P95" s="182"/>
    </row>
    <row r="96">
      <c r="B96" s="30"/>
      <c r="C96" s="30"/>
      <c r="F96" s="30"/>
      <c r="G96" s="30"/>
      <c r="H96" s="30"/>
      <c r="I96" s="179"/>
      <c r="J96" s="180"/>
      <c r="L96" s="30"/>
      <c r="M96" s="30"/>
      <c r="N96" s="30"/>
      <c r="O96" s="183"/>
      <c r="P96" s="182"/>
    </row>
    <row r="97">
      <c r="B97" s="30"/>
      <c r="C97" s="30"/>
      <c r="F97" s="30"/>
      <c r="G97" s="30"/>
      <c r="H97" s="30"/>
      <c r="I97" s="179"/>
      <c r="J97" s="180"/>
      <c r="L97" s="30"/>
      <c r="M97" s="30"/>
      <c r="N97" s="30"/>
      <c r="O97" s="183"/>
      <c r="P97" s="182"/>
    </row>
    <row r="98">
      <c r="B98" s="30"/>
      <c r="C98" s="30"/>
      <c r="F98" s="30"/>
      <c r="G98" s="30"/>
      <c r="H98" s="30"/>
      <c r="I98" s="179"/>
      <c r="J98" s="180"/>
      <c r="L98" s="30"/>
      <c r="M98" s="30"/>
      <c r="N98" s="30"/>
      <c r="O98" s="183"/>
      <c r="P98" s="182"/>
    </row>
    <row r="99">
      <c r="B99" s="30"/>
      <c r="C99" s="30"/>
      <c r="F99" s="30"/>
      <c r="G99" s="30"/>
      <c r="H99" s="30"/>
      <c r="I99" s="179"/>
      <c r="J99" s="180"/>
      <c r="L99" s="30"/>
      <c r="M99" s="30"/>
      <c r="N99" s="30"/>
      <c r="O99" s="183"/>
      <c r="P99" s="182"/>
    </row>
    <row r="100">
      <c r="B100" s="30"/>
      <c r="C100" s="30"/>
      <c r="F100" s="30"/>
      <c r="G100" s="30"/>
      <c r="H100" s="30"/>
      <c r="I100" s="179"/>
      <c r="J100" s="180"/>
      <c r="L100" s="30"/>
      <c r="M100" s="30"/>
      <c r="N100" s="30"/>
      <c r="O100" s="183"/>
      <c r="P100" s="182"/>
    </row>
    <row r="101">
      <c r="B101" s="30"/>
      <c r="C101" s="30"/>
      <c r="F101" s="30"/>
      <c r="G101" s="30"/>
      <c r="H101" s="30"/>
      <c r="I101" s="179"/>
      <c r="J101" s="180"/>
      <c r="L101" s="30"/>
      <c r="M101" s="30"/>
      <c r="N101" s="30"/>
    </row>
    <row r="102">
      <c r="B102" s="30"/>
      <c r="C102" s="30"/>
      <c r="F102" s="30"/>
      <c r="G102" s="30"/>
      <c r="H102" s="30"/>
      <c r="I102" s="179"/>
      <c r="J102" s="180"/>
      <c r="L102" s="30"/>
      <c r="M102" s="30"/>
      <c r="N102" s="30"/>
    </row>
    <row r="103">
      <c r="B103" s="30"/>
      <c r="C103" s="30"/>
      <c r="F103" s="30"/>
      <c r="G103" s="30"/>
      <c r="H103" s="30"/>
      <c r="I103" s="179"/>
      <c r="J103" s="180"/>
      <c r="L103" s="30"/>
      <c r="M103" s="30"/>
      <c r="N103" s="30"/>
      <c r="O103" s="183"/>
      <c r="P103" s="182"/>
    </row>
    <row r="104">
      <c r="B104" s="30"/>
      <c r="C104" s="30"/>
      <c r="F104" s="30"/>
      <c r="G104" s="30"/>
      <c r="H104" s="30"/>
      <c r="I104" s="179"/>
      <c r="J104" s="180"/>
      <c r="L104" s="30"/>
      <c r="M104" s="30"/>
      <c r="N104" s="30"/>
      <c r="O104" s="183"/>
      <c r="P104" s="182"/>
    </row>
    <row r="105">
      <c r="B105" s="30"/>
      <c r="C105" s="30"/>
      <c r="F105" s="30"/>
      <c r="G105" s="30"/>
      <c r="H105" s="30"/>
      <c r="I105" s="179"/>
      <c r="J105" s="180"/>
      <c r="L105" s="30"/>
      <c r="M105" s="30"/>
      <c r="N105" s="30"/>
      <c r="O105" s="183"/>
      <c r="P105" s="182"/>
    </row>
    <row r="106">
      <c r="B106" s="30"/>
      <c r="C106" s="30"/>
      <c r="F106" s="30"/>
      <c r="G106" s="30"/>
      <c r="H106" s="30"/>
      <c r="I106" s="179"/>
      <c r="J106" s="180"/>
      <c r="L106" s="30"/>
      <c r="M106" s="30"/>
      <c r="N106" s="30"/>
      <c r="O106" s="183"/>
      <c r="P106" s="182"/>
    </row>
    <row r="107">
      <c r="B107" s="30"/>
      <c r="C107" s="30"/>
      <c r="F107" s="30"/>
      <c r="G107" s="30"/>
      <c r="H107" s="30"/>
      <c r="I107" s="179"/>
      <c r="J107" s="180"/>
      <c r="L107" s="30"/>
      <c r="M107" s="30"/>
      <c r="N107" s="30"/>
      <c r="O107" s="183"/>
      <c r="P107" s="182"/>
    </row>
    <row r="108">
      <c r="B108" s="30"/>
      <c r="C108" s="30"/>
      <c r="F108" s="30"/>
      <c r="G108" s="30"/>
      <c r="H108" s="30"/>
      <c r="I108" s="179"/>
      <c r="J108" s="180"/>
      <c r="L108" s="30"/>
      <c r="M108" s="30"/>
      <c r="N108" s="30"/>
      <c r="O108" s="183"/>
      <c r="P108" s="182"/>
    </row>
    <row r="109">
      <c r="B109" s="30"/>
      <c r="C109" s="30"/>
      <c r="F109" s="30"/>
      <c r="G109" s="30"/>
      <c r="H109" s="30"/>
      <c r="I109" s="179"/>
      <c r="J109" s="180"/>
      <c r="L109" s="30"/>
      <c r="M109" s="30"/>
      <c r="N109" s="30"/>
      <c r="O109" s="183"/>
      <c r="P109" s="182"/>
    </row>
    <row r="110">
      <c r="B110" s="30"/>
      <c r="C110" s="30"/>
      <c r="F110" s="30"/>
      <c r="G110" s="30"/>
      <c r="H110" s="30"/>
      <c r="I110" s="179"/>
      <c r="J110" s="180"/>
      <c r="L110" s="30"/>
      <c r="M110" s="30"/>
      <c r="N110" s="30"/>
      <c r="O110" s="183"/>
      <c r="P110" s="182"/>
    </row>
    <row r="111">
      <c r="B111" s="30"/>
      <c r="C111" s="30"/>
      <c r="F111" s="30"/>
      <c r="G111" s="30"/>
      <c r="H111" s="30"/>
      <c r="I111" s="179"/>
      <c r="J111" s="180"/>
      <c r="L111" s="30"/>
      <c r="M111" s="30"/>
      <c r="N111" s="30"/>
      <c r="O111" s="183"/>
      <c r="P111" s="182"/>
    </row>
    <row r="112">
      <c r="B112" s="30"/>
      <c r="C112" s="30"/>
      <c r="F112" s="30"/>
      <c r="G112" s="30"/>
      <c r="H112" s="30"/>
      <c r="I112" s="179"/>
      <c r="J112" s="180"/>
      <c r="L112" s="30"/>
      <c r="M112" s="30"/>
      <c r="N112" s="30"/>
      <c r="O112" s="183"/>
      <c r="P112" s="182"/>
    </row>
    <row r="113">
      <c r="B113" s="30"/>
      <c r="C113" s="30"/>
      <c r="F113" s="30"/>
      <c r="G113" s="30"/>
      <c r="H113" s="30"/>
      <c r="I113" s="179"/>
      <c r="J113" s="180"/>
      <c r="L113" s="30"/>
      <c r="M113" s="30"/>
      <c r="N113" s="30"/>
      <c r="O113" s="183"/>
      <c r="P113" s="182"/>
    </row>
    <row r="114">
      <c r="B114" s="30"/>
      <c r="C114" s="30"/>
      <c r="F114" s="30"/>
      <c r="G114" s="30"/>
      <c r="H114" s="30"/>
      <c r="I114" s="179"/>
      <c r="J114" s="180"/>
      <c r="L114" s="30"/>
      <c r="M114" s="30"/>
      <c r="N114" s="30"/>
    </row>
    <row r="115">
      <c r="B115" s="30"/>
      <c r="C115" s="30"/>
      <c r="F115" s="30"/>
      <c r="G115" s="30"/>
      <c r="H115" s="30"/>
      <c r="I115" s="179"/>
      <c r="J115" s="180"/>
      <c r="L115" s="30"/>
      <c r="M115" s="30"/>
      <c r="N115" s="30"/>
    </row>
    <row r="116">
      <c r="B116" s="30"/>
      <c r="C116" s="30"/>
      <c r="F116" s="30"/>
      <c r="G116" s="30"/>
      <c r="H116" s="30"/>
      <c r="I116" s="179"/>
      <c r="J116" s="180"/>
      <c r="L116" s="30"/>
      <c r="M116" s="30"/>
      <c r="N116" s="30"/>
      <c r="O116" s="183"/>
      <c r="P116" s="182"/>
    </row>
    <row r="117">
      <c r="B117" s="30"/>
      <c r="C117" s="30"/>
      <c r="F117" s="30"/>
      <c r="G117" s="30"/>
      <c r="H117" s="30"/>
      <c r="I117" s="179"/>
      <c r="J117" s="180"/>
      <c r="L117" s="30"/>
      <c r="M117" s="30"/>
      <c r="N117" s="30"/>
      <c r="O117" s="183"/>
      <c r="P117" s="182"/>
    </row>
    <row r="118">
      <c r="B118" s="30"/>
      <c r="C118" s="30"/>
      <c r="F118" s="30"/>
      <c r="G118" s="30"/>
      <c r="H118" s="30"/>
      <c r="I118" s="179"/>
      <c r="J118" s="180"/>
      <c r="L118" s="30"/>
      <c r="M118" s="30"/>
      <c r="N118" s="30"/>
      <c r="O118" s="183"/>
      <c r="P118" s="182"/>
    </row>
    <row r="119">
      <c r="B119" s="30"/>
      <c r="C119" s="30"/>
      <c r="F119" s="30"/>
      <c r="G119" s="30"/>
      <c r="H119" s="30"/>
      <c r="I119" s="179"/>
      <c r="J119" s="180"/>
      <c r="L119" s="30"/>
      <c r="M119" s="30"/>
      <c r="N119" s="30"/>
      <c r="O119" s="183"/>
      <c r="P119" s="182"/>
    </row>
    <row r="120">
      <c r="B120" s="30"/>
      <c r="C120" s="30"/>
      <c r="F120" s="30"/>
      <c r="G120" s="30"/>
      <c r="H120" s="30"/>
      <c r="I120" s="179"/>
      <c r="J120" s="180"/>
      <c r="L120" s="30"/>
      <c r="M120" s="30"/>
      <c r="N120" s="30"/>
      <c r="O120" s="183"/>
      <c r="P120" s="182"/>
    </row>
    <row r="121">
      <c r="B121" s="30"/>
      <c r="C121" s="30"/>
      <c r="F121" s="30"/>
      <c r="G121" s="30"/>
      <c r="H121" s="30"/>
      <c r="I121" s="179"/>
      <c r="J121" s="180"/>
      <c r="L121" s="30"/>
      <c r="M121" s="30"/>
      <c r="N121" s="30"/>
      <c r="O121" s="183"/>
      <c r="P121" s="182"/>
    </row>
    <row r="122">
      <c r="B122" s="30"/>
      <c r="C122" s="30"/>
      <c r="F122" s="30"/>
      <c r="G122" s="30"/>
      <c r="H122" s="30"/>
      <c r="I122" s="179"/>
      <c r="J122" s="180"/>
      <c r="L122" s="30"/>
      <c r="M122" s="30"/>
      <c r="N122" s="30"/>
      <c r="O122" s="183"/>
      <c r="P122" s="182"/>
    </row>
    <row r="123">
      <c r="B123" s="30"/>
      <c r="C123" s="30"/>
      <c r="F123" s="30"/>
      <c r="G123" s="30"/>
      <c r="H123" s="30"/>
      <c r="I123" s="179"/>
      <c r="J123" s="180"/>
      <c r="L123" s="30"/>
      <c r="M123" s="30"/>
      <c r="N123" s="30"/>
      <c r="O123" s="183"/>
      <c r="P123" s="182"/>
    </row>
    <row r="124">
      <c r="B124" s="30"/>
      <c r="C124" s="30"/>
      <c r="F124" s="30"/>
      <c r="G124" s="30"/>
      <c r="H124" s="30"/>
      <c r="I124" s="179"/>
      <c r="J124" s="180"/>
      <c r="L124" s="30"/>
      <c r="M124" s="30"/>
      <c r="N124" s="30"/>
      <c r="O124" s="183"/>
      <c r="P124" s="182"/>
    </row>
    <row r="125">
      <c r="B125" s="30"/>
      <c r="C125" s="30"/>
      <c r="F125" s="30"/>
      <c r="G125" s="30"/>
      <c r="H125" s="30"/>
      <c r="I125" s="179"/>
      <c r="J125" s="180"/>
      <c r="L125" s="30"/>
      <c r="M125" s="30"/>
      <c r="N125" s="30"/>
      <c r="O125" s="183"/>
      <c r="P125" s="182"/>
    </row>
    <row r="126">
      <c r="B126" s="30"/>
      <c r="C126" s="30"/>
      <c r="F126" s="30"/>
      <c r="G126" s="30"/>
      <c r="H126" s="30"/>
      <c r="I126" s="179"/>
      <c r="J126" s="180"/>
      <c r="L126" s="30"/>
      <c r="M126" s="30"/>
      <c r="N126" s="30"/>
      <c r="O126" s="183"/>
      <c r="P126" s="182"/>
    </row>
    <row r="127">
      <c r="B127" s="30"/>
      <c r="C127" s="30"/>
      <c r="F127" s="30"/>
      <c r="G127" s="30"/>
      <c r="H127" s="30"/>
      <c r="I127" s="179"/>
      <c r="J127" s="180"/>
      <c r="L127" s="30"/>
      <c r="M127" s="30"/>
      <c r="N127" s="30"/>
    </row>
    <row r="128">
      <c r="B128" s="30"/>
      <c r="C128" s="30"/>
      <c r="F128" s="30"/>
      <c r="G128" s="30"/>
      <c r="H128" s="30"/>
      <c r="I128" s="179"/>
      <c r="J128" s="180"/>
      <c r="L128" s="30"/>
      <c r="M128" s="30"/>
      <c r="N128" s="30"/>
    </row>
    <row r="129">
      <c r="B129" s="30"/>
      <c r="C129" s="30"/>
      <c r="F129" s="30"/>
      <c r="G129" s="30"/>
      <c r="H129" s="30"/>
      <c r="I129" s="179"/>
      <c r="J129" s="180"/>
      <c r="L129" s="30"/>
      <c r="M129" s="30"/>
      <c r="N129" s="30"/>
      <c r="O129" s="183"/>
      <c r="P129" s="182"/>
    </row>
    <row r="130">
      <c r="B130" s="30"/>
      <c r="C130" s="30"/>
      <c r="F130" s="30"/>
      <c r="G130" s="30"/>
      <c r="H130" s="30"/>
      <c r="I130" s="179"/>
      <c r="J130" s="180"/>
      <c r="L130" s="30"/>
      <c r="M130" s="30"/>
      <c r="N130" s="30"/>
      <c r="O130" s="183"/>
      <c r="P130" s="182"/>
    </row>
    <row r="131">
      <c r="B131" s="30"/>
      <c r="C131" s="30"/>
      <c r="F131" s="30"/>
      <c r="G131" s="30"/>
      <c r="H131" s="30"/>
      <c r="I131" s="179"/>
      <c r="J131" s="180"/>
      <c r="L131" s="30"/>
      <c r="M131" s="30"/>
      <c r="N131" s="30"/>
      <c r="O131" s="183"/>
      <c r="P131" s="182"/>
    </row>
    <row r="132">
      <c r="B132" s="30"/>
      <c r="C132" s="30"/>
      <c r="F132" s="30"/>
      <c r="G132" s="30"/>
      <c r="H132" s="30"/>
      <c r="I132" s="179"/>
      <c r="J132" s="180"/>
      <c r="L132" s="30"/>
      <c r="M132" s="30"/>
      <c r="N132" s="30"/>
      <c r="O132" s="183"/>
      <c r="P132" s="182"/>
    </row>
    <row r="133">
      <c r="B133" s="30"/>
      <c r="C133" s="30"/>
      <c r="F133" s="30"/>
      <c r="G133" s="30"/>
      <c r="H133" s="30"/>
      <c r="I133" s="179"/>
      <c r="J133" s="180"/>
      <c r="L133" s="30"/>
      <c r="M133" s="30"/>
      <c r="N133" s="30"/>
      <c r="O133" s="183"/>
      <c r="P133" s="182"/>
    </row>
    <row r="134">
      <c r="B134" s="30"/>
      <c r="C134" s="30"/>
      <c r="F134" s="30"/>
      <c r="G134" s="30"/>
      <c r="H134" s="30"/>
      <c r="I134" s="179"/>
      <c r="J134" s="180"/>
      <c r="L134" s="30"/>
      <c r="M134" s="30"/>
      <c r="N134" s="30"/>
      <c r="O134" s="183"/>
      <c r="P134" s="182"/>
    </row>
    <row r="135">
      <c r="B135" s="30"/>
      <c r="C135" s="30"/>
      <c r="F135" s="30"/>
      <c r="G135" s="30"/>
      <c r="H135" s="30"/>
      <c r="I135" s="179"/>
      <c r="J135" s="180"/>
      <c r="L135" s="30"/>
      <c r="M135" s="30"/>
      <c r="N135" s="30"/>
      <c r="O135" s="183"/>
      <c r="P135" s="182"/>
    </row>
    <row r="136">
      <c r="B136" s="30"/>
      <c r="C136" s="30"/>
      <c r="F136" s="30"/>
      <c r="G136" s="30"/>
      <c r="H136" s="30"/>
      <c r="I136" s="179"/>
      <c r="J136" s="180"/>
      <c r="L136" s="30"/>
      <c r="M136" s="30"/>
      <c r="N136" s="30"/>
      <c r="O136" s="183"/>
      <c r="P136" s="182"/>
    </row>
    <row r="137">
      <c r="B137" s="30"/>
      <c r="C137" s="30"/>
      <c r="F137" s="30"/>
      <c r="G137" s="30"/>
      <c r="H137" s="30"/>
      <c r="I137" s="179"/>
      <c r="J137" s="180"/>
      <c r="L137" s="30"/>
      <c r="M137" s="30"/>
      <c r="N137" s="30"/>
      <c r="O137" s="183"/>
      <c r="P137" s="182"/>
    </row>
    <row r="138">
      <c r="B138" s="30"/>
      <c r="C138" s="30"/>
      <c r="F138" s="30"/>
      <c r="G138" s="30"/>
      <c r="H138" s="30"/>
      <c r="I138" s="179"/>
      <c r="J138" s="180"/>
      <c r="L138" s="30"/>
      <c r="M138" s="30"/>
      <c r="N138" s="30"/>
      <c r="O138" s="183"/>
      <c r="P138" s="182"/>
    </row>
    <row r="139">
      <c r="B139" s="30"/>
      <c r="C139" s="30"/>
      <c r="F139" s="30"/>
      <c r="G139" s="30"/>
      <c r="H139" s="30"/>
      <c r="I139" s="179"/>
      <c r="J139" s="180"/>
      <c r="L139" s="30"/>
      <c r="M139" s="30"/>
      <c r="N139" s="30"/>
      <c r="O139" s="183"/>
      <c r="P139" s="182"/>
    </row>
    <row r="140">
      <c r="B140" s="30"/>
      <c r="C140" s="30"/>
      <c r="F140" s="30"/>
      <c r="G140" s="30"/>
      <c r="H140" s="30"/>
      <c r="I140" s="179"/>
      <c r="J140" s="180"/>
      <c r="L140" s="30"/>
      <c r="M140" s="30"/>
      <c r="N140" s="30"/>
    </row>
    <row r="141">
      <c r="B141" s="30"/>
      <c r="C141" s="30"/>
      <c r="F141" s="30"/>
      <c r="G141" s="30"/>
      <c r="H141" s="30"/>
      <c r="I141" s="179"/>
      <c r="J141" s="180"/>
      <c r="L141" s="30"/>
      <c r="M141" s="30"/>
      <c r="N141" s="30"/>
    </row>
    <row r="142">
      <c r="B142" s="30"/>
      <c r="C142" s="30"/>
      <c r="F142" s="30"/>
      <c r="G142" s="30"/>
      <c r="H142" s="30"/>
      <c r="I142" s="179"/>
      <c r="J142" s="180"/>
      <c r="L142" s="30"/>
      <c r="M142" s="30"/>
      <c r="N142" s="30"/>
      <c r="O142" s="183"/>
      <c r="P142" s="182"/>
    </row>
    <row r="143">
      <c r="B143" s="30"/>
      <c r="C143" s="30"/>
      <c r="F143" s="30"/>
      <c r="G143" s="30"/>
      <c r="H143" s="30"/>
      <c r="I143" s="179"/>
      <c r="J143" s="180"/>
      <c r="L143" s="30"/>
      <c r="M143" s="30"/>
      <c r="N143" s="30"/>
      <c r="O143" s="183"/>
      <c r="P143" s="182"/>
    </row>
    <row r="144">
      <c r="B144" s="30"/>
      <c r="C144" s="30"/>
      <c r="F144" s="30"/>
      <c r="G144" s="30"/>
      <c r="H144" s="30"/>
      <c r="I144" s="179"/>
      <c r="J144" s="180"/>
      <c r="L144" s="30"/>
      <c r="M144" s="30"/>
      <c r="N144" s="30"/>
      <c r="O144" s="183"/>
      <c r="P144" s="182"/>
    </row>
    <row r="145">
      <c r="B145" s="30"/>
      <c r="C145" s="30"/>
      <c r="F145" s="30"/>
      <c r="G145" s="30"/>
      <c r="H145" s="30"/>
      <c r="I145" s="179"/>
      <c r="J145" s="180"/>
      <c r="L145" s="30"/>
      <c r="M145" s="30"/>
      <c r="N145" s="30"/>
      <c r="O145" s="183"/>
      <c r="P145" s="182"/>
    </row>
    <row r="146">
      <c r="B146" s="30"/>
      <c r="C146" s="30"/>
      <c r="F146" s="30"/>
      <c r="G146" s="30"/>
      <c r="H146" s="30"/>
      <c r="I146" s="179"/>
      <c r="J146" s="180"/>
      <c r="L146" s="30"/>
      <c r="M146" s="30"/>
      <c r="N146" s="30"/>
      <c r="O146" s="183"/>
      <c r="P146" s="182"/>
    </row>
    <row r="147">
      <c r="B147" s="30"/>
      <c r="C147" s="30"/>
      <c r="F147" s="30"/>
      <c r="G147" s="30"/>
      <c r="H147" s="30"/>
      <c r="I147" s="179"/>
      <c r="J147" s="180"/>
      <c r="L147" s="30"/>
      <c r="M147" s="30"/>
      <c r="N147" s="30"/>
      <c r="O147" s="183"/>
      <c r="P147" s="182"/>
    </row>
    <row r="148">
      <c r="B148" s="30"/>
      <c r="C148" s="30"/>
      <c r="F148" s="30"/>
      <c r="G148" s="30"/>
      <c r="H148" s="30"/>
      <c r="I148" s="179"/>
      <c r="J148" s="180"/>
      <c r="L148" s="30"/>
      <c r="M148" s="30"/>
      <c r="N148" s="30"/>
      <c r="O148" s="183"/>
      <c r="P148" s="182"/>
    </row>
    <row r="149">
      <c r="B149" s="30"/>
      <c r="C149" s="30"/>
      <c r="F149" s="30"/>
      <c r="G149" s="30"/>
      <c r="H149" s="30"/>
      <c r="I149" s="179"/>
      <c r="J149" s="180"/>
      <c r="L149" s="30"/>
      <c r="M149" s="30"/>
      <c r="N149" s="30"/>
      <c r="O149" s="183"/>
      <c r="P149" s="182"/>
    </row>
    <row r="150">
      <c r="B150" s="30"/>
      <c r="C150" s="30"/>
      <c r="F150" s="30"/>
      <c r="G150" s="30"/>
      <c r="H150" s="30"/>
      <c r="I150" s="179"/>
      <c r="J150" s="180"/>
      <c r="L150" s="30"/>
      <c r="M150" s="30"/>
      <c r="N150" s="30"/>
      <c r="O150" s="183"/>
      <c r="P150" s="182"/>
    </row>
    <row r="151">
      <c r="B151" s="30"/>
      <c r="C151" s="30"/>
      <c r="F151" s="30"/>
      <c r="G151" s="30"/>
      <c r="H151" s="30"/>
      <c r="I151" s="179"/>
      <c r="J151" s="180"/>
      <c r="L151" s="30"/>
      <c r="M151" s="30"/>
      <c r="N151" s="30"/>
      <c r="O151" s="183"/>
      <c r="P151" s="182"/>
    </row>
    <row r="152">
      <c r="B152" s="30"/>
      <c r="C152" s="30"/>
      <c r="F152" s="30"/>
      <c r="G152" s="30"/>
      <c r="H152" s="30"/>
      <c r="I152" s="179"/>
      <c r="J152" s="180"/>
      <c r="L152" s="30"/>
      <c r="M152" s="30"/>
      <c r="N152" s="30"/>
      <c r="O152" s="183"/>
      <c r="P152" s="182"/>
    </row>
    <row r="153">
      <c r="B153" s="30"/>
      <c r="C153" s="30"/>
      <c r="F153" s="30"/>
      <c r="G153" s="30"/>
      <c r="H153" s="30"/>
      <c r="I153" s="179"/>
      <c r="J153" s="180"/>
      <c r="L153" s="30"/>
      <c r="M153" s="30"/>
      <c r="N153" s="30"/>
    </row>
    <row r="154">
      <c r="B154" s="30"/>
      <c r="C154" s="30"/>
      <c r="F154" s="30"/>
      <c r="G154" s="30"/>
      <c r="H154" s="30"/>
      <c r="I154" s="179"/>
      <c r="J154" s="180"/>
      <c r="L154" s="30"/>
      <c r="M154" s="30"/>
      <c r="N154" s="30"/>
    </row>
    <row r="155">
      <c r="B155" s="30"/>
      <c r="C155" s="30"/>
      <c r="F155" s="30"/>
      <c r="G155" s="30"/>
      <c r="H155" s="30"/>
      <c r="I155" s="179"/>
      <c r="J155" s="180"/>
      <c r="L155" s="30"/>
      <c r="M155" s="30"/>
      <c r="N155" s="30"/>
      <c r="O155" s="183"/>
      <c r="P155" s="182"/>
    </row>
    <row r="156">
      <c r="B156" s="30"/>
      <c r="C156" s="30"/>
      <c r="F156" s="30"/>
      <c r="G156" s="30"/>
      <c r="H156" s="30"/>
      <c r="I156" s="179"/>
      <c r="J156" s="180"/>
      <c r="L156" s="30"/>
      <c r="M156" s="30"/>
      <c r="N156" s="30"/>
      <c r="O156" s="183"/>
      <c r="P156" s="182"/>
    </row>
    <row r="157">
      <c r="B157" s="30"/>
      <c r="C157" s="30"/>
      <c r="F157" s="30"/>
      <c r="G157" s="30"/>
      <c r="H157" s="30"/>
      <c r="I157" s="179"/>
      <c r="J157" s="180"/>
      <c r="L157" s="30"/>
      <c r="M157" s="30"/>
      <c r="N157" s="30"/>
      <c r="O157" s="183"/>
      <c r="P157" s="182"/>
    </row>
    <row r="158">
      <c r="B158" s="30"/>
      <c r="C158" s="30"/>
      <c r="F158" s="30"/>
      <c r="G158" s="30"/>
      <c r="H158" s="30"/>
      <c r="I158" s="179"/>
      <c r="J158" s="180"/>
      <c r="L158" s="30"/>
      <c r="M158" s="30"/>
      <c r="N158" s="30"/>
      <c r="O158" s="183"/>
      <c r="P158" s="182"/>
    </row>
    <row r="159">
      <c r="B159" s="30"/>
      <c r="C159" s="30"/>
      <c r="F159" s="30"/>
      <c r="G159" s="30"/>
      <c r="H159" s="30"/>
      <c r="I159" s="179"/>
      <c r="J159" s="180"/>
      <c r="L159" s="30"/>
      <c r="M159" s="30"/>
      <c r="N159" s="30"/>
      <c r="O159" s="183"/>
      <c r="P159" s="182"/>
    </row>
    <row r="160">
      <c r="B160" s="30"/>
      <c r="C160" s="30"/>
      <c r="F160" s="30"/>
      <c r="G160" s="30"/>
      <c r="H160" s="30"/>
      <c r="I160" s="179"/>
      <c r="J160" s="180"/>
      <c r="L160" s="30"/>
      <c r="M160" s="30"/>
      <c r="N160" s="30"/>
      <c r="O160" s="183"/>
      <c r="P160" s="182"/>
    </row>
    <row r="161">
      <c r="B161" s="30"/>
      <c r="C161" s="30"/>
      <c r="F161" s="30"/>
      <c r="G161" s="30"/>
      <c r="H161" s="30"/>
      <c r="I161" s="179"/>
      <c r="J161" s="180"/>
      <c r="L161" s="30"/>
      <c r="M161" s="30"/>
      <c r="N161" s="30"/>
      <c r="O161" s="183"/>
      <c r="P161" s="182"/>
    </row>
    <row r="162">
      <c r="B162" s="30"/>
      <c r="C162" s="30"/>
      <c r="F162" s="30"/>
      <c r="G162" s="30"/>
      <c r="H162" s="30"/>
      <c r="I162" s="179"/>
      <c r="J162" s="180"/>
      <c r="L162" s="30"/>
      <c r="M162" s="30"/>
      <c r="N162" s="30"/>
      <c r="O162" s="183"/>
      <c r="P162" s="182"/>
    </row>
    <row r="163">
      <c r="B163" s="30"/>
      <c r="C163" s="30"/>
      <c r="F163" s="30"/>
      <c r="G163" s="30"/>
      <c r="H163" s="30"/>
      <c r="I163" s="179"/>
      <c r="J163" s="180"/>
      <c r="L163" s="30"/>
      <c r="M163" s="30"/>
      <c r="N163" s="30"/>
      <c r="O163" s="183"/>
      <c r="P163" s="182"/>
    </row>
    <row r="164">
      <c r="B164" s="30"/>
      <c r="C164" s="30"/>
      <c r="F164" s="30"/>
      <c r="G164" s="30"/>
      <c r="H164" s="30"/>
      <c r="I164" s="179"/>
      <c r="J164" s="180"/>
      <c r="L164" s="30"/>
      <c r="M164" s="30"/>
      <c r="N164" s="30"/>
      <c r="O164" s="183"/>
      <c r="P164" s="182"/>
    </row>
    <row r="165">
      <c r="B165" s="30"/>
      <c r="C165" s="30"/>
      <c r="F165" s="30"/>
      <c r="G165" s="30"/>
      <c r="H165" s="30"/>
      <c r="I165" s="179"/>
      <c r="J165" s="180"/>
      <c r="L165" s="30"/>
      <c r="M165" s="30"/>
      <c r="N165" s="30"/>
      <c r="O165" s="183"/>
      <c r="P165" s="182"/>
    </row>
    <row r="166">
      <c r="B166" s="30"/>
      <c r="C166" s="30"/>
      <c r="F166" s="30"/>
      <c r="G166" s="30"/>
      <c r="H166" s="30"/>
      <c r="I166" s="179"/>
      <c r="J166" s="180"/>
      <c r="L166" s="30"/>
      <c r="M166" s="30"/>
      <c r="N166" s="30"/>
    </row>
    <row r="167">
      <c r="B167" s="30"/>
      <c r="C167" s="30"/>
      <c r="F167" s="30"/>
      <c r="G167" s="30"/>
      <c r="H167" s="30"/>
      <c r="I167" s="179"/>
      <c r="J167" s="180"/>
      <c r="L167" s="30"/>
      <c r="M167" s="30"/>
      <c r="N167" s="30"/>
    </row>
    <row r="168">
      <c r="B168" s="30"/>
      <c r="C168" s="30"/>
      <c r="F168" s="30"/>
      <c r="G168" s="30"/>
      <c r="H168" s="30"/>
      <c r="I168" s="179"/>
      <c r="J168" s="180"/>
      <c r="L168" s="30"/>
      <c r="M168" s="30"/>
      <c r="N168" s="30"/>
    </row>
    <row r="169">
      <c r="B169" s="30"/>
      <c r="C169" s="30"/>
      <c r="F169" s="30"/>
      <c r="G169" s="30"/>
      <c r="H169" s="30"/>
      <c r="I169" s="179"/>
      <c r="J169" s="180"/>
      <c r="L169" s="30"/>
      <c r="M169" s="30"/>
      <c r="N169" s="30"/>
    </row>
    <row r="170">
      <c r="B170" s="30"/>
      <c r="C170" s="30"/>
      <c r="F170" s="30"/>
      <c r="G170" s="30"/>
      <c r="H170" s="30"/>
      <c r="I170" s="179"/>
      <c r="J170" s="180"/>
      <c r="L170" s="30"/>
      <c r="M170" s="30"/>
      <c r="N170" s="30"/>
    </row>
    <row r="171">
      <c r="B171" s="30"/>
      <c r="C171" s="30"/>
      <c r="F171" s="30"/>
      <c r="G171" s="30"/>
      <c r="H171" s="30"/>
      <c r="I171" s="179"/>
      <c r="J171" s="180"/>
      <c r="L171" s="30"/>
      <c r="M171" s="30"/>
      <c r="N171" s="30"/>
    </row>
    <row r="172">
      <c r="B172" s="30"/>
      <c r="C172" s="30"/>
      <c r="F172" s="30"/>
      <c r="G172" s="30"/>
      <c r="H172" s="30"/>
      <c r="I172" s="179"/>
      <c r="J172" s="180"/>
      <c r="L172" s="30"/>
      <c r="M172" s="30"/>
      <c r="N172" s="30"/>
    </row>
    <row r="173">
      <c r="B173" s="30"/>
      <c r="C173" s="30"/>
      <c r="F173" s="30"/>
      <c r="G173" s="30"/>
      <c r="H173" s="30"/>
      <c r="I173" s="179"/>
      <c r="J173" s="180"/>
      <c r="L173" s="30"/>
      <c r="M173" s="30"/>
      <c r="N173" s="30"/>
    </row>
    <row r="174">
      <c r="B174" s="30"/>
      <c r="C174" s="30"/>
      <c r="F174" s="30"/>
      <c r="G174" s="30"/>
      <c r="H174" s="30"/>
      <c r="I174" s="179"/>
      <c r="J174" s="180"/>
      <c r="L174" s="30"/>
      <c r="M174" s="30"/>
      <c r="N174" s="30"/>
    </row>
    <row r="175">
      <c r="B175" s="30"/>
      <c r="C175" s="30"/>
      <c r="F175" s="30"/>
      <c r="G175" s="30"/>
      <c r="H175" s="30"/>
      <c r="I175" s="179"/>
      <c r="J175" s="180"/>
      <c r="L175" s="30"/>
      <c r="M175" s="30"/>
      <c r="N175" s="30"/>
    </row>
    <row r="176">
      <c r="B176" s="30"/>
      <c r="C176" s="30"/>
      <c r="F176" s="30"/>
      <c r="G176" s="30"/>
      <c r="H176" s="30"/>
      <c r="I176" s="179"/>
      <c r="J176" s="180"/>
      <c r="L176" s="30"/>
      <c r="M176" s="30"/>
      <c r="N176" s="30"/>
    </row>
    <row r="177">
      <c r="B177" s="30"/>
      <c r="C177" s="30"/>
      <c r="F177" s="30"/>
      <c r="G177" s="30"/>
      <c r="H177" s="30"/>
      <c r="I177" s="179"/>
      <c r="J177" s="180"/>
      <c r="L177" s="30"/>
      <c r="M177" s="30"/>
      <c r="N177" s="30"/>
    </row>
    <row r="178">
      <c r="B178" s="30"/>
      <c r="C178" s="30"/>
      <c r="F178" s="30"/>
      <c r="G178" s="30"/>
      <c r="H178" s="30"/>
      <c r="I178" s="179"/>
      <c r="J178" s="180"/>
      <c r="L178" s="30"/>
      <c r="M178" s="30"/>
      <c r="N178" s="30"/>
    </row>
    <row r="179">
      <c r="B179" s="30"/>
      <c r="C179" s="30"/>
      <c r="F179" s="30"/>
      <c r="G179" s="30"/>
      <c r="H179" s="30"/>
      <c r="I179" s="179"/>
      <c r="J179" s="180"/>
      <c r="L179" s="30"/>
      <c r="M179" s="30"/>
      <c r="N179" s="30"/>
    </row>
    <row r="180">
      <c r="B180" s="30"/>
      <c r="C180" s="30"/>
      <c r="F180" s="30"/>
      <c r="G180" s="30"/>
      <c r="H180" s="30"/>
      <c r="I180" s="179"/>
      <c r="J180" s="180"/>
      <c r="L180" s="30"/>
      <c r="M180" s="30"/>
      <c r="N180" s="30"/>
    </row>
    <row r="181">
      <c r="B181" s="30"/>
      <c r="C181" s="30"/>
      <c r="F181" s="30"/>
      <c r="G181" s="30"/>
      <c r="H181" s="30"/>
      <c r="I181" s="179"/>
      <c r="J181" s="180"/>
      <c r="L181" s="30"/>
      <c r="M181" s="30"/>
      <c r="N181" s="30"/>
    </row>
    <row r="182">
      <c r="B182" s="30"/>
      <c r="C182" s="30"/>
      <c r="F182" s="30"/>
      <c r="G182" s="30"/>
      <c r="H182" s="30"/>
      <c r="I182" s="179"/>
      <c r="J182" s="180"/>
      <c r="L182" s="30"/>
      <c r="M182" s="30"/>
      <c r="N182" s="30"/>
    </row>
    <row r="183">
      <c r="B183" s="30"/>
      <c r="C183" s="30"/>
      <c r="F183" s="30"/>
      <c r="G183" s="30"/>
      <c r="H183" s="30"/>
      <c r="I183" s="179"/>
      <c r="J183" s="180"/>
      <c r="L183" s="30"/>
      <c r="M183" s="30"/>
      <c r="N183" s="30"/>
    </row>
    <row r="184">
      <c r="B184" s="30"/>
      <c r="C184" s="30"/>
      <c r="F184" s="30"/>
      <c r="G184" s="30"/>
      <c r="H184" s="30"/>
      <c r="I184" s="179"/>
      <c r="J184" s="180"/>
      <c r="L184" s="30"/>
      <c r="M184" s="30"/>
      <c r="N184" s="30"/>
    </row>
    <row r="185">
      <c r="B185" s="30"/>
      <c r="C185" s="30"/>
      <c r="F185" s="30"/>
      <c r="G185" s="30"/>
      <c r="H185" s="30"/>
      <c r="I185" s="179"/>
      <c r="J185" s="180"/>
      <c r="L185" s="30"/>
      <c r="M185" s="30"/>
      <c r="N185" s="30"/>
    </row>
    <row r="186">
      <c r="B186" s="30"/>
      <c r="C186" s="30"/>
      <c r="F186" s="30"/>
      <c r="G186" s="30"/>
      <c r="H186" s="30"/>
      <c r="I186" s="179"/>
      <c r="J186" s="180"/>
      <c r="L186" s="30"/>
      <c r="M186" s="30"/>
      <c r="N186" s="30"/>
    </row>
    <row r="187">
      <c r="B187" s="30"/>
      <c r="C187" s="30"/>
      <c r="F187" s="30"/>
      <c r="G187" s="30"/>
      <c r="H187" s="30"/>
      <c r="I187" s="179"/>
      <c r="J187" s="180"/>
      <c r="L187" s="30"/>
      <c r="M187" s="30"/>
      <c r="N187" s="30"/>
    </row>
    <row r="188">
      <c r="B188" s="30"/>
      <c r="C188" s="30"/>
      <c r="F188" s="30"/>
      <c r="G188" s="30"/>
      <c r="H188" s="30"/>
      <c r="I188" s="179"/>
      <c r="J188" s="180"/>
      <c r="L188" s="30"/>
      <c r="M188" s="30"/>
      <c r="N188" s="30"/>
    </row>
    <row r="189">
      <c r="B189" s="30"/>
      <c r="C189" s="30"/>
      <c r="F189" s="30"/>
      <c r="G189" s="30"/>
      <c r="H189" s="30"/>
      <c r="I189" s="179"/>
      <c r="J189" s="180"/>
      <c r="L189" s="30"/>
      <c r="M189" s="30"/>
      <c r="N189" s="30"/>
    </row>
    <row r="190">
      <c r="B190" s="30"/>
      <c r="C190" s="30"/>
      <c r="F190" s="30"/>
      <c r="G190" s="30"/>
      <c r="H190" s="30"/>
      <c r="I190" s="179"/>
      <c r="J190" s="180"/>
      <c r="L190" s="30"/>
      <c r="M190" s="30"/>
      <c r="N190" s="30"/>
    </row>
    <row r="191">
      <c r="B191" s="30"/>
      <c r="C191" s="30"/>
      <c r="F191" s="30"/>
      <c r="G191" s="30"/>
      <c r="H191" s="30"/>
      <c r="I191" s="179"/>
      <c r="J191" s="180"/>
      <c r="L191" s="30"/>
      <c r="M191" s="30"/>
      <c r="N191" s="30"/>
    </row>
    <row r="192">
      <c r="B192" s="30"/>
      <c r="C192" s="30"/>
      <c r="F192" s="30"/>
      <c r="G192" s="30"/>
      <c r="H192" s="30"/>
      <c r="I192" s="179"/>
      <c r="J192" s="180"/>
      <c r="L192" s="30"/>
      <c r="M192" s="30"/>
      <c r="N192" s="30"/>
    </row>
    <row r="193">
      <c r="B193" s="30"/>
      <c r="C193" s="30"/>
      <c r="F193" s="30"/>
      <c r="G193" s="30"/>
      <c r="H193" s="30"/>
      <c r="I193" s="179"/>
      <c r="J193" s="180"/>
      <c r="L193" s="30"/>
      <c r="M193" s="30"/>
      <c r="N193" s="30"/>
    </row>
    <row r="194">
      <c r="B194" s="30"/>
      <c r="C194" s="30"/>
      <c r="F194" s="30"/>
      <c r="G194" s="30"/>
      <c r="H194" s="30"/>
      <c r="I194" s="179"/>
      <c r="J194" s="180"/>
      <c r="L194" s="30"/>
      <c r="M194" s="30"/>
      <c r="N194" s="30"/>
    </row>
    <row r="195">
      <c r="B195" s="30"/>
      <c r="C195" s="30"/>
      <c r="F195" s="30"/>
      <c r="G195" s="30"/>
      <c r="H195" s="30"/>
      <c r="I195" s="179"/>
      <c r="J195" s="180"/>
      <c r="L195" s="30"/>
      <c r="M195" s="30"/>
      <c r="N195" s="30"/>
    </row>
    <row r="196">
      <c r="B196" s="30"/>
      <c r="C196" s="30"/>
      <c r="F196" s="30"/>
      <c r="G196" s="30"/>
      <c r="H196" s="30"/>
      <c r="I196" s="179"/>
      <c r="J196" s="180"/>
      <c r="L196" s="30"/>
      <c r="M196" s="30"/>
      <c r="N196" s="30"/>
    </row>
    <row r="197">
      <c r="B197" s="30"/>
      <c r="C197" s="30"/>
      <c r="F197" s="30"/>
      <c r="G197" s="30"/>
      <c r="H197" s="30"/>
      <c r="I197" s="179"/>
      <c r="J197" s="180"/>
      <c r="L197" s="30"/>
      <c r="M197" s="30"/>
      <c r="N197" s="30"/>
    </row>
    <row r="198">
      <c r="B198" s="30"/>
      <c r="C198" s="30"/>
      <c r="F198" s="30"/>
      <c r="G198" s="30"/>
      <c r="H198" s="30"/>
      <c r="I198" s="179"/>
      <c r="J198" s="180"/>
      <c r="L198" s="30"/>
      <c r="M198" s="30"/>
      <c r="N198" s="30"/>
    </row>
    <row r="199">
      <c r="B199" s="30"/>
      <c r="C199" s="30"/>
      <c r="F199" s="30"/>
      <c r="G199" s="30"/>
      <c r="H199" s="30"/>
      <c r="I199" s="179"/>
      <c r="J199" s="180"/>
      <c r="L199" s="30"/>
      <c r="M199" s="30"/>
      <c r="N199" s="30"/>
    </row>
    <row r="200">
      <c r="B200" s="30"/>
      <c r="C200" s="30"/>
      <c r="F200" s="30"/>
      <c r="G200" s="30"/>
      <c r="H200" s="30"/>
      <c r="I200" s="179"/>
      <c r="J200" s="180"/>
      <c r="L200" s="30"/>
      <c r="M200" s="30"/>
      <c r="N200" s="30"/>
    </row>
    <row r="201">
      <c r="B201" s="30"/>
      <c r="C201" s="30"/>
      <c r="F201" s="30"/>
      <c r="G201" s="30"/>
      <c r="H201" s="30"/>
      <c r="I201" s="179"/>
      <c r="J201" s="180"/>
      <c r="L201" s="30"/>
      <c r="M201" s="30"/>
      <c r="N201" s="30"/>
    </row>
    <row r="202">
      <c r="B202" s="30"/>
      <c r="C202" s="30"/>
      <c r="F202" s="30"/>
      <c r="G202" s="30"/>
      <c r="H202" s="30"/>
      <c r="I202" s="179"/>
      <c r="J202" s="180"/>
      <c r="L202" s="30"/>
      <c r="M202" s="30"/>
      <c r="N202" s="30"/>
    </row>
    <row r="203">
      <c r="B203" s="30"/>
      <c r="C203" s="30"/>
      <c r="F203" s="30"/>
      <c r="G203" s="30"/>
      <c r="H203" s="30"/>
      <c r="I203" s="179"/>
      <c r="J203" s="180"/>
      <c r="L203" s="30"/>
      <c r="M203" s="30"/>
      <c r="N203" s="30"/>
    </row>
    <row r="204">
      <c r="B204" s="30"/>
      <c r="C204" s="30"/>
      <c r="F204" s="30"/>
      <c r="G204" s="30"/>
      <c r="H204" s="30"/>
      <c r="I204" s="179"/>
      <c r="J204" s="180"/>
      <c r="L204" s="30"/>
      <c r="M204" s="30"/>
      <c r="N204" s="30"/>
    </row>
    <row r="205">
      <c r="B205" s="30"/>
      <c r="C205" s="30"/>
      <c r="F205" s="30"/>
      <c r="G205" s="30"/>
      <c r="H205" s="30"/>
      <c r="I205" s="179"/>
      <c r="J205" s="180"/>
      <c r="L205" s="30"/>
      <c r="M205" s="30"/>
      <c r="N205" s="30"/>
    </row>
    <row r="206">
      <c r="B206" s="30"/>
      <c r="C206" s="30"/>
      <c r="F206" s="30"/>
      <c r="G206" s="30"/>
      <c r="H206" s="30"/>
      <c r="I206" s="179"/>
      <c r="J206" s="180"/>
      <c r="L206" s="30"/>
      <c r="M206" s="30"/>
      <c r="N206" s="30"/>
    </row>
    <row r="207">
      <c r="B207" s="30"/>
      <c r="C207" s="30"/>
      <c r="F207" s="30"/>
      <c r="G207" s="30"/>
      <c r="H207" s="30"/>
      <c r="I207" s="179"/>
      <c r="J207" s="180"/>
      <c r="L207" s="30"/>
      <c r="M207" s="30"/>
      <c r="N207" s="30"/>
    </row>
    <row r="208">
      <c r="B208" s="30"/>
      <c r="C208" s="30"/>
      <c r="F208" s="30"/>
      <c r="G208" s="30"/>
      <c r="H208" s="30"/>
      <c r="I208" s="179"/>
      <c r="J208" s="180"/>
      <c r="L208" s="30"/>
      <c r="M208" s="30"/>
      <c r="N208" s="30"/>
    </row>
    <row r="209">
      <c r="B209" s="30"/>
      <c r="C209" s="30"/>
      <c r="F209" s="30"/>
      <c r="G209" s="30"/>
      <c r="H209" s="30"/>
      <c r="I209" s="179"/>
      <c r="J209" s="180"/>
      <c r="L209" s="30"/>
      <c r="M209" s="30"/>
      <c r="N209" s="30"/>
    </row>
    <row r="210">
      <c r="B210" s="30"/>
      <c r="C210" s="30"/>
      <c r="F210" s="30"/>
      <c r="G210" s="30"/>
      <c r="H210" s="30"/>
      <c r="I210" s="179"/>
      <c r="J210" s="180"/>
      <c r="L210" s="30"/>
      <c r="M210" s="30"/>
      <c r="N210" s="30"/>
    </row>
    <row r="211">
      <c r="B211" s="30"/>
      <c r="C211" s="30"/>
      <c r="F211" s="30"/>
      <c r="G211" s="30"/>
      <c r="H211" s="30"/>
      <c r="I211" s="179"/>
      <c r="J211" s="180"/>
      <c r="L211" s="30"/>
      <c r="M211" s="30"/>
      <c r="N211" s="30"/>
    </row>
    <row r="212">
      <c r="B212" s="30"/>
      <c r="C212" s="30"/>
      <c r="F212" s="30"/>
      <c r="G212" s="30"/>
      <c r="H212" s="30"/>
      <c r="I212" s="179"/>
      <c r="J212" s="180"/>
      <c r="L212" s="30"/>
      <c r="M212" s="30"/>
      <c r="N212" s="30"/>
    </row>
    <row r="213">
      <c r="B213" s="30"/>
      <c r="C213" s="30"/>
      <c r="F213" s="30"/>
      <c r="G213" s="30"/>
      <c r="H213" s="30"/>
      <c r="I213" s="179"/>
      <c r="J213" s="180"/>
      <c r="L213" s="30"/>
      <c r="M213" s="30"/>
      <c r="N213" s="30"/>
    </row>
    <row r="214">
      <c r="B214" s="30"/>
      <c r="C214" s="30"/>
      <c r="F214" s="30"/>
      <c r="G214" s="30"/>
      <c r="H214" s="30"/>
      <c r="I214" s="179"/>
      <c r="J214" s="180"/>
      <c r="L214" s="30"/>
      <c r="M214" s="30"/>
      <c r="N214" s="30"/>
    </row>
    <row r="215">
      <c r="B215" s="30"/>
      <c r="C215" s="30"/>
      <c r="F215" s="30"/>
      <c r="G215" s="30"/>
      <c r="H215" s="30"/>
      <c r="I215" s="179"/>
      <c r="J215" s="180"/>
      <c r="L215" s="30"/>
      <c r="M215" s="30"/>
      <c r="N215" s="30"/>
    </row>
    <row r="216">
      <c r="B216" s="30"/>
      <c r="C216" s="30"/>
      <c r="F216" s="30"/>
      <c r="G216" s="30"/>
      <c r="H216" s="30"/>
      <c r="I216" s="179"/>
      <c r="J216" s="180"/>
      <c r="L216" s="30"/>
      <c r="M216" s="30"/>
      <c r="N216" s="30"/>
    </row>
    <row r="217">
      <c r="B217" s="30"/>
      <c r="C217" s="30"/>
      <c r="F217" s="30"/>
      <c r="G217" s="30"/>
      <c r="H217" s="30"/>
      <c r="I217" s="179"/>
      <c r="J217" s="180"/>
      <c r="L217" s="30"/>
      <c r="M217" s="30"/>
      <c r="N217" s="30"/>
    </row>
    <row r="218">
      <c r="B218" s="30"/>
      <c r="C218" s="30"/>
      <c r="F218" s="30"/>
      <c r="G218" s="30"/>
      <c r="H218" s="30"/>
      <c r="I218" s="179"/>
      <c r="J218" s="180"/>
      <c r="L218" s="30"/>
      <c r="M218" s="30"/>
      <c r="N218" s="30"/>
    </row>
    <row r="219">
      <c r="B219" s="30"/>
      <c r="C219" s="30"/>
      <c r="F219" s="30"/>
      <c r="G219" s="30"/>
      <c r="H219" s="30"/>
      <c r="I219" s="179"/>
      <c r="J219" s="180"/>
      <c r="L219" s="30"/>
      <c r="M219" s="30"/>
      <c r="N219" s="30"/>
    </row>
    <row r="220">
      <c r="B220" s="30"/>
      <c r="C220" s="30"/>
      <c r="F220" s="30"/>
      <c r="G220" s="30"/>
      <c r="H220" s="30"/>
      <c r="I220" s="179"/>
      <c r="J220" s="180"/>
      <c r="L220" s="30"/>
      <c r="M220" s="30"/>
      <c r="N220" s="30"/>
    </row>
    <row r="221">
      <c r="B221" s="30"/>
      <c r="C221" s="30"/>
      <c r="F221" s="30"/>
      <c r="G221" s="30"/>
      <c r="H221" s="30"/>
      <c r="I221" s="179"/>
      <c r="J221" s="180"/>
      <c r="L221" s="30"/>
      <c r="M221" s="30"/>
      <c r="N221" s="30"/>
    </row>
    <row r="222">
      <c r="B222" s="30"/>
      <c r="C222" s="30"/>
      <c r="F222" s="30"/>
      <c r="G222" s="30"/>
      <c r="H222" s="30"/>
      <c r="I222" s="179"/>
      <c r="J222" s="180"/>
      <c r="L222" s="30"/>
      <c r="M222" s="30"/>
      <c r="N222" s="30"/>
    </row>
    <row r="223">
      <c r="B223" s="30"/>
      <c r="C223" s="30"/>
      <c r="F223" s="30"/>
      <c r="G223" s="30"/>
      <c r="H223" s="30"/>
      <c r="I223" s="179"/>
      <c r="J223" s="180"/>
      <c r="L223" s="30"/>
      <c r="M223" s="30"/>
      <c r="N223" s="30"/>
    </row>
    <row r="224">
      <c r="B224" s="30"/>
      <c r="C224" s="30"/>
      <c r="F224" s="30"/>
      <c r="G224" s="30"/>
      <c r="H224" s="30"/>
      <c r="I224" s="179"/>
      <c r="J224" s="180"/>
      <c r="L224" s="30"/>
      <c r="M224" s="30"/>
      <c r="N224" s="30"/>
    </row>
    <row r="225">
      <c r="B225" s="30"/>
      <c r="C225" s="30"/>
      <c r="F225" s="30"/>
      <c r="G225" s="30"/>
      <c r="H225" s="30"/>
      <c r="I225" s="179"/>
      <c r="J225" s="180"/>
      <c r="L225" s="30"/>
      <c r="M225" s="30"/>
      <c r="N225" s="30"/>
    </row>
    <row r="226">
      <c r="B226" s="30"/>
      <c r="C226" s="30"/>
      <c r="F226" s="30"/>
      <c r="G226" s="30"/>
      <c r="H226" s="30"/>
      <c r="I226" s="179"/>
      <c r="J226" s="180"/>
      <c r="L226" s="30"/>
      <c r="M226" s="30"/>
      <c r="N226" s="30"/>
    </row>
    <row r="227">
      <c r="B227" s="30"/>
      <c r="C227" s="30"/>
      <c r="F227" s="30"/>
      <c r="G227" s="30"/>
      <c r="H227" s="30"/>
      <c r="I227" s="179"/>
      <c r="J227" s="180"/>
      <c r="L227" s="30"/>
      <c r="M227" s="30"/>
      <c r="N227" s="30"/>
    </row>
    <row r="228">
      <c r="B228" s="30"/>
      <c r="C228" s="30"/>
      <c r="F228" s="30"/>
      <c r="G228" s="30"/>
      <c r="H228" s="30"/>
      <c r="I228" s="179"/>
      <c r="J228" s="180"/>
      <c r="L228" s="30"/>
      <c r="M228" s="30"/>
      <c r="N228" s="30"/>
    </row>
    <row r="229">
      <c r="B229" s="30"/>
      <c r="C229" s="30"/>
      <c r="F229" s="30"/>
      <c r="G229" s="30"/>
      <c r="H229" s="30"/>
      <c r="I229" s="179"/>
      <c r="J229" s="180"/>
      <c r="L229" s="30"/>
      <c r="M229" s="30"/>
      <c r="N229" s="30"/>
    </row>
    <row r="230">
      <c r="B230" s="30"/>
      <c r="C230" s="30"/>
      <c r="F230" s="30"/>
      <c r="G230" s="30"/>
      <c r="H230" s="30"/>
      <c r="I230" s="179"/>
      <c r="J230" s="180"/>
      <c r="L230" s="30"/>
      <c r="M230" s="30"/>
      <c r="N230" s="30"/>
    </row>
    <row r="231">
      <c r="B231" s="30"/>
      <c r="C231" s="30"/>
      <c r="F231" s="30"/>
      <c r="G231" s="30"/>
      <c r="H231" s="30"/>
      <c r="I231" s="179"/>
      <c r="J231" s="180"/>
      <c r="L231" s="30"/>
      <c r="M231" s="30"/>
      <c r="N231" s="30"/>
    </row>
    <row r="232">
      <c r="B232" s="30"/>
      <c r="C232" s="30"/>
      <c r="F232" s="30"/>
      <c r="G232" s="30"/>
      <c r="H232" s="30"/>
      <c r="I232" s="179"/>
      <c r="J232" s="180"/>
      <c r="L232" s="30"/>
      <c r="M232" s="30"/>
      <c r="N232" s="30"/>
    </row>
    <row r="233">
      <c r="B233" s="30"/>
      <c r="C233" s="30"/>
      <c r="F233" s="30"/>
      <c r="G233" s="30"/>
      <c r="H233" s="30"/>
      <c r="I233" s="179"/>
      <c r="J233" s="180"/>
      <c r="L233" s="30"/>
      <c r="M233" s="30"/>
      <c r="N233" s="30"/>
    </row>
    <row r="234">
      <c r="B234" s="30"/>
      <c r="C234" s="30"/>
      <c r="F234" s="30"/>
      <c r="G234" s="30"/>
      <c r="H234" s="30"/>
      <c r="I234" s="179"/>
      <c r="J234" s="180"/>
      <c r="L234" s="30"/>
      <c r="M234" s="30"/>
      <c r="N234" s="30"/>
    </row>
    <row r="235">
      <c r="B235" s="30"/>
      <c r="C235" s="30"/>
      <c r="F235" s="30"/>
      <c r="G235" s="30"/>
      <c r="H235" s="30"/>
      <c r="I235" s="179"/>
      <c r="J235" s="180"/>
      <c r="L235" s="30"/>
      <c r="M235" s="30"/>
      <c r="N235" s="30"/>
    </row>
    <row r="236">
      <c r="B236" s="30"/>
      <c r="C236" s="30"/>
      <c r="F236" s="30"/>
      <c r="G236" s="30"/>
      <c r="H236" s="30"/>
      <c r="I236" s="179"/>
      <c r="J236" s="180"/>
      <c r="L236" s="30"/>
      <c r="M236" s="30"/>
      <c r="N236" s="30"/>
    </row>
    <row r="237">
      <c r="B237" s="30"/>
      <c r="C237" s="30"/>
      <c r="F237" s="30"/>
      <c r="G237" s="30"/>
      <c r="H237" s="30"/>
      <c r="I237" s="179"/>
      <c r="J237" s="180"/>
      <c r="L237" s="30"/>
      <c r="M237" s="30"/>
      <c r="N237" s="30"/>
    </row>
    <row r="238">
      <c r="B238" s="30"/>
      <c r="C238" s="30"/>
      <c r="F238" s="30"/>
      <c r="G238" s="30"/>
      <c r="H238" s="30"/>
      <c r="I238" s="179"/>
      <c r="J238" s="180"/>
      <c r="L238" s="30"/>
      <c r="M238" s="30"/>
      <c r="N238" s="30"/>
    </row>
    <row r="239">
      <c r="B239" s="30"/>
      <c r="C239" s="30"/>
      <c r="F239" s="30"/>
      <c r="G239" s="30"/>
      <c r="H239" s="30"/>
      <c r="I239" s="179"/>
      <c r="J239" s="180"/>
      <c r="L239" s="30"/>
      <c r="M239" s="30"/>
      <c r="N239" s="30"/>
    </row>
    <row r="240">
      <c r="B240" s="30"/>
      <c r="C240" s="30"/>
      <c r="F240" s="30"/>
      <c r="G240" s="30"/>
      <c r="H240" s="30"/>
      <c r="I240" s="179"/>
      <c r="J240" s="180"/>
      <c r="L240" s="30"/>
      <c r="M240" s="30"/>
      <c r="N240" s="30"/>
    </row>
    <row r="241">
      <c r="B241" s="30"/>
      <c r="C241" s="30"/>
      <c r="F241" s="30"/>
      <c r="G241" s="30"/>
      <c r="H241" s="30"/>
      <c r="I241" s="179"/>
      <c r="J241" s="180"/>
      <c r="L241" s="30"/>
      <c r="M241" s="30"/>
      <c r="N241" s="30"/>
    </row>
    <row r="242">
      <c r="B242" s="30"/>
      <c r="C242" s="30"/>
      <c r="F242" s="30"/>
      <c r="G242" s="30"/>
      <c r="H242" s="30"/>
      <c r="I242" s="179"/>
      <c r="J242" s="180"/>
      <c r="L242" s="30"/>
      <c r="M242" s="30"/>
      <c r="N242" s="30"/>
    </row>
    <row r="243">
      <c r="B243" s="30"/>
      <c r="C243" s="30"/>
      <c r="F243" s="30"/>
      <c r="G243" s="30"/>
      <c r="H243" s="30"/>
      <c r="I243" s="179"/>
      <c r="J243" s="180"/>
      <c r="L243" s="30"/>
      <c r="M243" s="30"/>
      <c r="N243" s="30"/>
    </row>
    <row r="244">
      <c r="B244" s="30"/>
      <c r="C244" s="30"/>
      <c r="F244" s="30"/>
      <c r="G244" s="30"/>
      <c r="H244" s="30"/>
      <c r="I244" s="179"/>
      <c r="J244" s="180"/>
      <c r="L244" s="30"/>
      <c r="M244" s="30"/>
      <c r="N244" s="30"/>
    </row>
    <row r="245">
      <c r="B245" s="30"/>
      <c r="C245" s="30"/>
      <c r="F245" s="30"/>
      <c r="G245" s="30"/>
      <c r="H245" s="30"/>
      <c r="I245" s="179"/>
      <c r="J245" s="180"/>
      <c r="L245" s="30"/>
      <c r="M245" s="30"/>
      <c r="N245" s="30"/>
    </row>
    <row r="246">
      <c r="B246" s="30"/>
      <c r="C246" s="30"/>
      <c r="F246" s="30"/>
      <c r="G246" s="30"/>
      <c r="H246" s="30"/>
      <c r="I246" s="179"/>
      <c r="J246" s="180"/>
      <c r="L246" s="30"/>
      <c r="M246" s="30"/>
      <c r="N246" s="30"/>
    </row>
    <row r="247">
      <c r="B247" s="30"/>
      <c r="C247" s="30"/>
      <c r="F247" s="30"/>
      <c r="G247" s="30"/>
      <c r="H247" s="30"/>
      <c r="I247" s="179"/>
      <c r="J247" s="180"/>
      <c r="L247" s="30"/>
      <c r="M247" s="30"/>
      <c r="N247" s="30"/>
    </row>
    <row r="248">
      <c r="B248" s="30"/>
      <c r="C248" s="30"/>
      <c r="F248" s="30"/>
      <c r="G248" s="30"/>
      <c r="H248" s="30"/>
      <c r="I248" s="179"/>
      <c r="J248" s="180"/>
      <c r="L248" s="30"/>
      <c r="M248" s="30"/>
      <c r="N248" s="30"/>
    </row>
    <row r="249">
      <c r="B249" s="30"/>
      <c r="C249" s="30"/>
      <c r="F249" s="30"/>
      <c r="G249" s="30"/>
      <c r="H249" s="30"/>
      <c r="I249" s="179"/>
      <c r="J249" s="180"/>
      <c r="L249" s="30"/>
      <c r="M249" s="30"/>
      <c r="N249" s="30"/>
    </row>
    <row r="250">
      <c r="B250" s="30"/>
      <c r="C250" s="30"/>
      <c r="F250" s="30"/>
      <c r="G250" s="30"/>
      <c r="H250" s="30"/>
      <c r="I250" s="179"/>
      <c r="J250" s="180"/>
      <c r="L250" s="30"/>
      <c r="M250" s="30"/>
      <c r="N250" s="30"/>
    </row>
    <row r="251">
      <c r="B251" s="30"/>
      <c r="C251" s="30"/>
      <c r="F251" s="30"/>
      <c r="G251" s="30"/>
      <c r="H251" s="30"/>
      <c r="I251" s="179"/>
      <c r="J251" s="180"/>
      <c r="L251" s="30"/>
      <c r="M251" s="30"/>
      <c r="N251" s="30"/>
    </row>
    <row r="252">
      <c r="B252" s="30"/>
      <c r="C252" s="30"/>
      <c r="F252" s="30"/>
      <c r="G252" s="30"/>
      <c r="H252" s="30"/>
      <c r="I252" s="179"/>
      <c r="J252" s="180"/>
      <c r="L252" s="30"/>
      <c r="M252" s="30"/>
      <c r="N252" s="30"/>
    </row>
    <row r="253">
      <c r="B253" s="30"/>
      <c r="C253" s="30"/>
      <c r="F253" s="30"/>
      <c r="G253" s="30"/>
      <c r="H253" s="30"/>
      <c r="I253" s="179"/>
      <c r="J253" s="180"/>
      <c r="L253" s="30"/>
      <c r="M253" s="30"/>
      <c r="N253" s="30"/>
    </row>
    <row r="254">
      <c r="B254" s="30"/>
      <c r="C254" s="30"/>
      <c r="F254" s="30"/>
      <c r="G254" s="30"/>
      <c r="H254" s="30"/>
      <c r="I254" s="179"/>
      <c r="J254" s="180"/>
      <c r="L254" s="30"/>
      <c r="M254" s="30"/>
      <c r="N254" s="30"/>
    </row>
    <row r="255">
      <c r="B255" s="30"/>
      <c r="C255" s="30"/>
      <c r="F255" s="30"/>
      <c r="G255" s="30"/>
      <c r="H255" s="30"/>
      <c r="I255" s="179"/>
      <c r="J255" s="180"/>
      <c r="L255" s="30"/>
      <c r="M255" s="30"/>
      <c r="N255" s="30"/>
    </row>
    <row r="256">
      <c r="B256" s="30"/>
      <c r="C256" s="30"/>
      <c r="F256" s="30"/>
      <c r="G256" s="30"/>
      <c r="H256" s="30"/>
      <c r="I256" s="179"/>
      <c r="J256" s="180"/>
      <c r="L256" s="30"/>
      <c r="M256" s="30"/>
      <c r="N256" s="30"/>
    </row>
    <row r="257">
      <c r="B257" s="30"/>
      <c r="C257" s="30"/>
      <c r="F257" s="30"/>
      <c r="G257" s="30"/>
      <c r="H257" s="30"/>
      <c r="I257" s="179"/>
      <c r="J257" s="180"/>
      <c r="L257" s="30"/>
      <c r="M257" s="30"/>
      <c r="N257" s="30"/>
    </row>
    <row r="258">
      <c r="B258" s="30"/>
      <c r="C258" s="30"/>
      <c r="F258" s="30"/>
      <c r="G258" s="30"/>
      <c r="H258" s="30"/>
      <c r="I258" s="179"/>
      <c r="J258" s="180"/>
      <c r="L258" s="30"/>
      <c r="M258" s="30"/>
      <c r="N258" s="30"/>
    </row>
    <row r="259">
      <c r="B259" s="30"/>
      <c r="C259" s="30"/>
      <c r="F259" s="30"/>
      <c r="G259" s="30"/>
      <c r="H259" s="30"/>
      <c r="I259" s="179"/>
      <c r="J259" s="180"/>
      <c r="L259" s="30"/>
      <c r="M259" s="30"/>
      <c r="N259" s="30"/>
    </row>
    <row r="260">
      <c r="B260" s="30"/>
      <c r="C260" s="30"/>
      <c r="F260" s="30"/>
      <c r="G260" s="30"/>
      <c r="H260" s="30"/>
      <c r="I260" s="179"/>
      <c r="J260" s="180"/>
      <c r="L260" s="30"/>
      <c r="M260" s="30"/>
      <c r="N260" s="30"/>
    </row>
    <row r="261">
      <c r="B261" s="30"/>
      <c r="C261" s="30"/>
      <c r="F261" s="30"/>
      <c r="G261" s="30"/>
      <c r="H261" s="30"/>
      <c r="I261" s="179"/>
      <c r="J261" s="180"/>
      <c r="L261" s="30"/>
      <c r="M261" s="30"/>
      <c r="N261" s="30"/>
    </row>
    <row r="262">
      <c r="B262" s="30"/>
      <c r="C262" s="30"/>
      <c r="F262" s="30"/>
      <c r="G262" s="30"/>
      <c r="H262" s="30"/>
      <c r="I262" s="179"/>
      <c r="J262" s="180"/>
      <c r="L262" s="30"/>
      <c r="M262" s="30"/>
      <c r="N262" s="30"/>
    </row>
    <row r="263">
      <c r="B263" s="30"/>
      <c r="C263" s="30"/>
      <c r="F263" s="30"/>
      <c r="G263" s="30"/>
      <c r="H263" s="30"/>
      <c r="I263" s="179"/>
      <c r="J263" s="180"/>
      <c r="L263" s="30"/>
      <c r="M263" s="30"/>
      <c r="N263" s="30"/>
    </row>
    <row r="264">
      <c r="B264" s="30"/>
      <c r="C264" s="30"/>
      <c r="F264" s="30"/>
      <c r="G264" s="30"/>
      <c r="H264" s="30"/>
      <c r="I264" s="179"/>
      <c r="J264" s="180"/>
      <c r="L264" s="30"/>
      <c r="M264" s="30"/>
      <c r="N264" s="30"/>
    </row>
    <row r="265">
      <c r="B265" s="30"/>
      <c r="C265" s="30"/>
      <c r="F265" s="30"/>
      <c r="G265" s="30"/>
      <c r="H265" s="30"/>
      <c r="I265" s="179"/>
      <c r="J265" s="180"/>
      <c r="L265" s="30"/>
      <c r="M265" s="30"/>
      <c r="N265" s="30"/>
    </row>
    <row r="266">
      <c r="B266" s="30"/>
      <c r="C266" s="30"/>
      <c r="F266" s="30"/>
      <c r="G266" s="30"/>
      <c r="H266" s="30"/>
      <c r="I266" s="179"/>
      <c r="J266" s="180"/>
      <c r="L266" s="30"/>
      <c r="M266" s="30"/>
      <c r="N266" s="30"/>
    </row>
    <row r="267">
      <c r="B267" s="30"/>
      <c r="C267" s="30"/>
      <c r="F267" s="30"/>
      <c r="G267" s="30"/>
      <c r="H267" s="30"/>
      <c r="I267" s="179"/>
      <c r="J267" s="180"/>
      <c r="L267" s="30"/>
      <c r="M267" s="30"/>
      <c r="N267" s="30"/>
    </row>
    <row r="268">
      <c r="B268" s="30"/>
      <c r="C268" s="30"/>
      <c r="F268" s="30"/>
      <c r="G268" s="30"/>
      <c r="H268" s="30"/>
      <c r="I268" s="179"/>
      <c r="J268" s="180"/>
      <c r="L268" s="30"/>
      <c r="M268" s="30"/>
      <c r="N268" s="30"/>
    </row>
    <row r="269">
      <c r="B269" s="30"/>
      <c r="C269" s="30"/>
      <c r="F269" s="30"/>
      <c r="G269" s="30"/>
      <c r="H269" s="30"/>
      <c r="I269" s="179"/>
      <c r="J269" s="180"/>
      <c r="L269" s="30"/>
      <c r="M269" s="30"/>
      <c r="N269" s="30"/>
    </row>
    <row r="270">
      <c r="B270" s="30"/>
      <c r="C270" s="30"/>
      <c r="F270" s="30"/>
      <c r="G270" s="30"/>
      <c r="H270" s="30"/>
      <c r="I270" s="179"/>
      <c r="J270" s="180"/>
      <c r="L270" s="30"/>
      <c r="M270" s="30"/>
      <c r="N270" s="30"/>
    </row>
    <row r="271">
      <c r="B271" s="30"/>
      <c r="C271" s="30"/>
      <c r="F271" s="30"/>
      <c r="G271" s="30"/>
      <c r="H271" s="30"/>
      <c r="I271" s="179"/>
      <c r="J271" s="180"/>
      <c r="L271" s="30"/>
      <c r="M271" s="30"/>
      <c r="N271" s="30"/>
    </row>
    <row r="272">
      <c r="B272" s="30"/>
      <c r="C272" s="30"/>
      <c r="F272" s="30"/>
      <c r="G272" s="30"/>
      <c r="H272" s="30"/>
      <c r="I272" s="179"/>
      <c r="J272" s="180"/>
      <c r="L272" s="30"/>
      <c r="M272" s="30"/>
      <c r="N272" s="30"/>
    </row>
    <row r="273">
      <c r="B273" s="30"/>
      <c r="C273" s="30"/>
      <c r="F273" s="30"/>
      <c r="G273" s="30"/>
      <c r="H273" s="30"/>
      <c r="I273" s="179"/>
      <c r="J273" s="180"/>
      <c r="L273" s="30"/>
      <c r="M273" s="30"/>
      <c r="N273" s="30"/>
    </row>
    <row r="274">
      <c r="B274" s="30"/>
      <c r="C274" s="30"/>
      <c r="F274" s="30"/>
      <c r="G274" s="30"/>
      <c r="H274" s="30"/>
      <c r="I274" s="179"/>
      <c r="J274" s="180"/>
      <c r="L274" s="30"/>
      <c r="M274" s="30"/>
      <c r="N274" s="30"/>
    </row>
    <row r="275">
      <c r="B275" s="30"/>
      <c r="C275" s="30"/>
      <c r="F275" s="30"/>
      <c r="G275" s="30"/>
      <c r="H275" s="30"/>
      <c r="I275" s="179"/>
      <c r="J275" s="180"/>
      <c r="L275" s="30"/>
      <c r="M275" s="30"/>
      <c r="N275" s="30"/>
    </row>
    <row r="276">
      <c r="B276" s="30"/>
      <c r="C276" s="30"/>
      <c r="F276" s="30"/>
      <c r="G276" s="30"/>
      <c r="H276" s="30"/>
      <c r="I276" s="179"/>
      <c r="J276" s="180"/>
      <c r="L276" s="30"/>
      <c r="M276" s="30"/>
      <c r="N276" s="30"/>
    </row>
    <row r="277">
      <c r="B277" s="30"/>
      <c r="C277" s="30"/>
      <c r="F277" s="30"/>
      <c r="G277" s="30"/>
      <c r="H277" s="30"/>
      <c r="I277" s="179"/>
      <c r="J277" s="180"/>
      <c r="L277" s="30"/>
      <c r="M277" s="30"/>
      <c r="N277" s="30"/>
    </row>
    <row r="278">
      <c r="B278" s="30"/>
      <c r="C278" s="30"/>
      <c r="F278" s="30"/>
      <c r="G278" s="30"/>
      <c r="H278" s="30"/>
      <c r="I278" s="179"/>
      <c r="J278" s="180"/>
      <c r="L278" s="30"/>
      <c r="M278" s="30"/>
      <c r="N278" s="30"/>
    </row>
    <row r="279">
      <c r="B279" s="30"/>
      <c r="C279" s="30"/>
      <c r="F279" s="30"/>
      <c r="G279" s="30"/>
      <c r="H279" s="30"/>
      <c r="I279" s="179"/>
      <c r="J279" s="180"/>
      <c r="L279" s="30"/>
      <c r="M279" s="30"/>
      <c r="N279" s="30"/>
    </row>
    <row r="280">
      <c r="B280" s="30"/>
      <c r="C280" s="30"/>
      <c r="F280" s="30"/>
      <c r="G280" s="30"/>
      <c r="H280" s="30"/>
      <c r="I280" s="179"/>
      <c r="J280" s="180"/>
      <c r="L280" s="30"/>
      <c r="M280" s="30"/>
      <c r="N280" s="30"/>
    </row>
    <row r="281">
      <c r="B281" s="30"/>
      <c r="C281" s="30"/>
      <c r="F281" s="30"/>
      <c r="G281" s="30"/>
      <c r="H281" s="30"/>
      <c r="I281" s="179"/>
      <c r="J281" s="180"/>
      <c r="L281" s="30"/>
      <c r="M281" s="30"/>
      <c r="N281" s="30"/>
    </row>
    <row r="282">
      <c r="B282" s="30"/>
      <c r="C282" s="30"/>
      <c r="F282" s="30"/>
      <c r="G282" s="30"/>
      <c r="H282" s="30"/>
      <c r="I282" s="179"/>
      <c r="J282" s="180"/>
      <c r="L282" s="30"/>
      <c r="M282" s="30"/>
      <c r="N282" s="30"/>
    </row>
    <row r="283">
      <c r="B283" s="30"/>
      <c r="C283" s="30"/>
      <c r="F283" s="30"/>
      <c r="G283" s="30"/>
      <c r="H283" s="30"/>
      <c r="I283" s="179"/>
      <c r="J283" s="180"/>
      <c r="L283" s="30"/>
      <c r="M283" s="30"/>
      <c r="N283" s="30"/>
    </row>
    <row r="284">
      <c r="B284" s="30"/>
      <c r="C284" s="30"/>
      <c r="F284" s="30"/>
      <c r="G284" s="30"/>
      <c r="H284" s="30"/>
      <c r="I284" s="179"/>
      <c r="J284" s="180"/>
      <c r="L284" s="30"/>
      <c r="M284" s="30"/>
      <c r="N284" s="30"/>
    </row>
    <row r="285">
      <c r="B285" s="30"/>
      <c r="C285" s="30"/>
      <c r="F285" s="30"/>
      <c r="G285" s="30"/>
      <c r="H285" s="30"/>
      <c r="I285" s="179"/>
      <c r="J285" s="180"/>
      <c r="L285" s="30"/>
      <c r="M285" s="30"/>
      <c r="N285" s="30"/>
    </row>
    <row r="286">
      <c r="B286" s="30"/>
      <c r="C286" s="30"/>
      <c r="F286" s="30"/>
      <c r="G286" s="30"/>
      <c r="H286" s="30"/>
      <c r="I286" s="179"/>
      <c r="J286" s="180"/>
      <c r="L286" s="30"/>
      <c r="M286" s="30"/>
      <c r="N286" s="30"/>
    </row>
    <row r="287">
      <c r="B287" s="30"/>
      <c r="C287" s="30"/>
      <c r="F287" s="30"/>
      <c r="G287" s="30"/>
      <c r="H287" s="30"/>
      <c r="I287" s="179"/>
      <c r="J287" s="180"/>
      <c r="L287" s="30"/>
      <c r="M287" s="30"/>
      <c r="N287" s="30"/>
    </row>
    <row r="288">
      <c r="B288" s="30"/>
      <c r="C288" s="30"/>
      <c r="F288" s="30"/>
      <c r="G288" s="30"/>
      <c r="H288" s="30"/>
      <c r="I288" s="179"/>
      <c r="J288" s="180"/>
      <c r="L288" s="30"/>
      <c r="M288" s="30"/>
      <c r="N288" s="30"/>
    </row>
    <row r="289">
      <c r="B289" s="30"/>
      <c r="C289" s="30"/>
      <c r="F289" s="30"/>
      <c r="G289" s="30"/>
      <c r="H289" s="30"/>
      <c r="I289" s="179"/>
      <c r="J289" s="180"/>
      <c r="L289" s="30"/>
      <c r="M289" s="30"/>
      <c r="N289" s="30"/>
    </row>
    <row r="290">
      <c r="B290" s="30"/>
      <c r="C290" s="30"/>
      <c r="F290" s="30"/>
      <c r="G290" s="30"/>
      <c r="H290" s="30"/>
      <c r="I290" s="179"/>
      <c r="J290" s="180"/>
      <c r="L290" s="30"/>
      <c r="M290" s="30"/>
      <c r="N290" s="30"/>
    </row>
    <row r="291">
      <c r="B291" s="30"/>
      <c r="C291" s="30"/>
      <c r="F291" s="30"/>
      <c r="G291" s="30"/>
      <c r="H291" s="30"/>
      <c r="I291" s="179"/>
      <c r="J291" s="180"/>
      <c r="L291" s="30"/>
      <c r="M291" s="30"/>
      <c r="N291" s="30"/>
    </row>
    <row r="292">
      <c r="B292" s="30"/>
      <c r="C292" s="30"/>
      <c r="F292" s="30"/>
      <c r="G292" s="30"/>
      <c r="H292" s="30"/>
      <c r="I292" s="179"/>
      <c r="J292" s="180"/>
      <c r="L292" s="30"/>
      <c r="M292" s="30"/>
      <c r="N292" s="30"/>
    </row>
    <row r="293">
      <c r="B293" s="30"/>
      <c r="C293" s="30"/>
      <c r="F293" s="30"/>
      <c r="G293" s="30"/>
      <c r="H293" s="30"/>
      <c r="I293" s="179"/>
      <c r="J293" s="180"/>
      <c r="L293" s="30"/>
      <c r="M293" s="30"/>
      <c r="N293" s="30"/>
    </row>
    <row r="294">
      <c r="B294" s="30"/>
      <c r="C294" s="30"/>
      <c r="F294" s="30"/>
      <c r="G294" s="30"/>
      <c r="H294" s="30"/>
      <c r="I294" s="179"/>
      <c r="J294" s="180"/>
      <c r="L294" s="30"/>
      <c r="M294" s="30"/>
      <c r="N294" s="30"/>
    </row>
    <row r="295">
      <c r="B295" s="30"/>
      <c r="C295" s="30"/>
      <c r="F295" s="30"/>
      <c r="G295" s="30"/>
      <c r="H295" s="30"/>
      <c r="I295" s="179"/>
      <c r="J295" s="180"/>
      <c r="L295" s="30"/>
      <c r="M295" s="30"/>
      <c r="N295" s="30"/>
    </row>
    <row r="296">
      <c r="B296" s="30"/>
      <c r="C296" s="30"/>
      <c r="F296" s="30"/>
      <c r="G296" s="30"/>
      <c r="H296" s="30"/>
      <c r="I296" s="179"/>
      <c r="J296" s="180"/>
      <c r="L296" s="30"/>
      <c r="M296" s="30"/>
      <c r="N296" s="30"/>
    </row>
    <row r="297">
      <c r="B297" s="30"/>
      <c r="C297" s="30"/>
      <c r="F297" s="30"/>
      <c r="G297" s="30"/>
      <c r="H297" s="30"/>
      <c r="I297" s="179"/>
      <c r="J297" s="180"/>
      <c r="L297" s="30"/>
      <c r="M297" s="30"/>
      <c r="N297" s="30"/>
    </row>
    <row r="298">
      <c r="B298" s="30"/>
      <c r="C298" s="30"/>
      <c r="F298" s="30"/>
      <c r="G298" s="30"/>
      <c r="H298" s="30"/>
      <c r="I298" s="179"/>
      <c r="J298" s="180"/>
      <c r="L298" s="30"/>
      <c r="M298" s="30"/>
      <c r="N298" s="30"/>
    </row>
    <row r="299">
      <c r="B299" s="30"/>
      <c r="C299" s="30"/>
      <c r="F299" s="30"/>
      <c r="G299" s="30"/>
      <c r="H299" s="30"/>
      <c r="I299" s="179"/>
      <c r="J299" s="180"/>
      <c r="L299" s="30"/>
      <c r="M299" s="30"/>
      <c r="N299" s="30"/>
    </row>
    <row r="300">
      <c r="B300" s="30"/>
      <c r="C300" s="30"/>
      <c r="F300" s="30"/>
      <c r="G300" s="30"/>
      <c r="H300" s="30"/>
      <c r="I300" s="179"/>
      <c r="J300" s="180"/>
      <c r="L300" s="30"/>
      <c r="M300" s="30"/>
      <c r="N300" s="30"/>
    </row>
    <row r="301">
      <c r="B301" s="30"/>
      <c r="C301" s="30"/>
      <c r="F301" s="30"/>
      <c r="G301" s="30"/>
      <c r="H301" s="30"/>
      <c r="I301" s="179"/>
      <c r="J301" s="180"/>
      <c r="L301" s="30"/>
      <c r="M301" s="30"/>
      <c r="N301" s="30"/>
    </row>
    <row r="302">
      <c r="B302" s="30"/>
      <c r="C302" s="30"/>
      <c r="F302" s="30"/>
      <c r="G302" s="30"/>
      <c r="H302" s="30"/>
      <c r="I302" s="179"/>
      <c r="J302" s="180"/>
      <c r="L302" s="30"/>
      <c r="M302" s="30"/>
      <c r="N302" s="30"/>
    </row>
    <row r="303">
      <c r="B303" s="30"/>
      <c r="C303" s="30"/>
      <c r="F303" s="30"/>
      <c r="G303" s="30"/>
      <c r="H303" s="30"/>
      <c r="I303" s="179"/>
      <c r="J303" s="180"/>
      <c r="L303" s="30"/>
      <c r="M303" s="30"/>
      <c r="N303" s="30"/>
    </row>
    <row r="304">
      <c r="B304" s="30"/>
      <c r="C304" s="30"/>
      <c r="F304" s="30"/>
      <c r="G304" s="30"/>
      <c r="H304" s="30"/>
      <c r="I304" s="179"/>
      <c r="J304" s="180"/>
      <c r="L304" s="30"/>
      <c r="M304" s="30"/>
      <c r="N304" s="30"/>
    </row>
    <row r="305">
      <c r="B305" s="30"/>
      <c r="C305" s="30"/>
      <c r="F305" s="30"/>
      <c r="G305" s="30"/>
      <c r="H305" s="30"/>
      <c r="I305" s="179"/>
      <c r="J305" s="180"/>
      <c r="L305" s="30"/>
      <c r="M305" s="30"/>
      <c r="N305" s="30"/>
    </row>
    <row r="306">
      <c r="B306" s="30"/>
      <c r="C306" s="30"/>
      <c r="F306" s="30"/>
      <c r="G306" s="30"/>
      <c r="H306" s="30"/>
      <c r="I306" s="179"/>
      <c r="J306" s="180"/>
      <c r="L306" s="30"/>
      <c r="M306" s="30"/>
      <c r="N306" s="30"/>
    </row>
    <row r="307">
      <c r="B307" s="30"/>
      <c r="C307" s="30"/>
      <c r="F307" s="30"/>
      <c r="G307" s="30"/>
      <c r="H307" s="30"/>
      <c r="I307" s="179"/>
      <c r="J307" s="180"/>
      <c r="L307" s="30"/>
      <c r="M307" s="30"/>
      <c r="N307" s="30"/>
    </row>
    <row r="308">
      <c r="B308" s="30"/>
      <c r="C308" s="30"/>
      <c r="F308" s="30"/>
      <c r="G308" s="30"/>
      <c r="H308" s="30"/>
      <c r="I308" s="179"/>
      <c r="J308" s="180"/>
      <c r="L308" s="30"/>
      <c r="M308" s="30"/>
      <c r="N308" s="30"/>
    </row>
    <row r="309">
      <c r="B309" s="30"/>
      <c r="C309" s="30"/>
      <c r="F309" s="30"/>
      <c r="G309" s="30"/>
      <c r="H309" s="30"/>
      <c r="I309" s="179"/>
      <c r="J309" s="180"/>
      <c r="L309" s="30"/>
      <c r="M309" s="30"/>
      <c r="N309" s="30"/>
    </row>
    <row r="310">
      <c r="B310" s="30"/>
      <c r="C310" s="30"/>
      <c r="F310" s="30"/>
      <c r="G310" s="30"/>
      <c r="H310" s="30"/>
      <c r="I310" s="179"/>
      <c r="J310" s="180"/>
      <c r="L310" s="30"/>
      <c r="M310" s="30"/>
      <c r="N310" s="30"/>
    </row>
    <row r="311">
      <c r="B311" s="30"/>
      <c r="C311" s="30"/>
      <c r="F311" s="30"/>
      <c r="G311" s="30"/>
      <c r="H311" s="30"/>
      <c r="I311" s="179"/>
      <c r="J311" s="180"/>
      <c r="L311" s="30"/>
      <c r="M311" s="30"/>
      <c r="N311" s="30"/>
    </row>
    <row r="312">
      <c r="B312" s="30"/>
      <c r="C312" s="30"/>
      <c r="F312" s="30"/>
      <c r="G312" s="30"/>
      <c r="H312" s="30"/>
      <c r="I312" s="179"/>
      <c r="J312" s="180"/>
      <c r="L312" s="30"/>
      <c r="M312" s="30"/>
      <c r="N312" s="30"/>
    </row>
    <row r="313">
      <c r="B313" s="30"/>
      <c r="C313" s="30"/>
      <c r="F313" s="30"/>
      <c r="G313" s="30"/>
      <c r="H313" s="30"/>
      <c r="I313" s="179"/>
      <c r="J313" s="180"/>
      <c r="L313" s="30"/>
      <c r="M313" s="30"/>
      <c r="N313" s="30"/>
    </row>
    <row r="314">
      <c r="B314" s="30"/>
      <c r="C314" s="30"/>
      <c r="F314" s="30"/>
      <c r="G314" s="30"/>
      <c r="H314" s="30"/>
      <c r="I314" s="179"/>
      <c r="J314" s="180"/>
      <c r="L314" s="30"/>
      <c r="M314" s="30"/>
      <c r="N314" s="30"/>
    </row>
    <row r="315">
      <c r="B315" s="30"/>
      <c r="C315" s="30"/>
      <c r="F315" s="30"/>
      <c r="G315" s="30"/>
      <c r="H315" s="30"/>
      <c r="I315" s="179"/>
      <c r="J315" s="180"/>
      <c r="L315" s="30"/>
      <c r="M315" s="30"/>
      <c r="N315" s="30"/>
    </row>
    <row r="316">
      <c r="B316" s="30"/>
      <c r="C316" s="30"/>
      <c r="F316" s="30"/>
      <c r="G316" s="30"/>
      <c r="H316" s="30"/>
      <c r="I316" s="179"/>
      <c r="J316" s="180"/>
      <c r="L316" s="30"/>
      <c r="M316" s="30"/>
      <c r="N316" s="30"/>
    </row>
    <row r="317">
      <c r="B317" s="30"/>
      <c r="C317" s="30"/>
      <c r="F317" s="30"/>
      <c r="G317" s="30"/>
      <c r="H317" s="30"/>
      <c r="I317" s="179"/>
      <c r="J317" s="180"/>
      <c r="L317" s="30"/>
      <c r="M317" s="30"/>
      <c r="N317" s="30"/>
    </row>
    <row r="318">
      <c r="B318" s="30"/>
      <c r="C318" s="30"/>
      <c r="F318" s="30"/>
      <c r="G318" s="30"/>
      <c r="H318" s="30"/>
      <c r="I318" s="179"/>
      <c r="J318" s="180"/>
      <c r="L318" s="30"/>
      <c r="M318" s="30"/>
      <c r="N318" s="30"/>
    </row>
    <row r="319">
      <c r="B319" s="30"/>
      <c r="C319" s="30"/>
      <c r="F319" s="30"/>
      <c r="G319" s="30"/>
      <c r="H319" s="30"/>
      <c r="I319" s="179"/>
      <c r="J319" s="180"/>
      <c r="L319" s="30"/>
      <c r="M319" s="30"/>
      <c r="N319" s="30"/>
    </row>
    <row r="320">
      <c r="B320" s="30"/>
      <c r="C320" s="30"/>
      <c r="F320" s="30"/>
      <c r="G320" s="30"/>
      <c r="H320" s="30"/>
      <c r="I320" s="179"/>
      <c r="J320" s="180"/>
      <c r="L320" s="30"/>
      <c r="M320" s="30"/>
      <c r="N320" s="30"/>
    </row>
    <row r="321">
      <c r="B321" s="30"/>
      <c r="C321" s="30"/>
      <c r="F321" s="30"/>
      <c r="G321" s="30"/>
      <c r="H321" s="30"/>
      <c r="I321" s="179"/>
      <c r="J321" s="180"/>
      <c r="L321" s="30"/>
      <c r="M321" s="30"/>
      <c r="N321" s="30"/>
    </row>
    <row r="322">
      <c r="B322" s="30"/>
      <c r="C322" s="30"/>
      <c r="F322" s="30"/>
      <c r="G322" s="30"/>
      <c r="H322" s="30"/>
      <c r="I322" s="179"/>
      <c r="J322" s="180"/>
      <c r="L322" s="30"/>
      <c r="M322" s="30"/>
      <c r="N322" s="30"/>
    </row>
    <row r="323">
      <c r="B323" s="30"/>
      <c r="C323" s="30"/>
      <c r="F323" s="30"/>
      <c r="G323" s="30"/>
      <c r="H323" s="30"/>
      <c r="I323" s="179"/>
      <c r="J323" s="180"/>
      <c r="L323" s="30"/>
      <c r="M323" s="30"/>
      <c r="N323" s="30"/>
    </row>
    <row r="324">
      <c r="B324" s="30"/>
      <c r="C324" s="30"/>
      <c r="F324" s="30"/>
      <c r="G324" s="30"/>
      <c r="H324" s="30"/>
      <c r="I324" s="179"/>
      <c r="J324" s="180"/>
      <c r="L324" s="30"/>
      <c r="M324" s="30"/>
      <c r="N324" s="30"/>
    </row>
    <row r="325">
      <c r="B325" s="30"/>
      <c r="C325" s="30"/>
      <c r="F325" s="30"/>
      <c r="G325" s="30"/>
      <c r="H325" s="30"/>
      <c r="I325" s="179"/>
      <c r="J325" s="180"/>
      <c r="L325" s="30"/>
      <c r="M325" s="30"/>
      <c r="N325" s="30"/>
    </row>
    <row r="326">
      <c r="B326" s="30"/>
      <c r="C326" s="30"/>
      <c r="F326" s="30"/>
      <c r="G326" s="30"/>
      <c r="H326" s="30"/>
      <c r="I326" s="179"/>
      <c r="J326" s="180"/>
      <c r="L326" s="30"/>
      <c r="M326" s="30"/>
      <c r="N326" s="30"/>
    </row>
    <row r="327">
      <c r="B327" s="30"/>
      <c r="C327" s="30"/>
      <c r="F327" s="30"/>
      <c r="G327" s="30"/>
      <c r="H327" s="30"/>
      <c r="I327" s="179"/>
      <c r="J327" s="180"/>
      <c r="L327" s="30"/>
      <c r="M327" s="30"/>
      <c r="N327" s="30"/>
    </row>
    <row r="328">
      <c r="B328" s="30"/>
      <c r="C328" s="30"/>
      <c r="F328" s="30"/>
      <c r="G328" s="30"/>
      <c r="H328" s="30"/>
      <c r="I328" s="179"/>
      <c r="J328" s="180"/>
      <c r="L328" s="30"/>
      <c r="M328" s="30"/>
      <c r="N328" s="30"/>
    </row>
    <row r="329">
      <c r="B329" s="30"/>
      <c r="C329" s="30"/>
      <c r="F329" s="30"/>
      <c r="G329" s="30"/>
      <c r="H329" s="30"/>
      <c r="I329" s="179"/>
      <c r="J329" s="180"/>
      <c r="L329" s="30"/>
      <c r="M329" s="30"/>
      <c r="N329" s="30"/>
    </row>
    <row r="330">
      <c r="B330" s="30"/>
      <c r="C330" s="30"/>
      <c r="F330" s="30"/>
      <c r="G330" s="30"/>
      <c r="H330" s="30"/>
      <c r="I330" s="179"/>
      <c r="J330" s="180"/>
      <c r="L330" s="30"/>
      <c r="M330" s="30"/>
      <c r="N330" s="30"/>
    </row>
    <row r="331">
      <c r="B331" s="30"/>
      <c r="C331" s="30"/>
      <c r="F331" s="30"/>
      <c r="G331" s="30"/>
      <c r="H331" s="30"/>
      <c r="I331" s="179"/>
      <c r="J331" s="180"/>
      <c r="L331" s="30"/>
      <c r="M331" s="30"/>
      <c r="N331" s="30"/>
    </row>
    <row r="332">
      <c r="B332" s="30"/>
      <c r="C332" s="30"/>
      <c r="F332" s="30"/>
      <c r="G332" s="30"/>
      <c r="H332" s="30"/>
      <c r="I332" s="179"/>
      <c r="J332" s="180"/>
      <c r="L332" s="30"/>
      <c r="M332" s="30"/>
      <c r="N332" s="30"/>
    </row>
    <row r="333">
      <c r="B333" s="30"/>
      <c r="C333" s="30"/>
      <c r="F333" s="30"/>
      <c r="G333" s="30"/>
      <c r="H333" s="30"/>
      <c r="I333" s="179"/>
      <c r="J333" s="180"/>
      <c r="L333" s="30"/>
      <c r="M333" s="30"/>
      <c r="N333" s="30"/>
    </row>
    <row r="334">
      <c r="B334" s="30"/>
      <c r="C334" s="30"/>
      <c r="F334" s="30"/>
      <c r="G334" s="30"/>
      <c r="H334" s="30"/>
      <c r="I334" s="179"/>
      <c r="J334" s="180"/>
      <c r="L334" s="30"/>
      <c r="M334" s="30"/>
      <c r="N334" s="30"/>
    </row>
    <row r="335">
      <c r="B335" s="30"/>
      <c r="C335" s="30"/>
      <c r="F335" s="30"/>
      <c r="G335" s="30"/>
      <c r="H335" s="30"/>
      <c r="I335" s="179"/>
      <c r="J335" s="180"/>
      <c r="L335" s="30"/>
      <c r="M335" s="30"/>
      <c r="N335" s="30"/>
    </row>
    <row r="336">
      <c r="B336" s="30"/>
      <c r="C336" s="30"/>
      <c r="F336" s="30"/>
      <c r="G336" s="30"/>
      <c r="H336" s="30"/>
      <c r="I336" s="179"/>
      <c r="J336" s="180"/>
      <c r="L336" s="30"/>
      <c r="M336" s="30"/>
      <c r="N336" s="30"/>
    </row>
    <row r="337">
      <c r="B337" s="30"/>
      <c r="C337" s="30"/>
      <c r="F337" s="30"/>
      <c r="G337" s="30"/>
      <c r="H337" s="30"/>
      <c r="I337" s="179"/>
      <c r="J337" s="180"/>
      <c r="L337" s="30"/>
      <c r="M337" s="30"/>
      <c r="N337" s="30"/>
    </row>
    <row r="338">
      <c r="B338" s="30"/>
      <c r="C338" s="30"/>
      <c r="F338" s="30"/>
      <c r="G338" s="30"/>
      <c r="H338" s="30"/>
      <c r="I338" s="179"/>
      <c r="J338" s="180"/>
      <c r="L338" s="30"/>
      <c r="M338" s="30"/>
      <c r="N338" s="30"/>
    </row>
    <row r="339">
      <c r="B339" s="30"/>
      <c r="C339" s="30"/>
      <c r="F339" s="30"/>
      <c r="G339" s="30"/>
      <c r="H339" s="30"/>
      <c r="I339" s="179"/>
      <c r="J339" s="180"/>
      <c r="L339" s="30"/>
      <c r="M339" s="30"/>
      <c r="N339" s="30"/>
    </row>
    <row r="340">
      <c r="B340" s="30"/>
      <c r="C340" s="30"/>
      <c r="F340" s="30"/>
      <c r="G340" s="30"/>
      <c r="H340" s="30"/>
      <c r="I340" s="179"/>
      <c r="J340" s="180"/>
      <c r="L340" s="30"/>
      <c r="M340" s="30"/>
      <c r="N340" s="30"/>
    </row>
    <row r="341">
      <c r="B341" s="30"/>
      <c r="C341" s="30"/>
      <c r="F341" s="30"/>
      <c r="G341" s="30"/>
      <c r="H341" s="30"/>
      <c r="I341" s="179"/>
      <c r="J341" s="180"/>
      <c r="L341" s="30"/>
      <c r="M341" s="30"/>
      <c r="N341" s="30"/>
    </row>
    <row r="342">
      <c r="B342" s="30"/>
      <c r="C342" s="30"/>
      <c r="F342" s="30"/>
      <c r="G342" s="30"/>
      <c r="H342" s="30"/>
      <c r="I342" s="179"/>
      <c r="J342" s="180"/>
      <c r="L342" s="30"/>
      <c r="M342" s="30"/>
      <c r="N342" s="30"/>
    </row>
    <row r="343">
      <c r="B343" s="30"/>
      <c r="C343" s="30"/>
      <c r="F343" s="30"/>
      <c r="G343" s="30"/>
      <c r="H343" s="30"/>
      <c r="I343" s="179"/>
      <c r="J343" s="180"/>
      <c r="L343" s="30"/>
      <c r="M343" s="30"/>
      <c r="N343" s="30"/>
    </row>
    <row r="344">
      <c r="B344" s="30"/>
      <c r="C344" s="30"/>
      <c r="F344" s="30"/>
      <c r="G344" s="30"/>
      <c r="H344" s="30"/>
      <c r="I344" s="179"/>
      <c r="J344" s="180"/>
      <c r="L344" s="30"/>
      <c r="M344" s="30"/>
      <c r="N344" s="30"/>
    </row>
    <row r="345">
      <c r="B345" s="30"/>
      <c r="C345" s="30"/>
      <c r="F345" s="30"/>
      <c r="G345" s="30"/>
      <c r="H345" s="30"/>
      <c r="I345" s="179"/>
      <c r="J345" s="180"/>
      <c r="L345" s="30"/>
      <c r="M345" s="30"/>
      <c r="N345" s="30"/>
    </row>
    <row r="346">
      <c r="B346" s="30"/>
      <c r="C346" s="30"/>
      <c r="F346" s="30"/>
      <c r="G346" s="30"/>
      <c r="H346" s="30"/>
      <c r="I346" s="179"/>
      <c r="J346" s="180"/>
      <c r="L346" s="30"/>
      <c r="M346" s="30"/>
      <c r="N346" s="30"/>
    </row>
    <row r="347">
      <c r="B347" s="30"/>
      <c r="C347" s="30"/>
      <c r="F347" s="30"/>
      <c r="G347" s="30"/>
      <c r="H347" s="30"/>
      <c r="I347" s="179"/>
      <c r="J347" s="180"/>
      <c r="L347" s="30"/>
      <c r="M347" s="30"/>
      <c r="N347" s="30"/>
    </row>
    <row r="348">
      <c r="B348" s="30"/>
      <c r="C348" s="30"/>
      <c r="F348" s="30"/>
      <c r="G348" s="30"/>
      <c r="H348" s="30"/>
      <c r="I348" s="179"/>
      <c r="J348" s="180"/>
      <c r="L348" s="30"/>
      <c r="M348" s="30"/>
      <c r="N348" s="30"/>
    </row>
    <row r="349">
      <c r="B349" s="30"/>
      <c r="C349" s="30"/>
      <c r="F349" s="30"/>
      <c r="G349" s="30"/>
      <c r="H349" s="30"/>
      <c r="I349" s="179"/>
      <c r="J349" s="180"/>
      <c r="L349" s="30"/>
      <c r="M349" s="30"/>
      <c r="N349" s="30"/>
    </row>
    <row r="350">
      <c r="B350" s="30"/>
      <c r="C350" s="30"/>
      <c r="F350" s="30"/>
      <c r="G350" s="30"/>
      <c r="H350" s="30"/>
      <c r="I350" s="179"/>
      <c r="J350" s="180"/>
      <c r="L350" s="30"/>
      <c r="M350" s="30"/>
      <c r="N350" s="30"/>
    </row>
    <row r="351">
      <c r="B351" s="30"/>
      <c r="C351" s="30"/>
      <c r="F351" s="30"/>
      <c r="G351" s="30"/>
      <c r="H351" s="30"/>
      <c r="I351" s="179"/>
      <c r="J351" s="180"/>
      <c r="L351" s="30"/>
      <c r="M351" s="30"/>
      <c r="N351" s="30"/>
    </row>
    <row r="352">
      <c r="B352" s="30"/>
      <c r="C352" s="30"/>
      <c r="F352" s="30"/>
      <c r="G352" s="30"/>
      <c r="H352" s="30"/>
      <c r="I352" s="179"/>
      <c r="J352" s="180"/>
      <c r="L352" s="30"/>
      <c r="M352" s="30"/>
      <c r="N352" s="30"/>
    </row>
    <row r="353">
      <c r="B353" s="30"/>
      <c r="C353" s="30"/>
      <c r="F353" s="30"/>
      <c r="G353" s="30"/>
      <c r="H353" s="30"/>
      <c r="I353" s="179"/>
      <c r="J353" s="180"/>
      <c r="L353" s="30"/>
      <c r="M353" s="30"/>
      <c r="N353" s="30"/>
    </row>
    <row r="354">
      <c r="B354" s="30"/>
      <c r="C354" s="30"/>
      <c r="F354" s="30"/>
      <c r="G354" s="30"/>
      <c r="H354" s="30"/>
      <c r="I354" s="179"/>
      <c r="J354" s="180"/>
      <c r="L354" s="30"/>
      <c r="M354" s="30"/>
      <c r="N354" s="30"/>
    </row>
    <row r="355">
      <c r="B355" s="30"/>
      <c r="C355" s="30"/>
      <c r="F355" s="30"/>
      <c r="G355" s="30"/>
      <c r="H355" s="30"/>
      <c r="I355" s="179"/>
      <c r="J355" s="180"/>
      <c r="L355" s="30"/>
      <c r="M355" s="30"/>
      <c r="N355" s="30"/>
    </row>
    <row r="356">
      <c r="B356" s="30"/>
      <c r="C356" s="30"/>
      <c r="F356" s="30"/>
      <c r="G356" s="30"/>
      <c r="H356" s="30"/>
      <c r="I356" s="179"/>
      <c r="J356" s="180"/>
      <c r="L356" s="30"/>
      <c r="M356" s="30"/>
      <c r="N356" s="30"/>
    </row>
    <row r="357">
      <c r="B357" s="30"/>
      <c r="C357" s="30"/>
      <c r="F357" s="30"/>
      <c r="G357" s="30"/>
      <c r="H357" s="30"/>
      <c r="I357" s="179"/>
      <c r="J357" s="180"/>
      <c r="L357" s="30"/>
      <c r="M357" s="30"/>
      <c r="N357" s="30"/>
    </row>
    <row r="358">
      <c r="B358" s="30"/>
      <c r="C358" s="30"/>
      <c r="F358" s="30"/>
      <c r="G358" s="30"/>
      <c r="H358" s="30"/>
      <c r="I358" s="179"/>
      <c r="J358" s="180"/>
      <c r="L358" s="30"/>
      <c r="M358" s="30"/>
      <c r="N358" s="30"/>
    </row>
    <row r="359">
      <c r="B359" s="30"/>
      <c r="C359" s="30"/>
      <c r="F359" s="30"/>
      <c r="G359" s="30"/>
      <c r="H359" s="30"/>
      <c r="I359" s="179"/>
      <c r="J359" s="180"/>
      <c r="L359" s="30"/>
      <c r="M359" s="30"/>
      <c r="N359" s="30"/>
    </row>
    <row r="360">
      <c r="B360" s="30"/>
      <c r="C360" s="30"/>
      <c r="F360" s="30"/>
      <c r="G360" s="30"/>
      <c r="H360" s="30"/>
      <c r="I360" s="179"/>
      <c r="J360" s="180"/>
      <c r="L360" s="30"/>
      <c r="M360" s="30"/>
      <c r="N360" s="30"/>
    </row>
    <row r="361">
      <c r="B361" s="30"/>
      <c r="C361" s="30"/>
      <c r="F361" s="30"/>
      <c r="G361" s="30"/>
      <c r="H361" s="30"/>
      <c r="I361" s="179"/>
      <c r="J361" s="180"/>
      <c r="L361" s="30"/>
      <c r="M361" s="30"/>
      <c r="N361" s="30"/>
    </row>
    <row r="362">
      <c r="B362" s="30"/>
      <c r="C362" s="30"/>
      <c r="F362" s="30"/>
      <c r="G362" s="30"/>
      <c r="H362" s="30"/>
      <c r="I362" s="179"/>
      <c r="J362" s="180"/>
      <c r="L362" s="30"/>
      <c r="M362" s="30"/>
      <c r="N362" s="30"/>
    </row>
    <row r="363">
      <c r="B363" s="30"/>
      <c r="C363" s="30"/>
      <c r="F363" s="30"/>
      <c r="G363" s="30"/>
      <c r="H363" s="30"/>
      <c r="I363" s="179"/>
      <c r="J363" s="180"/>
      <c r="L363" s="30"/>
      <c r="M363" s="30"/>
      <c r="N363" s="30"/>
    </row>
    <row r="364">
      <c r="B364" s="30"/>
      <c r="C364" s="30"/>
      <c r="F364" s="30"/>
      <c r="G364" s="30"/>
      <c r="H364" s="30"/>
      <c r="I364" s="179"/>
      <c r="J364" s="180"/>
      <c r="L364" s="30"/>
      <c r="M364" s="30"/>
      <c r="N364" s="30"/>
    </row>
    <row r="365">
      <c r="B365" s="30"/>
      <c r="C365" s="30"/>
      <c r="F365" s="30"/>
      <c r="G365" s="30"/>
      <c r="H365" s="30"/>
      <c r="I365" s="179"/>
      <c r="J365" s="180"/>
      <c r="L365" s="30"/>
      <c r="M365" s="30"/>
      <c r="N365" s="30"/>
    </row>
    <row r="366">
      <c r="B366" s="30"/>
      <c r="C366" s="30"/>
      <c r="F366" s="30"/>
      <c r="G366" s="30"/>
      <c r="H366" s="30"/>
      <c r="I366" s="179"/>
      <c r="J366" s="180"/>
      <c r="L366" s="30"/>
      <c r="M366" s="30"/>
      <c r="N366" s="30"/>
    </row>
    <row r="367">
      <c r="B367" s="30"/>
      <c r="C367" s="30"/>
      <c r="F367" s="30"/>
      <c r="G367" s="30"/>
      <c r="H367" s="30"/>
      <c r="I367" s="179"/>
      <c r="J367" s="180"/>
      <c r="L367" s="30"/>
      <c r="M367" s="30"/>
      <c r="N367" s="30"/>
    </row>
    <row r="368">
      <c r="B368" s="30"/>
      <c r="C368" s="30"/>
      <c r="F368" s="30"/>
      <c r="G368" s="30"/>
      <c r="H368" s="30"/>
      <c r="I368" s="179"/>
      <c r="J368" s="180"/>
      <c r="L368" s="30"/>
      <c r="M368" s="30"/>
      <c r="N368" s="30"/>
    </row>
    <row r="369">
      <c r="B369" s="30"/>
      <c r="C369" s="30"/>
      <c r="F369" s="30"/>
      <c r="G369" s="30"/>
      <c r="H369" s="30"/>
      <c r="I369" s="179"/>
      <c r="J369" s="180"/>
      <c r="L369" s="30"/>
      <c r="M369" s="30"/>
      <c r="N369" s="30"/>
    </row>
    <row r="370">
      <c r="B370" s="30"/>
      <c r="C370" s="30"/>
      <c r="F370" s="30"/>
      <c r="G370" s="30"/>
      <c r="H370" s="30"/>
      <c r="I370" s="179"/>
      <c r="J370" s="180"/>
      <c r="L370" s="30"/>
      <c r="M370" s="30"/>
      <c r="N370" s="30"/>
    </row>
    <row r="371">
      <c r="B371" s="30"/>
      <c r="C371" s="30"/>
      <c r="F371" s="30"/>
      <c r="G371" s="30"/>
      <c r="H371" s="30"/>
      <c r="I371" s="179"/>
      <c r="J371" s="180"/>
      <c r="L371" s="30"/>
      <c r="M371" s="30"/>
      <c r="N371" s="30"/>
    </row>
    <row r="372">
      <c r="B372" s="30"/>
      <c r="C372" s="30"/>
      <c r="F372" s="30"/>
      <c r="G372" s="30"/>
      <c r="H372" s="30"/>
      <c r="I372" s="179"/>
      <c r="J372" s="180"/>
      <c r="L372" s="30"/>
      <c r="M372" s="30"/>
      <c r="N372" s="30"/>
    </row>
    <row r="373">
      <c r="B373" s="30"/>
      <c r="C373" s="30"/>
      <c r="F373" s="30"/>
      <c r="G373" s="30"/>
      <c r="H373" s="30"/>
      <c r="I373" s="179"/>
      <c r="J373" s="180"/>
      <c r="L373" s="30"/>
      <c r="M373" s="30"/>
      <c r="N373" s="30"/>
    </row>
    <row r="374">
      <c r="B374" s="30"/>
      <c r="C374" s="30"/>
      <c r="F374" s="30"/>
      <c r="G374" s="30"/>
      <c r="H374" s="30"/>
      <c r="I374" s="179"/>
      <c r="J374" s="180"/>
      <c r="L374" s="30"/>
      <c r="M374" s="30"/>
      <c r="N374" s="30"/>
    </row>
    <row r="375">
      <c r="B375" s="30"/>
      <c r="C375" s="30"/>
      <c r="F375" s="30"/>
      <c r="G375" s="30"/>
      <c r="H375" s="30"/>
      <c r="I375" s="179"/>
      <c r="J375" s="180"/>
      <c r="L375" s="30"/>
      <c r="M375" s="30"/>
      <c r="N375" s="30"/>
    </row>
    <row r="376">
      <c r="B376" s="30"/>
      <c r="C376" s="30"/>
      <c r="F376" s="30"/>
      <c r="G376" s="30"/>
      <c r="H376" s="30"/>
      <c r="I376" s="179"/>
      <c r="J376" s="180"/>
      <c r="L376" s="30"/>
      <c r="M376" s="30"/>
      <c r="N376" s="30"/>
    </row>
    <row r="377">
      <c r="B377" s="30"/>
      <c r="C377" s="30"/>
      <c r="F377" s="30"/>
      <c r="G377" s="30"/>
      <c r="H377" s="30"/>
      <c r="I377" s="179"/>
      <c r="J377" s="180"/>
      <c r="L377" s="30"/>
      <c r="M377" s="30"/>
      <c r="N377" s="30"/>
    </row>
    <row r="378">
      <c r="B378" s="30"/>
      <c r="C378" s="30"/>
      <c r="F378" s="30"/>
      <c r="G378" s="30"/>
      <c r="H378" s="30"/>
      <c r="I378" s="179"/>
      <c r="J378" s="180"/>
      <c r="L378" s="30"/>
      <c r="M378" s="30"/>
      <c r="N378" s="30"/>
    </row>
    <row r="379">
      <c r="B379" s="30"/>
      <c r="C379" s="30"/>
      <c r="F379" s="30"/>
      <c r="G379" s="30"/>
      <c r="H379" s="30"/>
      <c r="I379" s="179"/>
      <c r="J379" s="180"/>
      <c r="L379" s="30"/>
      <c r="M379" s="30"/>
      <c r="N379" s="30"/>
    </row>
    <row r="380">
      <c r="B380" s="30"/>
      <c r="C380" s="30"/>
      <c r="F380" s="30"/>
      <c r="G380" s="30"/>
      <c r="H380" s="30"/>
      <c r="I380" s="179"/>
      <c r="J380" s="180"/>
      <c r="L380" s="30"/>
      <c r="M380" s="30"/>
      <c r="N380" s="30"/>
    </row>
    <row r="381">
      <c r="B381" s="30"/>
      <c r="C381" s="30"/>
      <c r="F381" s="30"/>
      <c r="G381" s="30"/>
      <c r="H381" s="30"/>
      <c r="I381" s="179"/>
      <c r="J381" s="180"/>
      <c r="L381" s="30"/>
      <c r="M381" s="30"/>
      <c r="N381" s="30"/>
    </row>
    <row r="382">
      <c r="B382" s="30"/>
      <c r="C382" s="30"/>
      <c r="F382" s="30"/>
      <c r="G382" s="30"/>
      <c r="H382" s="30"/>
      <c r="I382" s="179"/>
      <c r="J382" s="180"/>
      <c r="L382" s="30"/>
      <c r="M382" s="30"/>
      <c r="N382" s="30"/>
    </row>
    <row r="383">
      <c r="B383" s="30"/>
      <c r="C383" s="30"/>
      <c r="F383" s="30"/>
      <c r="G383" s="30"/>
      <c r="H383" s="30"/>
      <c r="I383" s="179"/>
      <c r="J383" s="180"/>
      <c r="L383" s="30"/>
      <c r="M383" s="30"/>
      <c r="N383" s="30"/>
    </row>
    <row r="384">
      <c r="B384" s="30"/>
      <c r="C384" s="30"/>
      <c r="F384" s="30"/>
      <c r="G384" s="30"/>
      <c r="H384" s="30"/>
      <c r="I384" s="179"/>
      <c r="J384" s="180"/>
      <c r="L384" s="30"/>
      <c r="M384" s="30"/>
      <c r="N384" s="30"/>
    </row>
    <row r="385">
      <c r="B385" s="30"/>
      <c r="C385" s="30"/>
      <c r="F385" s="30"/>
      <c r="G385" s="30"/>
      <c r="H385" s="30"/>
      <c r="I385" s="179"/>
      <c r="J385" s="180"/>
      <c r="L385" s="30"/>
      <c r="M385" s="30"/>
      <c r="N385" s="30"/>
    </row>
    <row r="386">
      <c r="B386" s="30"/>
      <c r="C386" s="30"/>
      <c r="F386" s="30"/>
      <c r="G386" s="30"/>
      <c r="H386" s="30"/>
      <c r="I386" s="179"/>
      <c r="J386" s="180"/>
      <c r="L386" s="30"/>
      <c r="M386" s="30"/>
      <c r="N386" s="30"/>
    </row>
    <row r="387">
      <c r="B387" s="30"/>
      <c r="C387" s="30"/>
      <c r="F387" s="30"/>
      <c r="G387" s="30"/>
      <c r="H387" s="30"/>
      <c r="I387" s="179"/>
      <c r="J387" s="180"/>
      <c r="L387" s="30"/>
      <c r="M387" s="30"/>
      <c r="N387" s="30"/>
    </row>
    <row r="388">
      <c r="B388" s="30"/>
      <c r="C388" s="30"/>
      <c r="F388" s="30"/>
      <c r="G388" s="30"/>
      <c r="H388" s="30"/>
      <c r="I388" s="179"/>
      <c r="J388" s="180"/>
      <c r="L388" s="30"/>
      <c r="M388" s="30"/>
      <c r="N388" s="30"/>
    </row>
    <row r="389">
      <c r="B389" s="30"/>
      <c r="C389" s="30"/>
      <c r="F389" s="30"/>
      <c r="G389" s="30"/>
      <c r="H389" s="30"/>
      <c r="I389" s="179"/>
      <c r="J389" s="180"/>
      <c r="L389" s="30"/>
      <c r="M389" s="30"/>
      <c r="N389" s="30"/>
    </row>
    <row r="390">
      <c r="B390" s="30"/>
      <c r="C390" s="30"/>
      <c r="F390" s="30"/>
      <c r="G390" s="30"/>
      <c r="H390" s="30"/>
      <c r="I390" s="179"/>
      <c r="J390" s="180"/>
      <c r="L390" s="30"/>
      <c r="M390" s="30"/>
      <c r="N390" s="30"/>
    </row>
    <row r="391">
      <c r="B391" s="30"/>
      <c r="C391" s="30"/>
      <c r="F391" s="30"/>
      <c r="G391" s="30"/>
      <c r="H391" s="30"/>
      <c r="I391" s="179"/>
      <c r="J391" s="180"/>
      <c r="L391" s="30"/>
      <c r="M391" s="30"/>
      <c r="N391" s="30"/>
    </row>
    <row r="392">
      <c r="B392" s="30"/>
      <c r="C392" s="30"/>
      <c r="F392" s="30"/>
      <c r="G392" s="30"/>
      <c r="H392" s="30"/>
      <c r="I392" s="179"/>
      <c r="J392" s="180"/>
      <c r="L392" s="30"/>
      <c r="M392" s="30"/>
      <c r="N392" s="30"/>
    </row>
    <row r="393">
      <c r="B393" s="30"/>
      <c r="C393" s="30"/>
      <c r="F393" s="30"/>
      <c r="G393" s="30"/>
      <c r="H393" s="30"/>
      <c r="I393" s="179"/>
      <c r="J393" s="180"/>
      <c r="L393" s="30"/>
      <c r="M393" s="30"/>
      <c r="N393" s="30"/>
    </row>
    <row r="394">
      <c r="B394" s="30"/>
      <c r="C394" s="30"/>
      <c r="F394" s="30"/>
      <c r="G394" s="30"/>
      <c r="H394" s="30"/>
      <c r="I394" s="179"/>
      <c r="J394" s="180"/>
      <c r="L394" s="30"/>
      <c r="M394" s="30"/>
      <c r="N394" s="30"/>
    </row>
    <row r="395">
      <c r="B395" s="30"/>
      <c r="C395" s="30"/>
      <c r="F395" s="30"/>
      <c r="G395" s="30"/>
      <c r="H395" s="30"/>
      <c r="I395" s="179"/>
      <c r="J395" s="180"/>
      <c r="L395" s="30"/>
      <c r="M395" s="30"/>
      <c r="N395" s="30"/>
    </row>
    <row r="396">
      <c r="B396" s="30"/>
      <c r="C396" s="30"/>
      <c r="F396" s="30"/>
      <c r="G396" s="30"/>
      <c r="H396" s="30"/>
      <c r="I396" s="179"/>
      <c r="J396" s="180"/>
      <c r="L396" s="30"/>
      <c r="M396" s="30"/>
      <c r="N396" s="30"/>
    </row>
    <row r="397">
      <c r="B397" s="30"/>
      <c r="C397" s="30"/>
      <c r="F397" s="30"/>
      <c r="G397" s="30"/>
      <c r="H397" s="30"/>
      <c r="I397" s="179"/>
      <c r="J397" s="180"/>
      <c r="L397" s="30"/>
      <c r="M397" s="30"/>
      <c r="N397" s="30"/>
    </row>
    <row r="398">
      <c r="B398" s="30"/>
      <c r="C398" s="30"/>
      <c r="F398" s="30"/>
      <c r="G398" s="30"/>
      <c r="H398" s="30"/>
      <c r="I398" s="179"/>
      <c r="J398" s="180"/>
      <c r="L398" s="30"/>
      <c r="M398" s="30"/>
      <c r="N398" s="30"/>
    </row>
    <row r="399">
      <c r="B399" s="30"/>
      <c r="C399" s="30"/>
      <c r="F399" s="30"/>
      <c r="G399" s="30"/>
      <c r="H399" s="30"/>
      <c r="I399" s="179"/>
      <c r="J399" s="180"/>
      <c r="L399" s="30"/>
      <c r="M399" s="30"/>
      <c r="N399" s="30"/>
    </row>
    <row r="400">
      <c r="B400" s="30"/>
      <c r="C400" s="30"/>
      <c r="F400" s="30"/>
      <c r="G400" s="30"/>
      <c r="H400" s="30"/>
      <c r="I400" s="179"/>
      <c r="J400" s="180"/>
      <c r="L400" s="30"/>
      <c r="M400" s="30"/>
      <c r="N400" s="30"/>
    </row>
    <row r="401">
      <c r="B401" s="30"/>
      <c r="C401" s="30"/>
      <c r="F401" s="30"/>
      <c r="G401" s="30"/>
      <c r="H401" s="30"/>
      <c r="I401" s="179"/>
      <c r="J401" s="180"/>
      <c r="L401" s="30"/>
      <c r="M401" s="30"/>
      <c r="N401" s="30"/>
    </row>
    <row r="402">
      <c r="B402" s="30"/>
      <c r="C402" s="30"/>
      <c r="F402" s="30"/>
      <c r="G402" s="30"/>
      <c r="H402" s="30"/>
      <c r="I402" s="179"/>
      <c r="J402" s="180"/>
      <c r="L402" s="30"/>
      <c r="M402" s="30"/>
      <c r="N402" s="30"/>
    </row>
    <row r="403">
      <c r="B403" s="30"/>
      <c r="C403" s="30"/>
      <c r="F403" s="30"/>
      <c r="G403" s="30"/>
      <c r="H403" s="30"/>
      <c r="I403" s="179"/>
      <c r="J403" s="180"/>
      <c r="L403" s="30"/>
      <c r="M403" s="30"/>
      <c r="N403" s="30"/>
    </row>
    <row r="404">
      <c r="B404" s="30"/>
      <c r="C404" s="30"/>
      <c r="F404" s="30"/>
      <c r="G404" s="30"/>
      <c r="H404" s="30"/>
      <c r="I404" s="179"/>
      <c r="J404" s="180"/>
      <c r="L404" s="30"/>
      <c r="M404" s="30"/>
      <c r="N404" s="30"/>
    </row>
    <row r="405">
      <c r="B405" s="30"/>
      <c r="C405" s="30"/>
      <c r="F405" s="30"/>
      <c r="G405" s="30"/>
      <c r="H405" s="30"/>
      <c r="I405" s="179"/>
      <c r="J405" s="180"/>
      <c r="L405" s="30"/>
      <c r="M405" s="30"/>
      <c r="N405" s="30"/>
    </row>
    <row r="406">
      <c r="B406" s="30"/>
      <c r="C406" s="30"/>
      <c r="F406" s="30"/>
      <c r="G406" s="30"/>
      <c r="H406" s="30"/>
      <c r="I406" s="179"/>
      <c r="J406" s="180"/>
      <c r="L406" s="30"/>
      <c r="M406" s="30"/>
      <c r="N406" s="30"/>
    </row>
    <row r="407">
      <c r="B407" s="30"/>
      <c r="C407" s="30"/>
      <c r="F407" s="30"/>
      <c r="G407" s="30"/>
      <c r="H407" s="30"/>
      <c r="I407" s="179"/>
      <c r="J407" s="180"/>
      <c r="L407" s="30"/>
      <c r="M407" s="30"/>
      <c r="N407" s="30"/>
    </row>
    <row r="408">
      <c r="B408" s="30"/>
      <c r="C408" s="30"/>
      <c r="F408" s="30"/>
      <c r="G408" s="30"/>
      <c r="H408" s="30"/>
      <c r="I408" s="179"/>
      <c r="J408" s="180"/>
      <c r="L408" s="30"/>
      <c r="M408" s="30"/>
      <c r="N408" s="30"/>
    </row>
    <row r="409">
      <c r="B409" s="30"/>
      <c r="C409" s="30"/>
      <c r="F409" s="30"/>
      <c r="G409" s="30"/>
      <c r="H409" s="30"/>
      <c r="I409" s="179"/>
      <c r="J409" s="180"/>
      <c r="L409" s="30"/>
      <c r="M409" s="30"/>
      <c r="N409" s="30"/>
    </row>
    <row r="410">
      <c r="B410" s="30"/>
      <c r="C410" s="30"/>
      <c r="F410" s="30"/>
      <c r="G410" s="30"/>
      <c r="H410" s="30"/>
      <c r="I410" s="179"/>
      <c r="J410" s="180"/>
      <c r="L410" s="30"/>
      <c r="M410" s="30"/>
      <c r="N410" s="30"/>
    </row>
    <row r="411">
      <c r="B411" s="30"/>
      <c r="C411" s="30"/>
      <c r="F411" s="30"/>
      <c r="G411" s="30"/>
      <c r="H411" s="30"/>
      <c r="I411" s="179"/>
      <c r="J411" s="180"/>
      <c r="L411" s="30"/>
      <c r="M411" s="30"/>
      <c r="N411" s="30"/>
    </row>
    <row r="412">
      <c r="B412" s="30"/>
      <c r="C412" s="30"/>
      <c r="F412" s="30"/>
      <c r="G412" s="30"/>
      <c r="H412" s="30"/>
      <c r="I412" s="179"/>
      <c r="J412" s="180"/>
      <c r="L412" s="30"/>
      <c r="M412" s="30"/>
      <c r="N412" s="30"/>
    </row>
    <row r="413">
      <c r="B413" s="30"/>
      <c r="C413" s="30"/>
      <c r="F413" s="30"/>
      <c r="G413" s="30"/>
      <c r="H413" s="30"/>
      <c r="I413" s="179"/>
      <c r="J413" s="180"/>
      <c r="L413" s="30"/>
      <c r="M413" s="30"/>
      <c r="N413" s="30"/>
    </row>
    <row r="414">
      <c r="B414" s="30"/>
      <c r="C414" s="30"/>
      <c r="F414" s="30"/>
      <c r="G414" s="30"/>
      <c r="H414" s="30"/>
      <c r="I414" s="179"/>
      <c r="J414" s="180"/>
      <c r="L414" s="30"/>
      <c r="M414" s="30"/>
      <c r="N414" s="30"/>
    </row>
    <row r="415">
      <c r="B415" s="30"/>
      <c r="C415" s="30"/>
      <c r="F415" s="30"/>
      <c r="G415" s="30"/>
      <c r="H415" s="30"/>
      <c r="I415" s="179"/>
      <c r="J415" s="180"/>
      <c r="L415" s="30"/>
      <c r="M415" s="30"/>
      <c r="N415" s="30"/>
    </row>
    <row r="416">
      <c r="B416" s="30"/>
      <c r="C416" s="30"/>
      <c r="F416" s="30"/>
      <c r="G416" s="30"/>
      <c r="H416" s="30"/>
      <c r="I416" s="179"/>
      <c r="J416" s="180"/>
      <c r="L416" s="30"/>
      <c r="M416" s="30"/>
      <c r="N416" s="30"/>
    </row>
    <row r="417">
      <c r="B417" s="30"/>
      <c r="C417" s="30"/>
      <c r="F417" s="30"/>
      <c r="G417" s="30"/>
      <c r="H417" s="30"/>
      <c r="I417" s="179"/>
      <c r="J417" s="180"/>
      <c r="L417" s="30"/>
      <c r="M417" s="30"/>
      <c r="N417" s="30"/>
    </row>
    <row r="418">
      <c r="B418" s="30"/>
      <c r="C418" s="30"/>
      <c r="F418" s="30"/>
      <c r="G418" s="30"/>
      <c r="H418" s="30"/>
      <c r="I418" s="179"/>
      <c r="J418" s="180"/>
      <c r="L418" s="30"/>
      <c r="M418" s="30"/>
      <c r="N418" s="30"/>
    </row>
    <row r="419">
      <c r="B419" s="30"/>
      <c r="C419" s="30"/>
      <c r="F419" s="30"/>
      <c r="G419" s="30"/>
      <c r="H419" s="30"/>
      <c r="I419" s="179"/>
      <c r="J419" s="180"/>
      <c r="L419" s="30"/>
      <c r="M419" s="30"/>
      <c r="N419" s="30"/>
    </row>
    <row r="420">
      <c r="B420" s="30"/>
      <c r="C420" s="30"/>
      <c r="F420" s="30"/>
      <c r="G420" s="30"/>
      <c r="H420" s="30"/>
      <c r="I420" s="179"/>
      <c r="J420" s="180"/>
      <c r="L420" s="30"/>
      <c r="M420" s="30"/>
      <c r="N420" s="30"/>
    </row>
    <row r="421">
      <c r="B421" s="30"/>
      <c r="C421" s="30"/>
      <c r="F421" s="30"/>
      <c r="G421" s="30"/>
      <c r="H421" s="30"/>
      <c r="I421" s="179"/>
      <c r="J421" s="180"/>
      <c r="L421" s="30"/>
      <c r="M421" s="30"/>
      <c r="N421" s="30"/>
    </row>
    <row r="422">
      <c r="B422" s="30"/>
      <c r="C422" s="30"/>
      <c r="F422" s="30"/>
      <c r="G422" s="30"/>
      <c r="H422" s="30"/>
      <c r="I422" s="179"/>
      <c r="J422" s="180"/>
      <c r="L422" s="30"/>
      <c r="M422" s="30"/>
      <c r="N422" s="30"/>
    </row>
    <row r="423">
      <c r="B423" s="30"/>
      <c r="C423" s="30"/>
      <c r="F423" s="30"/>
      <c r="G423" s="30"/>
      <c r="H423" s="30"/>
      <c r="I423" s="179"/>
      <c r="J423" s="180"/>
      <c r="L423" s="30"/>
      <c r="M423" s="30"/>
      <c r="N423" s="30"/>
    </row>
    <row r="424">
      <c r="B424" s="30"/>
      <c r="C424" s="30"/>
      <c r="F424" s="30"/>
      <c r="G424" s="30"/>
      <c r="H424" s="30"/>
      <c r="I424" s="179"/>
      <c r="J424" s="180"/>
      <c r="L424" s="30"/>
      <c r="M424" s="30"/>
      <c r="N424" s="30"/>
    </row>
    <row r="425">
      <c r="B425" s="30"/>
      <c r="C425" s="30"/>
      <c r="F425" s="30"/>
      <c r="G425" s="30"/>
      <c r="H425" s="30"/>
      <c r="I425" s="179"/>
      <c r="J425" s="180"/>
      <c r="L425" s="30"/>
      <c r="M425" s="30"/>
      <c r="N425" s="30"/>
    </row>
    <row r="426">
      <c r="B426" s="30"/>
      <c r="C426" s="30"/>
      <c r="F426" s="30"/>
      <c r="G426" s="30"/>
      <c r="H426" s="30"/>
      <c r="I426" s="179"/>
      <c r="J426" s="180"/>
      <c r="L426" s="30"/>
      <c r="M426" s="30"/>
      <c r="N426" s="30"/>
    </row>
    <row r="427">
      <c r="B427" s="30"/>
      <c r="C427" s="30"/>
      <c r="F427" s="30"/>
      <c r="G427" s="30"/>
      <c r="H427" s="30"/>
      <c r="I427" s="179"/>
      <c r="J427" s="180"/>
      <c r="L427" s="30"/>
      <c r="M427" s="30"/>
      <c r="N427" s="30"/>
    </row>
    <row r="428">
      <c r="B428" s="30"/>
      <c r="C428" s="30"/>
      <c r="F428" s="30"/>
      <c r="G428" s="30"/>
      <c r="H428" s="30"/>
      <c r="I428" s="179"/>
      <c r="J428" s="180"/>
      <c r="L428" s="30"/>
      <c r="M428" s="30"/>
      <c r="N428" s="30"/>
    </row>
    <row r="429">
      <c r="B429" s="30"/>
      <c r="C429" s="30"/>
      <c r="F429" s="30"/>
      <c r="G429" s="30"/>
      <c r="H429" s="30"/>
      <c r="I429" s="179"/>
      <c r="J429" s="180"/>
      <c r="L429" s="30"/>
      <c r="M429" s="30"/>
      <c r="N429" s="30"/>
    </row>
    <row r="430">
      <c r="B430" s="30"/>
      <c r="C430" s="30"/>
      <c r="F430" s="30"/>
      <c r="G430" s="30"/>
      <c r="H430" s="30"/>
      <c r="I430" s="179"/>
      <c r="J430" s="180"/>
      <c r="L430" s="30"/>
      <c r="M430" s="30"/>
      <c r="N430" s="30"/>
    </row>
    <row r="431">
      <c r="B431" s="30"/>
      <c r="C431" s="30"/>
      <c r="F431" s="30"/>
      <c r="G431" s="30"/>
      <c r="H431" s="30"/>
      <c r="I431" s="179"/>
      <c r="J431" s="180"/>
      <c r="L431" s="30"/>
      <c r="M431" s="30"/>
      <c r="N431" s="30"/>
    </row>
    <row r="432">
      <c r="B432" s="30"/>
      <c r="C432" s="30"/>
      <c r="F432" s="30"/>
      <c r="G432" s="30"/>
      <c r="H432" s="30"/>
      <c r="I432" s="179"/>
      <c r="J432" s="180"/>
      <c r="L432" s="30"/>
      <c r="M432" s="30"/>
      <c r="N432" s="30"/>
    </row>
    <row r="433">
      <c r="B433" s="30"/>
      <c r="C433" s="30"/>
      <c r="F433" s="30"/>
      <c r="G433" s="30"/>
      <c r="H433" s="30"/>
      <c r="I433" s="179"/>
      <c r="J433" s="180"/>
      <c r="L433" s="30"/>
      <c r="M433" s="30"/>
      <c r="N433" s="30"/>
    </row>
    <row r="434">
      <c r="B434" s="30"/>
      <c r="C434" s="30"/>
      <c r="F434" s="30"/>
      <c r="G434" s="30"/>
      <c r="H434" s="30"/>
      <c r="I434" s="179"/>
      <c r="J434" s="180"/>
      <c r="L434" s="30"/>
      <c r="M434" s="30"/>
      <c r="N434" s="30"/>
    </row>
    <row r="435">
      <c r="B435" s="30"/>
      <c r="C435" s="30"/>
      <c r="F435" s="30"/>
      <c r="G435" s="30"/>
      <c r="H435" s="30"/>
      <c r="I435" s="179"/>
      <c r="J435" s="180"/>
      <c r="L435" s="30"/>
      <c r="M435" s="30"/>
      <c r="N435" s="30"/>
    </row>
    <row r="436">
      <c r="B436" s="30"/>
      <c r="C436" s="30"/>
      <c r="F436" s="30"/>
      <c r="G436" s="30"/>
      <c r="H436" s="30"/>
      <c r="I436" s="179"/>
      <c r="J436" s="180"/>
      <c r="L436" s="30"/>
      <c r="M436" s="30"/>
      <c r="N436" s="30"/>
    </row>
    <row r="437">
      <c r="B437" s="30"/>
      <c r="C437" s="30"/>
      <c r="F437" s="30"/>
      <c r="G437" s="30"/>
      <c r="H437" s="30"/>
      <c r="I437" s="179"/>
      <c r="J437" s="180"/>
      <c r="L437" s="30"/>
      <c r="M437" s="30"/>
      <c r="N437" s="30"/>
    </row>
    <row r="438">
      <c r="B438" s="30"/>
      <c r="C438" s="30"/>
      <c r="F438" s="30"/>
      <c r="G438" s="30"/>
      <c r="H438" s="30"/>
      <c r="I438" s="179"/>
      <c r="J438" s="180"/>
      <c r="L438" s="30"/>
      <c r="M438" s="30"/>
      <c r="N438" s="30"/>
    </row>
    <row r="439">
      <c r="B439" s="30"/>
      <c r="C439" s="30"/>
      <c r="F439" s="30"/>
      <c r="G439" s="30"/>
      <c r="H439" s="30"/>
      <c r="I439" s="179"/>
      <c r="J439" s="180"/>
      <c r="L439" s="30"/>
      <c r="M439" s="30"/>
      <c r="N439" s="30"/>
    </row>
    <row r="440">
      <c r="B440" s="30"/>
      <c r="C440" s="30"/>
      <c r="F440" s="30"/>
      <c r="G440" s="30"/>
      <c r="H440" s="30"/>
      <c r="I440" s="179"/>
      <c r="J440" s="180"/>
      <c r="L440" s="30"/>
      <c r="M440" s="30"/>
      <c r="N440" s="30"/>
    </row>
    <row r="441">
      <c r="B441" s="30"/>
      <c r="C441" s="30"/>
      <c r="F441" s="30"/>
      <c r="G441" s="30"/>
      <c r="H441" s="30"/>
      <c r="I441" s="179"/>
      <c r="J441" s="180"/>
      <c r="L441" s="30"/>
      <c r="M441" s="30"/>
      <c r="N441" s="30"/>
    </row>
    <row r="442">
      <c r="B442" s="30"/>
      <c r="C442" s="30"/>
      <c r="F442" s="30"/>
      <c r="G442" s="30"/>
      <c r="H442" s="30"/>
      <c r="I442" s="179"/>
      <c r="J442" s="180"/>
      <c r="L442" s="30"/>
      <c r="M442" s="30"/>
      <c r="N442" s="30"/>
    </row>
    <row r="443">
      <c r="B443" s="30"/>
      <c r="C443" s="30"/>
      <c r="F443" s="30"/>
      <c r="G443" s="30"/>
      <c r="H443" s="30"/>
      <c r="I443" s="179"/>
      <c r="J443" s="180"/>
      <c r="L443" s="30"/>
      <c r="M443" s="30"/>
      <c r="N443" s="30"/>
    </row>
    <row r="444">
      <c r="B444" s="30"/>
      <c r="C444" s="30"/>
      <c r="F444" s="30"/>
      <c r="G444" s="30"/>
      <c r="H444" s="30"/>
      <c r="I444" s="179"/>
      <c r="J444" s="180"/>
      <c r="L444" s="30"/>
      <c r="M444" s="30"/>
      <c r="N444" s="30"/>
    </row>
    <row r="445">
      <c r="B445" s="30"/>
      <c r="C445" s="30"/>
      <c r="F445" s="30"/>
      <c r="G445" s="30"/>
      <c r="H445" s="30"/>
      <c r="I445" s="179"/>
      <c r="J445" s="180"/>
      <c r="L445" s="30"/>
      <c r="M445" s="30"/>
      <c r="N445" s="30"/>
    </row>
    <row r="446">
      <c r="B446" s="30"/>
      <c r="C446" s="30"/>
      <c r="F446" s="30"/>
      <c r="G446" s="30"/>
      <c r="H446" s="30"/>
      <c r="I446" s="179"/>
      <c r="J446" s="180"/>
      <c r="L446" s="30"/>
      <c r="M446" s="30"/>
      <c r="N446" s="30"/>
    </row>
    <row r="447">
      <c r="B447" s="30"/>
      <c r="C447" s="30"/>
      <c r="F447" s="30"/>
      <c r="G447" s="30"/>
      <c r="H447" s="30"/>
      <c r="I447" s="179"/>
      <c r="J447" s="180"/>
      <c r="L447" s="30"/>
      <c r="M447" s="30"/>
      <c r="N447" s="30"/>
    </row>
    <row r="448">
      <c r="B448" s="30"/>
      <c r="C448" s="30"/>
      <c r="F448" s="30"/>
      <c r="G448" s="30"/>
      <c r="H448" s="30"/>
      <c r="I448" s="179"/>
      <c r="J448" s="180"/>
      <c r="L448" s="30"/>
      <c r="M448" s="30"/>
      <c r="N448" s="30"/>
    </row>
    <row r="449">
      <c r="B449" s="30"/>
      <c r="C449" s="30"/>
      <c r="F449" s="30"/>
      <c r="G449" s="30"/>
      <c r="H449" s="30"/>
      <c r="I449" s="179"/>
      <c r="J449" s="180"/>
      <c r="L449" s="30"/>
      <c r="M449" s="30"/>
      <c r="N449" s="30"/>
    </row>
    <row r="450">
      <c r="B450" s="30"/>
      <c r="C450" s="30"/>
      <c r="F450" s="30"/>
      <c r="G450" s="30"/>
      <c r="H450" s="30"/>
      <c r="I450" s="179"/>
      <c r="J450" s="180"/>
      <c r="L450" s="30"/>
      <c r="M450" s="30"/>
      <c r="N450" s="30"/>
    </row>
    <row r="451">
      <c r="B451" s="30"/>
      <c r="C451" s="30"/>
      <c r="F451" s="30"/>
      <c r="G451" s="30"/>
      <c r="H451" s="30"/>
      <c r="I451" s="179"/>
      <c r="J451" s="180"/>
      <c r="L451" s="30"/>
      <c r="M451" s="30"/>
      <c r="N451" s="30"/>
    </row>
    <row r="452">
      <c r="B452" s="30"/>
      <c r="C452" s="30"/>
      <c r="F452" s="30"/>
      <c r="G452" s="30"/>
      <c r="H452" s="30"/>
      <c r="I452" s="179"/>
      <c r="J452" s="180"/>
      <c r="L452" s="30"/>
      <c r="M452" s="30"/>
      <c r="N452" s="30"/>
    </row>
    <row r="453">
      <c r="B453" s="30"/>
      <c r="C453" s="30"/>
      <c r="F453" s="30"/>
      <c r="G453" s="30"/>
      <c r="H453" s="30"/>
      <c r="I453" s="179"/>
      <c r="J453" s="180"/>
      <c r="L453" s="30"/>
      <c r="M453" s="30"/>
      <c r="N453" s="30"/>
    </row>
    <row r="454">
      <c r="B454" s="30"/>
      <c r="C454" s="30"/>
      <c r="F454" s="30"/>
      <c r="G454" s="30"/>
      <c r="H454" s="30"/>
      <c r="I454" s="179"/>
      <c r="J454" s="180"/>
      <c r="L454" s="30"/>
      <c r="M454" s="30"/>
      <c r="N454" s="30"/>
    </row>
    <row r="455">
      <c r="B455" s="30"/>
      <c r="C455" s="30"/>
      <c r="F455" s="30"/>
      <c r="G455" s="30"/>
      <c r="H455" s="30"/>
      <c r="I455" s="179"/>
      <c r="J455" s="180"/>
      <c r="L455" s="30"/>
      <c r="M455" s="30"/>
      <c r="N455" s="30"/>
    </row>
    <row r="456">
      <c r="B456" s="30"/>
      <c r="C456" s="30"/>
      <c r="F456" s="30"/>
      <c r="G456" s="30"/>
      <c r="H456" s="30"/>
      <c r="I456" s="179"/>
      <c r="J456" s="180"/>
      <c r="L456" s="30"/>
      <c r="M456" s="30"/>
      <c r="N456" s="30"/>
    </row>
    <row r="457">
      <c r="B457" s="30"/>
      <c r="C457" s="30"/>
      <c r="F457" s="30"/>
      <c r="G457" s="30"/>
      <c r="H457" s="30"/>
      <c r="I457" s="179"/>
      <c r="J457" s="180"/>
      <c r="L457" s="30"/>
      <c r="M457" s="30"/>
      <c r="N457" s="30"/>
    </row>
    <row r="458">
      <c r="B458" s="30"/>
      <c r="C458" s="30"/>
      <c r="F458" s="30"/>
      <c r="G458" s="30"/>
      <c r="H458" s="30"/>
      <c r="I458" s="179"/>
      <c r="J458" s="180"/>
      <c r="L458" s="30"/>
      <c r="M458" s="30"/>
      <c r="N458" s="30"/>
    </row>
    <row r="459">
      <c r="B459" s="30"/>
      <c r="C459" s="30"/>
      <c r="F459" s="30"/>
      <c r="G459" s="30"/>
      <c r="H459" s="30"/>
      <c r="I459" s="179"/>
      <c r="J459" s="180"/>
      <c r="L459" s="30"/>
      <c r="M459" s="30"/>
      <c r="N459" s="30"/>
    </row>
    <row r="460">
      <c r="B460" s="30"/>
      <c r="C460" s="30"/>
      <c r="F460" s="30"/>
      <c r="G460" s="30"/>
      <c r="H460" s="30"/>
      <c r="I460" s="179"/>
      <c r="J460" s="180"/>
      <c r="L460" s="30"/>
      <c r="M460" s="30"/>
      <c r="N460" s="30"/>
    </row>
    <row r="461">
      <c r="B461" s="30"/>
      <c r="C461" s="30"/>
      <c r="F461" s="30"/>
      <c r="G461" s="30"/>
      <c r="H461" s="30"/>
      <c r="I461" s="179"/>
      <c r="J461" s="180"/>
      <c r="L461" s="30"/>
      <c r="M461" s="30"/>
      <c r="N461" s="30"/>
    </row>
    <row r="462">
      <c r="B462" s="30"/>
      <c r="C462" s="30"/>
      <c r="F462" s="30"/>
      <c r="G462" s="30"/>
      <c r="H462" s="30"/>
      <c r="I462" s="179"/>
      <c r="J462" s="180"/>
      <c r="L462" s="30"/>
      <c r="M462" s="30"/>
      <c r="N462" s="30"/>
    </row>
    <row r="463">
      <c r="B463" s="30"/>
      <c r="C463" s="30"/>
      <c r="F463" s="30"/>
      <c r="G463" s="30"/>
      <c r="H463" s="30"/>
      <c r="I463" s="179"/>
      <c r="J463" s="180"/>
      <c r="L463" s="30"/>
      <c r="M463" s="30"/>
      <c r="N463" s="30"/>
    </row>
    <row r="464">
      <c r="B464" s="30"/>
      <c r="C464" s="30"/>
      <c r="F464" s="30"/>
      <c r="G464" s="30"/>
      <c r="H464" s="30"/>
      <c r="I464" s="179"/>
      <c r="J464" s="180"/>
      <c r="L464" s="30"/>
      <c r="M464" s="30"/>
      <c r="N464" s="30"/>
    </row>
    <row r="465">
      <c r="B465" s="30"/>
      <c r="C465" s="30"/>
      <c r="F465" s="30"/>
      <c r="G465" s="30"/>
      <c r="H465" s="30"/>
      <c r="I465" s="179"/>
      <c r="J465" s="180"/>
      <c r="L465" s="30"/>
      <c r="M465" s="30"/>
      <c r="N465" s="30"/>
    </row>
    <row r="466">
      <c r="B466" s="30"/>
      <c r="C466" s="30"/>
      <c r="F466" s="30"/>
      <c r="G466" s="30"/>
      <c r="H466" s="30"/>
      <c r="I466" s="179"/>
      <c r="J466" s="180"/>
      <c r="L466" s="30"/>
      <c r="M466" s="30"/>
      <c r="N466" s="30"/>
    </row>
    <row r="467">
      <c r="B467" s="30"/>
      <c r="C467" s="30"/>
      <c r="F467" s="30"/>
      <c r="G467" s="30"/>
      <c r="H467" s="30"/>
      <c r="I467" s="179"/>
      <c r="J467" s="180"/>
      <c r="L467" s="30"/>
      <c r="M467" s="30"/>
      <c r="N467" s="30"/>
    </row>
    <row r="468">
      <c r="B468" s="30"/>
      <c r="C468" s="30"/>
      <c r="F468" s="30"/>
      <c r="G468" s="30"/>
      <c r="H468" s="30"/>
      <c r="I468" s="179"/>
      <c r="J468" s="180"/>
      <c r="L468" s="30"/>
      <c r="M468" s="30"/>
      <c r="N468" s="30"/>
    </row>
    <row r="469">
      <c r="B469" s="30"/>
      <c r="C469" s="30"/>
      <c r="F469" s="30"/>
      <c r="G469" s="30"/>
      <c r="H469" s="30"/>
      <c r="I469" s="179"/>
      <c r="J469" s="180"/>
      <c r="L469" s="30"/>
      <c r="M469" s="30"/>
      <c r="N469" s="30"/>
    </row>
    <row r="470">
      <c r="B470" s="30"/>
      <c r="C470" s="30"/>
      <c r="F470" s="30"/>
      <c r="G470" s="30"/>
      <c r="H470" s="30"/>
      <c r="I470" s="179"/>
      <c r="J470" s="180"/>
      <c r="L470" s="30"/>
      <c r="M470" s="30"/>
      <c r="N470" s="30"/>
    </row>
    <row r="471">
      <c r="B471" s="30"/>
      <c r="C471" s="30"/>
      <c r="F471" s="30"/>
      <c r="G471" s="30"/>
      <c r="H471" s="30"/>
      <c r="I471" s="179"/>
      <c r="J471" s="180"/>
      <c r="L471" s="30"/>
      <c r="M471" s="30"/>
      <c r="N471" s="30"/>
    </row>
    <row r="472">
      <c r="B472" s="30"/>
      <c r="C472" s="30"/>
      <c r="F472" s="30"/>
      <c r="G472" s="30"/>
      <c r="H472" s="30"/>
      <c r="I472" s="179"/>
      <c r="J472" s="180"/>
      <c r="L472" s="30"/>
      <c r="M472" s="30"/>
      <c r="N472" s="30"/>
    </row>
    <row r="473">
      <c r="B473" s="30"/>
      <c r="C473" s="30"/>
      <c r="F473" s="30"/>
      <c r="G473" s="30"/>
      <c r="H473" s="30"/>
      <c r="I473" s="179"/>
      <c r="J473" s="180"/>
      <c r="L473" s="30"/>
      <c r="M473" s="30"/>
      <c r="N473" s="30"/>
    </row>
    <row r="474">
      <c r="B474" s="30"/>
      <c r="C474" s="30"/>
      <c r="F474" s="30"/>
      <c r="G474" s="30"/>
      <c r="H474" s="30"/>
      <c r="I474" s="179"/>
      <c r="J474" s="180"/>
      <c r="L474" s="30"/>
      <c r="M474" s="30"/>
      <c r="N474" s="30"/>
    </row>
    <row r="475">
      <c r="B475" s="30"/>
      <c r="C475" s="30"/>
      <c r="F475" s="30"/>
      <c r="G475" s="30"/>
      <c r="H475" s="30"/>
      <c r="I475" s="179"/>
      <c r="J475" s="180"/>
      <c r="L475" s="30"/>
      <c r="M475" s="30"/>
      <c r="N475" s="30"/>
    </row>
    <row r="476">
      <c r="B476" s="30"/>
      <c r="C476" s="30"/>
      <c r="F476" s="30"/>
      <c r="G476" s="30"/>
      <c r="H476" s="30"/>
      <c r="I476" s="179"/>
      <c r="J476" s="180"/>
      <c r="L476" s="30"/>
      <c r="M476" s="30"/>
      <c r="N476" s="30"/>
    </row>
    <row r="477">
      <c r="B477" s="30"/>
      <c r="C477" s="30"/>
      <c r="F477" s="30"/>
      <c r="G477" s="30"/>
      <c r="H477" s="30"/>
      <c r="I477" s="179"/>
      <c r="J477" s="180"/>
      <c r="L477" s="30"/>
      <c r="M477" s="30"/>
      <c r="N477" s="30"/>
    </row>
    <row r="478">
      <c r="B478" s="30"/>
      <c r="C478" s="30"/>
      <c r="F478" s="30"/>
      <c r="G478" s="30"/>
      <c r="H478" s="30"/>
      <c r="I478" s="179"/>
      <c r="J478" s="180"/>
      <c r="L478" s="30"/>
      <c r="M478" s="30"/>
      <c r="N478" s="30"/>
    </row>
    <row r="479">
      <c r="B479" s="30"/>
      <c r="C479" s="30"/>
      <c r="F479" s="30"/>
      <c r="G479" s="30"/>
      <c r="H479" s="30"/>
      <c r="I479" s="179"/>
      <c r="J479" s="180"/>
      <c r="L479" s="30"/>
      <c r="M479" s="30"/>
      <c r="N479" s="30"/>
    </row>
    <row r="480">
      <c r="B480" s="30"/>
      <c r="C480" s="30"/>
      <c r="F480" s="30"/>
      <c r="G480" s="30"/>
      <c r="H480" s="30"/>
      <c r="I480" s="179"/>
      <c r="J480" s="180"/>
      <c r="L480" s="30"/>
      <c r="M480" s="30"/>
      <c r="N480" s="30"/>
    </row>
    <row r="481">
      <c r="B481" s="30"/>
      <c r="C481" s="30"/>
      <c r="F481" s="30"/>
      <c r="G481" s="30"/>
      <c r="H481" s="30"/>
      <c r="I481" s="179"/>
      <c r="J481" s="180"/>
      <c r="L481" s="30"/>
      <c r="M481" s="30"/>
      <c r="N481" s="30"/>
    </row>
    <row r="482">
      <c r="B482" s="30"/>
      <c r="C482" s="30"/>
      <c r="F482" s="30"/>
      <c r="G482" s="30"/>
      <c r="H482" s="30"/>
      <c r="I482" s="179"/>
      <c r="J482" s="180"/>
      <c r="L482" s="30"/>
      <c r="M482" s="30"/>
      <c r="N482" s="30"/>
    </row>
    <row r="483">
      <c r="B483" s="30"/>
      <c r="C483" s="30"/>
      <c r="F483" s="30"/>
      <c r="G483" s="30"/>
      <c r="H483" s="30"/>
      <c r="I483" s="179"/>
      <c r="J483" s="180"/>
      <c r="L483" s="30"/>
      <c r="M483" s="30"/>
      <c r="N483" s="30"/>
    </row>
    <row r="484">
      <c r="B484" s="30"/>
      <c r="C484" s="30"/>
      <c r="F484" s="30"/>
      <c r="G484" s="30"/>
      <c r="H484" s="30"/>
      <c r="I484" s="179"/>
      <c r="J484" s="180"/>
      <c r="L484" s="30"/>
      <c r="M484" s="30"/>
      <c r="N484" s="30"/>
    </row>
    <row r="485">
      <c r="B485" s="30"/>
      <c r="C485" s="30"/>
      <c r="F485" s="30"/>
      <c r="G485" s="30"/>
      <c r="H485" s="30"/>
      <c r="I485" s="179"/>
      <c r="J485" s="180"/>
      <c r="L485" s="30"/>
      <c r="M485" s="30"/>
      <c r="N485" s="30"/>
    </row>
    <row r="486">
      <c r="B486" s="30"/>
      <c r="C486" s="30"/>
      <c r="F486" s="30"/>
      <c r="G486" s="30"/>
      <c r="H486" s="30"/>
      <c r="I486" s="179"/>
      <c r="J486" s="180"/>
      <c r="L486" s="30"/>
      <c r="M486" s="30"/>
      <c r="N486" s="30"/>
    </row>
    <row r="487">
      <c r="B487" s="30"/>
      <c r="C487" s="30"/>
      <c r="F487" s="30"/>
      <c r="G487" s="30"/>
      <c r="H487" s="30"/>
      <c r="I487" s="179"/>
      <c r="J487" s="180"/>
      <c r="L487" s="30"/>
      <c r="M487" s="30"/>
      <c r="N487" s="30"/>
    </row>
    <row r="488">
      <c r="B488" s="30"/>
      <c r="C488" s="30"/>
      <c r="F488" s="30"/>
      <c r="G488" s="30"/>
      <c r="H488" s="30"/>
      <c r="I488" s="179"/>
      <c r="J488" s="180"/>
      <c r="L488" s="30"/>
      <c r="M488" s="30"/>
      <c r="N488" s="30"/>
    </row>
    <row r="489">
      <c r="B489" s="30"/>
      <c r="C489" s="30"/>
      <c r="F489" s="30"/>
      <c r="G489" s="30"/>
      <c r="H489" s="30"/>
      <c r="I489" s="179"/>
      <c r="J489" s="180"/>
      <c r="L489" s="30"/>
      <c r="M489" s="30"/>
      <c r="N489" s="30"/>
    </row>
    <row r="490">
      <c r="B490" s="30"/>
      <c r="C490" s="30"/>
      <c r="F490" s="30"/>
      <c r="G490" s="30"/>
      <c r="H490" s="30"/>
      <c r="I490" s="179"/>
      <c r="J490" s="180"/>
      <c r="L490" s="30"/>
      <c r="M490" s="30"/>
      <c r="N490" s="30"/>
    </row>
    <row r="491">
      <c r="B491" s="30"/>
      <c r="C491" s="30"/>
      <c r="F491" s="30"/>
      <c r="G491" s="30"/>
      <c r="H491" s="30"/>
      <c r="I491" s="179"/>
      <c r="J491" s="180"/>
      <c r="L491" s="30"/>
      <c r="M491" s="30"/>
      <c r="N491" s="30"/>
    </row>
    <row r="492">
      <c r="B492" s="30"/>
      <c r="C492" s="30"/>
      <c r="F492" s="30"/>
      <c r="G492" s="30"/>
      <c r="H492" s="30"/>
      <c r="I492" s="179"/>
      <c r="J492" s="180"/>
      <c r="L492" s="30"/>
      <c r="M492" s="30"/>
      <c r="N492" s="30"/>
    </row>
    <row r="493">
      <c r="B493" s="30"/>
      <c r="C493" s="30"/>
      <c r="F493" s="30"/>
      <c r="G493" s="30"/>
      <c r="H493" s="30"/>
      <c r="I493" s="179"/>
      <c r="J493" s="180"/>
      <c r="L493" s="30"/>
      <c r="M493" s="30"/>
      <c r="N493" s="30"/>
    </row>
    <row r="494">
      <c r="B494" s="30"/>
      <c r="C494" s="30"/>
      <c r="F494" s="30"/>
      <c r="G494" s="30"/>
      <c r="H494" s="30"/>
      <c r="I494" s="179"/>
      <c r="J494" s="180"/>
      <c r="L494" s="30"/>
      <c r="M494" s="30"/>
      <c r="N494" s="30"/>
    </row>
    <row r="495">
      <c r="B495" s="30"/>
      <c r="C495" s="30"/>
      <c r="F495" s="30"/>
      <c r="G495" s="30"/>
      <c r="H495" s="30"/>
      <c r="I495" s="179"/>
      <c r="J495" s="180"/>
      <c r="L495" s="30"/>
      <c r="M495" s="30"/>
      <c r="N495" s="30"/>
    </row>
    <row r="496">
      <c r="B496" s="30"/>
      <c r="C496" s="30"/>
      <c r="F496" s="30"/>
      <c r="G496" s="30"/>
      <c r="H496" s="30"/>
      <c r="I496" s="179"/>
      <c r="J496" s="180"/>
      <c r="L496" s="30"/>
      <c r="M496" s="30"/>
      <c r="N496" s="30"/>
    </row>
    <row r="497">
      <c r="B497" s="30"/>
      <c r="C497" s="30"/>
      <c r="F497" s="30"/>
      <c r="G497" s="30"/>
      <c r="H497" s="30"/>
      <c r="I497" s="179"/>
      <c r="J497" s="180"/>
      <c r="L497" s="30"/>
      <c r="M497" s="30"/>
      <c r="N497" s="30"/>
    </row>
    <row r="498">
      <c r="B498" s="30"/>
      <c r="C498" s="30"/>
      <c r="F498" s="30"/>
      <c r="G498" s="30"/>
      <c r="H498" s="30"/>
      <c r="I498" s="179"/>
      <c r="J498" s="180"/>
      <c r="L498" s="30"/>
      <c r="M498" s="30"/>
      <c r="N498" s="30"/>
    </row>
    <row r="499">
      <c r="B499" s="30"/>
      <c r="C499" s="30"/>
      <c r="F499" s="30"/>
      <c r="G499" s="30"/>
      <c r="H499" s="30"/>
      <c r="I499" s="179"/>
      <c r="J499" s="180"/>
      <c r="L499" s="30"/>
      <c r="M499" s="30"/>
      <c r="N499" s="30"/>
    </row>
    <row r="500">
      <c r="B500" s="30"/>
      <c r="C500" s="30"/>
      <c r="F500" s="30"/>
      <c r="G500" s="30"/>
      <c r="H500" s="30"/>
      <c r="I500" s="179"/>
      <c r="J500" s="180"/>
      <c r="L500" s="30"/>
      <c r="M500" s="30"/>
      <c r="N500" s="30"/>
    </row>
    <row r="501">
      <c r="B501" s="30"/>
      <c r="C501" s="30"/>
      <c r="F501" s="30"/>
      <c r="G501" s="30"/>
      <c r="H501" s="30"/>
      <c r="I501" s="179"/>
      <c r="J501" s="180"/>
      <c r="L501" s="30"/>
      <c r="M501" s="30"/>
      <c r="N501" s="30"/>
    </row>
    <row r="502">
      <c r="B502" s="30"/>
      <c r="C502" s="30"/>
      <c r="F502" s="30"/>
      <c r="G502" s="30"/>
      <c r="H502" s="30"/>
      <c r="I502" s="179"/>
      <c r="J502" s="180"/>
      <c r="L502" s="30"/>
      <c r="M502" s="30"/>
      <c r="N502" s="30"/>
    </row>
    <row r="503">
      <c r="B503" s="30"/>
      <c r="C503" s="30"/>
      <c r="F503" s="30"/>
      <c r="G503" s="30"/>
      <c r="H503" s="30"/>
      <c r="I503" s="179"/>
      <c r="J503" s="180"/>
      <c r="L503" s="30"/>
      <c r="M503" s="30"/>
      <c r="N503" s="30"/>
    </row>
    <row r="504">
      <c r="B504" s="30"/>
      <c r="C504" s="30"/>
      <c r="F504" s="30"/>
      <c r="G504" s="30"/>
      <c r="H504" s="30"/>
      <c r="I504" s="179"/>
      <c r="J504" s="180"/>
      <c r="L504" s="30"/>
      <c r="M504" s="30"/>
      <c r="N504" s="30"/>
    </row>
    <row r="505">
      <c r="B505" s="30"/>
      <c r="C505" s="30"/>
      <c r="F505" s="30"/>
      <c r="G505" s="30"/>
      <c r="H505" s="30"/>
      <c r="I505" s="179"/>
      <c r="J505" s="180"/>
      <c r="L505" s="30"/>
      <c r="M505" s="30"/>
      <c r="N505" s="30"/>
    </row>
    <row r="506">
      <c r="B506" s="30"/>
      <c r="C506" s="30"/>
      <c r="F506" s="30"/>
      <c r="G506" s="30"/>
      <c r="H506" s="30"/>
      <c r="I506" s="179"/>
      <c r="J506" s="180"/>
      <c r="L506" s="30"/>
      <c r="M506" s="30"/>
      <c r="N506" s="30"/>
    </row>
    <row r="507">
      <c r="B507" s="30"/>
      <c r="C507" s="30"/>
      <c r="F507" s="30"/>
      <c r="G507" s="30"/>
      <c r="H507" s="30"/>
      <c r="I507" s="179"/>
      <c r="J507" s="180"/>
      <c r="L507" s="30"/>
      <c r="M507" s="30"/>
      <c r="N507" s="30"/>
    </row>
    <row r="508">
      <c r="B508" s="30"/>
      <c r="C508" s="30"/>
      <c r="F508" s="30"/>
      <c r="G508" s="30"/>
      <c r="H508" s="30"/>
      <c r="I508" s="179"/>
      <c r="J508" s="180"/>
      <c r="L508" s="30"/>
      <c r="M508" s="30"/>
      <c r="N508" s="30"/>
    </row>
    <row r="509">
      <c r="B509" s="30"/>
      <c r="C509" s="30"/>
      <c r="F509" s="30"/>
      <c r="G509" s="30"/>
      <c r="H509" s="30"/>
      <c r="I509" s="179"/>
      <c r="J509" s="180"/>
      <c r="L509" s="30"/>
      <c r="M509" s="30"/>
      <c r="N509" s="30"/>
    </row>
    <row r="510">
      <c r="B510" s="30"/>
      <c r="C510" s="30"/>
      <c r="F510" s="30"/>
      <c r="G510" s="30"/>
      <c r="H510" s="30"/>
      <c r="I510" s="179"/>
      <c r="J510" s="180"/>
      <c r="L510" s="30"/>
      <c r="M510" s="30"/>
      <c r="N510" s="30"/>
    </row>
    <row r="511">
      <c r="B511" s="30"/>
      <c r="C511" s="30"/>
      <c r="F511" s="30"/>
      <c r="G511" s="30"/>
      <c r="H511" s="30"/>
      <c r="I511" s="179"/>
      <c r="J511" s="180"/>
      <c r="L511" s="30"/>
      <c r="M511" s="30"/>
      <c r="N511" s="30"/>
    </row>
    <row r="512">
      <c r="B512" s="30"/>
      <c r="C512" s="30"/>
      <c r="F512" s="30"/>
      <c r="G512" s="30"/>
      <c r="H512" s="30"/>
      <c r="I512" s="179"/>
      <c r="J512" s="180"/>
      <c r="L512" s="30"/>
      <c r="M512" s="30"/>
      <c r="N512" s="30"/>
    </row>
    <row r="513">
      <c r="B513" s="30"/>
      <c r="C513" s="30"/>
      <c r="F513" s="30"/>
      <c r="G513" s="30"/>
      <c r="H513" s="30"/>
      <c r="I513" s="179"/>
      <c r="J513" s="180"/>
      <c r="L513" s="30"/>
      <c r="M513" s="30"/>
      <c r="N513" s="30"/>
    </row>
    <row r="514">
      <c r="B514" s="30"/>
      <c r="C514" s="30"/>
      <c r="F514" s="30"/>
      <c r="G514" s="30"/>
      <c r="H514" s="30"/>
      <c r="I514" s="179"/>
      <c r="J514" s="180"/>
      <c r="L514" s="30"/>
      <c r="M514" s="30"/>
      <c r="N514" s="30"/>
    </row>
    <row r="515">
      <c r="B515" s="30"/>
      <c r="C515" s="30"/>
      <c r="F515" s="30"/>
      <c r="G515" s="30"/>
      <c r="H515" s="30"/>
      <c r="I515" s="179"/>
      <c r="J515" s="180"/>
      <c r="L515" s="30"/>
      <c r="M515" s="30"/>
      <c r="N515" s="30"/>
    </row>
    <row r="516">
      <c r="B516" s="30"/>
      <c r="C516" s="30"/>
      <c r="F516" s="30"/>
      <c r="G516" s="30"/>
      <c r="H516" s="30"/>
      <c r="I516" s="179"/>
      <c r="J516" s="180"/>
      <c r="L516" s="30"/>
      <c r="M516" s="30"/>
      <c r="N516" s="30"/>
    </row>
    <row r="517">
      <c r="B517" s="30"/>
      <c r="C517" s="30"/>
      <c r="F517" s="30"/>
      <c r="G517" s="30"/>
      <c r="H517" s="30"/>
      <c r="I517" s="179"/>
      <c r="J517" s="180"/>
      <c r="L517" s="30"/>
      <c r="M517" s="30"/>
      <c r="N517" s="30"/>
    </row>
    <row r="518">
      <c r="B518" s="30"/>
      <c r="C518" s="30"/>
      <c r="F518" s="30"/>
      <c r="G518" s="30"/>
      <c r="H518" s="30"/>
      <c r="I518" s="179"/>
      <c r="J518" s="180"/>
      <c r="L518" s="30"/>
      <c r="M518" s="30"/>
      <c r="N518" s="30"/>
    </row>
    <row r="519">
      <c r="B519" s="30"/>
      <c r="C519" s="30"/>
      <c r="F519" s="30"/>
      <c r="G519" s="30"/>
      <c r="H519" s="30"/>
      <c r="I519" s="179"/>
      <c r="J519" s="180"/>
      <c r="L519" s="30"/>
      <c r="M519" s="30"/>
      <c r="N519" s="30"/>
    </row>
    <row r="520">
      <c r="B520" s="30"/>
      <c r="C520" s="30"/>
      <c r="F520" s="30"/>
      <c r="G520" s="30"/>
      <c r="H520" s="30"/>
      <c r="I520" s="179"/>
      <c r="J520" s="180"/>
      <c r="L520" s="30"/>
      <c r="M520" s="30"/>
      <c r="N520" s="30"/>
    </row>
    <row r="521">
      <c r="B521" s="30"/>
      <c r="C521" s="30"/>
      <c r="F521" s="30"/>
      <c r="G521" s="30"/>
      <c r="H521" s="30"/>
      <c r="I521" s="179"/>
      <c r="J521" s="180"/>
      <c r="L521" s="30"/>
      <c r="M521" s="30"/>
      <c r="N521" s="30"/>
    </row>
    <row r="522">
      <c r="B522" s="30"/>
      <c r="C522" s="30"/>
      <c r="F522" s="30"/>
      <c r="G522" s="30"/>
      <c r="H522" s="30"/>
      <c r="I522" s="179"/>
      <c r="J522" s="180"/>
      <c r="L522" s="30"/>
      <c r="M522" s="30"/>
      <c r="N522" s="30"/>
    </row>
    <row r="523">
      <c r="B523" s="30"/>
      <c r="C523" s="30"/>
      <c r="F523" s="30"/>
      <c r="G523" s="30"/>
      <c r="H523" s="30"/>
      <c r="I523" s="179"/>
      <c r="J523" s="180"/>
      <c r="L523" s="30"/>
      <c r="M523" s="30"/>
      <c r="N523" s="30"/>
    </row>
    <row r="524">
      <c r="B524" s="30"/>
      <c r="C524" s="30"/>
      <c r="F524" s="30"/>
      <c r="G524" s="30"/>
      <c r="H524" s="30"/>
      <c r="I524" s="179"/>
      <c r="J524" s="180"/>
      <c r="L524" s="30"/>
      <c r="M524" s="30"/>
      <c r="N524" s="30"/>
    </row>
    <row r="525">
      <c r="B525" s="30"/>
      <c r="C525" s="30"/>
      <c r="F525" s="30"/>
      <c r="G525" s="30"/>
      <c r="H525" s="30"/>
      <c r="I525" s="179"/>
      <c r="J525" s="180"/>
      <c r="L525" s="30"/>
      <c r="M525" s="30"/>
      <c r="N525" s="30"/>
    </row>
    <row r="526">
      <c r="B526" s="30"/>
      <c r="C526" s="30"/>
      <c r="F526" s="30"/>
      <c r="G526" s="30"/>
      <c r="H526" s="30"/>
      <c r="I526" s="179"/>
      <c r="J526" s="180"/>
      <c r="L526" s="30"/>
      <c r="M526" s="30"/>
      <c r="N526" s="30"/>
    </row>
    <row r="527">
      <c r="B527" s="30"/>
      <c r="C527" s="30"/>
      <c r="F527" s="30"/>
      <c r="G527" s="30"/>
      <c r="H527" s="30"/>
      <c r="I527" s="179"/>
      <c r="J527" s="180"/>
      <c r="L527" s="30"/>
      <c r="M527" s="30"/>
      <c r="N527" s="30"/>
    </row>
    <row r="528">
      <c r="B528" s="30"/>
      <c r="C528" s="30"/>
      <c r="F528" s="30"/>
      <c r="G528" s="30"/>
      <c r="H528" s="30"/>
      <c r="I528" s="179"/>
      <c r="J528" s="180"/>
      <c r="L528" s="30"/>
      <c r="M528" s="30"/>
      <c r="N528" s="30"/>
    </row>
    <row r="529">
      <c r="B529" s="30"/>
      <c r="C529" s="30"/>
      <c r="F529" s="30"/>
      <c r="G529" s="30"/>
      <c r="H529" s="30"/>
      <c r="I529" s="179"/>
      <c r="J529" s="180"/>
      <c r="L529" s="30"/>
      <c r="M529" s="30"/>
      <c r="N529" s="30"/>
    </row>
    <row r="530">
      <c r="B530" s="30"/>
      <c r="C530" s="30"/>
      <c r="F530" s="30"/>
      <c r="G530" s="30"/>
      <c r="H530" s="30"/>
      <c r="I530" s="179"/>
      <c r="J530" s="180"/>
      <c r="L530" s="30"/>
      <c r="M530" s="30"/>
      <c r="N530" s="30"/>
    </row>
    <row r="531">
      <c r="B531" s="30"/>
      <c r="C531" s="30"/>
      <c r="F531" s="30"/>
      <c r="G531" s="30"/>
      <c r="H531" s="30"/>
      <c r="I531" s="179"/>
      <c r="J531" s="180"/>
      <c r="L531" s="30"/>
      <c r="M531" s="30"/>
      <c r="N531" s="30"/>
    </row>
    <row r="532">
      <c r="B532" s="30"/>
      <c r="C532" s="30"/>
      <c r="F532" s="30"/>
      <c r="G532" s="30"/>
      <c r="H532" s="30"/>
      <c r="I532" s="179"/>
      <c r="J532" s="180"/>
      <c r="L532" s="30"/>
      <c r="M532" s="30"/>
      <c r="N532" s="30"/>
    </row>
    <row r="533">
      <c r="B533" s="30"/>
      <c r="C533" s="30"/>
      <c r="F533" s="30"/>
      <c r="G533" s="30"/>
      <c r="H533" s="30"/>
      <c r="I533" s="179"/>
      <c r="J533" s="180"/>
      <c r="L533" s="30"/>
      <c r="M533" s="30"/>
      <c r="N533" s="30"/>
    </row>
    <row r="534">
      <c r="B534" s="30"/>
      <c r="C534" s="30"/>
      <c r="F534" s="30"/>
      <c r="G534" s="30"/>
      <c r="H534" s="30"/>
      <c r="I534" s="179"/>
      <c r="J534" s="180"/>
      <c r="L534" s="30"/>
      <c r="M534" s="30"/>
      <c r="N534" s="30"/>
    </row>
    <row r="535">
      <c r="B535" s="30"/>
      <c r="C535" s="30"/>
      <c r="F535" s="30"/>
      <c r="G535" s="30"/>
      <c r="H535" s="30"/>
      <c r="I535" s="179"/>
      <c r="J535" s="180"/>
      <c r="L535" s="30"/>
      <c r="M535" s="30"/>
      <c r="N535" s="30"/>
    </row>
    <row r="536">
      <c r="B536" s="30"/>
      <c r="C536" s="30"/>
      <c r="F536" s="30"/>
      <c r="G536" s="30"/>
      <c r="H536" s="30"/>
      <c r="I536" s="179"/>
      <c r="J536" s="180"/>
      <c r="L536" s="30"/>
      <c r="M536" s="30"/>
      <c r="N536" s="30"/>
    </row>
    <row r="537">
      <c r="B537" s="30"/>
      <c r="C537" s="30"/>
      <c r="F537" s="30"/>
      <c r="G537" s="30"/>
      <c r="H537" s="30"/>
      <c r="I537" s="179"/>
      <c r="J537" s="180"/>
      <c r="L537" s="30"/>
      <c r="M537" s="30"/>
      <c r="N537" s="30"/>
    </row>
    <row r="538">
      <c r="B538" s="30"/>
      <c r="C538" s="30"/>
      <c r="F538" s="30"/>
      <c r="G538" s="30"/>
      <c r="H538" s="30"/>
      <c r="I538" s="179"/>
      <c r="J538" s="180"/>
      <c r="L538" s="30"/>
      <c r="M538" s="30"/>
      <c r="N538" s="30"/>
    </row>
    <row r="539">
      <c r="B539" s="30"/>
      <c r="C539" s="30"/>
      <c r="F539" s="30"/>
      <c r="G539" s="30"/>
      <c r="H539" s="30"/>
      <c r="I539" s="179"/>
      <c r="J539" s="180"/>
      <c r="L539" s="30"/>
      <c r="M539" s="30"/>
      <c r="N539" s="30"/>
    </row>
    <row r="540">
      <c r="B540" s="30"/>
      <c r="C540" s="30"/>
      <c r="F540" s="30"/>
      <c r="G540" s="30"/>
      <c r="H540" s="30"/>
      <c r="I540" s="179"/>
      <c r="J540" s="180"/>
      <c r="L540" s="30"/>
      <c r="M540" s="30"/>
      <c r="N540" s="30"/>
    </row>
    <row r="541">
      <c r="B541" s="30"/>
      <c r="C541" s="30"/>
      <c r="F541" s="30"/>
      <c r="G541" s="30"/>
      <c r="H541" s="30"/>
      <c r="I541" s="179"/>
      <c r="J541" s="180"/>
      <c r="L541" s="30"/>
      <c r="M541" s="30"/>
      <c r="N541" s="30"/>
    </row>
    <row r="542">
      <c r="B542" s="30"/>
      <c r="C542" s="30"/>
      <c r="F542" s="30"/>
      <c r="G542" s="30"/>
      <c r="H542" s="30"/>
      <c r="I542" s="179"/>
      <c r="J542" s="180"/>
      <c r="L542" s="30"/>
      <c r="M542" s="30"/>
      <c r="N542" s="30"/>
    </row>
    <row r="543">
      <c r="B543" s="30"/>
      <c r="C543" s="30"/>
      <c r="F543" s="30"/>
      <c r="G543" s="30"/>
      <c r="H543" s="30"/>
      <c r="I543" s="179"/>
      <c r="J543" s="180"/>
      <c r="L543" s="30"/>
      <c r="M543" s="30"/>
      <c r="N543" s="30"/>
    </row>
    <row r="544">
      <c r="B544" s="30"/>
      <c r="C544" s="30"/>
      <c r="F544" s="30"/>
      <c r="G544" s="30"/>
      <c r="H544" s="30"/>
      <c r="I544" s="179"/>
      <c r="J544" s="180"/>
      <c r="L544" s="30"/>
      <c r="M544" s="30"/>
      <c r="N544" s="30"/>
    </row>
    <row r="545">
      <c r="B545" s="30"/>
      <c r="C545" s="30"/>
      <c r="F545" s="30"/>
      <c r="G545" s="30"/>
      <c r="H545" s="30"/>
      <c r="I545" s="179"/>
      <c r="J545" s="180"/>
      <c r="L545" s="30"/>
      <c r="M545" s="30"/>
      <c r="N545" s="30"/>
    </row>
    <row r="546">
      <c r="B546" s="30"/>
      <c r="C546" s="30"/>
      <c r="F546" s="30"/>
      <c r="G546" s="30"/>
      <c r="H546" s="30"/>
      <c r="I546" s="179"/>
      <c r="J546" s="180"/>
      <c r="L546" s="30"/>
      <c r="M546" s="30"/>
      <c r="N546" s="30"/>
    </row>
    <row r="547">
      <c r="B547" s="30"/>
      <c r="C547" s="30"/>
      <c r="F547" s="30"/>
      <c r="G547" s="30"/>
      <c r="H547" s="30"/>
      <c r="I547" s="179"/>
      <c r="J547" s="180"/>
      <c r="L547" s="30"/>
      <c r="M547" s="30"/>
      <c r="N547" s="30"/>
    </row>
    <row r="548">
      <c r="B548" s="30"/>
      <c r="C548" s="30"/>
      <c r="F548" s="30"/>
      <c r="G548" s="30"/>
      <c r="H548" s="30"/>
      <c r="I548" s="179"/>
      <c r="J548" s="180"/>
      <c r="L548" s="30"/>
      <c r="M548" s="30"/>
      <c r="N548" s="30"/>
    </row>
    <row r="549">
      <c r="B549" s="30"/>
      <c r="C549" s="30"/>
      <c r="F549" s="30"/>
      <c r="G549" s="30"/>
      <c r="H549" s="30"/>
      <c r="I549" s="179"/>
      <c r="J549" s="180"/>
      <c r="L549" s="30"/>
      <c r="M549" s="30"/>
      <c r="N549" s="30"/>
    </row>
    <row r="550">
      <c r="B550" s="30"/>
      <c r="C550" s="30"/>
      <c r="F550" s="30"/>
      <c r="G550" s="30"/>
      <c r="H550" s="30"/>
      <c r="I550" s="179"/>
      <c r="J550" s="180"/>
      <c r="L550" s="30"/>
      <c r="M550" s="30"/>
      <c r="N550" s="30"/>
    </row>
    <row r="551">
      <c r="B551" s="30"/>
      <c r="C551" s="30"/>
      <c r="F551" s="30"/>
      <c r="G551" s="30"/>
      <c r="H551" s="30"/>
      <c r="I551" s="179"/>
      <c r="J551" s="180"/>
      <c r="L551" s="30"/>
      <c r="M551" s="30"/>
      <c r="N551" s="30"/>
    </row>
    <row r="552">
      <c r="B552" s="30"/>
      <c r="C552" s="30"/>
      <c r="F552" s="30"/>
      <c r="G552" s="30"/>
      <c r="H552" s="30"/>
      <c r="I552" s="179"/>
      <c r="J552" s="180"/>
      <c r="L552" s="30"/>
      <c r="M552" s="30"/>
      <c r="N552" s="30"/>
    </row>
    <row r="553">
      <c r="B553" s="30"/>
      <c r="C553" s="30"/>
      <c r="F553" s="30"/>
      <c r="G553" s="30"/>
      <c r="H553" s="30"/>
      <c r="I553" s="179"/>
      <c r="J553" s="180"/>
      <c r="L553" s="30"/>
      <c r="M553" s="30"/>
      <c r="N553" s="30"/>
    </row>
    <row r="554">
      <c r="B554" s="30"/>
      <c r="C554" s="30"/>
      <c r="F554" s="30"/>
      <c r="G554" s="30"/>
      <c r="H554" s="30"/>
      <c r="I554" s="179"/>
      <c r="J554" s="180"/>
      <c r="L554" s="30"/>
      <c r="M554" s="30"/>
      <c r="N554" s="30"/>
    </row>
    <row r="555">
      <c r="B555" s="30"/>
      <c r="C555" s="30"/>
      <c r="F555" s="30"/>
      <c r="G555" s="30"/>
      <c r="H555" s="30"/>
      <c r="I555" s="179"/>
      <c r="J555" s="180"/>
      <c r="L555" s="30"/>
      <c r="M555" s="30"/>
      <c r="N555" s="30"/>
    </row>
    <row r="556">
      <c r="B556" s="30"/>
      <c r="C556" s="30"/>
      <c r="F556" s="30"/>
      <c r="G556" s="30"/>
      <c r="H556" s="30"/>
      <c r="I556" s="179"/>
      <c r="J556" s="180"/>
      <c r="L556" s="30"/>
      <c r="M556" s="30"/>
      <c r="N556" s="30"/>
    </row>
    <row r="557">
      <c r="B557" s="30"/>
      <c r="C557" s="30"/>
      <c r="F557" s="30"/>
      <c r="G557" s="30"/>
      <c r="H557" s="30"/>
      <c r="I557" s="179"/>
      <c r="J557" s="180"/>
      <c r="L557" s="30"/>
      <c r="M557" s="30"/>
      <c r="N557" s="30"/>
    </row>
    <row r="558">
      <c r="B558" s="30"/>
      <c r="C558" s="30"/>
      <c r="F558" s="30"/>
      <c r="G558" s="30"/>
      <c r="H558" s="30"/>
      <c r="I558" s="179"/>
      <c r="J558" s="180"/>
      <c r="L558" s="30"/>
      <c r="M558" s="30"/>
      <c r="N558" s="30"/>
    </row>
    <row r="559">
      <c r="B559" s="30"/>
      <c r="C559" s="30"/>
      <c r="F559" s="30"/>
      <c r="G559" s="30"/>
      <c r="H559" s="30"/>
      <c r="I559" s="179"/>
      <c r="J559" s="180"/>
      <c r="L559" s="30"/>
      <c r="M559" s="30"/>
      <c r="N559" s="30"/>
    </row>
    <row r="560">
      <c r="B560" s="30"/>
      <c r="C560" s="30"/>
      <c r="F560" s="30"/>
      <c r="G560" s="30"/>
      <c r="H560" s="30"/>
      <c r="I560" s="179"/>
      <c r="J560" s="180"/>
      <c r="L560" s="30"/>
      <c r="M560" s="30"/>
      <c r="N560" s="30"/>
    </row>
    <row r="561">
      <c r="B561" s="30"/>
      <c r="C561" s="30"/>
      <c r="F561" s="30"/>
      <c r="G561" s="30"/>
      <c r="H561" s="30"/>
      <c r="I561" s="179"/>
      <c r="J561" s="180"/>
      <c r="L561" s="30"/>
      <c r="M561" s="30"/>
      <c r="N561" s="30"/>
    </row>
    <row r="562">
      <c r="B562" s="30"/>
      <c r="C562" s="30"/>
      <c r="F562" s="30"/>
      <c r="G562" s="30"/>
      <c r="H562" s="30"/>
      <c r="I562" s="179"/>
      <c r="J562" s="180"/>
      <c r="L562" s="30"/>
      <c r="M562" s="30"/>
      <c r="N562" s="30"/>
    </row>
    <row r="563">
      <c r="B563" s="30"/>
      <c r="C563" s="30"/>
      <c r="F563" s="30"/>
      <c r="G563" s="30"/>
      <c r="H563" s="30"/>
      <c r="I563" s="179"/>
      <c r="J563" s="180"/>
      <c r="L563" s="30"/>
      <c r="M563" s="30"/>
      <c r="N563" s="30"/>
    </row>
    <row r="564">
      <c r="B564" s="30"/>
      <c r="C564" s="30"/>
      <c r="F564" s="30"/>
      <c r="G564" s="30"/>
      <c r="H564" s="30"/>
      <c r="I564" s="179"/>
      <c r="J564" s="180"/>
      <c r="L564" s="30"/>
      <c r="M564" s="30"/>
      <c r="N564" s="30"/>
    </row>
    <row r="565">
      <c r="B565" s="30"/>
      <c r="C565" s="30"/>
      <c r="F565" s="30"/>
      <c r="G565" s="30"/>
      <c r="H565" s="30"/>
      <c r="I565" s="179"/>
      <c r="J565" s="180"/>
      <c r="L565" s="30"/>
      <c r="M565" s="30"/>
      <c r="N565" s="30"/>
    </row>
    <row r="566">
      <c r="B566" s="30"/>
      <c r="C566" s="30"/>
      <c r="F566" s="30"/>
      <c r="G566" s="30"/>
      <c r="H566" s="30"/>
      <c r="I566" s="179"/>
      <c r="J566" s="180"/>
      <c r="L566" s="30"/>
      <c r="M566" s="30"/>
      <c r="N566" s="30"/>
    </row>
    <row r="567">
      <c r="B567" s="30"/>
      <c r="C567" s="30"/>
      <c r="F567" s="30"/>
      <c r="G567" s="30"/>
      <c r="H567" s="30"/>
      <c r="I567" s="179"/>
      <c r="J567" s="180"/>
      <c r="L567" s="30"/>
      <c r="M567" s="30"/>
      <c r="N567" s="30"/>
    </row>
    <row r="568">
      <c r="B568" s="30"/>
      <c r="C568" s="30"/>
      <c r="F568" s="30"/>
      <c r="G568" s="30"/>
      <c r="H568" s="30"/>
      <c r="I568" s="179"/>
      <c r="J568" s="180"/>
      <c r="L568" s="30"/>
      <c r="M568" s="30"/>
      <c r="N568" s="30"/>
    </row>
    <row r="569">
      <c r="B569" s="30"/>
      <c r="C569" s="30"/>
      <c r="F569" s="30"/>
      <c r="G569" s="30"/>
      <c r="H569" s="30"/>
      <c r="I569" s="179"/>
      <c r="J569" s="180"/>
      <c r="L569" s="30"/>
      <c r="M569" s="30"/>
      <c r="N569" s="30"/>
    </row>
    <row r="570">
      <c r="B570" s="30"/>
      <c r="C570" s="30"/>
      <c r="F570" s="30"/>
      <c r="G570" s="30"/>
      <c r="H570" s="30"/>
      <c r="I570" s="179"/>
      <c r="J570" s="180"/>
      <c r="L570" s="30"/>
      <c r="M570" s="30"/>
      <c r="N570" s="30"/>
    </row>
    <row r="571">
      <c r="B571" s="30"/>
      <c r="C571" s="30"/>
      <c r="F571" s="30"/>
      <c r="G571" s="30"/>
      <c r="H571" s="30"/>
      <c r="I571" s="179"/>
      <c r="J571" s="180"/>
      <c r="L571" s="30"/>
      <c r="M571" s="30"/>
      <c r="N571" s="30"/>
    </row>
    <row r="572">
      <c r="B572" s="30"/>
      <c r="C572" s="30"/>
      <c r="F572" s="30"/>
      <c r="G572" s="30"/>
      <c r="H572" s="30"/>
      <c r="I572" s="179"/>
      <c r="J572" s="180"/>
      <c r="L572" s="30"/>
      <c r="M572" s="30"/>
      <c r="N572" s="30"/>
    </row>
    <row r="573">
      <c r="B573" s="30"/>
      <c r="C573" s="30"/>
      <c r="F573" s="30"/>
      <c r="G573" s="30"/>
      <c r="H573" s="30"/>
      <c r="I573" s="179"/>
      <c r="J573" s="180"/>
      <c r="L573" s="30"/>
      <c r="M573" s="30"/>
      <c r="N573" s="30"/>
    </row>
    <row r="574">
      <c r="B574" s="30"/>
      <c r="C574" s="30"/>
      <c r="F574" s="30"/>
      <c r="G574" s="30"/>
      <c r="H574" s="30"/>
      <c r="I574" s="179"/>
      <c r="J574" s="180"/>
      <c r="L574" s="30"/>
      <c r="M574" s="30"/>
      <c r="N574" s="30"/>
    </row>
    <row r="575">
      <c r="B575" s="30"/>
      <c r="C575" s="30"/>
      <c r="F575" s="30"/>
      <c r="G575" s="30"/>
      <c r="H575" s="30"/>
      <c r="I575" s="179"/>
      <c r="J575" s="180"/>
      <c r="L575" s="30"/>
      <c r="M575" s="30"/>
      <c r="N575" s="30"/>
    </row>
    <row r="576">
      <c r="B576" s="30"/>
      <c r="C576" s="30"/>
      <c r="F576" s="30"/>
      <c r="G576" s="30"/>
      <c r="H576" s="30"/>
      <c r="I576" s="179"/>
      <c r="J576" s="180"/>
      <c r="L576" s="30"/>
      <c r="M576" s="30"/>
      <c r="N576" s="30"/>
    </row>
    <row r="577">
      <c r="B577" s="30"/>
      <c r="C577" s="30"/>
      <c r="F577" s="30"/>
      <c r="G577" s="30"/>
      <c r="H577" s="30"/>
      <c r="I577" s="179"/>
      <c r="J577" s="180"/>
      <c r="L577" s="30"/>
      <c r="M577" s="30"/>
      <c r="N577" s="30"/>
    </row>
    <row r="578">
      <c r="B578" s="30"/>
      <c r="C578" s="30"/>
      <c r="F578" s="30"/>
      <c r="G578" s="30"/>
      <c r="H578" s="30"/>
      <c r="I578" s="179"/>
      <c r="J578" s="180"/>
      <c r="L578" s="30"/>
      <c r="M578" s="30"/>
      <c r="N578" s="30"/>
    </row>
    <row r="579">
      <c r="B579" s="30"/>
      <c r="C579" s="30"/>
      <c r="F579" s="30"/>
      <c r="G579" s="30"/>
      <c r="H579" s="30"/>
      <c r="I579" s="179"/>
      <c r="J579" s="180"/>
      <c r="L579" s="30"/>
      <c r="M579" s="30"/>
      <c r="N579" s="30"/>
    </row>
    <row r="580">
      <c r="B580" s="30"/>
      <c r="C580" s="30"/>
      <c r="F580" s="30"/>
      <c r="G580" s="30"/>
      <c r="H580" s="30"/>
      <c r="I580" s="179"/>
      <c r="J580" s="180"/>
      <c r="L580" s="30"/>
      <c r="M580" s="30"/>
      <c r="N580" s="30"/>
    </row>
    <row r="581">
      <c r="B581" s="30"/>
      <c r="C581" s="30"/>
      <c r="F581" s="30"/>
      <c r="G581" s="30"/>
      <c r="H581" s="30"/>
      <c r="I581" s="179"/>
      <c r="J581" s="180"/>
      <c r="L581" s="30"/>
      <c r="M581" s="30"/>
      <c r="N581" s="30"/>
    </row>
    <row r="582">
      <c r="B582" s="30"/>
      <c r="C582" s="30"/>
      <c r="F582" s="30"/>
      <c r="G582" s="30"/>
      <c r="H582" s="30"/>
      <c r="I582" s="179"/>
      <c r="J582" s="180"/>
      <c r="L582" s="30"/>
      <c r="M582" s="30"/>
      <c r="N582" s="30"/>
    </row>
    <row r="583">
      <c r="B583" s="30"/>
      <c r="C583" s="30"/>
      <c r="F583" s="30"/>
      <c r="G583" s="30"/>
      <c r="H583" s="30"/>
      <c r="I583" s="179"/>
      <c r="J583" s="180"/>
      <c r="L583" s="30"/>
      <c r="M583" s="30"/>
      <c r="N583" s="30"/>
    </row>
    <row r="584">
      <c r="B584" s="30"/>
      <c r="C584" s="30"/>
      <c r="F584" s="30"/>
      <c r="G584" s="30"/>
      <c r="H584" s="30"/>
      <c r="I584" s="179"/>
      <c r="J584" s="180"/>
      <c r="L584" s="30"/>
      <c r="M584" s="30"/>
      <c r="N584" s="30"/>
    </row>
    <row r="585">
      <c r="B585" s="30"/>
      <c r="C585" s="30"/>
      <c r="F585" s="30"/>
      <c r="G585" s="30"/>
      <c r="H585" s="30"/>
      <c r="I585" s="179"/>
      <c r="J585" s="180"/>
      <c r="L585" s="30"/>
      <c r="M585" s="30"/>
      <c r="N585" s="30"/>
    </row>
    <row r="586">
      <c r="B586" s="30"/>
      <c r="C586" s="30"/>
      <c r="F586" s="30"/>
      <c r="G586" s="30"/>
      <c r="H586" s="30"/>
      <c r="I586" s="179"/>
      <c r="J586" s="180"/>
      <c r="L586" s="30"/>
      <c r="M586" s="30"/>
      <c r="N586" s="30"/>
    </row>
    <row r="587">
      <c r="B587" s="30"/>
      <c r="C587" s="30"/>
      <c r="F587" s="30"/>
      <c r="G587" s="30"/>
      <c r="H587" s="30"/>
      <c r="I587" s="179"/>
      <c r="J587" s="180"/>
      <c r="L587" s="30"/>
      <c r="M587" s="30"/>
      <c r="N587" s="30"/>
    </row>
    <row r="588">
      <c r="B588" s="30"/>
      <c r="C588" s="30"/>
      <c r="F588" s="30"/>
      <c r="G588" s="30"/>
      <c r="H588" s="30"/>
      <c r="I588" s="179"/>
      <c r="J588" s="180"/>
      <c r="L588" s="30"/>
      <c r="M588" s="30"/>
      <c r="N588" s="30"/>
    </row>
    <row r="589">
      <c r="B589" s="30"/>
      <c r="C589" s="30"/>
      <c r="F589" s="30"/>
      <c r="G589" s="30"/>
      <c r="H589" s="30"/>
      <c r="I589" s="179"/>
      <c r="J589" s="180"/>
      <c r="L589" s="30"/>
      <c r="M589" s="30"/>
      <c r="N589" s="30"/>
    </row>
    <row r="590">
      <c r="B590" s="30"/>
      <c r="C590" s="30"/>
      <c r="F590" s="30"/>
      <c r="G590" s="30"/>
      <c r="H590" s="30"/>
      <c r="I590" s="179"/>
      <c r="J590" s="180"/>
      <c r="L590" s="30"/>
      <c r="M590" s="30"/>
      <c r="N590" s="30"/>
    </row>
    <row r="591">
      <c r="B591" s="30"/>
      <c r="C591" s="30"/>
      <c r="F591" s="30"/>
      <c r="G591" s="30"/>
      <c r="H591" s="30"/>
      <c r="I591" s="179"/>
      <c r="J591" s="180"/>
      <c r="L591" s="30"/>
      <c r="M591" s="30"/>
      <c r="N591" s="30"/>
    </row>
    <row r="592">
      <c r="B592" s="30"/>
      <c r="C592" s="30"/>
      <c r="F592" s="30"/>
      <c r="G592" s="30"/>
      <c r="H592" s="30"/>
      <c r="I592" s="179"/>
      <c r="J592" s="180"/>
      <c r="L592" s="30"/>
      <c r="M592" s="30"/>
      <c r="N592" s="30"/>
    </row>
    <row r="593">
      <c r="B593" s="30"/>
      <c r="C593" s="30"/>
      <c r="F593" s="30"/>
      <c r="G593" s="30"/>
      <c r="H593" s="30"/>
      <c r="I593" s="179"/>
      <c r="J593" s="180"/>
      <c r="L593" s="30"/>
      <c r="M593" s="30"/>
      <c r="N593" s="30"/>
    </row>
    <row r="594">
      <c r="B594" s="30"/>
      <c r="C594" s="30"/>
      <c r="F594" s="30"/>
      <c r="G594" s="30"/>
      <c r="H594" s="30"/>
      <c r="I594" s="179"/>
      <c r="J594" s="180"/>
      <c r="L594" s="30"/>
      <c r="M594" s="30"/>
      <c r="N594" s="30"/>
    </row>
    <row r="595">
      <c r="B595" s="30"/>
      <c r="C595" s="30"/>
      <c r="F595" s="30"/>
      <c r="G595" s="30"/>
      <c r="H595" s="30"/>
      <c r="I595" s="179"/>
      <c r="J595" s="180"/>
      <c r="L595" s="30"/>
      <c r="M595" s="30"/>
      <c r="N595" s="30"/>
    </row>
    <row r="596">
      <c r="B596" s="30"/>
      <c r="C596" s="30"/>
      <c r="F596" s="30"/>
      <c r="G596" s="30"/>
      <c r="H596" s="30"/>
      <c r="I596" s="179"/>
      <c r="J596" s="180"/>
      <c r="L596" s="30"/>
      <c r="M596" s="30"/>
      <c r="N596" s="30"/>
    </row>
    <row r="597">
      <c r="B597" s="30"/>
      <c r="C597" s="30"/>
      <c r="F597" s="30"/>
      <c r="G597" s="30"/>
      <c r="H597" s="30"/>
      <c r="I597" s="179"/>
      <c r="J597" s="180"/>
      <c r="L597" s="30"/>
      <c r="M597" s="30"/>
      <c r="N597" s="30"/>
    </row>
    <row r="598">
      <c r="B598" s="30"/>
      <c r="C598" s="30"/>
      <c r="F598" s="30"/>
      <c r="G598" s="30"/>
      <c r="H598" s="30"/>
      <c r="I598" s="179"/>
      <c r="J598" s="180"/>
      <c r="L598" s="30"/>
      <c r="M598" s="30"/>
      <c r="N598" s="30"/>
    </row>
    <row r="599">
      <c r="B599" s="30"/>
      <c r="C599" s="30"/>
      <c r="F599" s="30"/>
      <c r="G599" s="30"/>
      <c r="H599" s="30"/>
      <c r="I599" s="179"/>
      <c r="J599" s="180"/>
      <c r="L599" s="30"/>
      <c r="M599" s="30"/>
      <c r="N599" s="30"/>
    </row>
    <row r="600">
      <c r="B600" s="30"/>
      <c r="C600" s="30"/>
      <c r="F600" s="30"/>
      <c r="G600" s="30"/>
      <c r="H600" s="30"/>
      <c r="I600" s="179"/>
      <c r="J600" s="180"/>
      <c r="L600" s="30"/>
      <c r="M600" s="30"/>
      <c r="N600" s="30"/>
    </row>
    <row r="601">
      <c r="B601" s="30"/>
      <c r="C601" s="30"/>
      <c r="F601" s="30"/>
      <c r="G601" s="30"/>
      <c r="H601" s="30"/>
      <c r="I601" s="179"/>
      <c r="J601" s="180"/>
      <c r="L601" s="30"/>
      <c r="M601" s="30"/>
      <c r="N601" s="30"/>
    </row>
    <row r="602">
      <c r="B602" s="30"/>
      <c r="C602" s="30"/>
      <c r="F602" s="30"/>
      <c r="G602" s="30"/>
      <c r="H602" s="30"/>
      <c r="I602" s="179"/>
      <c r="J602" s="180"/>
      <c r="L602" s="30"/>
      <c r="M602" s="30"/>
      <c r="N602" s="30"/>
    </row>
    <row r="603">
      <c r="B603" s="30"/>
      <c r="C603" s="30"/>
      <c r="F603" s="30"/>
      <c r="G603" s="30"/>
      <c r="H603" s="30"/>
      <c r="I603" s="179"/>
      <c r="J603" s="180"/>
      <c r="L603" s="30"/>
      <c r="M603" s="30"/>
      <c r="N603" s="30"/>
    </row>
    <row r="604">
      <c r="B604" s="30"/>
      <c r="C604" s="30"/>
      <c r="F604" s="30"/>
      <c r="G604" s="30"/>
      <c r="H604" s="30"/>
      <c r="I604" s="179"/>
      <c r="J604" s="180"/>
      <c r="L604" s="30"/>
      <c r="M604" s="30"/>
      <c r="N604" s="30"/>
    </row>
    <row r="605">
      <c r="B605" s="30"/>
      <c r="C605" s="30"/>
      <c r="F605" s="30"/>
      <c r="G605" s="30"/>
      <c r="H605" s="30"/>
      <c r="I605" s="179"/>
      <c r="J605" s="180"/>
      <c r="L605" s="30"/>
      <c r="M605" s="30"/>
      <c r="N605" s="30"/>
    </row>
    <row r="606">
      <c r="B606" s="30"/>
      <c r="C606" s="30"/>
      <c r="F606" s="30"/>
      <c r="G606" s="30"/>
      <c r="H606" s="30"/>
      <c r="I606" s="179"/>
      <c r="J606" s="180"/>
      <c r="L606" s="30"/>
      <c r="M606" s="30"/>
      <c r="N606" s="30"/>
    </row>
    <row r="607">
      <c r="B607" s="30"/>
      <c r="C607" s="30"/>
      <c r="F607" s="30"/>
      <c r="G607" s="30"/>
      <c r="H607" s="30"/>
      <c r="I607" s="179"/>
      <c r="J607" s="180"/>
      <c r="L607" s="30"/>
      <c r="M607" s="30"/>
      <c r="N607" s="30"/>
    </row>
    <row r="608">
      <c r="B608" s="30"/>
      <c r="C608" s="30"/>
      <c r="F608" s="30"/>
      <c r="G608" s="30"/>
      <c r="H608" s="30"/>
      <c r="I608" s="179"/>
      <c r="J608" s="180"/>
      <c r="L608" s="30"/>
      <c r="M608" s="30"/>
      <c r="N608" s="30"/>
    </row>
    <row r="609">
      <c r="B609" s="30"/>
      <c r="C609" s="30"/>
      <c r="F609" s="30"/>
      <c r="G609" s="30"/>
      <c r="H609" s="30"/>
      <c r="I609" s="179"/>
      <c r="J609" s="180"/>
      <c r="L609" s="30"/>
      <c r="M609" s="30"/>
      <c r="N609" s="30"/>
    </row>
    <row r="610">
      <c r="B610" s="30"/>
      <c r="C610" s="30"/>
      <c r="F610" s="30"/>
      <c r="G610" s="30"/>
      <c r="H610" s="30"/>
      <c r="I610" s="179"/>
      <c r="J610" s="180"/>
      <c r="L610" s="30"/>
      <c r="M610" s="30"/>
      <c r="N610" s="30"/>
    </row>
    <row r="611">
      <c r="B611" s="30"/>
      <c r="C611" s="30"/>
      <c r="F611" s="30"/>
      <c r="G611" s="30"/>
      <c r="H611" s="30"/>
      <c r="I611" s="179"/>
      <c r="J611" s="180"/>
      <c r="L611" s="30"/>
      <c r="M611" s="30"/>
      <c r="N611" s="30"/>
    </row>
    <row r="612">
      <c r="B612" s="30"/>
      <c r="C612" s="30"/>
      <c r="F612" s="30"/>
      <c r="G612" s="30"/>
      <c r="H612" s="30"/>
      <c r="I612" s="179"/>
      <c r="J612" s="180"/>
      <c r="L612" s="30"/>
      <c r="M612" s="30"/>
      <c r="N612" s="30"/>
    </row>
    <row r="613">
      <c r="B613" s="30"/>
      <c r="C613" s="30"/>
      <c r="F613" s="30"/>
      <c r="G613" s="30"/>
      <c r="H613" s="30"/>
      <c r="I613" s="179"/>
      <c r="J613" s="180"/>
      <c r="L613" s="30"/>
      <c r="M613" s="30"/>
      <c r="N613" s="30"/>
    </row>
    <row r="614">
      <c r="B614" s="30"/>
      <c r="C614" s="30"/>
      <c r="F614" s="30"/>
      <c r="G614" s="30"/>
      <c r="H614" s="30"/>
      <c r="I614" s="179"/>
      <c r="J614" s="180"/>
      <c r="L614" s="30"/>
      <c r="M614" s="30"/>
      <c r="N614" s="30"/>
    </row>
    <row r="615">
      <c r="B615" s="30"/>
      <c r="C615" s="30"/>
      <c r="F615" s="30"/>
      <c r="G615" s="30"/>
      <c r="H615" s="30"/>
      <c r="I615" s="179"/>
      <c r="J615" s="180"/>
      <c r="L615" s="30"/>
      <c r="M615" s="30"/>
      <c r="N615" s="30"/>
    </row>
    <row r="616">
      <c r="B616" s="30"/>
      <c r="C616" s="30"/>
      <c r="F616" s="30"/>
      <c r="G616" s="30"/>
      <c r="H616" s="30"/>
      <c r="I616" s="179"/>
      <c r="J616" s="180"/>
      <c r="L616" s="30"/>
      <c r="M616" s="30"/>
      <c r="N616" s="30"/>
    </row>
    <row r="617">
      <c r="B617" s="30"/>
      <c r="C617" s="30"/>
      <c r="F617" s="30"/>
      <c r="G617" s="30"/>
      <c r="H617" s="30"/>
      <c r="I617" s="179"/>
      <c r="J617" s="180"/>
      <c r="L617" s="30"/>
      <c r="M617" s="30"/>
      <c r="N617" s="30"/>
    </row>
    <row r="618">
      <c r="B618" s="30"/>
      <c r="C618" s="30"/>
      <c r="F618" s="30"/>
      <c r="G618" s="30"/>
      <c r="H618" s="30"/>
      <c r="I618" s="179"/>
      <c r="J618" s="180"/>
      <c r="L618" s="30"/>
      <c r="M618" s="30"/>
      <c r="N618" s="30"/>
    </row>
    <row r="619">
      <c r="B619" s="30"/>
      <c r="C619" s="30"/>
      <c r="F619" s="30"/>
      <c r="G619" s="30"/>
      <c r="H619" s="30"/>
      <c r="I619" s="179"/>
      <c r="J619" s="180"/>
      <c r="L619" s="30"/>
      <c r="M619" s="30"/>
      <c r="N619" s="30"/>
    </row>
    <row r="620">
      <c r="B620" s="30"/>
      <c r="C620" s="30"/>
      <c r="F620" s="30"/>
      <c r="G620" s="30"/>
      <c r="H620" s="30"/>
      <c r="I620" s="179"/>
      <c r="J620" s="180"/>
      <c r="L620" s="30"/>
      <c r="M620" s="30"/>
      <c r="N620" s="30"/>
    </row>
    <row r="621">
      <c r="B621" s="30"/>
      <c r="C621" s="30"/>
      <c r="F621" s="30"/>
      <c r="G621" s="30"/>
      <c r="H621" s="30"/>
      <c r="I621" s="179"/>
      <c r="J621" s="180"/>
      <c r="L621" s="30"/>
      <c r="M621" s="30"/>
      <c r="N621" s="30"/>
    </row>
    <row r="622">
      <c r="B622" s="30"/>
      <c r="C622" s="30"/>
      <c r="F622" s="30"/>
      <c r="G622" s="30"/>
      <c r="H622" s="30"/>
      <c r="I622" s="179"/>
      <c r="J622" s="180"/>
      <c r="L622" s="30"/>
      <c r="M622" s="30"/>
      <c r="N622" s="30"/>
    </row>
    <row r="623">
      <c r="B623" s="30"/>
      <c r="C623" s="30"/>
      <c r="F623" s="30"/>
      <c r="G623" s="30"/>
      <c r="H623" s="30"/>
      <c r="I623" s="179"/>
      <c r="J623" s="180"/>
      <c r="L623" s="30"/>
      <c r="M623" s="30"/>
      <c r="N623" s="30"/>
    </row>
    <row r="624">
      <c r="B624" s="30"/>
      <c r="C624" s="30"/>
      <c r="F624" s="30"/>
      <c r="G624" s="30"/>
      <c r="H624" s="30"/>
      <c r="I624" s="179"/>
      <c r="J624" s="180"/>
      <c r="L624" s="30"/>
      <c r="M624" s="30"/>
      <c r="N624" s="30"/>
    </row>
    <row r="625">
      <c r="B625" s="30"/>
      <c r="C625" s="30"/>
      <c r="F625" s="30"/>
      <c r="G625" s="30"/>
      <c r="H625" s="30"/>
      <c r="I625" s="179"/>
      <c r="J625" s="180"/>
      <c r="L625" s="30"/>
      <c r="M625" s="30"/>
      <c r="N625" s="30"/>
    </row>
    <row r="626">
      <c r="B626" s="30"/>
      <c r="C626" s="30"/>
      <c r="F626" s="30"/>
      <c r="G626" s="30"/>
      <c r="H626" s="30"/>
      <c r="I626" s="179"/>
      <c r="J626" s="180"/>
      <c r="L626" s="30"/>
      <c r="M626" s="30"/>
      <c r="N626" s="30"/>
    </row>
    <row r="627">
      <c r="B627" s="30"/>
      <c r="C627" s="30"/>
      <c r="F627" s="30"/>
      <c r="G627" s="30"/>
      <c r="H627" s="30"/>
      <c r="I627" s="179"/>
      <c r="J627" s="180"/>
      <c r="L627" s="30"/>
      <c r="M627" s="30"/>
      <c r="N627" s="30"/>
    </row>
    <row r="628">
      <c r="B628" s="30"/>
      <c r="C628" s="30"/>
      <c r="F628" s="30"/>
      <c r="G628" s="30"/>
      <c r="H628" s="30"/>
      <c r="I628" s="179"/>
      <c r="J628" s="180"/>
      <c r="L628" s="30"/>
      <c r="M628" s="30"/>
      <c r="N628" s="30"/>
    </row>
    <row r="629">
      <c r="B629" s="30"/>
      <c r="C629" s="30"/>
      <c r="F629" s="30"/>
      <c r="G629" s="30"/>
      <c r="H629" s="30"/>
      <c r="I629" s="179"/>
      <c r="J629" s="180"/>
      <c r="L629" s="30"/>
      <c r="M629" s="30"/>
      <c r="N629" s="30"/>
    </row>
    <row r="630">
      <c r="B630" s="30"/>
      <c r="C630" s="30"/>
      <c r="F630" s="30"/>
      <c r="G630" s="30"/>
      <c r="H630" s="30"/>
      <c r="I630" s="179"/>
      <c r="J630" s="180"/>
      <c r="L630" s="30"/>
      <c r="M630" s="30"/>
      <c r="N630" s="30"/>
    </row>
    <row r="631">
      <c r="B631" s="30"/>
      <c r="C631" s="30"/>
      <c r="F631" s="30"/>
      <c r="G631" s="30"/>
      <c r="H631" s="30"/>
      <c r="I631" s="179"/>
      <c r="J631" s="180"/>
      <c r="L631" s="30"/>
      <c r="M631" s="30"/>
      <c r="N631" s="30"/>
    </row>
    <row r="632">
      <c r="B632" s="30"/>
      <c r="C632" s="30"/>
      <c r="F632" s="30"/>
      <c r="G632" s="30"/>
      <c r="H632" s="30"/>
      <c r="I632" s="179"/>
      <c r="J632" s="180"/>
      <c r="L632" s="30"/>
      <c r="M632" s="30"/>
      <c r="N632" s="30"/>
    </row>
    <row r="633">
      <c r="B633" s="30"/>
      <c r="C633" s="30"/>
      <c r="F633" s="30"/>
      <c r="G633" s="30"/>
      <c r="H633" s="30"/>
      <c r="I633" s="179"/>
      <c r="J633" s="180"/>
      <c r="L633" s="30"/>
      <c r="M633" s="30"/>
      <c r="N633" s="30"/>
    </row>
    <row r="634">
      <c r="B634" s="30"/>
      <c r="C634" s="30"/>
      <c r="F634" s="30"/>
      <c r="G634" s="30"/>
      <c r="H634" s="30"/>
      <c r="I634" s="179"/>
      <c r="J634" s="180"/>
      <c r="L634" s="30"/>
      <c r="M634" s="30"/>
      <c r="N634" s="30"/>
    </row>
    <row r="635">
      <c r="B635" s="30"/>
      <c r="C635" s="30"/>
      <c r="F635" s="30"/>
      <c r="G635" s="30"/>
      <c r="H635" s="30"/>
      <c r="I635" s="179"/>
      <c r="J635" s="180"/>
      <c r="L635" s="30"/>
      <c r="M635" s="30"/>
      <c r="N635" s="30"/>
    </row>
    <row r="636">
      <c r="B636" s="30"/>
      <c r="C636" s="30"/>
      <c r="F636" s="30"/>
      <c r="G636" s="30"/>
      <c r="H636" s="30"/>
      <c r="I636" s="179"/>
      <c r="J636" s="180"/>
      <c r="L636" s="30"/>
      <c r="M636" s="30"/>
      <c r="N636" s="30"/>
    </row>
    <row r="637">
      <c r="B637" s="30"/>
      <c r="C637" s="30"/>
      <c r="F637" s="30"/>
      <c r="G637" s="30"/>
      <c r="H637" s="30"/>
      <c r="I637" s="179"/>
      <c r="J637" s="180"/>
      <c r="L637" s="30"/>
      <c r="M637" s="30"/>
      <c r="N637" s="30"/>
    </row>
    <row r="638">
      <c r="B638" s="30"/>
      <c r="C638" s="30"/>
      <c r="F638" s="30"/>
      <c r="G638" s="30"/>
      <c r="H638" s="30"/>
      <c r="I638" s="179"/>
      <c r="J638" s="180"/>
      <c r="L638" s="30"/>
      <c r="M638" s="30"/>
      <c r="N638" s="30"/>
    </row>
    <row r="639">
      <c r="B639" s="30"/>
      <c r="C639" s="30"/>
      <c r="F639" s="30"/>
      <c r="G639" s="30"/>
      <c r="H639" s="30"/>
      <c r="I639" s="179"/>
      <c r="J639" s="180"/>
      <c r="L639" s="30"/>
      <c r="M639" s="30"/>
      <c r="N639" s="30"/>
    </row>
    <row r="640">
      <c r="B640" s="30"/>
      <c r="C640" s="30"/>
      <c r="F640" s="30"/>
      <c r="G640" s="30"/>
      <c r="H640" s="30"/>
      <c r="I640" s="179"/>
      <c r="J640" s="180"/>
      <c r="L640" s="30"/>
      <c r="M640" s="30"/>
      <c r="N640" s="30"/>
    </row>
    <row r="641">
      <c r="B641" s="30"/>
      <c r="C641" s="30"/>
      <c r="F641" s="30"/>
      <c r="G641" s="30"/>
      <c r="H641" s="30"/>
      <c r="I641" s="179"/>
      <c r="J641" s="180"/>
      <c r="L641" s="30"/>
      <c r="M641" s="30"/>
      <c r="N641" s="30"/>
    </row>
    <row r="642">
      <c r="B642" s="30"/>
      <c r="C642" s="30"/>
      <c r="F642" s="30"/>
      <c r="G642" s="30"/>
      <c r="H642" s="30"/>
      <c r="I642" s="179"/>
      <c r="J642" s="180"/>
      <c r="L642" s="30"/>
      <c r="M642" s="30"/>
      <c r="N642" s="30"/>
    </row>
    <row r="643">
      <c r="B643" s="30"/>
      <c r="C643" s="30"/>
      <c r="F643" s="30"/>
      <c r="G643" s="30"/>
      <c r="H643" s="30"/>
      <c r="I643" s="179"/>
      <c r="J643" s="180"/>
      <c r="L643" s="30"/>
      <c r="M643" s="30"/>
      <c r="N643" s="30"/>
    </row>
    <row r="644">
      <c r="B644" s="30"/>
      <c r="C644" s="30"/>
      <c r="F644" s="30"/>
      <c r="G644" s="30"/>
      <c r="H644" s="30"/>
      <c r="I644" s="179"/>
      <c r="J644" s="180"/>
      <c r="L644" s="30"/>
      <c r="M644" s="30"/>
      <c r="N644" s="30"/>
    </row>
    <row r="645">
      <c r="B645" s="30"/>
      <c r="C645" s="30"/>
      <c r="F645" s="30"/>
      <c r="G645" s="30"/>
      <c r="H645" s="30"/>
      <c r="I645" s="179"/>
      <c r="J645" s="180"/>
      <c r="L645" s="30"/>
      <c r="M645" s="30"/>
      <c r="N645" s="30"/>
    </row>
    <row r="646">
      <c r="B646" s="30"/>
      <c r="C646" s="30"/>
      <c r="F646" s="30"/>
      <c r="G646" s="30"/>
      <c r="H646" s="30"/>
      <c r="I646" s="179"/>
      <c r="J646" s="180"/>
      <c r="L646" s="30"/>
      <c r="M646" s="30"/>
      <c r="N646" s="30"/>
    </row>
    <row r="647">
      <c r="B647" s="30"/>
      <c r="C647" s="30"/>
      <c r="F647" s="30"/>
      <c r="G647" s="30"/>
      <c r="H647" s="30"/>
      <c r="I647" s="179"/>
      <c r="J647" s="180"/>
      <c r="L647" s="30"/>
      <c r="M647" s="30"/>
      <c r="N647" s="30"/>
    </row>
    <row r="648">
      <c r="B648" s="30"/>
      <c r="C648" s="30"/>
      <c r="F648" s="30"/>
      <c r="G648" s="30"/>
      <c r="H648" s="30"/>
      <c r="I648" s="179"/>
      <c r="J648" s="180"/>
      <c r="L648" s="30"/>
      <c r="M648" s="30"/>
      <c r="N648" s="30"/>
    </row>
    <row r="649">
      <c r="B649" s="30"/>
      <c r="C649" s="30"/>
      <c r="F649" s="30"/>
      <c r="G649" s="30"/>
      <c r="H649" s="30"/>
      <c r="I649" s="179"/>
      <c r="J649" s="180"/>
      <c r="L649" s="30"/>
      <c r="M649" s="30"/>
      <c r="N649" s="30"/>
    </row>
    <row r="650">
      <c r="B650" s="30"/>
      <c r="C650" s="30"/>
      <c r="F650" s="30"/>
      <c r="G650" s="30"/>
      <c r="H650" s="30"/>
      <c r="I650" s="179"/>
      <c r="J650" s="180"/>
      <c r="L650" s="30"/>
      <c r="M650" s="30"/>
      <c r="N650" s="30"/>
    </row>
    <row r="651">
      <c r="B651" s="30"/>
      <c r="C651" s="30"/>
      <c r="F651" s="30"/>
      <c r="G651" s="30"/>
      <c r="H651" s="30"/>
      <c r="I651" s="179"/>
      <c r="J651" s="180"/>
      <c r="L651" s="30"/>
      <c r="M651" s="30"/>
      <c r="N651" s="30"/>
    </row>
    <row r="652">
      <c r="B652" s="30"/>
      <c r="C652" s="30"/>
      <c r="F652" s="30"/>
      <c r="G652" s="30"/>
      <c r="H652" s="30"/>
      <c r="I652" s="179"/>
      <c r="J652" s="180"/>
      <c r="L652" s="30"/>
      <c r="M652" s="30"/>
      <c r="N652" s="30"/>
    </row>
    <row r="653">
      <c r="B653" s="30"/>
      <c r="C653" s="30"/>
      <c r="F653" s="30"/>
      <c r="G653" s="30"/>
      <c r="H653" s="30"/>
      <c r="I653" s="179"/>
      <c r="J653" s="180"/>
      <c r="L653" s="30"/>
      <c r="M653" s="30"/>
      <c r="N653" s="30"/>
    </row>
    <row r="654">
      <c r="B654" s="30"/>
      <c r="C654" s="30"/>
      <c r="F654" s="30"/>
      <c r="G654" s="30"/>
      <c r="H654" s="30"/>
      <c r="I654" s="179"/>
      <c r="J654" s="180"/>
      <c r="L654" s="30"/>
      <c r="M654" s="30"/>
      <c r="N654" s="30"/>
    </row>
    <row r="655">
      <c r="B655" s="30"/>
      <c r="C655" s="30"/>
      <c r="F655" s="30"/>
      <c r="G655" s="30"/>
      <c r="H655" s="30"/>
      <c r="I655" s="179"/>
      <c r="J655" s="180"/>
      <c r="L655" s="30"/>
      <c r="M655" s="30"/>
      <c r="N655" s="30"/>
    </row>
    <row r="656">
      <c r="B656" s="30"/>
      <c r="C656" s="30"/>
      <c r="F656" s="30"/>
      <c r="G656" s="30"/>
      <c r="H656" s="30"/>
      <c r="I656" s="179"/>
      <c r="J656" s="180"/>
      <c r="L656" s="30"/>
      <c r="M656" s="30"/>
      <c r="N656" s="30"/>
    </row>
    <row r="657">
      <c r="B657" s="30"/>
      <c r="C657" s="30"/>
      <c r="F657" s="30"/>
      <c r="G657" s="30"/>
      <c r="H657" s="30"/>
      <c r="I657" s="179"/>
      <c r="J657" s="180"/>
      <c r="L657" s="30"/>
      <c r="M657" s="30"/>
      <c r="N657" s="30"/>
    </row>
    <row r="658">
      <c r="B658" s="30"/>
      <c r="C658" s="30"/>
      <c r="F658" s="30"/>
      <c r="G658" s="30"/>
      <c r="H658" s="30"/>
      <c r="I658" s="179"/>
      <c r="J658" s="180"/>
      <c r="L658" s="30"/>
      <c r="M658" s="30"/>
      <c r="N658" s="30"/>
    </row>
    <row r="659">
      <c r="B659" s="30"/>
      <c r="C659" s="30"/>
      <c r="F659" s="30"/>
      <c r="G659" s="30"/>
      <c r="H659" s="30"/>
      <c r="I659" s="179"/>
      <c r="J659" s="180"/>
      <c r="L659" s="30"/>
      <c r="M659" s="30"/>
      <c r="N659" s="30"/>
    </row>
    <row r="660">
      <c r="B660" s="30"/>
      <c r="C660" s="30"/>
      <c r="F660" s="30"/>
      <c r="G660" s="30"/>
      <c r="H660" s="30"/>
      <c r="I660" s="179"/>
      <c r="J660" s="180"/>
      <c r="L660" s="30"/>
      <c r="M660" s="30"/>
      <c r="N660" s="30"/>
    </row>
    <row r="661">
      <c r="B661" s="30"/>
      <c r="C661" s="30"/>
      <c r="F661" s="30"/>
      <c r="G661" s="30"/>
      <c r="H661" s="30"/>
      <c r="I661" s="179"/>
      <c r="J661" s="180"/>
      <c r="L661" s="30"/>
      <c r="M661" s="30"/>
      <c r="N661" s="30"/>
    </row>
    <row r="662">
      <c r="B662" s="30"/>
      <c r="C662" s="30"/>
      <c r="F662" s="30"/>
      <c r="G662" s="30"/>
      <c r="H662" s="30"/>
      <c r="I662" s="179"/>
      <c r="J662" s="180"/>
      <c r="L662" s="30"/>
      <c r="M662" s="30"/>
      <c r="N662" s="30"/>
    </row>
    <row r="663">
      <c r="B663" s="30"/>
      <c r="C663" s="30"/>
      <c r="F663" s="30"/>
      <c r="G663" s="30"/>
      <c r="H663" s="30"/>
      <c r="I663" s="179"/>
      <c r="J663" s="180"/>
      <c r="L663" s="30"/>
      <c r="M663" s="30"/>
      <c r="N663" s="30"/>
    </row>
    <row r="664">
      <c r="B664" s="30"/>
      <c r="C664" s="30"/>
      <c r="F664" s="30"/>
      <c r="G664" s="30"/>
      <c r="H664" s="30"/>
      <c r="I664" s="179"/>
      <c r="J664" s="180"/>
      <c r="L664" s="30"/>
      <c r="M664" s="30"/>
      <c r="N664" s="30"/>
    </row>
    <row r="665">
      <c r="B665" s="30"/>
      <c r="C665" s="30"/>
      <c r="F665" s="30"/>
      <c r="G665" s="30"/>
      <c r="H665" s="30"/>
      <c r="I665" s="179"/>
      <c r="J665" s="180"/>
      <c r="L665" s="30"/>
      <c r="M665" s="30"/>
      <c r="N665" s="30"/>
    </row>
    <row r="666">
      <c r="B666" s="30"/>
      <c r="C666" s="30"/>
      <c r="F666" s="30"/>
      <c r="G666" s="30"/>
      <c r="H666" s="30"/>
      <c r="I666" s="179"/>
      <c r="J666" s="180"/>
      <c r="L666" s="30"/>
      <c r="M666" s="30"/>
      <c r="N666" s="30"/>
    </row>
    <row r="667">
      <c r="B667" s="30"/>
      <c r="C667" s="30"/>
      <c r="F667" s="30"/>
      <c r="G667" s="30"/>
      <c r="H667" s="30"/>
      <c r="I667" s="179"/>
      <c r="J667" s="180"/>
      <c r="L667" s="30"/>
      <c r="M667" s="30"/>
      <c r="N667" s="30"/>
    </row>
    <row r="668">
      <c r="B668" s="30"/>
      <c r="C668" s="30"/>
      <c r="F668" s="30"/>
      <c r="G668" s="30"/>
      <c r="H668" s="30"/>
      <c r="I668" s="179"/>
      <c r="J668" s="180"/>
      <c r="L668" s="30"/>
      <c r="M668" s="30"/>
      <c r="N668" s="30"/>
    </row>
    <row r="669">
      <c r="B669" s="30"/>
      <c r="C669" s="30"/>
      <c r="F669" s="30"/>
      <c r="G669" s="30"/>
      <c r="H669" s="30"/>
      <c r="I669" s="179"/>
      <c r="J669" s="180"/>
      <c r="L669" s="30"/>
      <c r="M669" s="30"/>
      <c r="N669" s="30"/>
    </row>
    <row r="670">
      <c r="B670" s="30"/>
      <c r="C670" s="30"/>
      <c r="F670" s="30"/>
      <c r="G670" s="30"/>
      <c r="H670" s="30"/>
      <c r="I670" s="179"/>
      <c r="J670" s="180"/>
      <c r="L670" s="30"/>
      <c r="M670" s="30"/>
      <c r="N670" s="30"/>
    </row>
    <row r="671">
      <c r="B671" s="30"/>
      <c r="C671" s="30"/>
      <c r="F671" s="30"/>
      <c r="G671" s="30"/>
      <c r="H671" s="30"/>
      <c r="I671" s="179"/>
      <c r="J671" s="180"/>
      <c r="L671" s="30"/>
      <c r="M671" s="30"/>
      <c r="N671" s="30"/>
    </row>
    <row r="672">
      <c r="B672" s="30"/>
      <c r="C672" s="30"/>
      <c r="F672" s="30"/>
      <c r="G672" s="30"/>
      <c r="H672" s="30"/>
      <c r="I672" s="179"/>
      <c r="J672" s="180"/>
      <c r="L672" s="30"/>
      <c r="M672" s="30"/>
      <c r="N672" s="30"/>
    </row>
    <row r="673">
      <c r="B673" s="30"/>
      <c r="C673" s="30"/>
      <c r="F673" s="30"/>
      <c r="G673" s="30"/>
      <c r="H673" s="30"/>
      <c r="I673" s="179"/>
      <c r="J673" s="180"/>
      <c r="L673" s="30"/>
      <c r="M673" s="30"/>
      <c r="N673" s="30"/>
    </row>
    <row r="674">
      <c r="B674" s="30"/>
      <c r="C674" s="30"/>
      <c r="F674" s="30"/>
      <c r="G674" s="30"/>
      <c r="H674" s="30"/>
      <c r="I674" s="179"/>
      <c r="J674" s="180"/>
      <c r="L674" s="30"/>
      <c r="M674" s="30"/>
      <c r="N674" s="30"/>
    </row>
    <row r="675">
      <c r="B675" s="30"/>
      <c r="C675" s="30"/>
      <c r="F675" s="30"/>
      <c r="G675" s="30"/>
      <c r="H675" s="30"/>
      <c r="I675" s="179"/>
      <c r="J675" s="180"/>
      <c r="L675" s="30"/>
      <c r="M675" s="30"/>
      <c r="N675" s="30"/>
    </row>
    <row r="676">
      <c r="B676" s="30"/>
      <c r="C676" s="30"/>
      <c r="F676" s="30"/>
      <c r="G676" s="30"/>
      <c r="H676" s="30"/>
      <c r="I676" s="179"/>
      <c r="J676" s="180"/>
      <c r="L676" s="30"/>
      <c r="M676" s="30"/>
      <c r="N676" s="30"/>
    </row>
    <row r="677">
      <c r="B677" s="30"/>
      <c r="C677" s="30"/>
      <c r="F677" s="30"/>
      <c r="G677" s="30"/>
      <c r="H677" s="30"/>
      <c r="I677" s="179"/>
      <c r="J677" s="180"/>
      <c r="L677" s="30"/>
      <c r="M677" s="30"/>
      <c r="N677" s="30"/>
    </row>
    <row r="678">
      <c r="B678" s="30"/>
      <c r="C678" s="30"/>
      <c r="F678" s="30"/>
      <c r="G678" s="30"/>
      <c r="H678" s="30"/>
      <c r="I678" s="179"/>
      <c r="J678" s="180"/>
      <c r="L678" s="30"/>
      <c r="M678" s="30"/>
      <c r="N678" s="30"/>
    </row>
    <row r="679">
      <c r="B679" s="30"/>
      <c r="C679" s="30"/>
      <c r="F679" s="30"/>
      <c r="G679" s="30"/>
      <c r="H679" s="30"/>
      <c r="I679" s="179"/>
      <c r="J679" s="180"/>
      <c r="L679" s="30"/>
      <c r="M679" s="30"/>
      <c r="N679" s="30"/>
    </row>
    <row r="680">
      <c r="B680" s="30"/>
      <c r="C680" s="30"/>
      <c r="F680" s="30"/>
      <c r="G680" s="30"/>
      <c r="H680" s="30"/>
      <c r="I680" s="179"/>
      <c r="J680" s="180"/>
      <c r="L680" s="30"/>
      <c r="M680" s="30"/>
      <c r="N680" s="30"/>
    </row>
    <row r="681">
      <c r="B681" s="30"/>
      <c r="C681" s="30"/>
      <c r="F681" s="30"/>
      <c r="G681" s="30"/>
      <c r="H681" s="30"/>
      <c r="I681" s="179"/>
      <c r="J681" s="180"/>
      <c r="L681" s="30"/>
      <c r="M681" s="30"/>
      <c r="N681" s="30"/>
    </row>
    <row r="682">
      <c r="B682" s="30"/>
      <c r="C682" s="30"/>
      <c r="F682" s="30"/>
      <c r="G682" s="30"/>
      <c r="H682" s="30"/>
      <c r="I682" s="179"/>
      <c r="J682" s="180"/>
      <c r="L682" s="30"/>
      <c r="M682" s="30"/>
      <c r="N682" s="30"/>
    </row>
    <row r="683">
      <c r="B683" s="30"/>
      <c r="C683" s="30"/>
      <c r="F683" s="30"/>
      <c r="G683" s="30"/>
      <c r="H683" s="30"/>
      <c r="I683" s="179"/>
      <c r="J683" s="180"/>
      <c r="L683" s="30"/>
      <c r="M683" s="30"/>
      <c r="N683" s="30"/>
    </row>
    <row r="684">
      <c r="B684" s="30"/>
      <c r="C684" s="30"/>
      <c r="F684" s="30"/>
      <c r="G684" s="30"/>
      <c r="H684" s="30"/>
      <c r="I684" s="179"/>
      <c r="J684" s="180"/>
      <c r="L684" s="30"/>
      <c r="M684" s="30"/>
      <c r="N684" s="30"/>
    </row>
    <row r="685">
      <c r="B685" s="30"/>
      <c r="C685" s="30"/>
      <c r="F685" s="30"/>
      <c r="G685" s="30"/>
      <c r="H685" s="30"/>
      <c r="I685" s="179"/>
      <c r="J685" s="180"/>
      <c r="L685" s="30"/>
      <c r="M685" s="30"/>
      <c r="N685" s="30"/>
    </row>
    <row r="686">
      <c r="B686" s="30"/>
      <c r="C686" s="30"/>
      <c r="F686" s="30"/>
      <c r="G686" s="30"/>
      <c r="H686" s="30"/>
      <c r="I686" s="179"/>
      <c r="J686" s="180"/>
      <c r="L686" s="30"/>
      <c r="M686" s="30"/>
      <c r="N686" s="30"/>
    </row>
    <row r="687">
      <c r="B687" s="30"/>
      <c r="C687" s="30"/>
      <c r="F687" s="30"/>
      <c r="G687" s="30"/>
      <c r="H687" s="30"/>
      <c r="I687" s="179"/>
      <c r="J687" s="180"/>
      <c r="L687" s="30"/>
      <c r="M687" s="30"/>
      <c r="N687" s="30"/>
    </row>
    <row r="688">
      <c r="B688" s="30"/>
      <c r="C688" s="30"/>
      <c r="F688" s="30"/>
      <c r="G688" s="30"/>
      <c r="H688" s="30"/>
      <c r="I688" s="179"/>
      <c r="J688" s="180"/>
      <c r="L688" s="30"/>
      <c r="M688" s="30"/>
      <c r="N688" s="30"/>
    </row>
    <row r="689">
      <c r="B689" s="30"/>
      <c r="C689" s="30"/>
      <c r="F689" s="30"/>
      <c r="G689" s="30"/>
      <c r="H689" s="30"/>
      <c r="I689" s="179"/>
      <c r="J689" s="180"/>
      <c r="L689" s="30"/>
      <c r="M689" s="30"/>
      <c r="N689" s="30"/>
    </row>
    <row r="690">
      <c r="B690" s="30"/>
      <c r="C690" s="30"/>
      <c r="F690" s="30"/>
      <c r="G690" s="30"/>
      <c r="H690" s="30"/>
      <c r="I690" s="179"/>
      <c r="J690" s="180"/>
      <c r="L690" s="30"/>
      <c r="M690" s="30"/>
      <c r="N690" s="30"/>
    </row>
    <row r="691">
      <c r="B691" s="30"/>
      <c r="C691" s="30"/>
      <c r="F691" s="30"/>
      <c r="G691" s="30"/>
      <c r="H691" s="30"/>
      <c r="I691" s="179"/>
      <c r="J691" s="180"/>
      <c r="L691" s="30"/>
      <c r="M691" s="30"/>
      <c r="N691" s="30"/>
    </row>
    <row r="692">
      <c r="B692" s="30"/>
      <c r="C692" s="30"/>
      <c r="F692" s="30"/>
      <c r="G692" s="30"/>
      <c r="H692" s="30"/>
      <c r="I692" s="179"/>
      <c r="J692" s="180"/>
      <c r="L692" s="30"/>
      <c r="M692" s="30"/>
      <c r="N692" s="30"/>
    </row>
    <row r="693">
      <c r="B693" s="30"/>
      <c r="C693" s="30"/>
      <c r="F693" s="30"/>
      <c r="G693" s="30"/>
      <c r="H693" s="30"/>
      <c r="I693" s="179"/>
      <c r="J693" s="180"/>
      <c r="L693" s="30"/>
      <c r="M693" s="30"/>
      <c r="N693" s="30"/>
    </row>
    <row r="694">
      <c r="B694" s="30"/>
      <c r="C694" s="30"/>
      <c r="F694" s="30"/>
      <c r="G694" s="30"/>
      <c r="H694" s="30"/>
      <c r="I694" s="179"/>
      <c r="J694" s="180"/>
      <c r="L694" s="30"/>
      <c r="M694" s="30"/>
      <c r="N694" s="30"/>
    </row>
    <row r="695">
      <c r="B695" s="30"/>
      <c r="C695" s="30"/>
      <c r="F695" s="30"/>
      <c r="G695" s="30"/>
      <c r="H695" s="30"/>
      <c r="I695" s="179"/>
      <c r="J695" s="180"/>
      <c r="L695" s="30"/>
      <c r="M695" s="30"/>
      <c r="N695" s="30"/>
    </row>
    <row r="696">
      <c r="B696" s="30"/>
      <c r="C696" s="30"/>
      <c r="F696" s="30"/>
      <c r="G696" s="30"/>
      <c r="H696" s="30"/>
      <c r="I696" s="179"/>
      <c r="J696" s="180"/>
      <c r="L696" s="30"/>
      <c r="M696" s="30"/>
      <c r="N696" s="30"/>
    </row>
    <row r="697">
      <c r="B697" s="30"/>
      <c r="C697" s="30"/>
      <c r="F697" s="30"/>
      <c r="G697" s="30"/>
      <c r="H697" s="30"/>
      <c r="I697" s="179"/>
      <c r="J697" s="180"/>
      <c r="L697" s="30"/>
      <c r="M697" s="30"/>
      <c r="N697" s="30"/>
    </row>
    <row r="698">
      <c r="B698" s="30"/>
      <c r="C698" s="30"/>
      <c r="F698" s="30"/>
      <c r="G698" s="30"/>
      <c r="H698" s="30"/>
      <c r="I698" s="179"/>
      <c r="J698" s="180"/>
      <c r="L698" s="30"/>
      <c r="M698" s="30"/>
      <c r="N698" s="30"/>
    </row>
    <row r="699">
      <c r="B699" s="30"/>
      <c r="C699" s="30"/>
      <c r="F699" s="30"/>
      <c r="G699" s="30"/>
      <c r="H699" s="30"/>
      <c r="I699" s="179"/>
      <c r="J699" s="180"/>
      <c r="L699" s="30"/>
      <c r="M699" s="30"/>
      <c r="N699" s="30"/>
    </row>
    <row r="700">
      <c r="B700" s="30"/>
      <c r="C700" s="30"/>
      <c r="F700" s="30"/>
      <c r="G700" s="30"/>
      <c r="H700" s="30"/>
      <c r="I700" s="179"/>
      <c r="J700" s="180"/>
      <c r="L700" s="30"/>
      <c r="M700" s="30"/>
      <c r="N700" s="30"/>
    </row>
    <row r="701">
      <c r="B701" s="30"/>
      <c r="C701" s="30"/>
      <c r="F701" s="30"/>
      <c r="G701" s="30"/>
      <c r="H701" s="30"/>
      <c r="I701" s="179"/>
      <c r="J701" s="180"/>
      <c r="L701" s="30"/>
      <c r="M701" s="30"/>
      <c r="N701" s="30"/>
    </row>
    <row r="702">
      <c r="B702" s="30"/>
      <c r="C702" s="30"/>
      <c r="F702" s="30"/>
      <c r="G702" s="30"/>
      <c r="H702" s="30"/>
      <c r="I702" s="179"/>
      <c r="J702" s="180"/>
      <c r="L702" s="30"/>
      <c r="M702" s="30"/>
      <c r="N702" s="30"/>
    </row>
    <row r="703">
      <c r="B703" s="30"/>
      <c r="C703" s="30"/>
      <c r="F703" s="30"/>
      <c r="G703" s="30"/>
      <c r="H703" s="30"/>
      <c r="I703" s="179"/>
      <c r="J703" s="180"/>
      <c r="L703" s="30"/>
      <c r="M703" s="30"/>
      <c r="N703" s="30"/>
    </row>
    <row r="704">
      <c r="B704" s="30"/>
      <c r="C704" s="30"/>
      <c r="F704" s="30"/>
      <c r="G704" s="30"/>
      <c r="H704" s="30"/>
      <c r="I704" s="179"/>
      <c r="J704" s="180"/>
      <c r="L704" s="30"/>
      <c r="M704" s="30"/>
      <c r="N704" s="30"/>
    </row>
    <row r="705">
      <c r="B705" s="30"/>
      <c r="C705" s="30"/>
      <c r="F705" s="30"/>
      <c r="G705" s="30"/>
      <c r="H705" s="30"/>
      <c r="I705" s="179"/>
      <c r="J705" s="180"/>
      <c r="L705" s="30"/>
      <c r="M705" s="30"/>
      <c r="N705" s="30"/>
    </row>
    <row r="706">
      <c r="B706" s="30"/>
      <c r="C706" s="30"/>
      <c r="F706" s="30"/>
      <c r="G706" s="30"/>
      <c r="H706" s="30"/>
      <c r="I706" s="179"/>
      <c r="J706" s="180"/>
      <c r="L706" s="30"/>
      <c r="M706" s="30"/>
      <c r="N706" s="30"/>
    </row>
    <row r="707">
      <c r="B707" s="30"/>
      <c r="C707" s="30"/>
      <c r="F707" s="30"/>
      <c r="G707" s="30"/>
      <c r="H707" s="30"/>
      <c r="I707" s="179"/>
      <c r="J707" s="180"/>
      <c r="L707" s="30"/>
      <c r="M707" s="30"/>
      <c r="N707" s="30"/>
    </row>
    <row r="708">
      <c r="B708" s="30"/>
      <c r="C708" s="30"/>
      <c r="F708" s="30"/>
      <c r="G708" s="30"/>
      <c r="H708" s="30"/>
      <c r="I708" s="179"/>
      <c r="J708" s="180"/>
      <c r="L708" s="30"/>
      <c r="M708" s="30"/>
      <c r="N708" s="30"/>
    </row>
    <row r="709">
      <c r="B709" s="30"/>
      <c r="C709" s="30"/>
      <c r="F709" s="30"/>
      <c r="G709" s="30"/>
      <c r="H709" s="30"/>
      <c r="I709" s="179"/>
      <c r="J709" s="180"/>
      <c r="L709" s="30"/>
      <c r="M709" s="30"/>
      <c r="N709" s="30"/>
    </row>
    <row r="710">
      <c r="B710" s="30"/>
      <c r="C710" s="30"/>
      <c r="F710" s="30"/>
      <c r="G710" s="30"/>
      <c r="H710" s="30"/>
      <c r="I710" s="179"/>
      <c r="J710" s="180"/>
      <c r="L710" s="30"/>
      <c r="M710" s="30"/>
      <c r="N710" s="30"/>
    </row>
    <row r="711">
      <c r="B711" s="30"/>
      <c r="C711" s="30"/>
      <c r="F711" s="30"/>
      <c r="G711" s="30"/>
      <c r="H711" s="30"/>
      <c r="I711" s="179"/>
      <c r="J711" s="180"/>
      <c r="L711" s="30"/>
      <c r="M711" s="30"/>
      <c r="N711" s="30"/>
    </row>
    <row r="712">
      <c r="B712" s="30"/>
      <c r="C712" s="30"/>
      <c r="F712" s="30"/>
      <c r="G712" s="30"/>
      <c r="H712" s="30"/>
      <c r="I712" s="179"/>
      <c r="J712" s="180"/>
      <c r="L712" s="30"/>
      <c r="M712" s="30"/>
      <c r="N712" s="30"/>
    </row>
    <row r="713">
      <c r="B713" s="30"/>
      <c r="C713" s="30"/>
      <c r="F713" s="30"/>
      <c r="G713" s="30"/>
      <c r="H713" s="30"/>
      <c r="I713" s="179"/>
      <c r="J713" s="180"/>
      <c r="L713" s="30"/>
      <c r="M713" s="30"/>
      <c r="N713" s="30"/>
    </row>
    <row r="714">
      <c r="B714" s="30"/>
      <c r="C714" s="30"/>
      <c r="F714" s="30"/>
      <c r="G714" s="30"/>
      <c r="H714" s="30"/>
      <c r="I714" s="179"/>
      <c r="J714" s="180"/>
      <c r="L714" s="30"/>
      <c r="M714" s="30"/>
      <c r="N714" s="30"/>
    </row>
    <row r="715">
      <c r="B715" s="30"/>
      <c r="C715" s="30"/>
      <c r="F715" s="30"/>
      <c r="G715" s="30"/>
      <c r="H715" s="30"/>
      <c r="I715" s="179"/>
      <c r="J715" s="180"/>
      <c r="L715" s="30"/>
      <c r="M715" s="30"/>
      <c r="N715" s="30"/>
    </row>
    <row r="716">
      <c r="B716" s="30"/>
      <c r="C716" s="30"/>
      <c r="F716" s="30"/>
      <c r="G716" s="30"/>
      <c r="H716" s="30"/>
      <c r="I716" s="179"/>
      <c r="J716" s="180"/>
      <c r="L716" s="30"/>
      <c r="M716" s="30"/>
      <c r="N716" s="30"/>
    </row>
    <row r="717">
      <c r="B717" s="30"/>
      <c r="C717" s="30"/>
      <c r="F717" s="30"/>
      <c r="G717" s="30"/>
      <c r="H717" s="30"/>
      <c r="I717" s="179"/>
      <c r="J717" s="180"/>
      <c r="L717" s="30"/>
      <c r="M717" s="30"/>
      <c r="N717" s="30"/>
    </row>
    <row r="718">
      <c r="B718" s="30"/>
      <c r="C718" s="30"/>
      <c r="F718" s="30"/>
      <c r="G718" s="30"/>
      <c r="H718" s="30"/>
      <c r="I718" s="179"/>
      <c r="J718" s="180"/>
      <c r="L718" s="30"/>
      <c r="M718" s="30"/>
      <c r="N718" s="30"/>
    </row>
    <row r="719">
      <c r="B719" s="30"/>
      <c r="C719" s="30"/>
      <c r="F719" s="30"/>
      <c r="G719" s="30"/>
      <c r="H719" s="30"/>
      <c r="I719" s="179"/>
      <c r="J719" s="180"/>
      <c r="L719" s="30"/>
      <c r="M719" s="30"/>
      <c r="N719" s="30"/>
    </row>
    <row r="720">
      <c r="B720" s="30"/>
      <c r="C720" s="30"/>
      <c r="F720" s="30"/>
      <c r="G720" s="30"/>
      <c r="H720" s="30"/>
      <c r="I720" s="179"/>
      <c r="J720" s="180"/>
      <c r="L720" s="30"/>
      <c r="M720" s="30"/>
      <c r="N720" s="30"/>
    </row>
    <row r="721">
      <c r="B721" s="30"/>
      <c r="C721" s="30"/>
      <c r="F721" s="30"/>
      <c r="G721" s="30"/>
      <c r="H721" s="30"/>
      <c r="I721" s="179"/>
      <c r="J721" s="180"/>
      <c r="L721" s="30"/>
      <c r="M721" s="30"/>
      <c r="N721" s="30"/>
    </row>
    <row r="722">
      <c r="B722" s="30"/>
      <c r="C722" s="30"/>
      <c r="F722" s="30"/>
      <c r="G722" s="30"/>
      <c r="H722" s="30"/>
      <c r="I722" s="179"/>
      <c r="J722" s="180"/>
      <c r="L722" s="30"/>
      <c r="M722" s="30"/>
      <c r="N722" s="30"/>
    </row>
    <row r="723">
      <c r="B723" s="30"/>
      <c r="C723" s="30"/>
      <c r="F723" s="30"/>
      <c r="G723" s="30"/>
      <c r="H723" s="30"/>
      <c r="I723" s="179"/>
      <c r="J723" s="180"/>
      <c r="L723" s="30"/>
      <c r="M723" s="30"/>
      <c r="N723" s="30"/>
    </row>
    <row r="724">
      <c r="B724" s="30"/>
      <c r="C724" s="30"/>
      <c r="F724" s="30"/>
      <c r="G724" s="30"/>
      <c r="H724" s="30"/>
      <c r="I724" s="179"/>
      <c r="J724" s="180"/>
      <c r="L724" s="30"/>
      <c r="M724" s="30"/>
      <c r="N724" s="30"/>
    </row>
    <row r="725">
      <c r="B725" s="30"/>
      <c r="C725" s="30"/>
      <c r="F725" s="30"/>
      <c r="G725" s="30"/>
      <c r="H725" s="30"/>
      <c r="I725" s="179"/>
      <c r="J725" s="180"/>
      <c r="L725" s="30"/>
      <c r="M725" s="30"/>
      <c r="N725" s="30"/>
    </row>
    <row r="726">
      <c r="B726" s="30"/>
      <c r="C726" s="30"/>
      <c r="F726" s="30"/>
      <c r="G726" s="30"/>
      <c r="H726" s="30"/>
      <c r="I726" s="179"/>
      <c r="J726" s="180"/>
      <c r="L726" s="30"/>
      <c r="M726" s="30"/>
      <c r="N726" s="30"/>
    </row>
    <row r="727">
      <c r="B727" s="30"/>
      <c r="C727" s="30"/>
      <c r="F727" s="30"/>
      <c r="G727" s="30"/>
      <c r="H727" s="30"/>
      <c r="I727" s="179"/>
      <c r="J727" s="180"/>
      <c r="L727" s="30"/>
      <c r="M727" s="30"/>
      <c r="N727" s="30"/>
    </row>
    <row r="728">
      <c r="B728" s="30"/>
      <c r="C728" s="30"/>
      <c r="F728" s="30"/>
      <c r="G728" s="30"/>
      <c r="H728" s="30"/>
      <c r="I728" s="179"/>
      <c r="J728" s="180"/>
      <c r="L728" s="30"/>
      <c r="M728" s="30"/>
      <c r="N728" s="30"/>
    </row>
    <row r="729">
      <c r="B729" s="30"/>
      <c r="C729" s="30"/>
      <c r="F729" s="30"/>
      <c r="G729" s="30"/>
      <c r="H729" s="30"/>
      <c r="I729" s="179"/>
      <c r="J729" s="180"/>
      <c r="L729" s="30"/>
      <c r="M729" s="30"/>
      <c r="N729" s="30"/>
    </row>
    <row r="730">
      <c r="B730" s="30"/>
      <c r="C730" s="30"/>
      <c r="F730" s="30"/>
      <c r="G730" s="30"/>
      <c r="H730" s="30"/>
      <c r="I730" s="179"/>
      <c r="J730" s="180"/>
      <c r="L730" s="30"/>
      <c r="M730" s="30"/>
      <c r="N730" s="30"/>
    </row>
    <row r="731">
      <c r="B731" s="30"/>
      <c r="C731" s="30"/>
      <c r="F731" s="30"/>
      <c r="G731" s="30"/>
      <c r="H731" s="30"/>
      <c r="I731" s="179"/>
      <c r="J731" s="180"/>
      <c r="L731" s="30"/>
      <c r="M731" s="30"/>
      <c r="N731" s="30"/>
    </row>
    <row r="732">
      <c r="B732" s="30"/>
      <c r="C732" s="30"/>
      <c r="F732" s="30"/>
      <c r="G732" s="30"/>
      <c r="H732" s="30"/>
      <c r="I732" s="179"/>
      <c r="J732" s="180"/>
      <c r="L732" s="30"/>
      <c r="M732" s="30"/>
      <c r="N732" s="30"/>
    </row>
    <row r="733">
      <c r="B733" s="30"/>
      <c r="C733" s="30"/>
      <c r="F733" s="30"/>
      <c r="G733" s="30"/>
      <c r="H733" s="30"/>
      <c r="I733" s="179"/>
      <c r="J733" s="180"/>
      <c r="L733" s="30"/>
      <c r="M733" s="30"/>
      <c r="N733" s="30"/>
    </row>
    <row r="734">
      <c r="B734" s="30"/>
      <c r="C734" s="30"/>
      <c r="F734" s="30"/>
      <c r="G734" s="30"/>
      <c r="H734" s="30"/>
      <c r="I734" s="179"/>
      <c r="J734" s="180"/>
      <c r="L734" s="30"/>
      <c r="M734" s="30"/>
      <c r="N734" s="30"/>
    </row>
    <row r="735">
      <c r="B735" s="30"/>
      <c r="C735" s="30"/>
      <c r="F735" s="30"/>
      <c r="G735" s="30"/>
      <c r="H735" s="30"/>
      <c r="I735" s="179"/>
      <c r="J735" s="180"/>
      <c r="L735" s="30"/>
      <c r="M735" s="30"/>
      <c r="N735" s="30"/>
    </row>
    <row r="736">
      <c r="B736" s="30"/>
      <c r="C736" s="30"/>
      <c r="F736" s="30"/>
      <c r="G736" s="30"/>
      <c r="H736" s="30"/>
      <c r="I736" s="179"/>
      <c r="J736" s="180"/>
      <c r="L736" s="30"/>
      <c r="M736" s="30"/>
      <c r="N736" s="30"/>
    </row>
    <row r="737">
      <c r="B737" s="30"/>
      <c r="C737" s="30"/>
      <c r="F737" s="30"/>
      <c r="G737" s="30"/>
      <c r="H737" s="30"/>
      <c r="I737" s="179"/>
      <c r="J737" s="180"/>
      <c r="L737" s="30"/>
      <c r="M737" s="30"/>
      <c r="N737" s="30"/>
    </row>
    <row r="738">
      <c r="B738" s="30"/>
      <c r="C738" s="30"/>
      <c r="F738" s="30"/>
      <c r="G738" s="30"/>
      <c r="H738" s="30"/>
      <c r="I738" s="179"/>
      <c r="J738" s="180"/>
      <c r="L738" s="30"/>
      <c r="M738" s="30"/>
      <c r="N738" s="30"/>
    </row>
    <row r="739">
      <c r="B739" s="30"/>
      <c r="C739" s="30"/>
      <c r="F739" s="30"/>
      <c r="G739" s="30"/>
      <c r="H739" s="30"/>
      <c r="I739" s="179"/>
      <c r="J739" s="180"/>
      <c r="L739" s="30"/>
      <c r="M739" s="30"/>
      <c r="N739" s="30"/>
    </row>
    <row r="740">
      <c r="B740" s="30"/>
      <c r="C740" s="30"/>
      <c r="F740" s="30"/>
      <c r="G740" s="30"/>
      <c r="H740" s="30"/>
      <c r="I740" s="179"/>
      <c r="J740" s="180"/>
      <c r="L740" s="30"/>
      <c r="M740" s="30"/>
      <c r="N740" s="30"/>
    </row>
    <row r="741">
      <c r="B741" s="30"/>
      <c r="C741" s="30"/>
      <c r="F741" s="30"/>
      <c r="G741" s="30"/>
      <c r="H741" s="30"/>
      <c r="I741" s="179"/>
      <c r="J741" s="180"/>
      <c r="L741" s="30"/>
      <c r="M741" s="30"/>
      <c r="N741" s="30"/>
    </row>
    <row r="742">
      <c r="B742" s="30"/>
      <c r="C742" s="30"/>
      <c r="F742" s="30"/>
      <c r="G742" s="30"/>
      <c r="H742" s="30"/>
      <c r="I742" s="179"/>
      <c r="J742" s="180"/>
      <c r="L742" s="30"/>
      <c r="M742" s="30"/>
      <c r="N742" s="30"/>
    </row>
    <row r="743">
      <c r="B743" s="30"/>
      <c r="C743" s="30"/>
      <c r="F743" s="30"/>
      <c r="G743" s="30"/>
      <c r="H743" s="30"/>
      <c r="I743" s="179"/>
      <c r="J743" s="180"/>
      <c r="L743" s="30"/>
      <c r="M743" s="30"/>
      <c r="N743" s="30"/>
    </row>
    <row r="744">
      <c r="B744" s="30"/>
      <c r="C744" s="30"/>
      <c r="F744" s="30"/>
      <c r="G744" s="30"/>
      <c r="H744" s="30"/>
      <c r="I744" s="179"/>
      <c r="J744" s="180"/>
      <c r="L744" s="30"/>
      <c r="M744" s="30"/>
      <c r="N744" s="30"/>
    </row>
    <row r="745">
      <c r="B745" s="30"/>
      <c r="C745" s="30"/>
      <c r="F745" s="30"/>
      <c r="G745" s="30"/>
      <c r="H745" s="30"/>
      <c r="I745" s="179"/>
      <c r="J745" s="180"/>
      <c r="L745" s="30"/>
      <c r="M745" s="30"/>
      <c r="N745" s="30"/>
    </row>
    <row r="746">
      <c r="B746" s="30"/>
      <c r="C746" s="30"/>
      <c r="F746" s="30"/>
      <c r="G746" s="30"/>
      <c r="H746" s="30"/>
      <c r="I746" s="179"/>
      <c r="J746" s="180"/>
      <c r="L746" s="30"/>
      <c r="M746" s="30"/>
      <c r="N746" s="30"/>
    </row>
    <row r="747">
      <c r="B747" s="30"/>
      <c r="C747" s="30"/>
      <c r="F747" s="30"/>
      <c r="G747" s="30"/>
      <c r="H747" s="30"/>
      <c r="I747" s="179"/>
      <c r="J747" s="180"/>
      <c r="L747" s="30"/>
      <c r="M747" s="30"/>
      <c r="N747" s="30"/>
    </row>
    <row r="748">
      <c r="B748" s="30"/>
      <c r="C748" s="30"/>
      <c r="F748" s="30"/>
      <c r="G748" s="30"/>
      <c r="H748" s="30"/>
      <c r="I748" s="179"/>
      <c r="J748" s="180"/>
      <c r="L748" s="30"/>
      <c r="M748" s="30"/>
      <c r="N748" s="30"/>
    </row>
    <row r="749">
      <c r="B749" s="30"/>
      <c r="C749" s="30"/>
      <c r="F749" s="30"/>
      <c r="G749" s="30"/>
      <c r="H749" s="30"/>
      <c r="I749" s="179"/>
      <c r="J749" s="180"/>
      <c r="L749" s="30"/>
      <c r="M749" s="30"/>
      <c r="N749" s="30"/>
    </row>
    <row r="750">
      <c r="B750" s="30"/>
      <c r="C750" s="30"/>
      <c r="F750" s="30"/>
      <c r="G750" s="30"/>
      <c r="H750" s="30"/>
      <c r="I750" s="179"/>
      <c r="J750" s="180"/>
      <c r="L750" s="30"/>
      <c r="M750" s="30"/>
      <c r="N750" s="30"/>
    </row>
    <row r="751">
      <c r="B751" s="30"/>
      <c r="C751" s="30"/>
      <c r="F751" s="30"/>
      <c r="G751" s="30"/>
      <c r="H751" s="30"/>
      <c r="I751" s="179"/>
      <c r="J751" s="180"/>
      <c r="L751" s="30"/>
      <c r="M751" s="30"/>
      <c r="N751" s="30"/>
    </row>
    <row r="752">
      <c r="B752" s="30"/>
      <c r="C752" s="30"/>
      <c r="F752" s="30"/>
      <c r="G752" s="30"/>
      <c r="H752" s="30"/>
      <c r="I752" s="179"/>
      <c r="J752" s="180"/>
      <c r="L752" s="30"/>
      <c r="M752" s="30"/>
      <c r="N752" s="30"/>
    </row>
    <row r="753">
      <c r="B753" s="30"/>
      <c r="C753" s="30"/>
      <c r="F753" s="30"/>
      <c r="G753" s="30"/>
      <c r="H753" s="30"/>
      <c r="I753" s="179"/>
      <c r="J753" s="180"/>
      <c r="L753" s="30"/>
      <c r="M753" s="30"/>
      <c r="N753" s="30"/>
    </row>
    <row r="754">
      <c r="B754" s="30"/>
      <c r="C754" s="30"/>
      <c r="F754" s="30"/>
      <c r="G754" s="30"/>
      <c r="H754" s="30"/>
      <c r="I754" s="179"/>
      <c r="J754" s="180"/>
      <c r="L754" s="30"/>
      <c r="M754" s="30"/>
      <c r="N754" s="30"/>
    </row>
    <row r="755">
      <c r="B755" s="30"/>
      <c r="C755" s="30"/>
      <c r="F755" s="30"/>
      <c r="G755" s="30"/>
      <c r="H755" s="30"/>
      <c r="I755" s="179"/>
      <c r="J755" s="180"/>
      <c r="L755" s="30"/>
      <c r="M755" s="30"/>
      <c r="N755" s="30"/>
    </row>
    <row r="756">
      <c r="B756" s="30"/>
      <c r="C756" s="30"/>
      <c r="F756" s="30"/>
      <c r="G756" s="30"/>
      <c r="H756" s="30"/>
      <c r="I756" s="179"/>
      <c r="J756" s="180"/>
      <c r="L756" s="30"/>
      <c r="M756" s="30"/>
      <c r="N756" s="30"/>
    </row>
    <row r="757">
      <c r="B757" s="30"/>
      <c r="C757" s="30"/>
      <c r="F757" s="30"/>
      <c r="G757" s="30"/>
      <c r="H757" s="30"/>
      <c r="I757" s="179"/>
      <c r="J757" s="180"/>
      <c r="L757" s="30"/>
      <c r="M757" s="30"/>
      <c r="N757" s="30"/>
    </row>
    <row r="758">
      <c r="B758" s="30"/>
      <c r="C758" s="30"/>
      <c r="F758" s="30"/>
      <c r="G758" s="30"/>
      <c r="H758" s="30"/>
      <c r="I758" s="179"/>
      <c r="J758" s="180"/>
      <c r="L758" s="30"/>
      <c r="M758" s="30"/>
      <c r="N758" s="30"/>
    </row>
    <row r="759">
      <c r="B759" s="30"/>
      <c r="C759" s="30"/>
      <c r="F759" s="30"/>
      <c r="G759" s="30"/>
      <c r="H759" s="30"/>
      <c r="I759" s="179"/>
      <c r="J759" s="180"/>
      <c r="L759" s="30"/>
      <c r="M759" s="30"/>
      <c r="N759" s="30"/>
    </row>
    <row r="760">
      <c r="B760" s="30"/>
      <c r="C760" s="30"/>
      <c r="F760" s="30"/>
      <c r="G760" s="30"/>
      <c r="H760" s="30"/>
      <c r="I760" s="179"/>
      <c r="J760" s="180"/>
      <c r="L760" s="30"/>
      <c r="M760" s="30"/>
      <c r="N760" s="30"/>
    </row>
    <row r="761">
      <c r="B761" s="30"/>
      <c r="C761" s="30"/>
      <c r="F761" s="30"/>
      <c r="G761" s="30"/>
      <c r="H761" s="30"/>
      <c r="I761" s="179"/>
      <c r="J761" s="180"/>
      <c r="L761" s="30"/>
      <c r="M761" s="30"/>
      <c r="N761" s="30"/>
    </row>
    <row r="762">
      <c r="B762" s="30"/>
      <c r="C762" s="30"/>
      <c r="F762" s="30"/>
      <c r="G762" s="30"/>
      <c r="H762" s="30"/>
      <c r="I762" s="179"/>
      <c r="J762" s="180"/>
      <c r="L762" s="30"/>
      <c r="M762" s="30"/>
      <c r="N762" s="30"/>
    </row>
    <row r="763">
      <c r="B763" s="30"/>
      <c r="C763" s="30"/>
      <c r="F763" s="30"/>
      <c r="G763" s="30"/>
      <c r="H763" s="30"/>
      <c r="I763" s="179"/>
      <c r="J763" s="180"/>
      <c r="L763" s="30"/>
      <c r="M763" s="30"/>
      <c r="N763" s="30"/>
    </row>
    <row r="764">
      <c r="B764" s="30"/>
      <c r="C764" s="30"/>
      <c r="F764" s="30"/>
      <c r="G764" s="30"/>
      <c r="H764" s="30"/>
      <c r="I764" s="179"/>
      <c r="J764" s="180"/>
      <c r="L764" s="30"/>
      <c r="M764" s="30"/>
      <c r="N764" s="30"/>
    </row>
    <row r="765">
      <c r="B765" s="30"/>
      <c r="C765" s="30"/>
      <c r="F765" s="30"/>
      <c r="G765" s="30"/>
      <c r="H765" s="30"/>
      <c r="I765" s="179"/>
      <c r="J765" s="180"/>
      <c r="L765" s="30"/>
      <c r="M765" s="30"/>
      <c r="N765" s="30"/>
    </row>
    <row r="766">
      <c r="B766" s="30"/>
      <c r="C766" s="30"/>
      <c r="F766" s="30"/>
      <c r="G766" s="30"/>
      <c r="H766" s="30"/>
      <c r="I766" s="179"/>
      <c r="J766" s="180"/>
      <c r="L766" s="30"/>
      <c r="M766" s="30"/>
      <c r="N766" s="30"/>
    </row>
    <row r="767">
      <c r="B767" s="30"/>
      <c r="C767" s="30"/>
      <c r="F767" s="30"/>
      <c r="G767" s="30"/>
      <c r="H767" s="30"/>
      <c r="I767" s="179"/>
      <c r="J767" s="180"/>
      <c r="L767" s="30"/>
      <c r="M767" s="30"/>
      <c r="N767" s="30"/>
    </row>
    <row r="768">
      <c r="B768" s="30"/>
      <c r="C768" s="30"/>
      <c r="F768" s="30"/>
      <c r="G768" s="30"/>
      <c r="H768" s="30"/>
      <c r="I768" s="179"/>
      <c r="J768" s="180"/>
      <c r="L768" s="30"/>
      <c r="M768" s="30"/>
      <c r="N768" s="30"/>
    </row>
    <row r="769">
      <c r="B769" s="30"/>
      <c r="C769" s="30"/>
      <c r="F769" s="30"/>
      <c r="G769" s="30"/>
      <c r="H769" s="30"/>
      <c r="I769" s="179"/>
      <c r="J769" s="180"/>
      <c r="L769" s="30"/>
      <c r="M769" s="30"/>
      <c r="N769" s="30"/>
    </row>
    <row r="770">
      <c r="B770" s="30"/>
      <c r="C770" s="30"/>
      <c r="F770" s="30"/>
      <c r="G770" s="30"/>
      <c r="H770" s="30"/>
      <c r="I770" s="179"/>
      <c r="J770" s="180"/>
      <c r="L770" s="30"/>
      <c r="M770" s="30"/>
      <c r="N770" s="30"/>
    </row>
    <row r="771">
      <c r="B771" s="30"/>
      <c r="C771" s="30"/>
      <c r="F771" s="30"/>
      <c r="G771" s="30"/>
      <c r="H771" s="30"/>
      <c r="I771" s="179"/>
      <c r="J771" s="180"/>
      <c r="L771" s="30"/>
      <c r="M771" s="30"/>
      <c r="N771" s="30"/>
    </row>
    <row r="772">
      <c r="B772" s="30"/>
      <c r="C772" s="30"/>
      <c r="F772" s="30"/>
      <c r="G772" s="30"/>
      <c r="H772" s="30"/>
      <c r="I772" s="179"/>
      <c r="J772" s="180"/>
      <c r="L772" s="30"/>
      <c r="M772" s="30"/>
      <c r="N772" s="30"/>
    </row>
    <row r="773">
      <c r="B773" s="30"/>
      <c r="C773" s="30"/>
      <c r="F773" s="30"/>
      <c r="G773" s="30"/>
      <c r="H773" s="30"/>
      <c r="I773" s="179"/>
      <c r="J773" s="180"/>
      <c r="L773" s="30"/>
      <c r="M773" s="30"/>
      <c r="N773" s="30"/>
    </row>
    <row r="774">
      <c r="B774" s="30"/>
      <c r="C774" s="30"/>
      <c r="F774" s="30"/>
      <c r="G774" s="30"/>
      <c r="H774" s="30"/>
      <c r="I774" s="179"/>
      <c r="J774" s="180"/>
      <c r="L774" s="30"/>
      <c r="M774" s="30"/>
      <c r="N774" s="30"/>
    </row>
    <row r="775">
      <c r="B775" s="30"/>
      <c r="C775" s="30"/>
      <c r="F775" s="30"/>
      <c r="G775" s="30"/>
      <c r="H775" s="30"/>
      <c r="I775" s="179"/>
      <c r="J775" s="180"/>
      <c r="L775" s="30"/>
      <c r="M775" s="30"/>
      <c r="N775" s="30"/>
    </row>
    <row r="776">
      <c r="B776" s="30"/>
      <c r="C776" s="30"/>
      <c r="F776" s="30"/>
      <c r="G776" s="30"/>
      <c r="H776" s="30"/>
      <c r="I776" s="179"/>
      <c r="J776" s="180"/>
      <c r="L776" s="30"/>
      <c r="M776" s="30"/>
      <c r="N776" s="30"/>
    </row>
    <row r="777">
      <c r="B777" s="30"/>
      <c r="C777" s="30"/>
      <c r="F777" s="30"/>
      <c r="G777" s="30"/>
      <c r="H777" s="30"/>
      <c r="I777" s="179"/>
      <c r="J777" s="180"/>
      <c r="L777" s="30"/>
      <c r="M777" s="30"/>
      <c r="N777" s="30"/>
    </row>
    <row r="778">
      <c r="B778" s="30"/>
      <c r="C778" s="30"/>
      <c r="F778" s="30"/>
      <c r="G778" s="30"/>
      <c r="H778" s="30"/>
      <c r="I778" s="179"/>
      <c r="J778" s="180"/>
      <c r="L778" s="30"/>
      <c r="M778" s="30"/>
      <c r="N778" s="30"/>
    </row>
    <row r="779">
      <c r="B779" s="30"/>
      <c r="C779" s="30"/>
      <c r="F779" s="30"/>
      <c r="G779" s="30"/>
      <c r="H779" s="30"/>
      <c r="I779" s="179"/>
      <c r="J779" s="180"/>
      <c r="L779" s="30"/>
      <c r="M779" s="30"/>
      <c r="N779" s="30"/>
    </row>
    <row r="780">
      <c r="B780" s="30"/>
      <c r="C780" s="30"/>
      <c r="F780" s="30"/>
      <c r="G780" s="30"/>
      <c r="H780" s="30"/>
      <c r="I780" s="179"/>
      <c r="J780" s="180"/>
      <c r="L780" s="30"/>
      <c r="M780" s="30"/>
      <c r="N780" s="30"/>
    </row>
    <row r="781">
      <c r="B781" s="30"/>
      <c r="C781" s="30"/>
      <c r="F781" s="30"/>
      <c r="G781" s="30"/>
      <c r="H781" s="30"/>
      <c r="I781" s="179"/>
      <c r="J781" s="180"/>
      <c r="L781" s="30"/>
      <c r="M781" s="30"/>
      <c r="N781" s="30"/>
    </row>
    <row r="782">
      <c r="B782" s="30"/>
      <c r="C782" s="30"/>
      <c r="F782" s="30"/>
      <c r="G782" s="30"/>
      <c r="H782" s="30"/>
      <c r="I782" s="179"/>
      <c r="J782" s="180"/>
      <c r="L782" s="30"/>
      <c r="M782" s="30"/>
      <c r="N782" s="30"/>
    </row>
    <row r="783">
      <c r="B783" s="30"/>
      <c r="C783" s="30"/>
      <c r="F783" s="30"/>
      <c r="G783" s="30"/>
      <c r="H783" s="30"/>
      <c r="I783" s="179"/>
      <c r="J783" s="180"/>
      <c r="L783" s="30"/>
      <c r="M783" s="30"/>
      <c r="N783" s="30"/>
    </row>
    <row r="784">
      <c r="B784" s="30"/>
      <c r="C784" s="30"/>
      <c r="F784" s="30"/>
      <c r="G784" s="30"/>
      <c r="H784" s="30"/>
      <c r="I784" s="179"/>
      <c r="J784" s="180"/>
      <c r="L784" s="30"/>
      <c r="M784" s="30"/>
      <c r="N784" s="30"/>
    </row>
    <row r="785">
      <c r="B785" s="30"/>
      <c r="C785" s="30"/>
      <c r="F785" s="30"/>
      <c r="G785" s="30"/>
      <c r="H785" s="30"/>
      <c r="I785" s="179"/>
      <c r="J785" s="180"/>
      <c r="L785" s="30"/>
      <c r="M785" s="30"/>
      <c r="N785" s="30"/>
    </row>
    <row r="786">
      <c r="B786" s="30"/>
      <c r="C786" s="30"/>
      <c r="F786" s="30"/>
      <c r="G786" s="30"/>
      <c r="H786" s="30"/>
      <c r="I786" s="179"/>
      <c r="J786" s="180"/>
      <c r="L786" s="30"/>
      <c r="M786" s="30"/>
      <c r="N786" s="30"/>
    </row>
    <row r="787">
      <c r="B787" s="30"/>
      <c r="C787" s="30"/>
      <c r="F787" s="30"/>
      <c r="G787" s="30"/>
      <c r="H787" s="30"/>
      <c r="I787" s="179"/>
      <c r="J787" s="180"/>
      <c r="L787" s="30"/>
      <c r="M787" s="30"/>
      <c r="N787" s="30"/>
    </row>
    <row r="788">
      <c r="B788" s="30"/>
      <c r="C788" s="30"/>
      <c r="F788" s="30"/>
      <c r="G788" s="30"/>
      <c r="H788" s="30"/>
      <c r="I788" s="179"/>
      <c r="J788" s="180"/>
      <c r="L788" s="30"/>
      <c r="M788" s="30"/>
      <c r="N788" s="30"/>
    </row>
    <row r="789">
      <c r="B789" s="30"/>
      <c r="C789" s="30"/>
      <c r="F789" s="30"/>
      <c r="G789" s="30"/>
      <c r="H789" s="30"/>
      <c r="I789" s="179"/>
      <c r="J789" s="180"/>
      <c r="L789" s="30"/>
      <c r="M789" s="30"/>
      <c r="N789" s="30"/>
    </row>
    <row r="790">
      <c r="B790" s="30"/>
      <c r="C790" s="30"/>
      <c r="F790" s="30"/>
      <c r="G790" s="30"/>
      <c r="H790" s="30"/>
      <c r="I790" s="179"/>
      <c r="J790" s="180"/>
      <c r="L790" s="30"/>
      <c r="M790" s="30"/>
      <c r="N790" s="30"/>
    </row>
    <row r="791">
      <c r="B791" s="30"/>
      <c r="C791" s="30"/>
      <c r="F791" s="30"/>
      <c r="G791" s="30"/>
      <c r="H791" s="30"/>
      <c r="I791" s="179"/>
      <c r="J791" s="180"/>
      <c r="L791" s="30"/>
      <c r="M791" s="30"/>
      <c r="N791" s="30"/>
    </row>
    <row r="792">
      <c r="B792" s="30"/>
      <c r="C792" s="30"/>
      <c r="F792" s="30"/>
      <c r="G792" s="30"/>
      <c r="H792" s="30"/>
      <c r="I792" s="179"/>
      <c r="J792" s="180"/>
      <c r="L792" s="30"/>
      <c r="M792" s="30"/>
      <c r="N792" s="30"/>
    </row>
    <row r="793">
      <c r="B793" s="30"/>
      <c r="C793" s="30"/>
      <c r="F793" s="30"/>
      <c r="G793" s="30"/>
      <c r="H793" s="30"/>
      <c r="I793" s="179"/>
      <c r="J793" s="180"/>
      <c r="L793" s="30"/>
      <c r="M793" s="30"/>
      <c r="N793" s="30"/>
    </row>
    <row r="794">
      <c r="B794" s="30"/>
      <c r="C794" s="30"/>
      <c r="F794" s="30"/>
      <c r="G794" s="30"/>
      <c r="H794" s="30"/>
      <c r="I794" s="179"/>
      <c r="J794" s="180"/>
      <c r="L794" s="30"/>
      <c r="M794" s="30"/>
      <c r="N794" s="30"/>
    </row>
    <row r="795">
      <c r="B795" s="30"/>
      <c r="C795" s="30"/>
      <c r="F795" s="30"/>
      <c r="G795" s="30"/>
      <c r="H795" s="30"/>
      <c r="I795" s="179"/>
      <c r="J795" s="180"/>
      <c r="L795" s="30"/>
      <c r="M795" s="30"/>
      <c r="N795" s="30"/>
    </row>
    <row r="796">
      <c r="B796" s="30"/>
      <c r="C796" s="30"/>
      <c r="F796" s="30"/>
      <c r="G796" s="30"/>
      <c r="H796" s="30"/>
      <c r="I796" s="179"/>
      <c r="J796" s="180"/>
      <c r="L796" s="30"/>
      <c r="M796" s="30"/>
      <c r="N796" s="30"/>
    </row>
    <row r="797">
      <c r="B797" s="30"/>
      <c r="C797" s="30"/>
      <c r="F797" s="30"/>
      <c r="G797" s="30"/>
      <c r="H797" s="30"/>
      <c r="I797" s="179"/>
      <c r="J797" s="180"/>
      <c r="L797" s="30"/>
      <c r="M797" s="30"/>
      <c r="N797" s="30"/>
    </row>
    <row r="798">
      <c r="B798" s="30"/>
      <c r="C798" s="30"/>
      <c r="F798" s="30"/>
      <c r="G798" s="30"/>
      <c r="H798" s="30"/>
      <c r="I798" s="179"/>
      <c r="J798" s="180"/>
      <c r="L798" s="30"/>
      <c r="M798" s="30"/>
      <c r="N798" s="30"/>
    </row>
    <row r="799">
      <c r="B799" s="30"/>
      <c r="C799" s="30"/>
      <c r="F799" s="30"/>
      <c r="G799" s="30"/>
      <c r="H799" s="30"/>
      <c r="I799" s="179"/>
      <c r="J799" s="180"/>
      <c r="L799" s="30"/>
      <c r="M799" s="30"/>
      <c r="N799" s="30"/>
    </row>
    <row r="800">
      <c r="B800" s="30"/>
      <c r="C800" s="30"/>
      <c r="F800" s="30"/>
      <c r="G800" s="30"/>
      <c r="H800" s="30"/>
      <c r="I800" s="179"/>
      <c r="J800" s="180"/>
      <c r="L800" s="30"/>
      <c r="M800" s="30"/>
      <c r="N800" s="30"/>
    </row>
    <row r="801">
      <c r="B801" s="30"/>
      <c r="C801" s="30"/>
      <c r="F801" s="30"/>
      <c r="G801" s="30"/>
      <c r="H801" s="30"/>
      <c r="I801" s="179"/>
      <c r="J801" s="180"/>
      <c r="L801" s="30"/>
      <c r="M801" s="30"/>
      <c r="N801" s="30"/>
    </row>
    <row r="802">
      <c r="B802" s="30"/>
      <c r="C802" s="30"/>
      <c r="F802" s="30"/>
      <c r="G802" s="30"/>
      <c r="H802" s="30"/>
      <c r="I802" s="179"/>
      <c r="J802" s="180"/>
      <c r="L802" s="30"/>
      <c r="M802" s="30"/>
      <c r="N802" s="30"/>
    </row>
    <row r="803">
      <c r="B803" s="30"/>
      <c r="C803" s="30"/>
      <c r="F803" s="30"/>
      <c r="G803" s="30"/>
      <c r="H803" s="30"/>
      <c r="I803" s="179"/>
      <c r="J803" s="180"/>
      <c r="L803" s="30"/>
      <c r="M803" s="30"/>
      <c r="N803" s="30"/>
    </row>
    <row r="804">
      <c r="B804" s="30"/>
      <c r="C804" s="30"/>
      <c r="F804" s="30"/>
      <c r="G804" s="30"/>
      <c r="H804" s="30"/>
      <c r="I804" s="179"/>
      <c r="J804" s="180"/>
      <c r="L804" s="30"/>
      <c r="M804" s="30"/>
      <c r="N804" s="30"/>
    </row>
    <row r="805">
      <c r="B805" s="30"/>
      <c r="C805" s="30"/>
      <c r="F805" s="30"/>
      <c r="G805" s="30"/>
      <c r="H805" s="30"/>
      <c r="I805" s="179"/>
      <c r="J805" s="180"/>
      <c r="L805" s="30"/>
      <c r="M805" s="30"/>
      <c r="N805" s="30"/>
    </row>
    <row r="806">
      <c r="B806" s="30"/>
      <c r="C806" s="30"/>
      <c r="F806" s="30"/>
      <c r="G806" s="30"/>
      <c r="H806" s="30"/>
      <c r="I806" s="179"/>
      <c r="J806" s="180"/>
      <c r="L806" s="30"/>
      <c r="M806" s="30"/>
      <c r="N806" s="30"/>
    </row>
    <row r="807">
      <c r="B807" s="30"/>
      <c r="C807" s="30"/>
      <c r="F807" s="30"/>
      <c r="G807" s="30"/>
      <c r="H807" s="30"/>
      <c r="I807" s="179"/>
      <c r="J807" s="180"/>
      <c r="L807" s="30"/>
      <c r="M807" s="30"/>
      <c r="N807" s="30"/>
    </row>
    <row r="808">
      <c r="B808" s="30"/>
      <c r="C808" s="30"/>
      <c r="F808" s="30"/>
      <c r="G808" s="30"/>
      <c r="H808" s="30"/>
      <c r="I808" s="179"/>
      <c r="J808" s="180"/>
      <c r="L808" s="30"/>
      <c r="M808" s="30"/>
      <c r="N808" s="30"/>
    </row>
    <row r="809">
      <c r="B809" s="30"/>
      <c r="C809" s="30"/>
      <c r="F809" s="30"/>
      <c r="G809" s="30"/>
      <c r="H809" s="30"/>
      <c r="I809" s="179"/>
      <c r="J809" s="180"/>
      <c r="L809" s="30"/>
      <c r="M809" s="30"/>
      <c r="N809" s="30"/>
    </row>
    <row r="810">
      <c r="B810" s="30"/>
      <c r="C810" s="30"/>
      <c r="F810" s="30"/>
      <c r="G810" s="30"/>
      <c r="H810" s="30"/>
      <c r="I810" s="179"/>
      <c r="J810" s="180"/>
      <c r="L810" s="30"/>
      <c r="M810" s="30"/>
      <c r="N810" s="30"/>
    </row>
    <row r="811">
      <c r="B811" s="30"/>
      <c r="C811" s="30"/>
      <c r="F811" s="30"/>
      <c r="G811" s="30"/>
      <c r="H811" s="30"/>
      <c r="I811" s="179"/>
      <c r="J811" s="180"/>
      <c r="L811" s="30"/>
      <c r="M811" s="30"/>
      <c r="N811" s="30"/>
    </row>
    <row r="812">
      <c r="B812" s="30"/>
      <c r="C812" s="30"/>
      <c r="F812" s="30"/>
      <c r="G812" s="30"/>
      <c r="H812" s="30"/>
      <c r="I812" s="179"/>
      <c r="J812" s="180"/>
      <c r="L812" s="30"/>
      <c r="M812" s="30"/>
      <c r="N812" s="30"/>
    </row>
    <row r="813">
      <c r="B813" s="30"/>
      <c r="C813" s="30"/>
      <c r="F813" s="30"/>
      <c r="G813" s="30"/>
      <c r="H813" s="30"/>
      <c r="I813" s="179"/>
      <c r="J813" s="180"/>
      <c r="L813" s="30"/>
      <c r="M813" s="30"/>
      <c r="N813" s="30"/>
    </row>
    <row r="814">
      <c r="B814" s="30"/>
      <c r="C814" s="30"/>
      <c r="F814" s="30"/>
      <c r="G814" s="30"/>
      <c r="H814" s="30"/>
      <c r="I814" s="179"/>
      <c r="J814" s="180"/>
      <c r="L814" s="30"/>
      <c r="M814" s="30"/>
      <c r="N814" s="30"/>
    </row>
    <row r="815">
      <c r="B815" s="30"/>
      <c r="C815" s="30"/>
      <c r="F815" s="30"/>
      <c r="G815" s="30"/>
      <c r="H815" s="30"/>
      <c r="I815" s="179"/>
      <c r="J815" s="180"/>
      <c r="L815" s="30"/>
      <c r="M815" s="30"/>
      <c r="N815" s="30"/>
    </row>
    <row r="816">
      <c r="B816" s="30"/>
      <c r="C816" s="30"/>
      <c r="F816" s="30"/>
      <c r="G816" s="30"/>
      <c r="H816" s="30"/>
      <c r="I816" s="179"/>
      <c r="J816" s="180"/>
      <c r="L816" s="30"/>
      <c r="M816" s="30"/>
      <c r="N816" s="30"/>
    </row>
    <row r="817">
      <c r="B817" s="30"/>
      <c r="C817" s="30"/>
      <c r="F817" s="30"/>
      <c r="G817" s="30"/>
      <c r="H817" s="30"/>
      <c r="I817" s="179"/>
      <c r="J817" s="180"/>
      <c r="L817" s="30"/>
      <c r="M817" s="30"/>
      <c r="N817" s="30"/>
    </row>
    <row r="818">
      <c r="B818" s="30"/>
      <c r="C818" s="30"/>
      <c r="F818" s="30"/>
      <c r="G818" s="30"/>
      <c r="H818" s="30"/>
      <c r="I818" s="179"/>
      <c r="J818" s="180"/>
      <c r="L818" s="30"/>
      <c r="M818" s="30"/>
      <c r="N818" s="30"/>
    </row>
    <row r="819">
      <c r="B819" s="30"/>
      <c r="C819" s="30"/>
      <c r="F819" s="30"/>
      <c r="G819" s="30"/>
      <c r="H819" s="30"/>
      <c r="I819" s="179"/>
      <c r="J819" s="180"/>
      <c r="L819" s="30"/>
      <c r="M819" s="30"/>
      <c r="N819" s="30"/>
    </row>
    <row r="820">
      <c r="B820" s="30"/>
      <c r="C820" s="30"/>
      <c r="F820" s="30"/>
      <c r="G820" s="30"/>
      <c r="H820" s="30"/>
      <c r="I820" s="179"/>
      <c r="J820" s="180"/>
      <c r="L820" s="30"/>
      <c r="M820" s="30"/>
      <c r="N820" s="30"/>
    </row>
    <row r="821">
      <c r="B821" s="30"/>
      <c r="C821" s="30"/>
      <c r="F821" s="30"/>
      <c r="G821" s="30"/>
      <c r="H821" s="30"/>
      <c r="I821" s="179"/>
      <c r="J821" s="180"/>
      <c r="L821" s="30"/>
      <c r="M821" s="30"/>
      <c r="N821" s="30"/>
    </row>
    <row r="822">
      <c r="B822" s="30"/>
      <c r="C822" s="30"/>
      <c r="F822" s="30"/>
      <c r="G822" s="30"/>
      <c r="H822" s="30"/>
      <c r="I822" s="179"/>
      <c r="J822" s="180"/>
      <c r="L822" s="30"/>
      <c r="M822" s="30"/>
      <c r="N822" s="30"/>
    </row>
    <row r="823">
      <c r="B823" s="30"/>
      <c r="C823" s="30"/>
      <c r="F823" s="30"/>
      <c r="G823" s="30"/>
      <c r="H823" s="30"/>
      <c r="I823" s="179"/>
      <c r="J823" s="180"/>
      <c r="L823" s="30"/>
      <c r="M823" s="30"/>
      <c r="N823" s="30"/>
    </row>
    <row r="824">
      <c r="B824" s="30"/>
      <c r="C824" s="30"/>
      <c r="F824" s="30"/>
      <c r="G824" s="30"/>
      <c r="H824" s="30"/>
      <c r="I824" s="179"/>
      <c r="J824" s="180"/>
      <c r="L824" s="30"/>
      <c r="M824" s="30"/>
      <c r="N824" s="30"/>
    </row>
    <row r="825">
      <c r="B825" s="30"/>
      <c r="C825" s="30"/>
      <c r="F825" s="30"/>
      <c r="G825" s="30"/>
      <c r="H825" s="30"/>
      <c r="I825" s="179"/>
      <c r="J825" s="180"/>
      <c r="L825" s="30"/>
      <c r="M825" s="30"/>
      <c r="N825" s="30"/>
    </row>
    <row r="826">
      <c r="B826" s="30"/>
      <c r="C826" s="30"/>
      <c r="F826" s="30"/>
      <c r="G826" s="30"/>
      <c r="H826" s="30"/>
      <c r="I826" s="179"/>
      <c r="J826" s="180"/>
      <c r="L826" s="30"/>
      <c r="M826" s="30"/>
      <c r="N826" s="30"/>
    </row>
    <row r="827">
      <c r="B827" s="30"/>
      <c r="C827" s="30"/>
      <c r="F827" s="30"/>
      <c r="G827" s="30"/>
      <c r="H827" s="30"/>
      <c r="I827" s="179"/>
      <c r="J827" s="180"/>
      <c r="L827" s="30"/>
      <c r="M827" s="30"/>
      <c r="N827" s="30"/>
    </row>
    <row r="828">
      <c r="B828" s="30"/>
      <c r="C828" s="30"/>
      <c r="F828" s="30"/>
      <c r="G828" s="30"/>
      <c r="H828" s="30"/>
      <c r="I828" s="179"/>
      <c r="J828" s="180"/>
      <c r="L828" s="30"/>
      <c r="M828" s="30"/>
      <c r="N828" s="30"/>
    </row>
    <row r="829">
      <c r="B829" s="30"/>
      <c r="C829" s="30"/>
      <c r="F829" s="30"/>
      <c r="G829" s="30"/>
      <c r="H829" s="30"/>
      <c r="I829" s="179"/>
      <c r="J829" s="180"/>
      <c r="L829" s="30"/>
      <c r="M829" s="30"/>
      <c r="N829" s="30"/>
    </row>
    <row r="830">
      <c r="B830" s="30"/>
      <c r="C830" s="30"/>
      <c r="F830" s="30"/>
      <c r="G830" s="30"/>
      <c r="H830" s="30"/>
      <c r="I830" s="179"/>
      <c r="J830" s="180"/>
      <c r="L830" s="30"/>
      <c r="M830" s="30"/>
      <c r="N830" s="30"/>
    </row>
    <row r="831">
      <c r="B831" s="30"/>
      <c r="C831" s="30"/>
      <c r="F831" s="30"/>
      <c r="G831" s="30"/>
      <c r="H831" s="30"/>
      <c r="I831" s="179"/>
      <c r="J831" s="180"/>
      <c r="L831" s="30"/>
      <c r="M831" s="30"/>
      <c r="N831" s="30"/>
    </row>
    <row r="832">
      <c r="B832" s="30"/>
      <c r="C832" s="30"/>
      <c r="F832" s="30"/>
      <c r="G832" s="30"/>
      <c r="H832" s="30"/>
      <c r="I832" s="179"/>
      <c r="J832" s="180"/>
      <c r="L832" s="30"/>
      <c r="M832" s="30"/>
      <c r="N832" s="30"/>
    </row>
    <row r="833">
      <c r="B833" s="30"/>
      <c r="C833" s="30"/>
      <c r="F833" s="30"/>
      <c r="G833" s="30"/>
      <c r="H833" s="30"/>
      <c r="I833" s="179"/>
      <c r="J833" s="180"/>
      <c r="L833" s="30"/>
      <c r="M833" s="30"/>
      <c r="N833" s="30"/>
    </row>
    <row r="834">
      <c r="B834" s="30"/>
      <c r="C834" s="30"/>
      <c r="F834" s="30"/>
      <c r="G834" s="30"/>
      <c r="H834" s="30"/>
      <c r="I834" s="179"/>
      <c r="J834" s="180"/>
      <c r="L834" s="30"/>
      <c r="M834" s="30"/>
      <c r="N834" s="30"/>
    </row>
    <row r="835">
      <c r="B835" s="30"/>
      <c r="C835" s="30"/>
      <c r="F835" s="30"/>
      <c r="G835" s="30"/>
      <c r="H835" s="30"/>
      <c r="I835" s="179"/>
      <c r="J835" s="180"/>
      <c r="L835" s="30"/>
      <c r="M835" s="30"/>
      <c r="N835" s="30"/>
    </row>
    <row r="836">
      <c r="B836" s="30"/>
      <c r="C836" s="30"/>
      <c r="F836" s="30"/>
      <c r="G836" s="30"/>
      <c r="H836" s="30"/>
      <c r="I836" s="179"/>
      <c r="J836" s="180"/>
      <c r="L836" s="30"/>
      <c r="M836" s="30"/>
      <c r="N836" s="30"/>
    </row>
    <row r="837">
      <c r="B837" s="30"/>
      <c r="C837" s="30"/>
      <c r="F837" s="30"/>
      <c r="G837" s="30"/>
      <c r="H837" s="30"/>
      <c r="I837" s="179"/>
      <c r="J837" s="180"/>
      <c r="L837" s="30"/>
      <c r="M837" s="30"/>
      <c r="N837" s="30"/>
    </row>
    <row r="838">
      <c r="B838" s="30"/>
      <c r="C838" s="30"/>
      <c r="F838" s="30"/>
      <c r="G838" s="30"/>
      <c r="H838" s="30"/>
      <c r="I838" s="179"/>
      <c r="J838" s="180"/>
      <c r="L838" s="30"/>
      <c r="M838" s="30"/>
      <c r="N838" s="30"/>
    </row>
    <row r="839">
      <c r="B839" s="30"/>
      <c r="C839" s="30"/>
      <c r="F839" s="30"/>
      <c r="G839" s="30"/>
      <c r="H839" s="30"/>
      <c r="I839" s="179"/>
      <c r="J839" s="180"/>
      <c r="L839" s="30"/>
      <c r="M839" s="30"/>
      <c r="N839" s="30"/>
    </row>
    <row r="840">
      <c r="B840" s="30"/>
      <c r="C840" s="30"/>
      <c r="F840" s="30"/>
      <c r="G840" s="30"/>
      <c r="H840" s="30"/>
      <c r="I840" s="179"/>
      <c r="J840" s="180"/>
      <c r="L840" s="30"/>
      <c r="M840" s="30"/>
      <c r="N840" s="30"/>
    </row>
    <row r="841">
      <c r="B841" s="30"/>
      <c r="C841" s="30"/>
      <c r="F841" s="30"/>
      <c r="G841" s="30"/>
      <c r="H841" s="30"/>
      <c r="I841" s="179"/>
      <c r="J841" s="180"/>
      <c r="L841" s="30"/>
      <c r="M841" s="30"/>
      <c r="N841" s="30"/>
    </row>
    <row r="842">
      <c r="B842" s="30"/>
      <c r="C842" s="30"/>
      <c r="F842" s="30"/>
      <c r="G842" s="30"/>
      <c r="H842" s="30"/>
      <c r="I842" s="179"/>
      <c r="J842" s="180"/>
      <c r="L842" s="30"/>
      <c r="M842" s="30"/>
      <c r="N842" s="30"/>
    </row>
    <row r="843">
      <c r="B843" s="30"/>
      <c r="C843" s="30"/>
      <c r="F843" s="30"/>
      <c r="G843" s="30"/>
      <c r="H843" s="30"/>
      <c r="I843" s="179"/>
      <c r="J843" s="180"/>
      <c r="L843" s="30"/>
      <c r="M843" s="30"/>
      <c r="N843" s="30"/>
    </row>
    <row r="844">
      <c r="B844" s="30"/>
      <c r="C844" s="30"/>
      <c r="F844" s="30"/>
      <c r="G844" s="30"/>
      <c r="H844" s="30"/>
      <c r="I844" s="179"/>
      <c r="J844" s="180"/>
      <c r="L844" s="30"/>
      <c r="M844" s="30"/>
      <c r="N844" s="30"/>
    </row>
    <row r="845">
      <c r="B845" s="30"/>
      <c r="C845" s="30"/>
      <c r="F845" s="30"/>
      <c r="G845" s="30"/>
      <c r="H845" s="30"/>
      <c r="I845" s="179"/>
      <c r="J845" s="180"/>
      <c r="L845" s="30"/>
      <c r="M845" s="30"/>
      <c r="N845" s="30"/>
    </row>
    <row r="846">
      <c r="B846" s="30"/>
      <c r="C846" s="30"/>
      <c r="F846" s="30"/>
      <c r="G846" s="30"/>
      <c r="H846" s="30"/>
      <c r="I846" s="179"/>
      <c r="J846" s="180"/>
      <c r="L846" s="30"/>
      <c r="M846" s="30"/>
      <c r="N846" s="30"/>
    </row>
    <row r="847">
      <c r="B847" s="30"/>
      <c r="C847" s="30"/>
      <c r="F847" s="30"/>
      <c r="G847" s="30"/>
      <c r="H847" s="30"/>
      <c r="I847" s="179"/>
      <c r="J847" s="180"/>
      <c r="L847" s="30"/>
      <c r="M847" s="30"/>
      <c r="N847" s="30"/>
    </row>
    <row r="848">
      <c r="B848" s="30"/>
      <c r="C848" s="30"/>
      <c r="F848" s="30"/>
      <c r="G848" s="30"/>
      <c r="H848" s="30"/>
      <c r="I848" s="179"/>
      <c r="J848" s="180"/>
      <c r="L848" s="30"/>
      <c r="M848" s="30"/>
      <c r="N848" s="30"/>
    </row>
    <row r="849">
      <c r="B849" s="30"/>
      <c r="C849" s="30"/>
      <c r="F849" s="30"/>
      <c r="G849" s="30"/>
      <c r="H849" s="30"/>
      <c r="I849" s="179"/>
      <c r="J849" s="180"/>
      <c r="L849" s="30"/>
      <c r="M849" s="30"/>
      <c r="N849" s="30"/>
    </row>
    <row r="850">
      <c r="B850" s="30"/>
      <c r="C850" s="30"/>
      <c r="F850" s="30"/>
      <c r="G850" s="30"/>
      <c r="H850" s="30"/>
      <c r="I850" s="179"/>
      <c r="J850" s="180"/>
      <c r="L850" s="30"/>
      <c r="M850" s="30"/>
      <c r="N850" s="30"/>
    </row>
    <row r="851">
      <c r="B851" s="30"/>
      <c r="C851" s="30"/>
      <c r="F851" s="30"/>
      <c r="G851" s="30"/>
      <c r="H851" s="30"/>
      <c r="I851" s="179"/>
      <c r="J851" s="180"/>
      <c r="L851" s="30"/>
      <c r="M851" s="30"/>
      <c r="N851" s="30"/>
    </row>
    <row r="852">
      <c r="B852" s="30"/>
      <c r="C852" s="30"/>
      <c r="F852" s="30"/>
      <c r="G852" s="30"/>
      <c r="H852" s="30"/>
      <c r="I852" s="179"/>
      <c r="J852" s="180"/>
      <c r="L852" s="30"/>
      <c r="M852" s="30"/>
      <c r="N852" s="30"/>
    </row>
    <row r="853">
      <c r="B853" s="30"/>
      <c r="C853" s="30"/>
      <c r="F853" s="30"/>
      <c r="G853" s="30"/>
      <c r="H853" s="30"/>
      <c r="I853" s="179"/>
      <c r="J853" s="180"/>
      <c r="L853" s="30"/>
      <c r="M853" s="30"/>
      <c r="N853" s="30"/>
    </row>
    <row r="854">
      <c r="B854" s="30"/>
      <c r="C854" s="30"/>
      <c r="F854" s="30"/>
      <c r="G854" s="30"/>
      <c r="H854" s="30"/>
      <c r="I854" s="179"/>
      <c r="J854" s="180"/>
      <c r="L854" s="30"/>
      <c r="M854" s="30"/>
      <c r="N854" s="30"/>
    </row>
    <row r="855">
      <c r="B855" s="30"/>
      <c r="C855" s="30"/>
      <c r="F855" s="30"/>
      <c r="G855" s="30"/>
      <c r="H855" s="30"/>
      <c r="I855" s="179"/>
      <c r="J855" s="180"/>
      <c r="L855" s="30"/>
      <c r="M855" s="30"/>
      <c r="N855" s="30"/>
    </row>
    <row r="856">
      <c r="B856" s="30"/>
      <c r="C856" s="30"/>
      <c r="F856" s="30"/>
      <c r="G856" s="30"/>
      <c r="H856" s="30"/>
      <c r="I856" s="179"/>
      <c r="J856" s="180"/>
      <c r="L856" s="30"/>
      <c r="M856" s="30"/>
      <c r="N856" s="30"/>
    </row>
    <row r="857">
      <c r="B857" s="30"/>
      <c r="C857" s="30"/>
      <c r="F857" s="30"/>
      <c r="G857" s="30"/>
      <c r="H857" s="30"/>
      <c r="I857" s="179"/>
      <c r="J857" s="180"/>
      <c r="L857" s="30"/>
      <c r="M857" s="30"/>
      <c r="N857" s="30"/>
    </row>
    <row r="858">
      <c r="B858" s="30"/>
      <c r="C858" s="30"/>
      <c r="F858" s="30"/>
      <c r="G858" s="30"/>
      <c r="H858" s="30"/>
      <c r="I858" s="179"/>
      <c r="J858" s="180"/>
      <c r="L858" s="30"/>
      <c r="M858" s="30"/>
      <c r="N858" s="30"/>
    </row>
    <row r="859">
      <c r="B859" s="30"/>
      <c r="C859" s="30"/>
      <c r="F859" s="30"/>
      <c r="G859" s="30"/>
      <c r="H859" s="30"/>
      <c r="I859" s="179"/>
      <c r="J859" s="180"/>
      <c r="L859" s="30"/>
      <c r="M859" s="30"/>
      <c r="N859" s="30"/>
    </row>
    <row r="860">
      <c r="B860" s="30"/>
      <c r="C860" s="30"/>
      <c r="F860" s="30"/>
      <c r="G860" s="30"/>
      <c r="H860" s="30"/>
      <c r="I860" s="179"/>
      <c r="J860" s="180"/>
      <c r="L860" s="30"/>
      <c r="M860" s="30"/>
      <c r="N860" s="30"/>
    </row>
    <row r="861">
      <c r="B861" s="30"/>
      <c r="C861" s="30"/>
      <c r="F861" s="30"/>
      <c r="G861" s="30"/>
      <c r="H861" s="30"/>
      <c r="I861" s="179"/>
      <c r="J861" s="180"/>
      <c r="L861" s="30"/>
      <c r="M861" s="30"/>
      <c r="N861" s="30"/>
    </row>
    <row r="862">
      <c r="B862" s="30"/>
      <c r="C862" s="30"/>
      <c r="F862" s="30"/>
      <c r="G862" s="30"/>
      <c r="H862" s="30"/>
      <c r="I862" s="179"/>
      <c r="J862" s="180"/>
      <c r="L862" s="30"/>
      <c r="M862" s="30"/>
      <c r="N862" s="30"/>
    </row>
    <row r="863">
      <c r="B863" s="30"/>
      <c r="C863" s="30"/>
      <c r="F863" s="30"/>
      <c r="G863" s="30"/>
      <c r="H863" s="30"/>
      <c r="I863" s="179"/>
      <c r="J863" s="180"/>
      <c r="L863" s="30"/>
      <c r="M863" s="30"/>
      <c r="N863" s="30"/>
    </row>
    <row r="864">
      <c r="B864" s="30"/>
      <c r="C864" s="30"/>
      <c r="F864" s="30"/>
      <c r="G864" s="30"/>
      <c r="H864" s="30"/>
      <c r="I864" s="179"/>
      <c r="J864" s="180"/>
      <c r="L864" s="30"/>
      <c r="M864" s="30"/>
      <c r="N864" s="30"/>
    </row>
    <row r="865">
      <c r="B865" s="30"/>
      <c r="C865" s="30"/>
      <c r="F865" s="30"/>
      <c r="G865" s="30"/>
      <c r="H865" s="30"/>
      <c r="I865" s="179"/>
      <c r="J865" s="180"/>
      <c r="L865" s="30"/>
      <c r="M865" s="30"/>
      <c r="N865" s="30"/>
    </row>
    <row r="866">
      <c r="B866" s="30"/>
      <c r="C866" s="30"/>
      <c r="F866" s="30"/>
      <c r="G866" s="30"/>
      <c r="H866" s="30"/>
      <c r="I866" s="179"/>
      <c r="J866" s="180"/>
      <c r="L866" s="30"/>
      <c r="M866" s="30"/>
      <c r="N866" s="30"/>
    </row>
    <row r="867">
      <c r="B867" s="30"/>
      <c r="C867" s="30"/>
      <c r="F867" s="30"/>
      <c r="G867" s="30"/>
      <c r="H867" s="30"/>
      <c r="I867" s="179"/>
      <c r="J867" s="180"/>
      <c r="L867" s="30"/>
      <c r="M867" s="30"/>
      <c r="N867" s="30"/>
    </row>
    <row r="868">
      <c r="B868" s="30"/>
      <c r="C868" s="30"/>
      <c r="F868" s="30"/>
      <c r="G868" s="30"/>
      <c r="H868" s="30"/>
      <c r="I868" s="179"/>
      <c r="J868" s="180"/>
      <c r="L868" s="30"/>
      <c r="M868" s="30"/>
      <c r="N868" s="30"/>
    </row>
    <row r="869">
      <c r="B869" s="30"/>
      <c r="C869" s="30"/>
      <c r="F869" s="30"/>
      <c r="G869" s="30"/>
      <c r="H869" s="30"/>
      <c r="I869" s="179"/>
      <c r="J869" s="180"/>
      <c r="L869" s="30"/>
      <c r="M869" s="30"/>
      <c r="N869" s="30"/>
    </row>
    <row r="870">
      <c r="B870" s="30"/>
      <c r="C870" s="30"/>
      <c r="F870" s="30"/>
      <c r="G870" s="30"/>
      <c r="H870" s="30"/>
      <c r="I870" s="179"/>
      <c r="J870" s="180"/>
      <c r="L870" s="30"/>
      <c r="M870" s="30"/>
      <c r="N870" s="30"/>
    </row>
    <row r="871">
      <c r="B871" s="30"/>
      <c r="C871" s="30"/>
      <c r="F871" s="30"/>
      <c r="G871" s="30"/>
      <c r="H871" s="30"/>
      <c r="I871" s="179"/>
      <c r="J871" s="180"/>
      <c r="L871" s="30"/>
      <c r="M871" s="30"/>
      <c r="N871" s="30"/>
    </row>
    <row r="872">
      <c r="B872" s="30"/>
      <c r="C872" s="30"/>
      <c r="F872" s="30"/>
      <c r="G872" s="30"/>
      <c r="H872" s="30"/>
      <c r="I872" s="179"/>
      <c r="J872" s="180"/>
      <c r="L872" s="30"/>
      <c r="M872" s="30"/>
      <c r="N872" s="30"/>
    </row>
    <row r="873">
      <c r="B873" s="30"/>
      <c r="C873" s="30"/>
      <c r="F873" s="30"/>
      <c r="G873" s="30"/>
      <c r="H873" s="30"/>
      <c r="I873" s="179"/>
      <c r="J873" s="180"/>
      <c r="L873" s="30"/>
      <c r="M873" s="30"/>
      <c r="N873" s="30"/>
    </row>
    <row r="874">
      <c r="B874" s="30"/>
      <c r="C874" s="30"/>
      <c r="F874" s="30"/>
      <c r="G874" s="30"/>
      <c r="H874" s="30"/>
      <c r="I874" s="179"/>
      <c r="J874" s="180"/>
      <c r="L874" s="30"/>
      <c r="M874" s="30"/>
      <c r="N874" s="30"/>
    </row>
    <row r="875">
      <c r="B875" s="30"/>
      <c r="C875" s="30"/>
      <c r="F875" s="30"/>
      <c r="G875" s="30"/>
      <c r="H875" s="30"/>
      <c r="I875" s="179"/>
      <c r="J875" s="180"/>
      <c r="L875" s="30"/>
      <c r="M875" s="30"/>
      <c r="N875" s="30"/>
    </row>
    <row r="876">
      <c r="B876" s="30"/>
      <c r="C876" s="30"/>
      <c r="F876" s="30"/>
      <c r="G876" s="30"/>
      <c r="H876" s="30"/>
      <c r="I876" s="179"/>
      <c r="J876" s="180"/>
      <c r="L876" s="30"/>
      <c r="M876" s="30"/>
      <c r="N876" s="30"/>
    </row>
    <row r="877">
      <c r="B877" s="30"/>
      <c r="C877" s="30"/>
      <c r="F877" s="30"/>
      <c r="G877" s="30"/>
      <c r="H877" s="30"/>
      <c r="I877" s="179"/>
      <c r="J877" s="180"/>
      <c r="L877" s="30"/>
      <c r="M877" s="30"/>
      <c r="N877" s="30"/>
    </row>
    <row r="878">
      <c r="B878" s="30"/>
      <c r="C878" s="30"/>
      <c r="F878" s="30"/>
      <c r="G878" s="30"/>
      <c r="H878" s="30"/>
      <c r="I878" s="179"/>
      <c r="J878" s="180"/>
      <c r="L878" s="30"/>
      <c r="M878" s="30"/>
      <c r="N878" s="30"/>
    </row>
    <row r="879">
      <c r="B879" s="30"/>
      <c r="C879" s="30"/>
      <c r="F879" s="30"/>
      <c r="G879" s="30"/>
      <c r="H879" s="30"/>
      <c r="I879" s="179"/>
      <c r="J879" s="180"/>
      <c r="L879" s="30"/>
      <c r="M879" s="30"/>
      <c r="N879" s="30"/>
    </row>
    <row r="880">
      <c r="B880" s="30"/>
      <c r="C880" s="30"/>
      <c r="F880" s="30"/>
      <c r="G880" s="30"/>
      <c r="H880" s="30"/>
      <c r="I880" s="179"/>
      <c r="J880" s="180"/>
      <c r="L880" s="30"/>
      <c r="M880" s="30"/>
      <c r="N880" s="30"/>
    </row>
    <row r="881">
      <c r="B881" s="30"/>
      <c r="C881" s="30"/>
      <c r="F881" s="30"/>
      <c r="G881" s="30"/>
      <c r="H881" s="30"/>
      <c r="I881" s="179"/>
      <c r="J881" s="180"/>
      <c r="L881" s="30"/>
      <c r="M881" s="30"/>
      <c r="N881" s="30"/>
    </row>
    <row r="882">
      <c r="B882" s="30"/>
      <c r="C882" s="30"/>
      <c r="F882" s="30"/>
      <c r="G882" s="30"/>
      <c r="H882" s="30"/>
      <c r="I882" s="179"/>
      <c r="J882" s="180"/>
      <c r="L882" s="30"/>
      <c r="M882" s="30"/>
      <c r="N882" s="30"/>
    </row>
    <row r="883">
      <c r="B883" s="30"/>
      <c r="C883" s="30"/>
      <c r="F883" s="30"/>
      <c r="G883" s="30"/>
      <c r="H883" s="30"/>
      <c r="I883" s="179"/>
      <c r="J883" s="180"/>
      <c r="L883" s="30"/>
      <c r="M883" s="30"/>
      <c r="N883" s="30"/>
    </row>
    <row r="884">
      <c r="B884" s="30"/>
      <c r="C884" s="30"/>
      <c r="F884" s="30"/>
      <c r="G884" s="30"/>
      <c r="H884" s="30"/>
      <c r="I884" s="179"/>
      <c r="J884" s="180"/>
      <c r="L884" s="30"/>
      <c r="M884" s="30"/>
      <c r="N884" s="30"/>
    </row>
    <row r="885">
      <c r="B885" s="30"/>
      <c r="C885" s="30"/>
      <c r="F885" s="30"/>
      <c r="G885" s="30"/>
      <c r="H885" s="30"/>
      <c r="I885" s="179"/>
      <c r="J885" s="180"/>
      <c r="L885" s="30"/>
      <c r="M885" s="30"/>
      <c r="N885" s="30"/>
    </row>
    <row r="886">
      <c r="B886" s="30"/>
      <c r="C886" s="30"/>
      <c r="F886" s="30"/>
      <c r="G886" s="30"/>
      <c r="H886" s="30"/>
      <c r="I886" s="179"/>
      <c r="J886" s="180"/>
      <c r="L886" s="30"/>
      <c r="M886" s="30"/>
      <c r="N886" s="30"/>
    </row>
    <row r="887">
      <c r="B887" s="30"/>
      <c r="C887" s="30"/>
      <c r="F887" s="30"/>
      <c r="G887" s="30"/>
      <c r="H887" s="30"/>
      <c r="I887" s="179"/>
      <c r="J887" s="180"/>
      <c r="L887" s="30"/>
      <c r="M887" s="30"/>
      <c r="N887" s="30"/>
    </row>
    <row r="888">
      <c r="B888" s="30"/>
      <c r="C888" s="30"/>
      <c r="F888" s="30"/>
      <c r="G888" s="30"/>
      <c r="H888" s="30"/>
      <c r="I888" s="179"/>
      <c r="J888" s="180"/>
      <c r="L888" s="30"/>
      <c r="M888" s="30"/>
      <c r="N888" s="30"/>
    </row>
    <row r="889">
      <c r="B889" s="30"/>
      <c r="C889" s="30"/>
      <c r="F889" s="30"/>
      <c r="G889" s="30"/>
      <c r="H889" s="30"/>
      <c r="I889" s="179"/>
      <c r="J889" s="180"/>
      <c r="L889" s="30"/>
      <c r="M889" s="30"/>
      <c r="N889" s="30"/>
    </row>
    <row r="890">
      <c r="B890" s="30"/>
      <c r="C890" s="30"/>
      <c r="F890" s="30"/>
      <c r="G890" s="30"/>
      <c r="H890" s="30"/>
      <c r="I890" s="179"/>
      <c r="J890" s="180"/>
      <c r="L890" s="30"/>
      <c r="M890" s="30"/>
      <c r="N890" s="30"/>
    </row>
    <row r="891">
      <c r="B891" s="30"/>
      <c r="C891" s="30"/>
      <c r="F891" s="30"/>
      <c r="G891" s="30"/>
      <c r="H891" s="30"/>
      <c r="I891" s="179"/>
      <c r="J891" s="180"/>
      <c r="L891" s="30"/>
      <c r="M891" s="30"/>
      <c r="N891" s="30"/>
    </row>
    <row r="892">
      <c r="B892" s="30"/>
      <c r="C892" s="30"/>
      <c r="F892" s="30"/>
      <c r="G892" s="30"/>
      <c r="H892" s="30"/>
      <c r="I892" s="179"/>
      <c r="J892" s="180"/>
      <c r="L892" s="30"/>
      <c r="M892" s="30"/>
      <c r="N892" s="30"/>
    </row>
    <row r="893">
      <c r="B893" s="30"/>
      <c r="C893" s="30"/>
      <c r="F893" s="30"/>
      <c r="G893" s="30"/>
      <c r="H893" s="30"/>
      <c r="I893" s="179"/>
      <c r="J893" s="180"/>
      <c r="L893" s="30"/>
      <c r="M893" s="30"/>
      <c r="N893" s="30"/>
    </row>
    <row r="894">
      <c r="B894" s="30"/>
      <c r="C894" s="30"/>
      <c r="F894" s="30"/>
      <c r="G894" s="30"/>
      <c r="H894" s="30"/>
      <c r="I894" s="179"/>
      <c r="J894" s="180"/>
      <c r="L894" s="30"/>
      <c r="M894" s="30"/>
      <c r="N894" s="30"/>
    </row>
    <row r="895">
      <c r="B895" s="30"/>
      <c r="C895" s="30"/>
      <c r="F895" s="30"/>
      <c r="G895" s="30"/>
      <c r="H895" s="30"/>
      <c r="I895" s="179"/>
      <c r="J895" s="180"/>
      <c r="L895" s="30"/>
      <c r="M895" s="30"/>
      <c r="N895" s="30"/>
    </row>
    <row r="896">
      <c r="B896" s="30"/>
      <c r="C896" s="30"/>
      <c r="F896" s="30"/>
      <c r="G896" s="30"/>
      <c r="H896" s="30"/>
      <c r="I896" s="179"/>
      <c r="J896" s="180"/>
      <c r="L896" s="30"/>
      <c r="M896" s="30"/>
      <c r="N896" s="30"/>
    </row>
    <row r="897">
      <c r="B897" s="30"/>
      <c r="C897" s="30"/>
      <c r="F897" s="30"/>
      <c r="G897" s="30"/>
      <c r="H897" s="30"/>
      <c r="I897" s="179"/>
      <c r="J897" s="180"/>
      <c r="L897" s="30"/>
      <c r="M897" s="30"/>
      <c r="N897" s="30"/>
    </row>
    <row r="898">
      <c r="B898" s="30"/>
      <c r="C898" s="30"/>
      <c r="F898" s="30"/>
      <c r="G898" s="30"/>
      <c r="H898" s="30"/>
      <c r="I898" s="179"/>
      <c r="J898" s="180"/>
      <c r="L898" s="30"/>
      <c r="M898" s="30"/>
      <c r="N898" s="30"/>
    </row>
    <row r="899">
      <c r="B899" s="30"/>
      <c r="C899" s="30"/>
      <c r="F899" s="30"/>
      <c r="G899" s="30"/>
      <c r="H899" s="30"/>
      <c r="I899" s="179"/>
      <c r="J899" s="180"/>
      <c r="L899" s="30"/>
      <c r="M899" s="30"/>
      <c r="N899" s="30"/>
    </row>
    <row r="900">
      <c r="B900" s="30"/>
      <c r="C900" s="30"/>
      <c r="F900" s="30"/>
      <c r="G900" s="30"/>
      <c r="H900" s="30"/>
      <c r="I900" s="179"/>
      <c r="J900" s="180"/>
      <c r="L900" s="30"/>
      <c r="M900" s="30"/>
      <c r="N900" s="30"/>
    </row>
    <row r="901">
      <c r="B901" s="30"/>
      <c r="C901" s="30"/>
      <c r="F901" s="30"/>
      <c r="G901" s="30"/>
      <c r="H901" s="30"/>
      <c r="I901" s="179"/>
      <c r="J901" s="180"/>
      <c r="L901" s="30"/>
      <c r="M901" s="30"/>
      <c r="N901" s="30"/>
    </row>
    <row r="902">
      <c r="B902" s="30"/>
      <c r="C902" s="30"/>
      <c r="F902" s="30"/>
      <c r="G902" s="30"/>
      <c r="H902" s="30"/>
      <c r="I902" s="179"/>
      <c r="J902" s="180"/>
      <c r="L902" s="30"/>
      <c r="M902" s="30"/>
      <c r="N902" s="30"/>
    </row>
    <row r="903">
      <c r="B903" s="30"/>
      <c r="C903" s="30"/>
      <c r="F903" s="30"/>
      <c r="G903" s="30"/>
      <c r="H903" s="30"/>
      <c r="I903" s="179"/>
      <c r="J903" s="180"/>
      <c r="L903" s="30"/>
      <c r="M903" s="30"/>
      <c r="N903" s="30"/>
    </row>
    <row r="904">
      <c r="B904" s="30"/>
      <c r="C904" s="30"/>
      <c r="F904" s="30"/>
      <c r="G904" s="30"/>
      <c r="H904" s="30"/>
      <c r="I904" s="179"/>
      <c r="J904" s="180"/>
      <c r="L904" s="30"/>
      <c r="M904" s="30"/>
      <c r="N904" s="30"/>
    </row>
    <row r="905">
      <c r="B905" s="30"/>
      <c r="C905" s="30"/>
      <c r="F905" s="30"/>
      <c r="G905" s="30"/>
      <c r="H905" s="30"/>
      <c r="I905" s="179"/>
      <c r="J905" s="180"/>
      <c r="L905" s="30"/>
      <c r="M905" s="30"/>
      <c r="N905" s="30"/>
    </row>
    <row r="906">
      <c r="B906" s="30"/>
      <c r="C906" s="30"/>
      <c r="F906" s="30"/>
      <c r="G906" s="30"/>
      <c r="H906" s="30"/>
      <c r="I906" s="179"/>
      <c r="J906" s="180"/>
      <c r="L906" s="30"/>
      <c r="M906" s="30"/>
      <c r="N906" s="30"/>
    </row>
    <row r="907">
      <c r="B907" s="30"/>
      <c r="C907" s="30"/>
      <c r="F907" s="30"/>
      <c r="G907" s="30"/>
      <c r="H907" s="30"/>
      <c r="I907" s="179"/>
      <c r="J907" s="180"/>
      <c r="L907" s="30"/>
      <c r="M907" s="30"/>
      <c r="N907" s="30"/>
    </row>
    <row r="908">
      <c r="B908" s="30"/>
      <c r="C908" s="30"/>
      <c r="F908" s="30"/>
      <c r="G908" s="30"/>
      <c r="H908" s="30"/>
      <c r="I908" s="179"/>
      <c r="J908" s="180"/>
      <c r="L908" s="30"/>
      <c r="M908" s="30"/>
      <c r="N908" s="30"/>
    </row>
    <row r="909">
      <c r="B909" s="30"/>
      <c r="C909" s="30"/>
      <c r="F909" s="30"/>
      <c r="G909" s="30"/>
      <c r="H909" s="30"/>
      <c r="I909" s="179"/>
      <c r="J909" s="180"/>
      <c r="L909" s="30"/>
      <c r="M909" s="30"/>
      <c r="N909" s="30"/>
    </row>
    <row r="910">
      <c r="B910" s="30"/>
      <c r="C910" s="30"/>
      <c r="F910" s="30"/>
      <c r="G910" s="30"/>
      <c r="H910" s="30"/>
      <c r="I910" s="179"/>
      <c r="J910" s="180"/>
      <c r="L910" s="30"/>
      <c r="M910" s="30"/>
      <c r="N910" s="30"/>
    </row>
    <row r="911">
      <c r="B911" s="30"/>
      <c r="C911" s="30"/>
      <c r="F911" s="30"/>
      <c r="G911" s="30"/>
      <c r="H911" s="30"/>
      <c r="I911" s="179"/>
      <c r="J911" s="180"/>
      <c r="L911" s="30"/>
      <c r="M911" s="30"/>
      <c r="N911" s="30"/>
    </row>
    <row r="912">
      <c r="B912" s="30"/>
      <c r="C912" s="30"/>
      <c r="F912" s="30"/>
      <c r="G912" s="30"/>
      <c r="H912" s="30"/>
      <c r="I912" s="179"/>
      <c r="J912" s="180"/>
      <c r="L912" s="30"/>
      <c r="M912" s="30"/>
      <c r="N912" s="30"/>
    </row>
    <row r="913">
      <c r="B913" s="30"/>
      <c r="C913" s="30"/>
      <c r="F913" s="30"/>
      <c r="G913" s="30"/>
      <c r="H913" s="30"/>
      <c r="I913" s="179"/>
      <c r="J913" s="180"/>
      <c r="L913" s="30"/>
      <c r="M913" s="30"/>
      <c r="N913" s="30"/>
    </row>
    <row r="914">
      <c r="B914" s="30"/>
      <c r="C914" s="30"/>
      <c r="F914" s="30"/>
      <c r="G914" s="30"/>
      <c r="H914" s="30"/>
      <c r="I914" s="179"/>
      <c r="J914" s="180"/>
      <c r="L914" s="30"/>
      <c r="M914" s="30"/>
      <c r="N914" s="30"/>
    </row>
    <row r="915">
      <c r="B915" s="30"/>
      <c r="C915" s="30"/>
      <c r="F915" s="30"/>
      <c r="G915" s="30"/>
      <c r="H915" s="30"/>
      <c r="I915" s="179"/>
      <c r="J915" s="180"/>
      <c r="L915" s="30"/>
      <c r="M915" s="30"/>
      <c r="N915" s="30"/>
    </row>
    <row r="916">
      <c r="B916" s="30"/>
      <c r="C916" s="30"/>
      <c r="F916" s="30"/>
      <c r="G916" s="30"/>
      <c r="H916" s="30"/>
      <c r="I916" s="179"/>
      <c r="J916" s="180"/>
      <c r="L916" s="30"/>
      <c r="M916" s="30"/>
      <c r="N916" s="30"/>
    </row>
    <row r="917">
      <c r="B917" s="30"/>
      <c r="C917" s="30"/>
      <c r="F917" s="30"/>
      <c r="G917" s="30"/>
      <c r="H917" s="30"/>
      <c r="I917" s="179"/>
      <c r="J917" s="180"/>
      <c r="L917" s="30"/>
      <c r="M917" s="30"/>
      <c r="N917" s="30"/>
    </row>
    <row r="918">
      <c r="B918" s="30"/>
      <c r="C918" s="30"/>
      <c r="F918" s="30"/>
      <c r="G918" s="30"/>
      <c r="H918" s="30"/>
      <c r="I918" s="179"/>
      <c r="J918" s="180"/>
      <c r="L918" s="30"/>
      <c r="M918" s="30"/>
      <c r="N918" s="30"/>
    </row>
    <row r="919">
      <c r="B919" s="30"/>
      <c r="C919" s="30"/>
      <c r="F919" s="30"/>
      <c r="G919" s="30"/>
      <c r="H919" s="30"/>
      <c r="I919" s="179"/>
      <c r="J919" s="180"/>
      <c r="L919" s="30"/>
      <c r="M919" s="30"/>
      <c r="N919" s="30"/>
    </row>
    <row r="920">
      <c r="B920" s="30"/>
      <c r="C920" s="30"/>
      <c r="F920" s="30"/>
      <c r="G920" s="30"/>
      <c r="H920" s="30"/>
      <c r="I920" s="179"/>
      <c r="J920" s="180"/>
      <c r="L920" s="30"/>
      <c r="M920" s="30"/>
      <c r="N920" s="30"/>
    </row>
    <row r="921">
      <c r="B921" s="30"/>
      <c r="C921" s="30"/>
      <c r="F921" s="30"/>
      <c r="G921" s="30"/>
      <c r="H921" s="30"/>
      <c r="I921" s="179"/>
      <c r="J921" s="180"/>
      <c r="L921" s="30"/>
      <c r="M921" s="30"/>
      <c r="N921" s="30"/>
    </row>
    <row r="922">
      <c r="B922" s="30"/>
      <c r="C922" s="30"/>
      <c r="F922" s="30"/>
      <c r="G922" s="30"/>
      <c r="H922" s="30"/>
      <c r="I922" s="179"/>
      <c r="J922" s="180"/>
      <c r="L922" s="30"/>
      <c r="M922" s="30"/>
      <c r="N922" s="30"/>
    </row>
    <row r="923">
      <c r="B923" s="30"/>
      <c r="C923" s="30"/>
      <c r="F923" s="30"/>
      <c r="G923" s="30"/>
      <c r="H923" s="30"/>
      <c r="I923" s="179"/>
      <c r="J923" s="180"/>
      <c r="L923" s="30"/>
      <c r="M923" s="30"/>
      <c r="N923" s="30"/>
    </row>
    <row r="924">
      <c r="B924" s="30"/>
      <c r="C924" s="30"/>
      <c r="F924" s="30"/>
      <c r="G924" s="30"/>
      <c r="H924" s="30"/>
      <c r="I924" s="179"/>
      <c r="J924" s="180"/>
      <c r="L924" s="30"/>
      <c r="M924" s="30"/>
      <c r="N924" s="30"/>
    </row>
    <row r="925">
      <c r="B925" s="30"/>
      <c r="C925" s="30"/>
      <c r="F925" s="30"/>
      <c r="G925" s="30"/>
      <c r="H925" s="30"/>
      <c r="I925" s="179"/>
      <c r="J925" s="180"/>
      <c r="L925" s="30"/>
      <c r="M925" s="30"/>
      <c r="N925" s="30"/>
    </row>
    <row r="926">
      <c r="B926" s="30"/>
      <c r="C926" s="30"/>
      <c r="F926" s="30"/>
      <c r="G926" s="30"/>
      <c r="H926" s="30"/>
      <c r="I926" s="179"/>
      <c r="J926" s="180"/>
      <c r="L926" s="30"/>
      <c r="M926" s="30"/>
      <c r="N926" s="30"/>
    </row>
    <row r="927">
      <c r="B927" s="30"/>
      <c r="C927" s="30"/>
      <c r="F927" s="30"/>
      <c r="G927" s="30"/>
      <c r="H927" s="30"/>
      <c r="I927" s="179"/>
      <c r="J927" s="180"/>
      <c r="L927" s="30"/>
      <c r="M927" s="30"/>
      <c r="N927" s="30"/>
    </row>
    <row r="928">
      <c r="B928" s="30"/>
      <c r="C928" s="30"/>
      <c r="F928" s="30"/>
      <c r="G928" s="30"/>
      <c r="H928" s="30"/>
      <c r="I928" s="179"/>
      <c r="J928" s="180"/>
      <c r="L928" s="30"/>
      <c r="M928" s="30"/>
      <c r="N928" s="30"/>
    </row>
    <row r="929">
      <c r="B929" s="30"/>
      <c r="C929" s="30"/>
      <c r="F929" s="30"/>
      <c r="G929" s="30"/>
      <c r="H929" s="30"/>
      <c r="I929" s="179"/>
      <c r="J929" s="180"/>
      <c r="L929" s="30"/>
      <c r="M929" s="30"/>
      <c r="N929" s="30"/>
    </row>
    <row r="930">
      <c r="B930" s="30"/>
      <c r="C930" s="30"/>
      <c r="F930" s="30"/>
      <c r="G930" s="30"/>
      <c r="H930" s="30"/>
      <c r="I930" s="179"/>
      <c r="J930" s="180"/>
      <c r="L930" s="30"/>
      <c r="M930" s="30"/>
      <c r="N930" s="30"/>
    </row>
    <row r="931">
      <c r="B931" s="30"/>
      <c r="C931" s="30"/>
      <c r="F931" s="30"/>
      <c r="G931" s="30"/>
      <c r="H931" s="30"/>
      <c r="I931" s="179"/>
      <c r="J931" s="180"/>
      <c r="L931" s="30"/>
      <c r="M931" s="30"/>
      <c r="N931" s="30"/>
    </row>
    <row r="932">
      <c r="B932" s="30"/>
      <c r="C932" s="30"/>
      <c r="F932" s="30"/>
      <c r="G932" s="30"/>
      <c r="H932" s="30"/>
      <c r="I932" s="179"/>
      <c r="J932" s="180"/>
      <c r="L932" s="30"/>
      <c r="M932" s="30"/>
      <c r="N932" s="30"/>
    </row>
    <row r="933">
      <c r="B933" s="30"/>
      <c r="C933" s="30"/>
      <c r="F933" s="30"/>
      <c r="G933" s="30"/>
      <c r="H933" s="30"/>
      <c r="I933" s="179"/>
      <c r="J933" s="180"/>
      <c r="L933" s="30"/>
      <c r="M933" s="30"/>
      <c r="N933" s="30"/>
    </row>
    <row r="934">
      <c r="B934" s="30"/>
      <c r="C934" s="30"/>
      <c r="F934" s="30"/>
      <c r="G934" s="30"/>
      <c r="H934" s="30"/>
      <c r="I934" s="179"/>
      <c r="J934" s="180"/>
      <c r="L934" s="30"/>
      <c r="M934" s="30"/>
      <c r="N934" s="30"/>
    </row>
    <row r="935">
      <c r="B935" s="30"/>
      <c r="C935" s="30"/>
      <c r="F935" s="30"/>
      <c r="G935" s="30"/>
      <c r="H935" s="30"/>
      <c r="I935" s="179"/>
      <c r="J935" s="180"/>
      <c r="L935" s="30"/>
      <c r="M935" s="30"/>
      <c r="N935" s="30"/>
    </row>
    <row r="936">
      <c r="B936" s="30"/>
      <c r="C936" s="30"/>
      <c r="F936" s="30"/>
      <c r="G936" s="30"/>
      <c r="H936" s="30"/>
      <c r="I936" s="179"/>
      <c r="J936" s="180"/>
      <c r="L936" s="30"/>
      <c r="M936" s="30"/>
      <c r="N936" s="30"/>
    </row>
    <row r="937">
      <c r="B937" s="30"/>
      <c r="C937" s="30"/>
      <c r="F937" s="30"/>
      <c r="G937" s="30"/>
      <c r="H937" s="30"/>
      <c r="I937" s="179"/>
      <c r="J937" s="180"/>
      <c r="L937" s="30"/>
      <c r="M937" s="30"/>
      <c r="N937" s="30"/>
    </row>
    <row r="938">
      <c r="B938" s="30"/>
      <c r="C938" s="30"/>
      <c r="F938" s="30"/>
      <c r="G938" s="30"/>
      <c r="H938" s="30"/>
      <c r="I938" s="179"/>
      <c r="J938" s="180"/>
      <c r="L938" s="30"/>
      <c r="M938" s="30"/>
      <c r="N938" s="30"/>
    </row>
    <row r="939">
      <c r="B939" s="30"/>
      <c r="C939" s="30"/>
      <c r="F939" s="30"/>
      <c r="G939" s="30"/>
      <c r="H939" s="30"/>
      <c r="I939" s="179"/>
      <c r="J939" s="180"/>
      <c r="L939" s="30"/>
      <c r="M939" s="30"/>
      <c r="N939" s="30"/>
    </row>
    <row r="940">
      <c r="B940" s="30"/>
      <c r="C940" s="30"/>
      <c r="F940" s="30"/>
      <c r="G940" s="30"/>
      <c r="H940" s="30"/>
      <c r="I940" s="179"/>
      <c r="J940" s="180"/>
      <c r="L940" s="30"/>
      <c r="M940" s="30"/>
      <c r="N940" s="30"/>
    </row>
    <row r="941">
      <c r="B941" s="30"/>
      <c r="C941" s="30"/>
      <c r="F941" s="30"/>
      <c r="G941" s="30"/>
      <c r="H941" s="30"/>
      <c r="I941" s="179"/>
      <c r="J941" s="180"/>
      <c r="L941" s="30"/>
      <c r="M941" s="30"/>
      <c r="N941" s="30"/>
    </row>
    <row r="942">
      <c r="B942" s="30"/>
      <c r="C942" s="30"/>
      <c r="F942" s="30"/>
      <c r="G942" s="30"/>
      <c r="H942" s="30"/>
      <c r="I942" s="179"/>
      <c r="J942" s="180"/>
      <c r="L942" s="30"/>
      <c r="M942" s="30"/>
      <c r="N942" s="30"/>
    </row>
    <row r="943">
      <c r="B943" s="30"/>
      <c r="C943" s="30"/>
      <c r="F943" s="30"/>
      <c r="G943" s="30"/>
      <c r="H943" s="30"/>
      <c r="I943" s="179"/>
      <c r="J943" s="180"/>
      <c r="L943" s="30"/>
      <c r="M943" s="30"/>
      <c r="N943" s="30"/>
    </row>
    <row r="944">
      <c r="B944" s="30"/>
      <c r="C944" s="30"/>
      <c r="F944" s="30"/>
      <c r="G944" s="30"/>
      <c r="H944" s="30"/>
      <c r="I944" s="179"/>
      <c r="J944" s="180"/>
      <c r="L944" s="30"/>
      <c r="M944" s="30"/>
      <c r="N944" s="30"/>
    </row>
    <row r="945">
      <c r="B945" s="30"/>
      <c r="C945" s="30"/>
      <c r="F945" s="30"/>
      <c r="G945" s="30"/>
      <c r="H945" s="30"/>
      <c r="I945" s="179"/>
      <c r="J945" s="180"/>
      <c r="L945" s="30"/>
      <c r="M945" s="30"/>
      <c r="N945" s="30"/>
    </row>
    <row r="946">
      <c r="B946" s="30"/>
      <c r="C946" s="30"/>
      <c r="F946" s="30"/>
      <c r="G946" s="30"/>
      <c r="H946" s="30"/>
      <c r="I946" s="179"/>
      <c r="J946" s="180"/>
      <c r="L946" s="30"/>
      <c r="M946" s="30"/>
      <c r="N946" s="30"/>
    </row>
    <row r="947">
      <c r="B947" s="30"/>
      <c r="C947" s="30"/>
      <c r="F947" s="30"/>
      <c r="G947" s="30"/>
      <c r="H947" s="30"/>
      <c r="I947" s="179"/>
      <c r="J947" s="180"/>
      <c r="L947" s="30"/>
      <c r="M947" s="30"/>
      <c r="N947" s="30"/>
    </row>
    <row r="948">
      <c r="B948" s="30"/>
      <c r="C948" s="30"/>
      <c r="F948" s="30"/>
      <c r="G948" s="30"/>
      <c r="H948" s="30"/>
      <c r="I948" s="179"/>
      <c r="J948" s="180"/>
      <c r="L948" s="30"/>
      <c r="M948" s="30"/>
      <c r="N948" s="30"/>
    </row>
    <row r="949">
      <c r="B949" s="30"/>
      <c r="C949" s="30"/>
      <c r="F949" s="30"/>
      <c r="G949" s="30"/>
      <c r="H949" s="30"/>
      <c r="I949" s="179"/>
      <c r="J949" s="180"/>
      <c r="L949" s="30"/>
      <c r="M949" s="30"/>
      <c r="N949" s="30"/>
    </row>
    <row r="950">
      <c r="B950" s="30"/>
      <c r="C950" s="30"/>
      <c r="F950" s="30"/>
      <c r="G950" s="30"/>
      <c r="H950" s="30"/>
      <c r="I950" s="179"/>
      <c r="J950" s="180"/>
      <c r="L950" s="30"/>
      <c r="M950" s="30"/>
      <c r="N950" s="30"/>
    </row>
    <row r="951">
      <c r="B951" s="30"/>
      <c r="C951" s="30"/>
      <c r="F951" s="30"/>
      <c r="G951" s="30"/>
      <c r="H951" s="30"/>
      <c r="I951" s="179"/>
      <c r="J951" s="180"/>
      <c r="L951" s="30"/>
      <c r="M951" s="30"/>
      <c r="N951" s="30"/>
    </row>
    <row r="952">
      <c r="B952" s="30"/>
      <c r="C952" s="30"/>
      <c r="F952" s="30"/>
      <c r="G952" s="30"/>
      <c r="H952" s="30"/>
      <c r="I952" s="179"/>
      <c r="J952" s="180"/>
      <c r="L952" s="30"/>
      <c r="M952" s="30"/>
      <c r="N952" s="30"/>
    </row>
    <row r="953">
      <c r="B953" s="30"/>
      <c r="C953" s="30"/>
      <c r="F953" s="30"/>
      <c r="G953" s="30"/>
      <c r="H953" s="30"/>
      <c r="I953" s="179"/>
      <c r="J953" s="180"/>
      <c r="L953" s="30"/>
      <c r="M953" s="30"/>
      <c r="N953" s="30"/>
    </row>
    <row r="954">
      <c r="B954" s="30"/>
      <c r="C954" s="30"/>
      <c r="F954" s="30"/>
      <c r="G954" s="30"/>
      <c r="H954" s="30"/>
      <c r="I954" s="179"/>
      <c r="J954" s="180"/>
      <c r="L954" s="30"/>
      <c r="M954" s="30"/>
      <c r="N954" s="30"/>
    </row>
    <row r="955">
      <c r="B955" s="30"/>
      <c r="C955" s="30"/>
      <c r="F955" s="30"/>
      <c r="G955" s="30"/>
      <c r="H955" s="30"/>
      <c r="I955" s="179"/>
      <c r="J955" s="180"/>
      <c r="L955" s="30"/>
      <c r="M955" s="30"/>
      <c r="N955" s="30"/>
    </row>
    <row r="956">
      <c r="B956" s="30"/>
      <c r="C956" s="30"/>
      <c r="F956" s="30"/>
      <c r="G956" s="30"/>
      <c r="H956" s="30"/>
      <c r="I956" s="179"/>
      <c r="J956" s="180"/>
      <c r="L956" s="30"/>
      <c r="M956" s="30"/>
      <c r="N956" s="30"/>
    </row>
    <row r="957">
      <c r="B957" s="30"/>
      <c r="C957" s="30"/>
      <c r="F957" s="30"/>
      <c r="G957" s="30"/>
      <c r="H957" s="30"/>
      <c r="I957" s="179"/>
      <c r="J957" s="180"/>
      <c r="L957" s="30"/>
      <c r="M957" s="30"/>
      <c r="N957" s="30"/>
    </row>
    <row r="958">
      <c r="B958" s="30"/>
      <c r="C958" s="30"/>
      <c r="F958" s="30"/>
      <c r="G958" s="30"/>
      <c r="H958" s="30"/>
      <c r="I958" s="179"/>
      <c r="J958" s="180"/>
      <c r="L958" s="30"/>
      <c r="M958" s="30"/>
      <c r="N958" s="30"/>
    </row>
    <row r="959">
      <c r="B959" s="30"/>
      <c r="C959" s="30"/>
      <c r="F959" s="30"/>
      <c r="G959" s="30"/>
      <c r="H959" s="30"/>
      <c r="I959" s="179"/>
      <c r="J959" s="180"/>
      <c r="L959" s="30"/>
      <c r="M959" s="30"/>
      <c r="N959" s="30"/>
    </row>
    <row r="960">
      <c r="B960" s="30"/>
      <c r="C960" s="30"/>
      <c r="F960" s="30"/>
      <c r="G960" s="30"/>
      <c r="H960" s="30"/>
      <c r="I960" s="179"/>
      <c r="J960" s="180"/>
      <c r="L960" s="30"/>
      <c r="M960" s="30"/>
      <c r="N960" s="30"/>
    </row>
    <row r="961">
      <c r="B961" s="30"/>
      <c r="C961" s="30"/>
      <c r="F961" s="30"/>
      <c r="G961" s="30"/>
      <c r="H961" s="30"/>
      <c r="I961" s="179"/>
      <c r="J961" s="180"/>
      <c r="L961" s="30"/>
      <c r="M961" s="30"/>
      <c r="N961" s="30"/>
    </row>
    <row r="962">
      <c r="B962" s="30"/>
      <c r="C962" s="30"/>
      <c r="F962" s="30"/>
      <c r="G962" s="30"/>
      <c r="H962" s="30"/>
      <c r="I962" s="179"/>
      <c r="J962" s="180"/>
      <c r="L962" s="30"/>
      <c r="M962" s="30"/>
      <c r="N962" s="30"/>
    </row>
    <row r="963">
      <c r="B963" s="30"/>
      <c r="C963" s="30"/>
      <c r="F963" s="30"/>
      <c r="G963" s="30"/>
      <c r="H963" s="30"/>
      <c r="I963" s="179"/>
      <c r="J963" s="180"/>
      <c r="L963" s="30"/>
      <c r="M963" s="30"/>
      <c r="N963" s="30"/>
    </row>
    <row r="964">
      <c r="B964" s="30"/>
      <c r="C964" s="30"/>
      <c r="F964" s="30"/>
      <c r="G964" s="30"/>
      <c r="H964" s="30"/>
      <c r="I964" s="179"/>
      <c r="J964" s="180"/>
      <c r="L964" s="30"/>
      <c r="M964" s="30"/>
      <c r="N964" s="30"/>
    </row>
    <row r="965">
      <c r="B965" s="30"/>
      <c r="C965" s="30"/>
      <c r="F965" s="30"/>
      <c r="G965" s="30"/>
      <c r="H965" s="30"/>
      <c r="I965" s="179"/>
      <c r="J965" s="180"/>
      <c r="L965" s="30"/>
      <c r="M965" s="30"/>
      <c r="N965" s="30"/>
    </row>
    <row r="966">
      <c r="B966" s="30"/>
      <c r="C966" s="30"/>
      <c r="F966" s="30"/>
      <c r="G966" s="30"/>
      <c r="H966" s="30"/>
      <c r="I966" s="179"/>
      <c r="J966" s="180"/>
      <c r="L966" s="30"/>
      <c r="M966" s="30"/>
      <c r="N966" s="30"/>
    </row>
    <row r="967">
      <c r="B967" s="30"/>
      <c r="C967" s="30"/>
      <c r="F967" s="30"/>
      <c r="G967" s="30"/>
      <c r="H967" s="30"/>
      <c r="I967" s="179"/>
      <c r="J967" s="180"/>
      <c r="L967" s="30"/>
      <c r="M967" s="30"/>
      <c r="N967" s="30"/>
    </row>
    <row r="968">
      <c r="B968" s="30"/>
      <c r="C968" s="30"/>
      <c r="F968" s="30"/>
      <c r="G968" s="30"/>
      <c r="H968" s="30"/>
      <c r="I968" s="179"/>
      <c r="J968" s="180"/>
      <c r="L968" s="30"/>
      <c r="M968" s="30"/>
      <c r="N968" s="30"/>
    </row>
    <row r="969">
      <c r="B969" s="30"/>
      <c r="C969" s="30"/>
      <c r="F969" s="30"/>
      <c r="G969" s="30"/>
      <c r="H969" s="30"/>
      <c r="I969" s="179"/>
      <c r="J969" s="180"/>
      <c r="L969" s="30"/>
      <c r="M969" s="30"/>
      <c r="N969" s="30"/>
    </row>
    <row r="970">
      <c r="B970" s="30"/>
      <c r="C970" s="30"/>
      <c r="F970" s="30"/>
      <c r="G970" s="30"/>
      <c r="H970" s="30"/>
      <c r="I970" s="179"/>
      <c r="J970" s="180"/>
      <c r="L970" s="30"/>
      <c r="M970" s="30"/>
      <c r="N970" s="30"/>
    </row>
    <row r="971">
      <c r="B971" s="30"/>
      <c r="C971" s="30"/>
      <c r="F971" s="30"/>
      <c r="G971" s="30"/>
      <c r="H971" s="30"/>
      <c r="I971" s="179"/>
      <c r="J971" s="180"/>
      <c r="L971" s="30"/>
      <c r="M971" s="30"/>
      <c r="N971" s="30"/>
    </row>
    <row r="972">
      <c r="B972" s="30"/>
      <c r="C972" s="30"/>
      <c r="F972" s="30"/>
      <c r="G972" s="30"/>
      <c r="H972" s="30"/>
      <c r="I972" s="179"/>
      <c r="J972" s="180"/>
      <c r="L972" s="30"/>
      <c r="M972" s="30"/>
      <c r="N972" s="30"/>
    </row>
    <row r="973">
      <c r="B973" s="30"/>
      <c r="C973" s="30"/>
      <c r="F973" s="30"/>
      <c r="G973" s="30"/>
      <c r="H973" s="30"/>
      <c r="I973" s="179"/>
      <c r="J973" s="180"/>
      <c r="L973" s="30"/>
      <c r="M973" s="30"/>
      <c r="N973" s="30"/>
    </row>
    <row r="974">
      <c r="B974" s="30"/>
      <c r="C974" s="30"/>
      <c r="F974" s="30"/>
      <c r="G974" s="30"/>
      <c r="H974" s="30"/>
      <c r="I974" s="179"/>
      <c r="J974" s="180"/>
      <c r="L974" s="30"/>
      <c r="M974" s="30"/>
      <c r="N974" s="30"/>
    </row>
    <row r="975">
      <c r="B975" s="30"/>
      <c r="C975" s="30"/>
      <c r="F975" s="30"/>
      <c r="G975" s="30"/>
      <c r="H975" s="30"/>
      <c r="I975" s="179"/>
      <c r="J975" s="180"/>
      <c r="L975" s="30"/>
      <c r="M975" s="30"/>
      <c r="N975" s="30"/>
    </row>
    <row r="976">
      <c r="B976" s="30"/>
      <c r="C976" s="30"/>
      <c r="F976" s="30"/>
      <c r="G976" s="30"/>
      <c r="H976" s="30"/>
      <c r="I976" s="179"/>
      <c r="J976" s="180"/>
      <c r="L976" s="30"/>
      <c r="M976" s="30"/>
      <c r="N976" s="30"/>
    </row>
    <row r="977">
      <c r="B977" s="30"/>
      <c r="C977" s="30"/>
      <c r="F977" s="30"/>
      <c r="G977" s="30"/>
      <c r="H977" s="30"/>
      <c r="I977" s="179"/>
      <c r="J977" s="180"/>
      <c r="L977" s="30"/>
      <c r="M977" s="30"/>
      <c r="N977" s="30"/>
    </row>
    <row r="978">
      <c r="B978" s="30"/>
      <c r="C978" s="30"/>
      <c r="F978" s="30"/>
      <c r="G978" s="30"/>
      <c r="H978" s="30"/>
      <c r="I978" s="179"/>
      <c r="J978" s="180"/>
      <c r="L978" s="30"/>
      <c r="M978" s="30"/>
      <c r="N978" s="30"/>
    </row>
    <row r="979">
      <c r="B979" s="30"/>
      <c r="C979" s="30"/>
      <c r="F979" s="30"/>
      <c r="G979" s="30"/>
      <c r="H979" s="30"/>
      <c r="I979" s="179"/>
      <c r="J979" s="180"/>
      <c r="L979" s="30"/>
      <c r="M979" s="30"/>
      <c r="N979" s="30"/>
    </row>
    <row r="980">
      <c r="B980" s="30"/>
      <c r="C980" s="30"/>
      <c r="F980" s="30"/>
      <c r="G980" s="30"/>
      <c r="H980" s="30"/>
      <c r="I980" s="179"/>
      <c r="J980" s="180"/>
      <c r="L980" s="30"/>
      <c r="M980" s="30"/>
      <c r="N980" s="30"/>
    </row>
    <row r="981">
      <c r="B981" s="30"/>
      <c r="C981" s="30"/>
      <c r="F981" s="30"/>
      <c r="G981" s="30"/>
      <c r="H981" s="30"/>
      <c r="I981" s="179"/>
      <c r="J981" s="180"/>
      <c r="L981" s="30"/>
      <c r="M981" s="30"/>
      <c r="N981" s="30"/>
    </row>
    <row r="982">
      <c r="B982" s="30"/>
      <c r="C982" s="30"/>
      <c r="F982" s="30"/>
      <c r="G982" s="30"/>
      <c r="H982" s="30"/>
      <c r="I982" s="179"/>
      <c r="J982" s="180"/>
      <c r="L982" s="30"/>
      <c r="M982" s="30"/>
      <c r="N982" s="30"/>
    </row>
    <row r="983">
      <c r="B983" s="30"/>
      <c r="C983" s="30"/>
      <c r="F983" s="30"/>
      <c r="G983" s="30"/>
      <c r="H983" s="30"/>
      <c r="I983" s="179"/>
      <c r="J983" s="180"/>
      <c r="L983" s="30"/>
      <c r="M983" s="30"/>
      <c r="N983" s="30"/>
    </row>
    <row r="984">
      <c r="B984" s="30"/>
      <c r="C984" s="30"/>
      <c r="F984" s="30"/>
      <c r="G984" s="30"/>
      <c r="H984" s="30"/>
      <c r="I984" s="179"/>
      <c r="J984" s="180"/>
      <c r="L984" s="30"/>
      <c r="M984" s="30"/>
      <c r="N984" s="30"/>
    </row>
    <row r="985">
      <c r="B985" s="30"/>
      <c r="C985" s="30"/>
      <c r="F985" s="30"/>
      <c r="G985" s="30"/>
      <c r="H985" s="30"/>
      <c r="I985" s="179"/>
      <c r="J985" s="180"/>
      <c r="L985" s="30"/>
      <c r="M985" s="30"/>
      <c r="N985" s="30"/>
    </row>
    <row r="986">
      <c r="B986" s="30"/>
      <c r="C986" s="30"/>
      <c r="F986" s="30"/>
      <c r="G986" s="30"/>
      <c r="H986" s="30"/>
      <c r="I986" s="179"/>
      <c r="J986" s="180"/>
      <c r="L986" s="30"/>
      <c r="M986" s="30"/>
      <c r="N986" s="30"/>
    </row>
    <row r="987">
      <c r="B987" s="30"/>
      <c r="C987" s="30"/>
      <c r="F987" s="30"/>
      <c r="G987" s="30"/>
      <c r="H987" s="30"/>
      <c r="I987" s="179"/>
      <c r="J987" s="180"/>
      <c r="L987" s="30"/>
      <c r="M987" s="30"/>
      <c r="N987" s="30"/>
    </row>
    <row r="988">
      <c r="B988" s="30"/>
      <c r="C988" s="30"/>
      <c r="F988" s="30"/>
      <c r="G988" s="30"/>
      <c r="H988" s="30"/>
      <c r="I988" s="179"/>
      <c r="J988" s="180"/>
      <c r="L988" s="30"/>
      <c r="M988" s="30"/>
      <c r="N988" s="30"/>
    </row>
    <row r="989">
      <c r="B989" s="30"/>
      <c r="C989" s="30"/>
      <c r="F989" s="30"/>
      <c r="G989" s="30"/>
      <c r="H989" s="30"/>
      <c r="I989" s="179"/>
      <c r="J989" s="180"/>
      <c r="L989" s="30"/>
      <c r="M989" s="30"/>
      <c r="N989" s="30"/>
    </row>
    <row r="990">
      <c r="B990" s="30"/>
      <c r="C990" s="30"/>
      <c r="F990" s="30"/>
      <c r="G990" s="30"/>
      <c r="H990" s="30"/>
      <c r="I990" s="179"/>
      <c r="J990" s="180"/>
      <c r="L990" s="30"/>
      <c r="M990" s="30"/>
      <c r="N990" s="30"/>
    </row>
    <row r="991">
      <c r="B991" s="30"/>
      <c r="C991" s="30"/>
      <c r="F991" s="30"/>
      <c r="G991" s="30"/>
      <c r="H991" s="30"/>
      <c r="I991" s="179"/>
      <c r="J991" s="180"/>
      <c r="L991" s="30"/>
      <c r="M991" s="30"/>
      <c r="N991" s="30"/>
    </row>
    <row r="992">
      <c r="B992" s="30"/>
      <c r="C992" s="30"/>
      <c r="F992" s="30"/>
      <c r="G992" s="30"/>
      <c r="H992" s="30"/>
      <c r="I992" s="179"/>
      <c r="J992" s="180"/>
      <c r="L992" s="30"/>
      <c r="M992" s="30"/>
      <c r="N992" s="30"/>
    </row>
    <row r="993">
      <c r="B993" s="30"/>
      <c r="C993" s="30"/>
      <c r="F993" s="30"/>
      <c r="G993" s="30"/>
      <c r="H993" s="30"/>
      <c r="I993" s="179"/>
      <c r="J993" s="180"/>
      <c r="L993" s="30"/>
      <c r="M993" s="30"/>
      <c r="N993" s="30"/>
    </row>
    <row r="994">
      <c r="B994" s="30"/>
      <c r="C994" s="30"/>
      <c r="F994" s="30"/>
      <c r="G994" s="30"/>
      <c r="H994" s="30"/>
      <c r="I994" s="179"/>
      <c r="J994" s="180"/>
      <c r="L994" s="30"/>
      <c r="M994" s="30"/>
      <c r="N994" s="30"/>
    </row>
    <row r="995">
      <c r="B995" s="30"/>
      <c r="C995" s="30"/>
      <c r="F995" s="30"/>
      <c r="G995" s="30"/>
      <c r="H995" s="30"/>
      <c r="I995" s="179"/>
      <c r="J995" s="180"/>
      <c r="L995" s="30"/>
      <c r="M995" s="30"/>
      <c r="N995" s="30"/>
    </row>
    <row r="996">
      <c r="B996" s="30"/>
      <c r="C996" s="30"/>
      <c r="F996" s="30"/>
      <c r="G996" s="30"/>
      <c r="H996" s="30"/>
      <c r="I996" s="179"/>
      <c r="J996" s="180"/>
      <c r="L996" s="30"/>
      <c r="M996" s="30"/>
      <c r="N996" s="30"/>
    </row>
    <row r="997">
      <c r="B997" s="30"/>
      <c r="C997" s="30"/>
      <c r="F997" s="30"/>
      <c r="G997" s="30"/>
      <c r="H997" s="30"/>
      <c r="I997" s="179"/>
      <c r="J997" s="180"/>
      <c r="L997" s="30"/>
      <c r="M997" s="30"/>
      <c r="N997" s="30"/>
    </row>
    <row r="998">
      <c r="B998" s="30"/>
      <c r="C998" s="30"/>
      <c r="F998" s="30"/>
      <c r="G998" s="30"/>
      <c r="H998" s="30"/>
      <c r="I998" s="179"/>
      <c r="J998" s="180"/>
      <c r="L998" s="30"/>
      <c r="M998" s="30"/>
      <c r="N998" s="30"/>
    </row>
    <row r="999">
      <c r="B999" s="30"/>
      <c r="C999" s="30"/>
      <c r="F999" s="30"/>
      <c r="G999" s="30"/>
      <c r="H999" s="30"/>
      <c r="I999" s="179"/>
      <c r="J999" s="180"/>
      <c r="L999" s="30"/>
      <c r="M999" s="30"/>
      <c r="N999" s="30"/>
    </row>
    <row r="1000">
      <c r="B1000" s="30"/>
      <c r="C1000" s="30"/>
      <c r="F1000" s="30"/>
      <c r="G1000" s="30"/>
      <c r="H1000" s="30"/>
      <c r="I1000" s="179"/>
      <c r="J1000" s="180"/>
      <c r="L1000" s="30"/>
      <c r="M1000" s="30"/>
      <c r="N1000" s="30"/>
    </row>
    <row r="1001">
      <c r="B1001" s="30"/>
      <c r="C1001" s="30"/>
      <c r="F1001" s="30"/>
      <c r="G1001" s="30"/>
      <c r="H1001" s="30"/>
      <c r="I1001" s="179"/>
      <c r="J1001" s="180"/>
      <c r="L1001" s="30"/>
      <c r="M1001" s="30"/>
      <c r="N1001" s="30"/>
    </row>
    <row r="1002">
      <c r="B1002" s="30"/>
      <c r="C1002" s="30"/>
      <c r="F1002" s="30"/>
      <c r="G1002" s="30"/>
      <c r="H1002" s="30"/>
      <c r="I1002" s="179"/>
      <c r="J1002" s="180"/>
      <c r="L1002" s="30"/>
      <c r="M1002" s="30"/>
      <c r="N1002" s="30"/>
    </row>
    <row r="1003">
      <c r="B1003" s="30"/>
      <c r="C1003" s="30"/>
      <c r="F1003" s="30"/>
      <c r="G1003" s="30"/>
      <c r="H1003" s="30"/>
      <c r="I1003" s="179"/>
      <c r="J1003" s="180"/>
      <c r="L1003" s="30"/>
      <c r="M1003" s="30"/>
      <c r="N1003" s="30"/>
    </row>
    <row r="1004">
      <c r="B1004" s="30"/>
      <c r="C1004" s="30"/>
      <c r="F1004" s="30"/>
      <c r="G1004" s="30"/>
      <c r="H1004" s="30"/>
      <c r="I1004" s="179"/>
      <c r="J1004" s="180"/>
      <c r="L1004" s="30"/>
      <c r="M1004" s="30"/>
      <c r="N1004" s="30"/>
    </row>
    <row r="1005">
      <c r="B1005" s="30"/>
      <c r="C1005" s="30"/>
      <c r="F1005" s="30"/>
      <c r="G1005" s="30"/>
      <c r="H1005" s="30"/>
      <c r="I1005" s="179"/>
      <c r="J1005" s="180"/>
      <c r="L1005" s="30"/>
      <c r="M1005" s="30"/>
      <c r="N1005" s="30"/>
    </row>
    <row r="1006">
      <c r="B1006" s="30"/>
      <c r="C1006" s="30"/>
      <c r="F1006" s="30"/>
      <c r="G1006" s="30"/>
      <c r="H1006" s="30"/>
      <c r="I1006" s="179"/>
      <c r="J1006" s="180"/>
      <c r="L1006" s="30"/>
      <c r="M1006" s="30"/>
      <c r="N1006" s="30"/>
    </row>
    <row r="1007">
      <c r="B1007" s="30"/>
      <c r="C1007" s="30"/>
      <c r="F1007" s="30"/>
      <c r="G1007" s="30"/>
      <c r="H1007" s="30"/>
      <c r="I1007" s="179"/>
      <c r="J1007" s="180"/>
      <c r="L1007" s="30"/>
      <c r="M1007" s="30"/>
      <c r="N1007" s="30"/>
    </row>
    <row r="1008">
      <c r="B1008" s="30"/>
      <c r="C1008" s="30"/>
      <c r="F1008" s="30"/>
      <c r="G1008" s="30"/>
      <c r="H1008" s="30"/>
      <c r="I1008" s="179"/>
      <c r="J1008" s="180"/>
      <c r="L1008" s="30"/>
      <c r="M1008" s="30"/>
      <c r="N1008" s="30"/>
    </row>
    <row r="1009">
      <c r="B1009" s="30"/>
      <c r="C1009" s="30"/>
      <c r="F1009" s="30"/>
      <c r="G1009" s="30"/>
      <c r="H1009" s="30"/>
      <c r="I1009" s="179"/>
      <c r="J1009" s="180"/>
      <c r="L1009" s="30"/>
      <c r="M1009" s="30"/>
      <c r="N1009" s="30"/>
    </row>
    <row r="1010">
      <c r="B1010" s="30"/>
      <c r="C1010" s="30"/>
      <c r="F1010" s="30"/>
      <c r="G1010" s="30"/>
      <c r="H1010" s="30"/>
      <c r="I1010" s="179"/>
      <c r="J1010" s="180"/>
      <c r="L1010" s="30"/>
      <c r="M1010" s="30"/>
      <c r="N1010" s="30"/>
    </row>
    <row r="1011">
      <c r="B1011" s="30"/>
      <c r="C1011" s="30"/>
      <c r="F1011" s="30"/>
      <c r="G1011" s="30"/>
      <c r="H1011" s="30"/>
      <c r="I1011" s="179"/>
      <c r="J1011" s="180"/>
      <c r="L1011" s="30"/>
      <c r="M1011" s="30"/>
      <c r="N1011" s="30"/>
    </row>
    <row r="1012">
      <c r="B1012" s="30"/>
      <c r="C1012" s="30"/>
      <c r="F1012" s="30"/>
      <c r="G1012" s="30"/>
      <c r="H1012" s="30"/>
      <c r="I1012" s="179"/>
      <c r="J1012" s="180"/>
      <c r="L1012" s="30"/>
      <c r="M1012" s="30"/>
      <c r="N1012" s="30"/>
    </row>
    <row r="1013">
      <c r="B1013" s="30"/>
      <c r="C1013" s="30"/>
      <c r="F1013" s="30"/>
      <c r="G1013" s="30"/>
      <c r="H1013" s="30"/>
      <c r="I1013" s="179"/>
      <c r="J1013" s="180"/>
      <c r="L1013" s="30"/>
      <c r="M1013" s="30"/>
      <c r="N1013" s="30"/>
    </row>
    <row r="1014">
      <c r="B1014" s="30"/>
      <c r="C1014" s="30"/>
      <c r="F1014" s="30"/>
      <c r="G1014" s="30"/>
      <c r="H1014" s="30"/>
      <c r="I1014" s="179"/>
      <c r="J1014" s="180"/>
      <c r="L1014" s="30"/>
      <c r="M1014" s="30"/>
      <c r="N1014" s="30"/>
    </row>
    <row r="1015">
      <c r="B1015" s="30"/>
      <c r="C1015" s="30"/>
      <c r="F1015" s="30"/>
      <c r="G1015" s="30"/>
      <c r="H1015" s="30"/>
      <c r="I1015" s="179"/>
      <c r="J1015" s="180"/>
      <c r="L1015" s="30"/>
      <c r="M1015" s="30"/>
      <c r="N1015" s="30"/>
    </row>
    <row r="1016">
      <c r="B1016" s="30"/>
      <c r="C1016" s="30"/>
      <c r="F1016" s="30"/>
      <c r="G1016" s="30"/>
      <c r="H1016" s="30"/>
      <c r="I1016" s="179"/>
      <c r="J1016" s="180"/>
      <c r="L1016" s="30"/>
      <c r="M1016" s="30"/>
      <c r="N1016" s="30"/>
    </row>
    <row r="1017">
      <c r="B1017" s="30"/>
      <c r="C1017" s="30"/>
      <c r="F1017" s="30"/>
      <c r="G1017" s="30"/>
      <c r="H1017" s="30"/>
      <c r="I1017" s="179"/>
      <c r="J1017" s="180"/>
      <c r="L1017" s="30"/>
      <c r="M1017" s="30"/>
      <c r="N1017" s="30"/>
    </row>
    <row r="1018">
      <c r="B1018" s="30"/>
      <c r="C1018" s="30"/>
      <c r="F1018" s="30"/>
      <c r="G1018" s="30"/>
      <c r="H1018" s="30"/>
      <c r="I1018" s="179"/>
      <c r="J1018" s="180"/>
      <c r="L1018" s="30"/>
      <c r="M1018" s="30"/>
      <c r="N1018" s="30"/>
    </row>
    <row r="1019">
      <c r="B1019" s="30"/>
      <c r="C1019" s="30"/>
      <c r="F1019" s="30"/>
      <c r="G1019" s="30"/>
      <c r="H1019" s="30"/>
      <c r="I1019" s="179"/>
      <c r="J1019" s="180"/>
      <c r="L1019" s="30"/>
      <c r="M1019" s="30"/>
      <c r="N1019" s="30"/>
    </row>
    <row r="1020">
      <c r="B1020" s="30"/>
      <c r="C1020" s="30"/>
      <c r="F1020" s="30"/>
      <c r="G1020" s="30"/>
      <c r="H1020" s="30"/>
      <c r="I1020" s="179"/>
      <c r="J1020" s="180"/>
      <c r="L1020" s="30"/>
      <c r="M1020" s="30"/>
      <c r="N1020" s="30"/>
    </row>
    <row r="1021">
      <c r="B1021" s="30"/>
      <c r="C1021" s="30"/>
      <c r="F1021" s="30"/>
      <c r="G1021" s="30"/>
      <c r="H1021" s="30"/>
      <c r="I1021" s="179"/>
      <c r="J1021" s="180"/>
      <c r="L1021" s="30"/>
      <c r="M1021" s="30"/>
      <c r="N1021" s="30"/>
    </row>
    <row r="1022">
      <c r="B1022" s="30"/>
      <c r="C1022" s="30"/>
      <c r="F1022" s="30"/>
      <c r="G1022" s="30"/>
      <c r="H1022" s="30"/>
      <c r="I1022" s="179"/>
      <c r="J1022" s="180"/>
      <c r="L1022" s="30"/>
      <c r="M1022" s="30"/>
      <c r="N1022" s="30"/>
    </row>
    <row r="1023">
      <c r="B1023" s="30"/>
      <c r="C1023" s="30"/>
      <c r="F1023" s="30"/>
      <c r="G1023" s="30"/>
      <c r="H1023" s="30"/>
      <c r="I1023" s="179"/>
      <c r="J1023" s="180"/>
      <c r="L1023" s="30"/>
      <c r="M1023" s="30"/>
      <c r="N1023" s="30"/>
    </row>
    <row r="1024">
      <c r="B1024" s="30"/>
      <c r="C1024" s="30"/>
      <c r="F1024" s="30"/>
      <c r="G1024" s="30"/>
      <c r="H1024" s="30"/>
      <c r="I1024" s="179"/>
      <c r="J1024" s="180"/>
      <c r="L1024" s="30"/>
      <c r="M1024" s="30"/>
      <c r="N1024" s="30"/>
    </row>
    <row r="1025">
      <c r="B1025" s="30"/>
      <c r="C1025" s="30"/>
      <c r="F1025" s="30"/>
      <c r="G1025" s="30"/>
      <c r="H1025" s="30"/>
      <c r="I1025" s="179"/>
      <c r="J1025" s="180"/>
      <c r="L1025" s="30"/>
      <c r="M1025" s="30"/>
      <c r="N1025" s="30"/>
    </row>
    <row r="1026">
      <c r="B1026" s="30"/>
      <c r="C1026" s="30"/>
      <c r="F1026" s="30"/>
      <c r="G1026" s="30"/>
      <c r="H1026" s="30"/>
      <c r="I1026" s="179"/>
      <c r="J1026" s="180"/>
      <c r="L1026" s="30"/>
      <c r="M1026" s="30"/>
      <c r="N1026" s="30"/>
    </row>
    <row r="1027">
      <c r="B1027" s="30"/>
      <c r="C1027" s="30"/>
      <c r="F1027" s="30"/>
      <c r="G1027" s="30"/>
      <c r="H1027" s="30"/>
      <c r="I1027" s="179"/>
      <c r="J1027" s="180"/>
      <c r="L1027" s="30"/>
      <c r="M1027" s="30"/>
      <c r="N1027" s="30"/>
    </row>
    <row r="1028">
      <c r="B1028" s="30"/>
      <c r="C1028" s="30"/>
      <c r="F1028" s="30"/>
      <c r="G1028" s="30"/>
      <c r="H1028" s="30"/>
      <c r="I1028" s="179"/>
      <c r="J1028" s="180"/>
      <c r="L1028" s="30"/>
      <c r="M1028" s="30"/>
      <c r="N1028" s="30"/>
    </row>
    <row r="1029">
      <c r="B1029" s="30"/>
      <c r="C1029" s="30"/>
      <c r="F1029" s="30"/>
      <c r="G1029" s="30"/>
      <c r="H1029" s="30"/>
      <c r="I1029" s="179"/>
      <c r="J1029" s="180"/>
      <c r="L1029" s="30"/>
      <c r="M1029" s="30"/>
      <c r="N1029" s="30"/>
    </row>
    <row r="1030">
      <c r="B1030" s="30"/>
      <c r="C1030" s="30"/>
      <c r="F1030" s="30"/>
      <c r="G1030" s="30"/>
      <c r="H1030" s="30"/>
      <c r="I1030" s="179"/>
      <c r="J1030" s="180"/>
      <c r="L1030" s="30"/>
      <c r="M1030" s="30"/>
      <c r="N1030" s="30"/>
    </row>
    <row r="1031">
      <c r="B1031" s="30"/>
      <c r="C1031" s="30"/>
      <c r="F1031" s="30"/>
      <c r="G1031" s="30"/>
      <c r="H1031" s="30"/>
      <c r="I1031" s="179"/>
      <c r="J1031" s="180"/>
      <c r="L1031" s="30"/>
      <c r="M1031" s="30"/>
      <c r="N1031" s="30"/>
    </row>
    <row r="1032">
      <c r="B1032" s="30"/>
      <c r="C1032" s="30"/>
      <c r="F1032" s="30"/>
      <c r="G1032" s="30"/>
      <c r="H1032" s="30"/>
      <c r="I1032" s="179"/>
      <c r="J1032" s="180"/>
      <c r="L1032" s="30"/>
      <c r="M1032" s="30"/>
      <c r="N1032" s="30"/>
    </row>
    <row r="1033">
      <c r="B1033" s="30"/>
      <c r="C1033" s="30"/>
      <c r="F1033" s="30"/>
      <c r="G1033" s="30"/>
      <c r="H1033" s="30"/>
      <c r="I1033" s="179"/>
      <c r="J1033" s="180"/>
      <c r="L1033" s="30"/>
      <c r="M1033" s="30"/>
      <c r="N1033" s="30"/>
    </row>
    <row r="1034">
      <c r="B1034" s="30"/>
      <c r="C1034" s="30"/>
      <c r="F1034" s="30"/>
      <c r="G1034" s="30"/>
      <c r="H1034" s="30"/>
      <c r="I1034" s="179"/>
      <c r="J1034" s="180"/>
      <c r="L1034" s="30"/>
      <c r="M1034" s="30"/>
      <c r="N1034" s="30"/>
    </row>
    <row r="1035">
      <c r="B1035" s="30"/>
      <c r="C1035" s="30"/>
      <c r="F1035" s="30"/>
      <c r="G1035" s="30"/>
      <c r="H1035" s="30"/>
      <c r="I1035" s="179"/>
      <c r="J1035" s="180"/>
      <c r="L1035" s="30"/>
      <c r="M1035" s="30"/>
      <c r="N1035" s="30"/>
    </row>
    <row r="1036">
      <c r="B1036" s="30"/>
      <c r="C1036" s="30"/>
      <c r="F1036" s="30"/>
      <c r="G1036" s="30"/>
      <c r="H1036" s="30"/>
      <c r="I1036" s="179"/>
      <c r="J1036" s="180"/>
      <c r="L1036" s="30"/>
      <c r="M1036" s="30"/>
      <c r="N1036" s="30"/>
    </row>
    <row r="1037">
      <c r="B1037" s="30"/>
      <c r="C1037" s="30"/>
      <c r="F1037" s="30"/>
      <c r="G1037" s="30"/>
      <c r="H1037" s="30"/>
      <c r="I1037" s="179"/>
      <c r="J1037" s="180"/>
      <c r="L1037" s="30"/>
      <c r="M1037" s="30"/>
      <c r="N1037" s="30"/>
    </row>
    <row r="1038">
      <c r="B1038" s="30"/>
      <c r="C1038" s="30"/>
      <c r="F1038" s="30"/>
      <c r="G1038" s="30"/>
      <c r="H1038" s="30"/>
      <c r="I1038" s="179"/>
      <c r="J1038" s="180"/>
      <c r="L1038" s="30"/>
      <c r="M1038" s="30"/>
      <c r="N1038" s="30"/>
    </row>
    <row r="1039">
      <c r="B1039" s="30"/>
      <c r="C1039" s="30"/>
      <c r="F1039" s="30"/>
      <c r="G1039" s="30"/>
      <c r="H1039" s="30"/>
      <c r="I1039" s="179"/>
      <c r="J1039" s="180"/>
      <c r="L1039" s="30"/>
      <c r="M1039" s="30"/>
      <c r="N1039" s="30"/>
    </row>
    <row r="1040">
      <c r="B1040" s="30"/>
      <c r="C1040" s="30"/>
      <c r="F1040" s="30"/>
      <c r="G1040" s="30"/>
      <c r="H1040" s="30"/>
      <c r="I1040" s="179"/>
      <c r="J1040" s="180"/>
      <c r="L1040" s="30"/>
      <c r="M1040" s="30"/>
      <c r="N1040" s="30"/>
    </row>
    <row r="1041">
      <c r="B1041" s="30"/>
      <c r="C1041" s="30"/>
      <c r="F1041" s="30"/>
      <c r="G1041" s="30"/>
      <c r="H1041" s="30"/>
      <c r="I1041" s="179"/>
      <c r="J1041" s="180"/>
      <c r="L1041" s="30"/>
      <c r="M1041" s="30"/>
      <c r="N1041" s="30"/>
    </row>
    <row r="1042">
      <c r="B1042" s="30"/>
      <c r="C1042" s="30"/>
      <c r="F1042" s="30"/>
      <c r="G1042" s="30"/>
      <c r="H1042" s="30"/>
      <c r="I1042" s="179"/>
      <c r="J1042" s="180"/>
      <c r="L1042" s="30"/>
      <c r="M1042" s="30"/>
      <c r="N1042" s="30"/>
    </row>
    <row r="1043">
      <c r="B1043" s="30"/>
      <c r="C1043" s="30"/>
      <c r="F1043" s="30"/>
      <c r="G1043" s="30"/>
      <c r="H1043" s="30"/>
      <c r="I1043" s="179"/>
      <c r="J1043" s="180"/>
      <c r="L1043" s="30"/>
      <c r="M1043" s="30"/>
      <c r="N1043" s="30"/>
    </row>
    <row r="1044">
      <c r="B1044" s="30"/>
      <c r="C1044" s="30"/>
      <c r="F1044" s="30"/>
      <c r="G1044" s="30"/>
      <c r="H1044" s="30"/>
      <c r="I1044" s="179"/>
      <c r="J1044" s="180"/>
      <c r="L1044" s="30"/>
      <c r="M1044" s="30"/>
      <c r="N1044" s="30"/>
    </row>
    <row r="1045">
      <c r="B1045" s="30"/>
      <c r="C1045" s="30"/>
      <c r="F1045" s="30"/>
      <c r="G1045" s="30"/>
      <c r="H1045" s="30"/>
      <c r="I1045" s="179"/>
      <c r="J1045" s="180"/>
      <c r="L1045" s="30"/>
      <c r="M1045" s="30"/>
      <c r="N1045" s="30"/>
    </row>
    <row r="1046">
      <c r="B1046" s="30"/>
      <c r="C1046" s="30"/>
      <c r="F1046" s="30"/>
      <c r="G1046" s="30"/>
      <c r="H1046" s="30"/>
      <c r="I1046" s="179"/>
      <c r="J1046" s="180"/>
      <c r="L1046" s="30"/>
      <c r="M1046" s="30"/>
      <c r="N1046" s="30"/>
    </row>
    <row r="1047">
      <c r="B1047" s="30"/>
      <c r="C1047" s="30"/>
      <c r="F1047" s="30"/>
      <c r="G1047" s="30"/>
      <c r="H1047" s="30"/>
      <c r="I1047" s="179"/>
      <c r="J1047" s="180"/>
      <c r="L1047" s="30"/>
      <c r="M1047" s="30"/>
      <c r="N1047" s="30"/>
    </row>
    <row r="1048">
      <c r="B1048" s="30"/>
      <c r="C1048" s="30"/>
      <c r="F1048" s="30"/>
      <c r="G1048" s="30"/>
      <c r="H1048" s="30"/>
      <c r="I1048" s="179"/>
      <c r="J1048" s="180"/>
      <c r="L1048" s="30"/>
      <c r="M1048" s="30"/>
      <c r="N1048" s="30"/>
    </row>
    <row r="1049">
      <c r="B1049" s="30"/>
      <c r="C1049" s="30"/>
      <c r="F1049" s="30"/>
      <c r="G1049" s="30"/>
      <c r="H1049" s="30"/>
      <c r="I1049" s="179"/>
      <c r="J1049" s="180"/>
      <c r="L1049" s="30"/>
      <c r="M1049" s="30"/>
      <c r="N1049" s="30"/>
    </row>
    <row r="1050">
      <c r="B1050" s="30"/>
      <c r="C1050" s="30"/>
      <c r="F1050" s="30"/>
      <c r="G1050" s="30"/>
      <c r="H1050" s="30"/>
      <c r="I1050" s="179"/>
      <c r="J1050" s="180"/>
      <c r="L1050" s="30"/>
      <c r="M1050" s="30"/>
      <c r="N1050" s="30"/>
    </row>
    <row r="1051">
      <c r="B1051" s="30"/>
      <c r="C1051" s="30"/>
      <c r="F1051" s="30"/>
      <c r="G1051" s="30"/>
      <c r="H1051" s="30"/>
      <c r="I1051" s="179"/>
      <c r="J1051" s="180"/>
      <c r="L1051" s="30"/>
      <c r="M1051" s="30"/>
      <c r="N1051" s="30"/>
    </row>
    <row r="1052">
      <c r="B1052" s="30"/>
      <c r="C1052" s="30"/>
      <c r="F1052" s="30"/>
      <c r="G1052" s="30"/>
      <c r="H1052" s="30"/>
      <c r="I1052" s="179"/>
      <c r="J1052" s="180"/>
      <c r="L1052" s="30"/>
      <c r="M1052" s="30"/>
      <c r="N1052" s="30"/>
    </row>
    <row r="1053">
      <c r="B1053" s="30"/>
      <c r="C1053" s="30"/>
      <c r="F1053" s="30"/>
      <c r="G1053" s="30"/>
      <c r="H1053" s="30"/>
      <c r="I1053" s="179"/>
      <c r="J1053" s="180"/>
      <c r="L1053" s="30"/>
      <c r="M1053" s="30"/>
      <c r="N1053" s="30"/>
    </row>
    <row r="1054">
      <c r="B1054" s="30"/>
      <c r="C1054" s="30"/>
      <c r="F1054" s="30"/>
      <c r="G1054" s="30"/>
      <c r="H1054" s="30"/>
      <c r="I1054" s="179"/>
      <c r="J1054" s="180"/>
      <c r="L1054" s="30"/>
      <c r="M1054" s="30"/>
      <c r="N1054" s="30"/>
    </row>
    <row r="1055">
      <c r="B1055" s="30"/>
      <c r="C1055" s="30"/>
      <c r="F1055" s="30"/>
      <c r="G1055" s="30"/>
      <c r="H1055" s="30"/>
      <c r="I1055" s="179"/>
      <c r="J1055" s="180"/>
      <c r="L1055" s="30"/>
      <c r="M1055" s="30"/>
      <c r="N1055" s="30"/>
    </row>
    <row r="1056">
      <c r="B1056" s="30"/>
      <c r="C1056" s="30"/>
      <c r="F1056" s="30"/>
      <c r="G1056" s="30"/>
      <c r="H1056" s="30"/>
      <c r="I1056" s="179"/>
      <c r="J1056" s="180"/>
      <c r="L1056" s="30"/>
      <c r="M1056" s="30"/>
      <c r="N1056" s="30"/>
    </row>
    <row r="1057">
      <c r="B1057" s="30"/>
      <c r="C1057" s="30"/>
      <c r="F1057" s="30"/>
      <c r="G1057" s="30"/>
      <c r="H1057" s="30"/>
      <c r="I1057" s="179"/>
      <c r="J1057" s="180"/>
      <c r="L1057" s="30"/>
      <c r="M1057" s="30"/>
      <c r="N1057" s="30"/>
    </row>
    <row r="1058">
      <c r="B1058" s="30"/>
      <c r="C1058" s="30"/>
      <c r="F1058" s="30"/>
      <c r="G1058" s="30"/>
      <c r="H1058" s="30"/>
      <c r="I1058" s="179"/>
      <c r="J1058" s="180"/>
      <c r="L1058" s="30"/>
      <c r="M1058" s="30"/>
      <c r="N1058" s="30"/>
    </row>
    <row r="1059">
      <c r="B1059" s="30"/>
      <c r="C1059" s="30"/>
      <c r="F1059" s="30"/>
      <c r="G1059" s="30"/>
      <c r="H1059" s="30"/>
      <c r="I1059" s="179"/>
      <c r="J1059" s="180"/>
      <c r="L1059" s="30"/>
      <c r="M1059" s="30"/>
      <c r="N1059" s="30"/>
    </row>
    <row r="1060">
      <c r="B1060" s="30"/>
      <c r="C1060" s="30"/>
      <c r="F1060" s="30"/>
      <c r="G1060" s="30"/>
      <c r="H1060" s="30"/>
      <c r="I1060" s="179"/>
      <c r="J1060" s="180"/>
      <c r="L1060" s="30"/>
      <c r="M1060" s="30"/>
      <c r="N1060" s="30"/>
    </row>
    <row r="1061">
      <c r="B1061" s="30"/>
      <c r="C1061" s="30"/>
      <c r="F1061" s="30"/>
      <c r="G1061" s="30"/>
      <c r="H1061" s="30"/>
      <c r="I1061" s="179"/>
      <c r="J1061" s="180"/>
      <c r="L1061" s="30"/>
      <c r="M1061" s="30"/>
      <c r="N1061" s="30"/>
    </row>
    <row r="1062">
      <c r="B1062" s="30"/>
      <c r="C1062" s="30"/>
      <c r="F1062" s="30"/>
      <c r="G1062" s="30"/>
      <c r="H1062" s="30"/>
      <c r="I1062" s="179"/>
      <c r="J1062" s="180"/>
      <c r="L1062" s="30"/>
      <c r="M1062" s="30"/>
      <c r="N1062" s="30"/>
    </row>
    <row r="1063">
      <c r="B1063" s="30"/>
      <c r="C1063" s="30"/>
      <c r="F1063" s="30"/>
      <c r="G1063" s="30"/>
      <c r="H1063" s="30"/>
      <c r="I1063" s="179"/>
      <c r="J1063" s="180"/>
      <c r="L1063" s="30"/>
      <c r="M1063" s="30"/>
      <c r="N1063" s="30"/>
    </row>
    <row r="1064">
      <c r="B1064" s="30"/>
      <c r="C1064" s="30"/>
      <c r="F1064" s="30"/>
      <c r="G1064" s="30"/>
      <c r="H1064" s="30"/>
      <c r="I1064" s="179"/>
      <c r="J1064" s="180"/>
      <c r="L1064" s="30"/>
      <c r="M1064" s="30"/>
      <c r="N1064" s="30"/>
    </row>
    <row r="1065">
      <c r="B1065" s="30"/>
      <c r="C1065" s="30"/>
      <c r="F1065" s="30"/>
      <c r="G1065" s="30"/>
      <c r="H1065" s="30"/>
      <c r="I1065" s="179"/>
      <c r="J1065" s="180"/>
      <c r="L1065" s="30"/>
      <c r="M1065" s="30"/>
      <c r="N1065" s="30"/>
    </row>
    <row r="1066">
      <c r="B1066" s="30"/>
      <c r="C1066" s="30"/>
      <c r="F1066" s="30"/>
      <c r="G1066" s="30"/>
      <c r="H1066" s="30"/>
      <c r="I1066" s="179"/>
      <c r="J1066" s="180"/>
      <c r="L1066" s="30"/>
      <c r="M1066" s="30"/>
      <c r="N1066" s="30"/>
    </row>
    <row r="1067">
      <c r="B1067" s="30"/>
      <c r="C1067" s="30"/>
      <c r="F1067" s="30"/>
      <c r="G1067" s="30"/>
      <c r="H1067" s="30"/>
      <c r="I1067" s="179"/>
      <c r="J1067" s="180"/>
      <c r="L1067" s="30"/>
      <c r="M1067" s="30"/>
      <c r="N1067" s="30"/>
    </row>
    <row r="1068">
      <c r="B1068" s="30"/>
      <c r="C1068" s="30"/>
      <c r="F1068" s="30"/>
      <c r="G1068" s="30"/>
      <c r="H1068" s="30"/>
      <c r="I1068" s="179"/>
      <c r="J1068" s="180"/>
      <c r="L1068" s="30"/>
      <c r="M1068" s="30"/>
      <c r="N1068" s="30"/>
    </row>
    <row r="1069">
      <c r="B1069" s="30"/>
      <c r="C1069" s="30"/>
      <c r="F1069" s="30"/>
      <c r="G1069" s="30"/>
      <c r="H1069" s="30"/>
      <c r="I1069" s="179"/>
      <c r="J1069" s="180"/>
      <c r="L1069" s="30"/>
      <c r="M1069" s="30"/>
      <c r="N1069" s="30"/>
    </row>
    <row r="1070">
      <c r="B1070" s="30"/>
      <c r="C1070" s="30"/>
      <c r="F1070" s="30"/>
      <c r="G1070" s="30"/>
      <c r="H1070" s="30"/>
      <c r="I1070" s="179"/>
      <c r="J1070" s="180"/>
      <c r="L1070" s="30"/>
      <c r="M1070" s="30"/>
      <c r="N1070" s="30"/>
    </row>
    <row r="1071">
      <c r="B1071" s="30"/>
      <c r="C1071" s="30"/>
      <c r="F1071" s="30"/>
      <c r="G1071" s="30"/>
      <c r="H1071" s="30"/>
      <c r="I1071" s="179"/>
      <c r="J1071" s="180"/>
      <c r="L1071" s="30"/>
      <c r="M1071" s="30"/>
      <c r="N1071" s="30"/>
    </row>
    <row r="1072">
      <c r="B1072" s="30"/>
      <c r="C1072" s="30"/>
      <c r="F1072" s="30"/>
      <c r="G1072" s="30"/>
      <c r="H1072" s="30"/>
      <c r="I1072" s="179"/>
      <c r="J1072" s="180"/>
      <c r="L1072" s="30"/>
      <c r="M1072" s="30"/>
      <c r="N1072" s="30"/>
    </row>
    <row r="1073">
      <c r="B1073" s="30"/>
      <c r="C1073" s="30"/>
      <c r="F1073" s="30"/>
      <c r="G1073" s="30"/>
      <c r="H1073" s="30"/>
      <c r="I1073" s="179"/>
      <c r="J1073" s="180"/>
      <c r="L1073" s="30"/>
      <c r="M1073" s="30"/>
      <c r="N1073" s="30"/>
    </row>
    <row r="1074">
      <c r="B1074" s="30"/>
      <c r="C1074" s="30"/>
      <c r="F1074" s="30"/>
      <c r="G1074" s="30"/>
      <c r="H1074" s="30"/>
      <c r="I1074" s="179"/>
      <c r="J1074" s="180"/>
      <c r="L1074" s="30"/>
      <c r="M1074" s="30"/>
      <c r="N1074" s="30"/>
    </row>
    <row r="1075">
      <c r="B1075" s="30"/>
      <c r="C1075" s="30"/>
      <c r="F1075" s="30"/>
      <c r="G1075" s="30"/>
      <c r="H1075" s="30"/>
      <c r="I1075" s="179"/>
      <c r="J1075" s="180"/>
      <c r="L1075" s="30"/>
      <c r="M1075" s="30"/>
      <c r="N1075" s="30"/>
    </row>
    <row r="1076">
      <c r="B1076" s="30"/>
      <c r="C1076" s="30"/>
      <c r="F1076" s="30"/>
      <c r="G1076" s="30"/>
      <c r="H1076" s="30"/>
      <c r="I1076" s="179"/>
      <c r="J1076" s="180"/>
      <c r="L1076" s="30"/>
      <c r="M1076" s="30"/>
      <c r="N1076" s="30"/>
    </row>
    <row r="1077">
      <c r="B1077" s="30"/>
      <c r="C1077" s="30"/>
      <c r="F1077" s="30"/>
      <c r="G1077" s="30"/>
      <c r="H1077" s="30"/>
      <c r="I1077" s="179"/>
      <c r="J1077" s="180"/>
      <c r="L1077" s="30"/>
      <c r="M1077" s="30"/>
      <c r="N1077" s="30"/>
    </row>
    <row r="1078">
      <c r="B1078" s="30"/>
      <c r="C1078" s="30"/>
      <c r="F1078" s="30"/>
      <c r="G1078" s="30"/>
      <c r="H1078" s="30"/>
      <c r="I1078" s="179"/>
      <c r="J1078" s="180"/>
      <c r="L1078" s="30"/>
      <c r="M1078" s="30"/>
      <c r="N1078" s="30"/>
    </row>
    <row r="1079">
      <c r="B1079" s="30"/>
      <c r="C1079" s="30"/>
      <c r="F1079" s="30"/>
      <c r="G1079" s="30"/>
      <c r="H1079" s="30"/>
      <c r="I1079" s="179"/>
      <c r="J1079" s="180"/>
      <c r="L1079" s="30"/>
      <c r="M1079" s="30"/>
      <c r="N1079" s="30"/>
    </row>
    <row r="1080">
      <c r="B1080" s="30"/>
      <c r="C1080" s="30"/>
      <c r="F1080" s="30"/>
      <c r="G1080" s="30"/>
      <c r="H1080" s="30"/>
      <c r="I1080" s="179"/>
      <c r="J1080" s="180"/>
      <c r="L1080" s="30"/>
      <c r="M1080" s="30"/>
      <c r="N1080" s="30"/>
    </row>
    <row r="1081">
      <c r="B1081" s="30"/>
      <c r="C1081" s="30"/>
      <c r="F1081" s="30"/>
      <c r="G1081" s="30"/>
      <c r="H1081" s="30"/>
      <c r="I1081" s="179"/>
      <c r="J1081" s="180"/>
      <c r="L1081" s="30"/>
      <c r="M1081" s="30"/>
      <c r="N1081" s="30"/>
    </row>
    <row r="1082">
      <c r="B1082" s="30"/>
      <c r="C1082" s="30"/>
      <c r="F1082" s="30"/>
      <c r="G1082" s="30"/>
      <c r="H1082" s="30"/>
      <c r="I1082" s="179"/>
      <c r="J1082" s="180"/>
      <c r="L1082" s="30"/>
      <c r="M1082" s="30"/>
      <c r="N1082" s="30"/>
    </row>
    <row r="1083">
      <c r="B1083" s="30"/>
      <c r="C1083" s="30"/>
      <c r="F1083" s="30"/>
      <c r="G1083" s="30"/>
      <c r="H1083" s="30"/>
      <c r="I1083" s="179"/>
      <c r="J1083" s="180"/>
      <c r="L1083" s="30"/>
      <c r="M1083" s="30"/>
      <c r="N1083" s="30"/>
    </row>
    <row r="1084">
      <c r="B1084" s="30"/>
      <c r="C1084" s="30"/>
      <c r="F1084" s="30"/>
      <c r="G1084" s="30"/>
      <c r="H1084" s="30"/>
      <c r="I1084" s="179"/>
      <c r="J1084" s="180"/>
      <c r="L1084" s="30"/>
      <c r="M1084" s="30"/>
      <c r="N1084" s="30"/>
    </row>
    <row r="1085">
      <c r="B1085" s="30"/>
      <c r="C1085" s="30"/>
      <c r="F1085" s="30"/>
      <c r="G1085" s="30"/>
      <c r="H1085" s="30"/>
      <c r="I1085" s="179"/>
      <c r="J1085" s="180"/>
      <c r="L1085" s="30"/>
      <c r="M1085" s="30"/>
      <c r="N1085" s="30"/>
    </row>
    <row r="1086">
      <c r="B1086" s="30"/>
      <c r="C1086" s="30"/>
      <c r="F1086" s="30"/>
      <c r="G1086" s="30"/>
      <c r="H1086" s="30"/>
      <c r="I1086" s="179"/>
      <c r="J1086" s="180"/>
      <c r="L1086" s="30"/>
      <c r="M1086" s="30"/>
      <c r="N1086" s="30"/>
    </row>
    <row r="1087">
      <c r="B1087" s="30"/>
      <c r="C1087" s="30"/>
      <c r="F1087" s="30"/>
      <c r="G1087" s="30"/>
      <c r="H1087" s="30"/>
      <c r="I1087" s="179"/>
      <c r="J1087" s="180"/>
      <c r="L1087" s="30"/>
      <c r="M1087" s="30"/>
      <c r="N1087" s="30"/>
    </row>
    <row r="1088">
      <c r="B1088" s="30"/>
      <c r="C1088" s="30"/>
      <c r="F1088" s="30"/>
      <c r="G1088" s="30"/>
      <c r="H1088" s="30"/>
      <c r="I1088" s="179"/>
      <c r="J1088" s="180"/>
      <c r="L1088" s="30"/>
      <c r="M1088" s="30"/>
      <c r="N1088" s="30"/>
    </row>
    <row r="1089">
      <c r="B1089" s="30"/>
      <c r="C1089" s="30"/>
      <c r="F1089" s="30"/>
      <c r="G1089" s="30"/>
      <c r="H1089" s="30"/>
      <c r="I1089" s="179"/>
      <c r="J1089" s="180"/>
      <c r="L1089" s="30"/>
      <c r="M1089" s="30"/>
      <c r="N1089" s="30"/>
    </row>
    <row r="1090">
      <c r="B1090" s="30"/>
      <c r="C1090" s="30"/>
      <c r="F1090" s="30"/>
      <c r="G1090" s="30"/>
      <c r="H1090" s="30"/>
      <c r="I1090" s="179"/>
      <c r="J1090" s="180"/>
      <c r="L1090" s="30"/>
      <c r="M1090" s="30"/>
      <c r="N1090" s="30"/>
    </row>
    <row r="1091">
      <c r="B1091" s="30"/>
      <c r="C1091" s="30"/>
      <c r="F1091" s="30"/>
      <c r="G1091" s="30"/>
      <c r="H1091" s="30"/>
      <c r="I1091" s="179"/>
      <c r="J1091" s="180"/>
      <c r="L1091" s="30"/>
      <c r="M1091" s="30"/>
      <c r="N1091" s="30"/>
    </row>
    <row r="1092">
      <c r="B1092" s="30"/>
      <c r="C1092" s="30"/>
      <c r="F1092" s="30"/>
      <c r="G1092" s="30"/>
      <c r="H1092" s="30"/>
      <c r="I1092" s="179"/>
      <c r="J1092" s="180"/>
      <c r="L1092" s="30"/>
      <c r="M1092" s="30"/>
      <c r="N1092" s="30"/>
    </row>
    <row r="1093">
      <c r="B1093" s="30"/>
      <c r="C1093" s="30"/>
      <c r="F1093" s="30"/>
      <c r="G1093" s="30"/>
      <c r="H1093" s="30"/>
      <c r="I1093" s="179"/>
      <c r="J1093" s="180"/>
      <c r="L1093" s="30"/>
      <c r="M1093" s="30"/>
      <c r="N1093" s="30"/>
    </row>
    <row r="1094">
      <c r="B1094" s="30"/>
      <c r="C1094" s="30"/>
      <c r="F1094" s="30"/>
      <c r="G1094" s="30"/>
      <c r="H1094" s="30"/>
      <c r="I1094" s="179"/>
      <c r="J1094" s="180"/>
      <c r="L1094" s="30"/>
      <c r="M1094" s="30"/>
      <c r="N1094" s="30"/>
    </row>
    <row r="1095">
      <c r="B1095" s="30"/>
      <c r="C1095" s="30"/>
      <c r="F1095" s="30"/>
      <c r="G1095" s="30"/>
      <c r="H1095" s="30"/>
      <c r="I1095" s="179"/>
      <c r="J1095" s="180"/>
      <c r="L1095" s="30"/>
      <c r="M1095" s="30"/>
      <c r="N1095" s="30"/>
    </row>
    <row r="1096">
      <c r="B1096" s="30"/>
      <c r="C1096" s="30"/>
      <c r="F1096" s="30"/>
      <c r="G1096" s="30"/>
      <c r="H1096" s="30"/>
      <c r="I1096" s="179"/>
      <c r="J1096" s="180"/>
      <c r="L1096" s="30"/>
      <c r="M1096" s="30"/>
      <c r="N1096" s="30"/>
    </row>
    <row r="1097">
      <c r="B1097" s="30"/>
      <c r="C1097" s="30"/>
      <c r="F1097" s="30"/>
      <c r="G1097" s="30"/>
      <c r="H1097" s="30"/>
      <c r="I1097" s="179"/>
      <c r="J1097" s="180"/>
      <c r="L1097" s="30"/>
      <c r="M1097" s="30"/>
      <c r="N1097" s="30"/>
    </row>
    <row r="1098">
      <c r="B1098" s="30"/>
      <c r="C1098" s="30"/>
      <c r="F1098" s="30"/>
      <c r="G1098" s="30"/>
      <c r="H1098" s="30"/>
      <c r="I1098" s="179"/>
      <c r="J1098" s="180"/>
      <c r="L1098" s="30"/>
      <c r="M1098" s="30"/>
      <c r="N1098" s="30"/>
    </row>
    <row r="1099">
      <c r="B1099" s="30"/>
      <c r="C1099" s="30"/>
      <c r="F1099" s="30"/>
      <c r="G1099" s="30"/>
      <c r="H1099" s="30"/>
      <c r="I1099" s="179"/>
      <c r="J1099" s="180"/>
      <c r="L1099" s="30"/>
      <c r="M1099" s="30"/>
      <c r="N1099" s="30"/>
    </row>
    <row r="1100">
      <c r="B1100" s="30"/>
      <c r="C1100" s="30"/>
      <c r="F1100" s="30"/>
      <c r="G1100" s="30"/>
      <c r="H1100" s="30"/>
      <c r="I1100" s="179"/>
      <c r="J1100" s="180"/>
      <c r="L1100" s="30"/>
      <c r="M1100" s="30"/>
      <c r="N1100" s="30"/>
    </row>
    <row r="1101">
      <c r="B1101" s="30"/>
      <c r="C1101" s="30"/>
      <c r="F1101" s="30"/>
      <c r="G1101" s="30"/>
      <c r="H1101" s="30"/>
      <c r="I1101" s="179"/>
      <c r="J1101" s="180"/>
      <c r="L1101" s="30"/>
      <c r="M1101" s="30"/>
      <c r="N1101" s="30"/>
    </row>
    <row r="1102">
      <c r="B1102" s="30"/>
      <c r="C1102" s="30"/>
      <c r="F1102" s="30"/>
      <c r="G1102" s="30"/>
      <c r="H1102" s="30"/>
      <c r="I1102" s="179"/>
      <c r="J1102" s="180"/>
      <c r="L1102" s="30"/>
      <c r="M1102" s="30"/>
      <c r="N1102" s="30"/>
    </row>
    <row r="1103">
      <c r="B1103" s="30"/>
      <c r="C1103" s="30"/>
      <c r="F1103" s="30"/>
      <c r="G1103" s="30"/>
      <c r="H1103" s="30"/>
      <c r="I1103" s="179"/>
      <c r="J1103" s="180"/>
      <c r="L1103" s="30"/>
      <c r="M1103" s="30"/>
      <c r="N1103" s="30"/>
    </row>
    <row r="1104">
      <c r="B1104" s="30"/>
      <c r="C1104" s="30"/>
      <c r="F1104" s="30"/>
      <c r="G1104" s="30"/>
      <c r="H1104" s="30"/>
      <c r="I1104" s="179"/>
      <c r="J1104" s="180"/>
      <c r="L1104" s="30"/>
      <c r="M1104" s="30"/>
      <c r="N1104" s="30"/>
    </row>
    <row r="1105">
      <c r="B1105" s="30"/>
      <c r="C1105" s="30"/>
      <c r="F1105" s="30"/>
      <c r="G1105" s="30"/>
      <c r="H1105" s="30"/>
      <c r="I1105" s="179"/>
      <c r="J1105" s="180"/>
      <c r="L1105" s="30"/>
      <c r="M1105" s="30"/>
      <c r="N1105" s="30"/>
    </row>
    <row r="1106">
      <c r="B1106" s="30"/>
      <c r="C1106" s="30"/>
      <c r="F1106" s="30"/>
      <c r="G1106" s="30"/>
      <c r="H1106" s="30"/>
      <c r="I1106" s="179"/>
      <c r="J1106" s="180"/>
      <c r="L1106" s="30"/>
      <c r="M1106" s="30"/>
      <c r="N1106" s="30"/>
    </row>
    <row r="1107">
      <c r="B1107" s="30"/>
      <c r="C1107" s="30"/>
      <c r="F1107" s="30"/>
      <c r="G1107" s="30"/>
      <c r="H1107" s="30"/>
      <c r="I1107" s="179"/>
      <c r="J1107" s="180"/>
      <c r="L1107" s="30"/>
      <c r="M1107" s="30"/>
      <c r="N1107" s="30"/>
    </row>
    <row r="1108">
      <c r="B1108" s="30"/>
      <c r="C1108" s="30"/>
      <c r="F1108" s="30"/>
      <c r="G1108" s="30"/>
      <c r="H1108" s="30"/>
      <c r="I1108" s="179"/>
      <c r="J1108" s="180"/>
      <c r="L1108" s="30"/>
      <c r="M1108" s="30"/>
      <c r="N1108" s="30"/>
    </row>
    <row r="1109">
      <c r="B1109" s="30"/>
      <c r="C1109" s="30"/>
      <c r="F1109" s="30"/>
      <c r="G1109" s="30"/>
      <c r="H1109" s="30"/>
      <c r="I1109" s="179"/>
      <c r="J1109" s="180"/>
      <c r="L1109" s="30"/>
      <c r="M1109" s="30"/>
      <c r="N1109" s="30"/>
    </row>
    <row r="1110">
      <c r="B1110" s="30"/>
      <c r="C1110" s="30"/>
      <c r="F1110" s="30"/>
      <c r="G1110" s="30"/>
      <c r="H1110" s="30"/>
      <c r="I1110" s="179"/>
      <c r="J1110" s="180"/>
      <c r="L1110" s="30"/>
      <c r="M1110" s="30"/>
      <c r="N1110" s="30"/>
    </row>
    <row r="1111">
      <c r="B1111" s="30"/>
      <c r="C1111" s="30"/>
      <c r="F1111" s="30"/>
      <c r="G1111" s="30"/>
      <c r="H1111" s="30"/>
      <c r="I1111" s="179"/>
      <c r="J1111" s="180"/>
      <c r="L1111" s="30"/>
      <c r="M1111" s="30"/>
      <c r="N1111" s="30"/>
    </row>
    <row r="1112">
      <c r="B1112" s="30"/>
      <c r="C1112" s="30"/>
      <c r="F1112" s="30"/>
      <c r="G1112" s="30"/>
      <c r="H1112" s="30"/>
      <c r="I1112" s="179"/>
      <c r="J1112" s="180"/>
      <c r="L1112" s="30"/>
      <c r="M1112" s="30"/>
      <c r="N1112" s="30"/>
    </row>
    <row r="1113">
      <c r="B1113" s="30"/>
      <c r="C1113" s="30"/>
      <c r="F1113" s="30"/>
      <c r="G1113" s="30"/>
      <c r="H1113" s="30"/>
      <c r="I1113" s="179"/>
      <c r="J1113" s="180"/>
      <c r="L1113" s="30"/>
      <c r="M1113" s="30"/>
      <c r="N1113" s="30"/>
    </row>
    <row r="1114">
      <c r="B1114" s="30"/>
      <c r="C1114" s="30"/>
      <c r="F1114" s="30"/>
      <c r="G1114" s="30"/>
      <c r="H1114" s="30"/>
      <c r="I1114" s="179"/>
      <c r="J1114" s="180"/>
      <c r="L1114" s="30"/>
      <c r="M1114" s="30"/>
      <c r="N1114" s="30"/>
    </row>
    <row r="1115">
      <c r="B1115" s="30"/>
      <c r="C1115" s="30"/>
      <c r="F1115" s="30"/>
      <c r="G1115" s="30"/>
      <c r="H1115" s="30"/>
      <c r="I1115" s="179"/>
      <c r="J1115" s="180"/>
      <c r="L1115" s="30"/>
      <c r="M1115" s="30"/>
      <c r="N1115" s="30"/>
    </row>
    <row r="1116">
      <c r="B1116" s="30"/>
      <c r="C1116" s="30"/>
      <c r="F1116" s="30"/>
      <c r="G1116" s="30"/>
      <c r="H1116" s="30"/>
      <c r="I1116" s="179"/>
      <c r="J1116" s="180"/>
      <c r="L1116" s="30"/>
      <c r="M1116" s="30"/>
      <c r="N1116" s="30"/>
    </row>
    <row r="1117">
      <c r="B1117" s="30"/>
      <c r="C1117" s="30"/>
      <c r="F1117" s="30"/>
      <c r="G1117" s="30"/>
      <c r="H1117" s="30"/>
      <c r="I1117" s="179"/>
      <c r="J1117" s="180"/>
      <c r="L1117" s="30"/>
      <c r="M1117" s="30"/>
      <c r="N1117" s="30"/>
    </row>
    <row r="1118">
      <c r="B1118" s="30"/>
      <c r="C1118" s="30"/>
      <c r="F1118" s="30"/>
      <c r="G1118" s="30"/>
      <c r="H1118" s="30"/>
      <c r="I1118" s="179"/>
      <c r="J1118" s="180"/>
      <c r="L1118" s="30"/>
      <c r="M1118" s="30"/>
      <c r="N1118" s="30"/>
    </row>
    <row r="1119">
      <c r="B1119" s="30"/>
      <c r="C1119" s="30"/>
      <c r="F1119" s="30"/>
      <c r="G1119" s="30"/>
      <c r="H1119" s="30"/>
      <c r="I1119" s="179"/>
      <c r="J1119" s="180"/>
      <c r="L1119" s="30"/>
      <c r="M1119" s="30"/>
      <c r="N1119" s="30"/>
    </row>
    <row r="1120">
      <c r="B1120" s="30"/>
      <c r="C1120" s="30"/>
      <c r="F1120" s="30"/>
      <c r="G1120" s="30"/>
      <c r="H1120" s="30"/>
      <c r="I1120" s="179"/>
      <c r="J1120" s="180"/>
      <c r="L1120" s="30"/>
      <c r="M1120" s="30"/>
      <c r="N1120" s="30"/>
    </row>
    <row r="1121">
      <c r="B1121" s="30"/>
      <c r="C1121" s="30"/>
      <c r="F1121" s="30"/>
      <c r="G1121" s="30"/>
      <c r="H1121" s="30"/>
      <c r="I1121" s="179"/>
      <c r="J1121" s="180"/>
      <c r="L1121" s="30"/>
      <c r="M1121" s="30"/>
      <c r="N1121" s="30"/>
    </row>
    <row r="1122">
      <c r="B1122" s="30"/>
      <c r="C1122" s="30"/>
      <c r="F1122" s="30"/>
      <c r="G1122" s="30"/>
      <c r="H1122" s="30"/>
      <c r="I1122" s="179"/>
      <c r="J1122" s="180"/>
      <c r="L1122" s="30"/>
      <c r="M1122" s="30"/>
      <c r="N1122" s="30"/>
    </row>
    <row r="1123">
      <c r="B1123" s="30"/>
      <c r="C1123" s="30"/>
      <c r="F1123" s="30"/>
      <c r="G1123" s="30"/>
      <c r="H1123" s="30"/>
      <c r="I1123" s="179"/>
      <c r="J1123" s="180"/>
      <c r="L1123" s="30"/>
      <c r="M1123" s="30"/>
      <c r="N1123" s="30"/>
    </row>
    <row r="1124">
      <c r="B1124" s="30"/>
      <c r="C1124" s="30"/>
      <c r="F1124" s="30"/>
      <c r="G1124" s="30"/>
      <c r="H1124" s="30"/>
      <c r="I1124" s="179"/>
      <c r="J1124" s="180"/>
      <c r="L1124" s="30"/>
      <c r="M1124" s="30"/>
      <c r="N1124" s="30"/>
    </row>
    <row r="1125">
      <c r="B1125" s="30"/>
      <c r="C1125" s="30"/>
      <c r="F1125" s="30"/>
      <c r="G1125" s="30"/>
      <c r="H1125" s="30"/>
      <c r="I1125" s="179"/>
      <c r="J1125" s="180"/>
      <c r="L1125" s="30"/>
      <c r="M1125" s="30"/>
      <c r="N1125" s="30"/>
    </row>
    <row r="1126">
      <c r="B1126" s="30"/>
      <c r="C1126" s="30"/>
      <c r="F1126" s="30"/>
      <c r="G1126" s="30"/>
      <c r="H1126" s="30"/>
      <c r="I1126" s="179"/>
      <c r="J1126" s="180"/>
      <c r="L1126" s="30"/>
      <c r="M1126" s="30"/>
      <c r="N1126" s="30"/>
    </row>
    <row r="1127">
      <c r="B1127" s="30"/>
      <c r="C1127" s="30"/>
      <c r="F1127" s="30"/>
      <c r="G1127" s="30"/>
      <c r="H1127" s="30"/>
      <c r="I1127" s="179"/>
      <c r="J1127" s="180"/>
      <c r="L1127" s="30"/>
      <c r="M1127" s="30"/>
      <c r="N1127" s="30"/>
    </row>
    <row r="1128">
      <c r="B1128" s="30"/>
      <c r="C1128" s="30"/>
      <c r="F1128" s="30"/>
      <c r="G1128" s="30"/>
      <c r="H1128" s="30"/>
      <c r="I1128" s="179"/>
      <c r="J1128" s="180"/>
      <c r="L1128" s="30"/>
      <c r="M1128" s="30"/>
      <c r="N1128" s="30"/>
    </row>
    <row r="1129">
      <c r="B1129" s="30"/>
      <c r="C1129" s="30"/>
      <c r="F1129" s="30"/>
      <c r="G1129" s="30"/>
      <c r="H1129" s="30"/>
      <c r="I1129" s="179"/>
      <c r="J1129" s="180"/>
      <c r="L1129" s="30"/>
      <c r="M1129" s="30"/>
      <c r="N1129" s="30"/>
    </row>
    <row r="1130">
      <c r="B1130" s="30"/>
      <c r="C1130" s="30"/>
      <c r="F1130" s="30"/>
      <c r="G1130" s="30"/>
      <c r="H1130" s="30"/>
      <c r="I1130" s="179"/>
      <c r="J1130" s="180"/>
      <c r="L1130" s="30"/>
      <c r="M1130" s="30"/>
      <c r="N1130" s="30"/>
    </row>
    <row r="1131">
      <c r="B1131" s="30"/>
      <c r="C1131" s="30"/>
      <c r="F1131" s="30"/>
      <c r="G1131" s="30"/>
      <c r="H1131" s="30"/>
      <c r="I1131" s="179"/>
      <c r="J1131" s="180"/>
      <c r="L1131" s="30"/>
      <c r="M1131" s="30"/>
      <c r="N1131" s="30"/>
    </row>
    <row r="1132">
      <c r="B1132" s="30"/>
      <c r="C1132" s="30"/>
      <c r="F1132" s="30"/>
      <c r="G1132" s="30"/>
      <c r="H1132" s="30"/>
      <c r="I1132" s="179"/>
      <c r="J1132" s="180"/>
      <c r="L1132" s="30"/>
      <c r="M1132" s="30"/>
      <c r="N1132" s="30"/>
    </row>
    <row r="1133">
      <c r="B1133" s="30"/>
      <c r="C1133" s="30"/>
      <c r="F1133" s="30"/>
      <c r="G1133" s="30"/>
      <c r="H1133" s="30"/>
      <c r="I1133" s="179"/>
      <c r="J1133" s="180"/>
      <c r="L1133" s="30"/>
      <c r="M1133" s="30"/>
      <c r="N1133" s="30"/>
    </row>
    <row r="1134">
      <c r="B1134" s="30"/>
      <c r="C1134" s="30"/>
      <c r="F1134" s="30"/>
      <c r="G1134" s="30"/>
      <c r="H1134" s="30"/>
      <c r="I1134" s="179"/>
      <c r="J1134" s="180"/>
      <c r="L1134" s="30"/>
      <c r="M1134" s="30"/>
      <c r="N1134" s="30"/>
    </row>
    <row r="1135">
      <c r="B1135" s="30"/>
      <c r="C1135" s="30"/>
      <c r="F1135" s="30"/>
      <c r="G1135" s="30"/>
      <c r="H1135" s="30"/>
      <c r="I1135" s="179"/>
      <c r="J1135" s="180"/>
      <c r="L1135" s="30"/>
      <c r="M1135" s="30"/>
      <c r="N1135" s="30"/>
    </row>
    <row r="1136">
      <c r="B1136" s="30"/>
      <c r="C1136" s="30"/>
      <c r="F1136" s="30"/>
      <c r="G1136" s="30"/>
      <c r="H1136" s="30"/>
      <c r="I1136" s="179"/>
      <c r="J1136" s="180"/>
      <c r="L1136" s="30"/>
      <c r="M1136" s="30"/>
      <c r="N1136" s="30"/>
    </row>
    <row r="1137">
      <c r="B1137" s="30"/>
      <c r="C1137" s="30"/>
      <c r="F1137" s="30"/>
      <c r="G1137" s="30"/>
      <c r="H1137" s="30"/>
      <c r="I1137" s="179"/>
      <c r="J1137" s="180"/>
      <c r="L1137" s="30"/>
      <c r="M1137" s="30"/>
      <c r="N1137" s="30"/>
    </row>
    <row r="1138">
      <c r="B1138" s="30"/>
      <c r="C1138" s="30"/>
      <c r="F1138" s="30"/>
      <c r="G1138" s="30"/>
      <c r="H1138" s="30"/>
      <c r="I1138" s="179"/>
      <c r="J1138" s="180"/>
      <c r="L1138" s="30"/>
      <c r="M1138" s="30"/>
      <c r="N1138" s="30"/>
    </row>
    <row r="1139">
      <c r="B1139" s="30"/>
      <c r="C1139" s="30"/>
      <c r="F1139" s="30"/>
      <c r="G1139" s="30"/>
      <c r="H1139" s="30"/>
      <c r="I1139" s="179"/>
      <c r="J1139" s="180"/>
      <c r="L1139" s="30"/>
      <c r="M1139" s="30"/>
      <c r="N1139" s="30"/>
    </row>
    <row r="1140">
      <c r="B1140" s="30"/>
      <c r="C1140" s="30"/>
      <c r="F1140" s="30"/>
      <c r="G1140" s="30"/>
      <c r="H1140" s="30"/>
      <c r="I1140" s="179"/>
      <c r="J1140" s="180"/>
      <c r="L1140" s="30"/>
      <c r="M1140" s="30"/>
      <c r="N1140" s="30"/>
    </row>
    <row r="1141">
      <c r="B1141" s="30"/>
      <c r="C1141" s="30"/>
      <c r="F1141" s="30"/>
      <c r="G1141" s="30"/>
      <c r="H1141" s="30"/>
      <c r="I1141" s="179"/>
      <c r="J1141" s="180"/>
      <c r="L1141" s="30"/>
      <c r="M1141" s="30"/>
      <c r="N1141" s="30"/>
    </row>
    <row r="1142">
      <c r="B1142" s="30"/>
      <c r="C1142" s="30"/>
      <c r="F1142" s="30"/>
      <c r="G1142" s="30"/>
      <c r="H1142" s="30"/>
      <c r="I1142" s="179"/>
      <c r="J1142" s="180"/>
      <c r="L1142" s="30"/>
      <c r="M1142" s="30"/>
      <c r="N1142" s="30"/>
    </row>
    <row r="1143">
      <c r="B1143" s="30"/>
      <c r="C1143" s="30"/>
      <c r="F1143" s="30"/>
      <c r="G1143" s="30"/>
      <c r="H1143" s="30"/>
      <c r="I1143" s="179"/>
      <c r="J1143" s="180"/>
      <c r="L1143" s="30"/>
      <c r="M1143" s="30"/>
      <c r="N1143" s="30"/>
    </row>
    <row r="1144">
      <c r="B1144" s="30"/>
      <c r="C1144" s="30"/>
      <c r="F1144" s="30"/>
      <c r="G1144" s="30"/>
      <c r="H1144" s="30"/>
      <c r="I1144" s="179"/>
      <c r="J1144" s="180"/>
      <c r="L1144" s="30"/>
      <c r="M1144" s="30"/>
      <c r="N1144" s="30"/>
    </row>
    <row r="1145">
      <c r="B1145" s="30"/>
      <c r="C1145" s="30"/>
      <c r="F1145" s="30"/>
      <c r="G1145" s="30"/>
      <c r="H1145" s="30"/>
      <c r="I1145" s="179"/>
      <c r="J1145" s="180"/>
      <c r="L1145" s="30"/>
      <c r="M1145" s="30"/>
      <c r="N1145" s="30"/>
    </row>
    <row r="1146">
      <c r="B1146" s="30"/>
      <c r="C1146" s="30"/>
      <c r="F1146" s="30"/>
      <c r="G1146" s="30"/>
      <c r="H1146" s="30"/>
      <c r="I1146" s="179"/>
      <c r="J1146" s="180"/>
      <c r="L1146" s="30"/>
      <c r="M1146" s="30"/>
      <c r="N1146" s="30"/>
    </row>
    <row r="1147">
      <c r="B1147" s="30"/>
      <c r="C1147" s="30"/>
      <c r="F1147" s="30"/>
      <c r="G1147" s="30"/>
      <c r="H1147" s="30"/>
      <c r="I1147" s="179"/>
      <c r="J1147" s="180"/>
      <c r="L1147" s="30"/>
      <c r="M1147" s="30"/>
      <c r="N1147" s="30"/>
    </row>
    <row r="1148">
      <c r="B1148" s="30"/>
      <c r="C1148" s="30"/>
      <c r="F1148" s="30"/>
      <c r="G1148" s="30"/>
      <c r="H1148" s="30"/>
      <c r="I1148" s="179"/>
      <c r="J1148" s="180"/>
      <c r="L1148" s="30"/>
      <c r="M1148" s="30"/>
      <c r="N1148" s="30"/>
    </row>
    <row r="1149">
      <c r="B1149" s="30"/>
      <c r="C1149" s="30"/>
      <c r="F1149" s="30"/>
      <c r="G1149" s="30"/>
      <c r="H1149" s="30"/>
      <c r="I1149" s="179"/>
      <c r="J1149" s="180"/>
      <c r="L1149" s="30"/>
      <c r="M1149" s="30"/>
      <c r="N1149" s="30"/>
    </row>
    <row r="1150">
      <c r="B1150" s="30"/>
      <c r="C1150" s="30"/>
      <c r="F1150" s="30"/>
      <c r="G1150" s="30"/>
      <c r="H1150" s="30"/>
      <c r="I1150" s="179"/>
      <c r="J1150" s="180"/>
      <c r="L1150" s="30"/>
      <c r="M1150" s="30"/>
      <c r="N1150" s="30"/>
    </row>
    <row r="1151">
      <c r="B1151" s="30"/>
      <c r="C1151" s="30"/>
      <c r="F1151" s="30"/>
      <c r="G1151" s="30"/>
      <c r="H1151" s="30"/>
      <c r="I1151" s="179"/>
      <c r="J1151" s="180"/>
      <c r="L1151" s="30"/>
      <c r="M1151" s="30"/>
      <c r="N1151" s="30"/>
    </row>
    <row r="1152">
      <c r="B1152" s="30"/>
      <c r="C1152" s="30"/>
      <c r="F1152" s="30"/>
      <c r="G1152" s="30"/>
      <c r="H1152" s="30"/>
      <c r="I1152" s="179"/>
      <c r="J1152" s="180"/>
      <c r="L1152" s="30"/>
      <c r="M1152" s="30"/>
      <c r="N1152" s="30"/>
    </row>
    <row r="1153">
      <c r="B1153" s="30"/>
      <c r="C1153" s="30"/>
      <c r="F1153" s="30"/>
      <c r="G1153" s="30"/>
      <c r="H1153" s="30"/>
      <c r="I1153" s="179"/>
      <c r="J1153" s="180"/>
      <c r="L1153" s="30"/>
      <c r="M1153" s="30"/>
      <c r="N1153" s="30"/>
    </row>
    <row r="1154">
      <c r="B1154" s="30"/>
      <c r="C1154" s="30"/>
      <c r="F1154" s="30"/>
      <c r="G1154" s="30"/>
      <c r="H1154" s="30"/>
      <c r="I1154" s="179"/>
      <c r="J1154" s="180"/>
      <c r="L1154" s="30"/>
      <c r="M1154" s="30"/>
      <c r="N1154" s="30"/>
    </row>
    <row r="1155">
      <c r="B1155" s="30"/>
      <c r="C1155" s="30"/>
      <c r="F1155" s="30"/>
      <c r="G1155" s="30"/>
      <c r="H1155" s="30"/>
      <c r="I1155" s="179"/>
      <c r="J1155" s="180"/>
      <c r="L1155" s="30"/>
      <c r="M1155" s="30"/>
      <c r="N1155" s="30"/>
    </row>
    <row r="1156">
      <c r="B1156" s="30"/>
      <c r="C1156" s="30"/>
      <c r="F1156" s="30"/>
      <c r="G1156" s="30"/>
      <c r="H1156" s="30"/>
      <c r="I1156" s="179"/>
      <c r="J1156" s="180"/>
      <c r="L1156" s="30"/>
      <c r="M1156" s="30"/>
      <c r="N1156" s="30"/>
    </row>
    <row r="1157">
      <c r="B1157" s="30"/>
      <c r="C1157" s="30"/>
      <c r="F1157" s="30"/>
      <c r="G1157" s="30"/>
      <c r="H1157" s="30"/>
      <c r="I1157" s="179"/>
      <c r="J1157" s="180"/>
      <c r="L1157" s="30"/>
      <c r="M1157" s="30"/>
      <c r="N1157" s="30"/>
    </row>
    <row r="1158">
      <c r="B1158" s="30"/>
      <c r="C1158" s="30"/>
      <c r="F1158" s="30"/>
      <c r="G1158" s="30"/>
      <c r="H1158" s="30"/>
      <c r="I1158" s="179"/>
      <c r="J1158" s="180"/>
      <c r="L1158" s="30"/>
      <c r="M1158" s="30"/>
      <c r="N1158" s="30"/>
    </row>
    <row r="1159">
      <c r="B1159" s="30"/>
      <c r="C1159" s="30"/>
      <c r="F1159" s="30"/>
      <c r="G1159" s="30"/>
      <c r="H1159" s="30"/>
      <c r="I1159" s="179"/>
      <c r="J1159" s="180"/>
      <c r="L1159" s="30"/>
      <c r="M1159" s="30"/>
      <c r="N1159" s="30"/>
    </row>
    <row r="1160">
      <c r="B1160" s="30"/>
      <c r="C1160" s="30"/>
      <c r="F1160" s="30"/>
      <c r="G1160" s="30"/>
      <c r="H1160" s="30"/>
      <c r="I1160" s="179"/>
      <c r="J1160" s="180"/>
      <c r="L1160" s="30"/>
      <c r="M1160" s="30"/>
      <c r="N1160" s="30"/>
    </row>
    <row r="1161">
      <c r="B1161" s="30"/>
      <c r="C1161" s="30"/>
      <c r="F1161" s="30"/>
      <c r="G1161" s="30"/>
      <c r="H1161" s="30"/>
      <c r="I1161" s="179"/>
      <c r="J1161" s="180"/>
      <c r="L1161" s="30"/>
      <c r="M1161" s="30"/>
      <c r="N1161" s="30"/>
    </row>
    <row r="1162">
      <c r="B1162" s="30"/>
      <c r="C1162" s="30"/>
      <c r="F1162" s="30"/>
      <c r="G1162" s="30"/>
      <c r="H1162" s="30"/>
      <c r="I1162" s="179"/>
      <c r="J1162" s="180"/>
      <c r="L1162" s="30"/>
      <c r="M1162" s="30"/>
      <c r="N1162" s="30"/>
    </row>
    <row r="1163">
      <c r="B1163" s="30"/>
      <c r="C1163" s="30"/>
      <c r="F1163" s="30"/>
      <c r="G1163" s="30"/>
      <c r="H1163" s="30"/>
      <c r="I1163" s="179"/>
      <c r="J1163" s="180"/>
      <c r="L1163" s="30"/>
      <c r="M1163" s="30"/>
      <c r="N1163" s="30"/>
    </row>
    <row r="1164">
      <c r="B1164" s="30"/>
      <c r="C1164" s="30"/>
      <c r="F1164" s="30"/>
      <c r="G1164" s="30"/>
      <c r="H1164" s="30"/>
      <c r="I1164" s="179"/>
      <c r="J1164" s="180"/>
      <c r="L1164" s="30"/>
      <c r="M1164" s="30"/>
      <c r="N1164" s="30"/>
    </row>
    <row r="1165">
      <c r="B1165" s="30"/>
      <c r="C1165" s="30"/>
      <c r="F1165" s="30"/>
      <c r="G1165" s="30"/>
      <c r="H1165" s="30"/>
      <c r="I1165" s="179"/>
      <c r="J1165" s="180"/>
      <c r="L1165" s="30"/>
      <c r="M1165" s="30"/>
      <c r="N1165" s="30"/>
    </row>
    <row r="1166">
      <c r="B1166" s="30"/>
      <c r="C1166" s="30"/>
      <c r="F1166" s="30"/>
      <c r="G1166" s="30"/>
      <c r="H1166" s="30"/>
      <c r="I1166" s="179"/>
      <c r="J1166" s="180"/>
      <c r="L1166" s="30"/>
      <c r="M1166" s="30"/>
      <c r="N1166" s="30"/>
    </row>
    <row r="1167">
      <c r="B1167" s="30"/>
      <c r="C1167" s="30"/>
      <c r="F1167" s="30"/>
      <c r="G1167" s="30"/>
      <c r="H1167" s="30"/>
      <c r="I1167" s="179"/>
      <c r="J1167" s="180"/>
      <c r="L1167" s="30"/>
      <c r="M1167" s="30"/>
      <c r="N1167" s="30"/>
    </row>
    <row r="1168">
      <c r="B1168" s="30"/>
      <c r="C1168" s="30"/>
      <c r="F1168" s="30"/>
      <c r="G1168" s="30"/>
      <c r="H1168" s="30"/>
      <c r="I1168" s="179"/>
      <c r="J1168" s="180"/>
      <c r="L1168" s="30"/>
      <c r="M1168" s="30"/>
      <c r="N1168" s="30"/>
    </row>
    <row r="1169">
      <c r="B1169" s="30"/>
      <c r="C1169" s="30"/>
      <c r="F1169" s="30"/>
      <c r="G1169" s="30"/>
      <c r="H1169" s="30"/>
      <c r="I1169" s="179"/>
      <c r="J1169" s="180"/>
      <c r="L1169" s="30"/>
      <c r="M1169" s="30"/>
      <c r="N1169" s="30"/>
    </row>
    <row r="1170">
      <c r="B1170" s="30"/>
      <c r="C1170" s="30"/>
      <c r="F1170" s="30"/>
      <c r="G1170" s="30"/>
      <c r="H1170" s="30"/>
      <c r="I1170" s="179"/>
      <c r="J1170" s="180"/>
      <c r="L1170" s="30"/>
      <c r="M1170" s="30"/>
      <c r="N1170" s="30"/>
    </row>
    <row r="1171">
      <c r="B1171" s="30"/>
      <c r="C1171" s="30"/>
      <c r="F1171" s="30"/>
      <c r="G1171" s="30"/>
      <c r="H1171" s="30"/>
      <c r="I1171" s="179"/>
      <c r="J1171" s="180"/>
      <c r="L1171" s="30"/>
      <c r="M1171" s="30"/>
      <c r="N1171" s="30"/>
    </row>
    <row r="1172">
      <c r="B1172" s="30"/>
      <c r="C1172" s="30"/>
      <c r="F1172" s="30"/>
      <c r="G1172" s="30"/>
      <c r="H1172" s="30"/>
      <c r="I1172" s="179"/>
      <c r="J1172" s="180"/>
      <c r="L1172" s="30"/>
      <c r="M1172" s="30"/>
      <c r="N1172" s="30"/>
    </row>
    <row r="1173">
      <c r="B1173" s="30"/>
      <c r="C1173" s="30"/>
      <c r="F1173" s="30"/>
      <c r="G1173" s="30"/>
      <c r="H1173" s="30"/>
      <c r="I1173" s="179"/>
      <c r="J1173" s="180"/>
      <c r="L1173" s="30"/>
      <c r="M1173" s="30"/>
      <c r="N1173" s="30"/>
    </row>
    <row r="1174">
      <c r="B1174" s="30"/>
      <c r="C1174" s="30"/>
      <c r="F1174" s="30"/>
      <c r="G1174" s="30"/>
      <c r="H1174" s="30"/>
      <c r="I1174" s="179"/>
      <c r="J1174" s="180"/>
      <c r="L1174" s="30"/>
      <c r="M1174" s="30"/>
      <c r="N1174" s="30"/>
    </row>
    <row r="1175">
      <c r="B1175" s="30"/>
      <c r="C1175" s="30"/>
      <c r="F1175" s="30"/>
      <c r="G1175" s="30"/>
      <c r="H1175" s="30"/>
      <c r="I1175" s="179"/>
      <c r="J1175" s="180"/>
      <c r="L1175" s="30"/>
      <c r="M1175" s="30"/>
      <c r="N1175" s="30"/>
    </row>
    <row r="1176">
      <c r="B1176" s="30"/>
      <c r="C1176" s="30"/>
      <c r="F1176" s="30"/>
      <c r="G1176" s="30"/>
      <c r="H1176" s="30"/>
      <c r="I1176" s="179"/>
      <c r="J1176" s="180"/>
      <c r="L1176" s="30"/>
      <c r="M1176" s="30"/>
      <c r="N1176" s="30"/>
    </row>
    <row r="1177">
      <c r="B1177" s="30"/>
      <c r="C1177" s="30"/>
      <c r="F1177" s="30"/>
      <c r="G1177" s="30"/>
      <c r="H1177" s="30"/>
      <c r="I1177" s="179"/>
      <c r="J1177" s="180"/>
      <c r="L1177" s="30"/>
      <c r="M1177" s="30"/>
      <c r="N1177" s="30"/>
    </row>
    <row r="1178">
      <c r="B1178" s="30"/>
      <c r="C1178" s="30"/>
      <c r="F1178" s="30"/>
      <c r="G1178" s="30"/>
      <c r="H1178" s="30"/>
      <c r="I1178" s="179"/>
      <c r="J1178" s="180"/>
      <c r="L1178" s="30"/>
      <c r="M1178" s="30"/>
      <c r="N1178" s="30"/>
    </row>
    <row r="1179">
      <c r="B1179" s="30"/>
      <c r="C1179" s="30"/>
      <c r="F1179" s="30"/>
      <c r="G1179" s="30"/>
      <c r="H1179" s="30"/>
      <c r="I1179" s="179"/>
      <c r="J1179" s="180"/>
      <c r="L1179" s="30"/>
      <c r="M1179" s="30"/>
      <c r="N1179" s="30"/>
    </row>
    <row r="1180">
      <c r="B1180" s="30"/>
      <c r="C1180" s="30"/>
      <c r="F1180" s="30"/>
      <c r="G1180" s="30"/>
      <c r="H1180" s="30"/>
      <c r="I1180" s="179"/>
      <c r="J1180" s="180"/>
      <c r="L1180" s="30"/>
      <c r="M1180" s="30"/>
      <c r="N1180" s="30"/>
    </row>
    <row r="1181">
      <c r="B1181" s="30"/>
      <c r="C1181" s="30"/>
      <c r="F1181" s="30"/>
      <c r="G1181" s="30"/>
      <c r="H1181" s="30"/>
      <c r="I1181" s="179"/>
      <c r="J1181" s="180"/>
      <c r="L1181" s="30"/>
      <c r="M1181" s="30"/>
      <c r="N1181" s="30"/>
    </row>
    <row r="1182">
      <c r="B1182" s="30"/>
      <c r="C1182" s="30"/>
      <c r="F1182" s="30"/>
      <c r="G1182" s="30"/>
      <c r="H1182" s="30"/>
      <c r="I1182" s="179"/>
      <c r="J1182" s="180"/>
      <c r="L1182" s="30"/>
      <c r="M1182" s="30"/>
      <c r="N1182" s="30"/>
    </row>
    <row r="1183">
      <c r="B1183" s="30"/>
      <c r="C1183" s="30"/>
      <c r="F1183" s="30"/>
      <c r="G1183" s="30"/>
      <c r="H1183" s="30"/>
      <c r="I1183" s="179"/>
      <c r="J1183" s="180"/>
      <c r="L1183" s="30"/>
      <c r="M1183" s="30"/>
      <c r="N1183" s="30"/>
    </row>
    <row r="1184">
      <c r="B1184" s="30"/>
      <c r="C1184" s="30"/>
      <c r="F1184" s="30"/>
      <c r="G1184" s="30"/>
      <c r="H1184" s="30"/>
      <c r="I1184" s="179"/>
      <c r="J1184" s="180"/>
      <c r="L1184" s="30"/>
      <c r="M1184" s="30"/>
      <c r="N1184" s="30"/>
    </row>
    <row r="1185">
      <c r="B1185" s="30"/>
      <c r="C1185" s="30"/>
      <c r="F1185" s="30"/>
      <c r="G1185" s="30"/>
      <c r="H1185" s="30"/>
      <c r="I1185" s="179"/>
      <c r="J1185" s="180"/>
      <c r="L1185" s="30"/>
      <c r="M1185" s="30"/>
      <c r="N1185" s="30"/>
    </row>
    <row r="1186">
      <c r="B1186" s="30"/>
      <c r="C1186" s="30"/>
      <c r="F1186" s="30"/>
      <c r="G1186" s="30"/>
      <c r="H1186" s="30"/>
      <c r="I1186" s="179"/>
      <c r="J1186" s="180"/>
      <c r="L1186" s="30"/>
      <c r="M1186" s="30"/>
      <c r="N1186" s="30"/>
    </row>
    <row r="1187">
      <c r="B1187" s="30"/>
      <c r="C1187" s="30"/>
      <c r="F1187" s="30"/>
      <c r="G1187" s="30"/>
      <c r="H1187" s="30"/>
      <c r="I1187" s="179"/>
      <c r="J1187" s="180"/>
      <c r="L1187" s="30"/>
      <c r="M1187" s="30"/>
      <c r="N1187" s="30"/>
    </row>
    <row r="1188">
      <c r="B1188" s="30"/>
      <c r="C1188" s="30"/>
      <c r="F1188" s="30"/>
      <c r="G1188" s="30"/>
      <c r="H1188" s="30"/>
      <c r="I1188" s="179"/>
      <c r="J1188" s="180"/>
      <c r="L1188" s="30"/>
      <c r="M1188" s="30"/>
      <c r="N1188" s="30"/>
    </row>
    <row r="1189">
      <c r="B1189" s="30"/>
      <c r="C1189" s="30"/>
      <c r="F1189" s="30"/>
      <c r="G1189" s="30"/>
      <c r="H1189" s="30"/>
      <c r="I1189" s="179"/>
      <c r="J1189" s="180"/>
      <c r="L1189" s="30"/>
      <c r="M1189" s="30"/>
      <c r="N1189" s="30"/>
    </row>
    <row r="1190">
      <c r="B1190" s="30"/>
      <c r="C1190" s="30"/>
      <c r="F1190" s="30"/>
      <c r="G1190" s="30"/>
      <c r="H1190" s="30"/>
      <c r="I1190" s="179"/>
      <c r="J1190" s="180"/>
      <c r="L1190" s="30"/>
      <c r="M1190" s="30"/>
      <c r="N1190" s="30"/>
    </row>
    <row r="1191">
      <c r="B1191" s="30"/>
      <c r="C1191" s="30"/>
      <c r="F1191" s="30"/>
      <c r="G1191" s="30"/>
      <c r="H1191" s="30"/>
      <c r="I1191" s="179"/>
      <c r="J1191" s="180"/>
      <c r="L1191" s="30"/>
      <c r="M1191" s="30"/>
      <c r="N1191" s="30"/>
    </row>
    <row r="1192">
      <c r="B1192" s="30"/>
      <c r="C1192" s="30"/>
      <c r="F1192" s="30"/>
      <c r="G1192" s="30"/>
      <c r="H1192" s="30"/>
      <c r="I1192" s="179"/>
      <c r="J1192" s="180"/>
      <c r="L1192" s="30"/>
      <c r="M1192" s="30"/>
      <c r="N1192" s="30"/>
    </row>
    <row r="1193">
      <c r="B1193" s="30"/>
      <c r="C1193" s="30"/>
      <c r="F1193" s="30"/>
      <c r="G1193" s="30"/>
      <c r="H1193" s="30"/>
      <c r="I1193" s="179"/>
      <c r="J1193" s="180"/>
      <c r="L1193" s="30"/>
      <c r="M1193" s="30"/>
      <c r="N1193" s="30"/>
    </row>
    <row r="1194">
      <c r="B1194" s="30"/>
      <c r="C1194" s="30"/>
      <c r="F1194" s="30"/>
      <c r="G1194" s="30"/>
      <c r="H1194" s="30"/>
      <c r="I1194" s="179"/>
      <c r="J1194" s="180"/>
      <c r="L1194" s="30"/>
      <c r="M1194" s="30"/>
      <c r="N1194" s="30"/>
    </row>
    <row r="1195">
      <c r="B1195" s="30"/>
      <c r="C1195" s="30"/>
      <c r="F1195" s="30"/>
      <c r="G1195" s="30"/>
      <c r="H1195" s="30"/>
      <c r="I1195" s="179"/>
      <c r="J1195" s="180"/>
      <c r="L1195" s="30"/>
      <c r="M1195" s="30"/>
      <c r="N1195" s="30"/>
    </row>
    <row r="1196">
      <c r="B1196" s="30"/>
      <c r="C1196" s="30"/>
      <c r="F1196" s="30"/>
      <c r="G1196" s="30"/>
      <c r="H1196" s="30"/>
      <c r="I1196" s="179"/>
      <c r="J1196" s="180"/>
      <c r="L1196" s="30"/>
      <c r="M1196" s="30"/>
      <c r="N1196" s="30"/>
    </row>
    <row r="1197">
      <c r="B1197" s="30"/>
      <c r="C1197" s="30"/>
      <c r="F1197" s="30"/>
      <c r="G1197" s="30"/>
      <c r="H1197" s="30"/>
      <c r="I1197" s="179"/>
      <c r="J1197" s="180"/>
      <c r="L1197" s="30"/>
      <c r="M1197" s="30"/>
      <c r="N1197" s="30"/>
    </row>
    <row r="1198">
      <c r="B1198" s="30"/>
      <c r="C1198" s="30"/>
      <c r="F1198" s="30"/>
      <c r="G1198" s="30"/>
      <c r="H1198" s="30"/>
      <c r="I1198" s="179"/>
      <c r="J1198" s="180"/>
      <c r="L1198" s="30"/>
      <c r="M1198" s="30"/>
      <c r="N1198" s="30"/>
    </row>
    <row r="1199">
      <c r="B1199" s="30"/>
      <c r="C1199" s="30"/>
      <c r="F1199" s="30"/>
      <c r="G1199" s="30"/>
      <c r="H1199" s="30"/>
      <c r="I1199" s="179"/>
      <c r="J1199" s="180"/>
      <c r="L1199" s="30"/>
      <c r="M1199" s="30"/>
      <c r="N1199" s="30"/>
    </row>
    <row r="1200">
      <c r="B1200" s="30"/>
      <c r="C1200" s="30"/>
      <c r="F1200" s="30"/>
      <c r="G1200" s="30"/>
      <c r="H1200" s="30"/>
      <c r="I1200" s="179"/>
      <c r="J1200" s="180"/>
      <c r="L1200" s="30"/>
      <c r="M1200" s="30"/>
      <c r="N1200" s="30"/>
    </row>
    <row r="1201">
      <c r="B1201" s="30"/>
      <c r="C1201" s="30"/>
      <c r="F1201" s="30"/>
      <c r="G1201" s="30"/>
      <c r="H1201" s="30"/>
      <c r="I1201" s="179"/>
      <c r="J1201" s="180"/>
      <c r="L1201" s="30"/>
      <c r="M1201" s="30"/>
      <c r="N1201" s="30"/>
    </row>
    <row r="1202">
      <c r="B1202" s="30"/>
      <c r="C1202" s="30"/>
      <c r="F1202" s="30"/>
      <c r="G1202" s="30"/>
      <c r="H1202" s="30"/>
      <c r="I1202" s="179"/>
      <c r="J1202" s="180"/>
      <c r="L1202" s="30"/>
      <c r="M1202" s="30"/>
      <c r="N1202" s="30"/>
    </row>
    <row r="1203">
      <c r="B1203" s="30"/>
      <c r="C1203" s="30"/>
      <c r="F1203" s="30"/>
      <c r="G1203" s="30"/>
      <c r="H1203" s="30"/>
      <c r="I1203" s="179"/>
      <c r="J1203" s="180"/>
      <c r="L1203" s="30"/>
      <c r="M1203" s="30"/>
      <c r="N1203" s="30"/>
    </row>
    <row r="1204">
      <c r="B1204" s="30"/>
      <c r="C1204" s="30"/>
      <c r="F1204" s="30"/>
      <c r="G1204" s="30"/>
      <c r="H1204" s="30"/>
      <c r="I1204" s="179"/>
      <c r="J1204" s="180"/>
      <c r="L1204" s="30"/>
      <c r="M1204" s="30"/>
      <c r="N1204" s="30"/>
    </row>
    <row r="1205">
      <c r="B1205" s="30"/>
      <c r="C1205" s="30"/>
      <c r="F1205" s="30"/>
      <c r="G1205" s="30"/>
      <c r="H1205" s="30"/>
      <c r="I1205" s="179"/>
      <c r="J1205" s="180"/>
      <c r="L1205" s="30"/>
      <c r="M1205" s="30"/>
      <c r="N1205" s="30"/>
    </row>
    <row r="1206">
      <c r="B1206" s="30"/>
      <c r="C1206" s="30"/>
      <c r="F1206" s="30"/>
      <c r="G1206" s="30"/>
      <c r="H1206" s="30"/>
      <c r="I1206" s="179"/>
      <c r="J1206" s="180"/>
      <c r="L1206" s="30"/>
      <c r="M1206" s="30"/>
      <c r="N1206" s="30"/>
    </row>
    <row r="1207">
      <c r="B1207" s="30"/>
      <c r="C1207" s="30"/>
      <c r="F1207" s="30"/>
      <c r="G1207" s="30"/>
      <c r="H1207" s="30"/>
      <c r="I1207" s="179"/>
      <c r="J1207" s="180"/>
      <c r="L1207" s="30"/>
      <c r="M1207" s="30"/>
      <c r="N1207" s="30"/>
    </row>
    <row r="1208">
      <c r="B1208" s="30"/>
      <c r="C1208" s="30"/>
      <c r="F1208" s="30"/>
      <c r="G1208" s="30"/>
      <c r="H1208" s="30"/>
      <c r="I1208" s="179"/>
      <c r="J1208" s="180"/>
      <c r="L1208" s="30"/>
      <c r="M1208" s="30"/>
      <c r="N1208" s="30"/>
    </row>
    <row r="1209">
      <c r="B1209" s="30"/>
      <c r="C1209" s="30"/>
      <c r="F1209" s="30"/>
      <c r="G1209" s="30"/>
      <c r="H1209" s="30"/>
      <c r="I1209" s="179"/>
      <c r="J1209" s="180"/>
      <c r="L1209" s="30"/>
      <c r="M1209" s="30"/>
      <c r="N1209" s="30"/>
    </row>
    <row r="1210">
      <c r="B1210" s="30"/>
      <c r="C1210" s="30"/>
      <c r="F1210" s="30"/>
      <c r="G1210" s="30"/>
      <c r="H1210" s="30"/>
      <c r="I1210" s="179"/>
      <c r="J1210" s="180"/>
      <c r="L1210" s="30"/>
      <c r="M1210" s="30"/>
      <c r="N1210" s="30"/>
    </row>
    <row r="1211">
      <c r="B1211" s="30"/>
      <c r="C1211" s="30"/>
      <c r="F1211" s="30"/>
      <c r="G1211" s="30"/>
      <c r="H1211" s="30"/>
      <c r="I1211" s="179"/>
      <c r="J1211" s="180"/>
      <c r="L1211" s="30"/>
      <c r="M1211" s="30"/>
      <c r="N1211" s="30"/>
    </row>
    <row r="1212">
      <c r="B1212" s="30"/>
      <c r="C1212" s="30"/>
      <c r="F1212" s="30"/>
      <c r="G1212" s="30"/>
      <c r="H1212" s="30"/>
      <c r="I1212" s="179"/>
      <c r="J1212" s="180"/>
      <c r="L1212" s="30"/>
      <c r="M1212" s="30"/>
      <c r="N1212" s="30"/>
    </row>
    <row r="1213">
      <c r="B1213" s="30"/>
      <c r="C1213" s="30"/>
      <c r="F1213" s="30"/>
      <c r="G1213" s="30"/>
      <c r="H1213" s="30"/>
      <c r="I1213" s="179"/>
      <c r="J1213" s="180"/>
      <c r="L1213" s="30"/>
      <c r="M1213" s="30"/>
      <c r="N1213" s="30"/>
    </row>
    <row r="1214">
      <c r="B1214" s="30"/>
      <c r="C1214" s="30"/>
      <c r="F1214" s="30"/>
      <c r="G1214" s="30"/>
      <c r="H1214" s="30"/>
      <c r="I1214" s="179"/>
      <c r="J1214" s="180"/>
      <c r="L1214" s="30"/>
      <c r="M1214" s="30"/>
      <c r="N1214" s="30"/>
    </row>
    <row r="1215">
      <c r="B1215" s="30"/>
      <c r="C1215" s="30"/>
      <c r="F1215" s="30"/>
      <c r="G1215" s="30"/>
      <c r="H1215" s="30"/>
      <c r="I1215" s="179"/>
      <c r="J1215" s="180"/>
      <c r="L1215" s="30"/>
      <c r="M1215" s="30"/>
      <c r="N1215" s="30"/>
    </row>
    <row r="1216">
      <c r="B1216" s="30"/>
      <c r="C1216" s="30"/>
      <c r="F1216" s="30"/>
      <c r="G1216" s="30"/>
      <c r="H1216" s="30"/>
      <c r="I1216" s="179"/>
      <c r="J1216" s="180"/>
      <c r="L1216" s="30"/>
      <c r="M1216" s="30"/>
      <c r="N1216" s="30"/>
    </row>
    <row r="1217">
      <c r="B1217" s="30"/>
      <c r="C1217" s="30"/>
      <c r="F1217" s="30"/>
      <c r="G1217" s="30"/>
      <c r="H1217" s="30"/>
      <c r="I1217" s="179"/>
      <c r="J1217" s="180"/>
      <c r="L1217" s="30"/>
      <c r="M1217" s="30"/>
      <c r="N1217" s="30"/>
    </row>
    <row r="1218">
      <c r="B1218" s="30"/>
      <c r="C1218" s="30"/>
      <c r="F1218" s="30"/>
      <c r="G1218" s="30"/>
      <c r="H1218" s="30"/>
      <c r="I1218" s="179"/>
      <c r="J1218" s="180"/>
      <c r="L1218" s="30"/>
      <c r="M1218" s="30"/>
      <c r="N1218" s="30"/>
    </row>
    <row r="1219">
      <c r="B1219" s="30"/>
      <c r="C1219" s="30"/>
      <c r="F1219" s="30"/>
      <c r="G1219" s="30"/>
      <c r="H1219" s="30"/>
      <c r="I1219" s="179"/>
      <c r="J1219" s="180"/>
      <c r="L1219" s="30"/>
      <c r="M1219" s="30"/>
      <c r="N1219" s="30"/>
    </row>
    <row r="1220">
      <c r="B1220" s="30"/>
      <c r="C1220" s="30"/>
      <c r="F1220" s="30"/>
      <c r="G1220" s="30"/>
      <c r="H1220" s="30"/>
      <c r="I1220" s="179"/>
      <c r="J1220" s="180"/>
      <c r="L1220" s="30"/>
      <c r="M1220" s="30"/>
      <c r="N1220" s="30"/>
    </row>
    <row r="1221">
      <c r="B1221" s="30"/>
      <c r="C1221" s="30"/>
      <c r="F1221" s="30"/>
      <c r="G1221" s="30"/>
      <c r="H1221" s="30"/>
      <c r="I1221" s="179"/>
      <c r="J1221" s="180"/>
      <c r="L1221" s="30"/>
      <c r="M1221" s="30"/>
      <c r="N1221" s="30"/>
    </row>
    <row r="1222">
      <c r="B1222" s="30"/>
      <c r="C1222" s="30"/>
      <c r="F1222" s="30"/>
      <c r="G1222" s="30"/>
      <c r="H1222" s="30"/>
      <c r="I1222" s="179"/>
      <c r="J1222" s="180"/>
      <c r="L1222" s="30"/>
      <c r="M1222" s="30"/>
      <c r="N1222" s="30"/>
    </row>
    <row r="1223">
      <c r="B1223" s="30"/>
      <c r="C1223" s="30"/>
      <c r="F1223" s="30"/>
      <c r="G1223" s="30"/>
      <c r="H1223" s="30"/>
      <c r="I1223" s="179"/>
      <c r="J1223" s="180"/>
      <c r="L1223" s="30"/>
      <c r="M1223" s="30"/>
      <c r="N1223" s="30"/>
    </row>
    <row r="1224">
      <c r="B1224" s="30"/>
      <c r="C1224" s="30"/>
      <c r="F1224" s="30"/>
      <c r="G1224" s="30"/>
      <c r="H1224" s="30"/>
      <c r="I1224" s="179"/>
      <c r="J1224" s="180"/>
      <c r="L1224" s="30"/>
      <c r="M1224" s="30"/>
      <c r="N1224" s="30"/>
    </row>
    <row r="1225">
      <c r="B1225" s="30"/>
      <c r="C1225" s="30"/>
      <c r="F1225" s="30"/>
      <c r="G1225" s="30"/>
      <c r="H1225" s="30"/>
      <c r="I1225" s="179"/>
      <c r="J1225" s="180"/>
      <c r="L1225" s="30"/>
      <c r="M1225" s="30"/>
      <c r="N1225" s="30"/>
    </row>
    <row r="1226">
      <c r="B1226" s="30"/>
      <c r="C1226" s="30"/>
      <c r="F1226" s="30"/>
      <c r="G1226" s="30"/>
      <c r="H1226" s="30"/>
      <c r="I1226" s="179"/>
      <c r="J1226" s="180"/>
      <c r="L1226" s="30"/>
      <c r="M1226" s="30"/>
      <c r="N1226" s="30"/>
    </row>
    <row r="1227">
      <c r="B1227" s="30"/>
      <c r="C1227" s="30"/>
      <c r="F1227" s="30"/>
      <c r="G1227" s="30"/>
      <c r="H1227" s="30"/>
      <c r="I1227" s="179"/>
      <c r="J1227" s="180"/>
      <c r="L1227" s="30"/>
      <c r="M1227" s="30"/>
      <c r="N1227" s="30"/>
    </row>
    <row r="1228">
      <c r="B1228" s="30"/>
      <c r="C1228" s="30"/>
      <c r="F1228" s="30"/>
      <c r="G1228" s="30"/>
      <c r="H1228" s="30"/>
      <c r="I1228" s="179"/>
      <c r="J1228" s="180"/>
      <c r="L1228" s="30"/>
      <c r="M1228" s="30"/>
      <c r="N1228" s="30"/>
    </row>
    <row r="1229">
      <c r="B1229" s="30"/>
      <c r="C1229" s="30"/>
      <c r="F1229" s="30"/>
      <c r="G1229" s="30"/>
      <c r="H1229" s="30"/>
      <c r="I1229" s="179"/>
      <c r="J1229" s="180"/>
      <c r="L1229" s="30"/>
      <c r="M1229" s="30"/>
      <c r="N1229" s="30"/>
    </row>
    <row r="1230">
      <c r="B1230" s="30"/>
      <c r="C1230" s="30"/>
      <c r="F1230" s="30"/>
      <c r="G1230" s="30"/>
      <c r="H1230" s="30"/>
      <c r="I1230" s="179"/>
      <c r="J1230" s="180"/>
      <c r="L1230" s="30"/>
      <c r="M1230" s="30"/>
      <c r="N1230" s="30"/>
    </row>
    <row r="1231">
      <c r="B1231" s="30"/>
      <c r="C1231" s="30"/>
      <c r="F1231" s="30"/>
      <c r="G1231" s="30"/>
      <c r="H1231" s="30"/>
      <c r="I1231" s="179"/>
      <c r="J1231" s="180"/>
      <c r="L1231" s="30"/>
      <c r="M1231" s="30"/>
      <c r="N1231" s="30"/>
    </row>
    <row r="1232">
      <c r="B1232" s="30"/>
      <c r="C1232" s="30"/>
      <c r="F1232" s="30"/>
      <c r="G1232" s="30"/>
      <c r="H1232" s="30"/>
      <c r="I1232" s="179"/>
      <c r="J1232" s="180"/>
      <c r="L1232" s="30"/>
      <c r="M1232" s="30"/>
      <c r="N1232" s="30"/>
    </row>
    <row r="1233">
      <c r="B1233" s="30"/>
      <c r="C1233" s="30"/>
      <c r="F1233" s="30"/>
      <c r="G1233" s="30"/>
      <c r="H1233" s="30"/>
      <c r="I1233" s="179"/>
      <c r="J1233" s="180"/>
      <c r="L1233" s="30"/>
      <c r="M1233" s="30"/>
      <c r="N1233" s="30"/>
    </row>
    <row r="1234">
      <c r="B1234" s="30"/>
      <c r="C1234" s="30"/>
      <c r="F1234" s="30"/>
      <c r="G1234" s="30"/>
      <c r="H1234" s="30"/>
      <c r="I1234" s="179"/>
      <c r="J1234" s="180"/>
      <c r="L1234" s="30"/>
      <c r="M1234" s="30"/>
      <c r="N1234" s="30"/>
    </row>
    <row r="1235">
      <c r="B1235" s="30"/>
      <c r="C1235" s="30"/>
      <c r="F1235" s="30"/>
      <c r="G1235" s="30"/>
      <c r="H1235" s="30"/>
      <c r="I1235" s="179"/>
      <c r="J1235" s="180"/>
      <c r="L1235" s="30"/>
      <c r="M1235" s="30"/>
      <c r="N1235" s="30"/>
    </row>
    <row r="1236">
      <c r="B1236" s="30"/>
      <c r="C1236" s="30"/>
      <c r="F1236" s="30"/>
      <c r="G1236" s="30"/>
      <c r="H1236" s="30"/>
      <c r="I1236" s="179"/>
      <c r="J1236" s="180"/>
      <c r="L1236" s="30"/>
      <c r="M1236" s="30"/>
      <c r="N1236" s="30"/>
    </row>
    <row r="1237">
      <c r="B1237" s="30"/>
      <c r="C1237" s="30"/>
      <c r="F1237" s="30"/>
      <c r="G1237" s="30"/>
      <c r="H1237" s="30"/>
      <c r="I1237" s="179"/>
      <c r="J1237" s="180"/>
      <c r="L1237" s="30"/>
      <c r="M1237" s="30"/>
      <c r="N1237" s="30"/>
    </row>
    <row r="1238">
      <c r="B1238" s="30"/>
      <c r="C1238" s="30"/>
      <c r="F1238" s="30"/>
      <c r="G1238" s="30"/>
      <c r="H1238" s="30"/>
      <c r="I1238" s="179"/>
      <c r="J1238" s="180"/>
      <c r="L1238" s="30"/>
      <c r="M1238" s="30"/>
      <c r="N1238" s="30"/>
    </row>
    <row r="1239">
      <c r="B1239" s="30"/>
      <c r="C1239" s="30"/>
      <c r="F1239" s="30"/>
      <c r="G1239" s="30"/>
      <c r="H1239" s="30"/>
      <c r="I1239" s="179"/>
      <c r="J1239" s="180"/>
      <c r="L1239" s="30"/>
      <c r="M1239" s="30"/>
      <c r="N1239" s="30"/>
    </row>
    <row r="1240">
      <c r="B1240" s="30"/>
      <c r="C1240" s="30"/>
      <c r="F1240" s="30"/>
      <c r="G1240" s="30"/>
      <c r="H1240" s="30"/>
      <c r="I1240" s="179"/>
      <c r="J1240" s="180"/>
      <c r="L1240" s="30"/>
      <c r="M1240" s="30"/>
      <c r="N1240" s="30"/>
    </row>
    <row r="1241">
      <c r="B1241" s="30"/>
      <c r="C1241" s="30"/>
      <c r="F1241" s="30"/>
      <c r="G1241" s="30"/>
      <c r="H1241" s="30"/>
      <c r="I1241" s="179"/>
      <c r="J1241" s="180"/>
      <c r="L1241" s="30"/>
      <c r="M1241" s="30"/>
      <c r="N1241" s="30"/>
    </row>
    <row r="1242">
      <c r="B1242" s="30"/>
      <c r="C1242" s="30"/>
      <c r="F1242" s="30"/>
      <c r="G1242" s="30"/>
      <c r="H1242" s="30"/>
      <c r="I1242" s="179"/>
      <c r="J1242" s="180"/>
      <c r="L1242" s="30"/>
      <c r="M1242" s="30"/>
      <c r="N1242" s="30"/>
    </row>
    <row r="1243">
      <c r="B1243" s="30"/>
      <c r="C1243" s="30"/>
      <c r="F1243" s="30"/>
      <c r="G1243" s="30"/>
      <c r="H1243" s="30"/>
      <c r="I1243" s="179"/>
      <c r="J1243" s="180"/>
      <c r="L1243" s="30"/>
      <c r="M1243" s="30"/>
      <c r="N1243" s="30"/>
    </row>
    <row r="1244">
      <c r="B1244" s="30"/>
      <c r="C1244" s="30"/>
      <c r="F1244" s="30"/>
      <c r="G1244" s="30"/>
      <c r="H1244" s="30"/>
      <c r="I1244" s="179"/>
      <c r="J1244" s="180"/>
      <c r="L1244" s="30"/>
      <c r="M1244" s="30"/>
      <c r="N1244" s="30"/>
    </row>
    <row r="1245">
      <c r="B1245" s="30"/>
      <c r="C1245" s="30"/>
      <c r="F1245" s="30"/>
      <c r="G1245" s="30"/>
      <c r="H1245" s="30"/>
      <c r="I1245" s="179"/>
      <c r="J1245" s="180"/>
      <c r="L1245" s="30"/>
      <c r="M1245" s="30"/>
      <c r="N1245" s="30"/>
    </row>
    <row r="1246">
      <c r="B1246" s="30"/>
      <c r="C1246" s="30"/>
      <c r="F1246" s="30"/>
      <c r="G1246" s="30"/>
      <c r="H1246" s="30"/>
      <c r="I1246" s="179"/>
      <c r="J1246" s="180"/>
      <c r="L1246" s="30"/>
      <c r="M1246" s="30"/>
      <c r="N1246" s="30"/>
    </row>
    <row r="1247">
      <c r="B1247" s="30"/>
      <c r="C1247" s="30"/>
      <c r="F1247" s="30"/>
      <c r="G1247" s="30"/>
      <c r="H1247" s="30"/>
      <c r="I1247" s="179"/>
      <c r="J1247" s="180"/>
      <c r="L1247" s="30"/>
      <c r="M1247" s="30"/>
      <c r="N1247" s="30"/>
    </row>
    <row r="1248">
      <c r="B1248" s="30"/>
      <c r="C1248" s="30"/>
      <c r="F1248" s="30"/>
      <c r="G1248" s="30"/>
      <c r="H1248" s="30"/>
      <c r="I1248" s="179"/>
      <c r="J1248" s="180"/>
      <c r="L1248" s="30"/>
      <c r="M1248" s="30"/>
      <c r="N1248" s="30"/>
    </row>
    <row r="1249">
      <c r="B1249" s="30"/>
      <c r="C1249" s="30"/>
      <c r="F1249" s="30"/>
      <c r="G1249" s="30"/>
      <c r="H1249" s="30"/>
      <c r="I1249" s="179"/>
      <c r="J1249" s="180"/>
      <c r="L1249" s="30"/>
      <c r="M1249" s="30"/>
      <c r="N1249" s="30"/>
    </row>
    <row r="1250">
      <c r="B1250" s="30"/>
      <c r="C1250" s="30"/>
      <c r="F1250" s="30"/>
      <c r="G1250" s="30"/>
      <c r="H1250" s="30"/>
      <c r="I1250" s="179"/>
      <c r="J1250" s="180"/>
      <c r="L1250" s="30"/>
      <c r="M1250" s="30"/>
      <c r="N1250" s="30"/>
    </row>
    <row r="1251">
      <c r="B1251" s="30"/>
      <c r="C1251" s="30"/>
      <c r="F1251" s="30"/>
      <c r="G1251" s="30"/>
      <c r="H1251" s="30"/>
      <c r="I1251" s="179"/>
      <c r="J1251" s="180"/>
      <c r="L1251" s="30"/>
      <c r="M1251" s="30"/>
      <c r="N1251" s="30"/>
    </row>
    <row r="1252">
      <c r="B1252" s="30"/>
      <c r="C1252" s="30"/>
      <c r="F1252" s="30"/>
      <c r="G1252" s="30"/>
      <c r="H1252" s="30"/>
      <c r="I1252" s="179"/>
      <c r="J1252" s="180"/>
      <c r="L1252" s="30"/>
      <c r="M1252" s="30"/>
      <c r="N1252" s="30"/>
    </row>
    <row r="1253">
      <c r="B1253" s="30"/>
      <c r="C1253" s="30"/>
      <c r="F1253" s="30"/>
      <c r="G1253" s="30"/>
      <c r="H1253" s="30"/>
      <c r="I1253" s="179"/>
      <c r="J1253" s="180"/>
      <c r="L1253" s="30"/>
      <c r="M1253" s="30"/>
      <c r="N1253" s="30"/>
    </row>
    <row r="1254">
      <c r="B1254" s="30"/>
      <c r="C1254" s="30"/>
      <c r="F1254" s="30"/>
      <c r="G1254" s="30"/>
      <c r="H1254" s="30"/>
      <c r="I1254" s="179"/>
      <c r="J1254" s="180"/>
      <c r="L1254" s="30"/>
      <c r="M1254" s="30"/>
      <c r="N1254" s="30"/>
    </row>
    <row r="1255">
      <c r="B1255" s="30"/>
      <c r="C1255" s="30"/>
      <c r="F1255" s="30"/>
      <c r="G1255" s="30"/>
      <c r="H1255" s="30"/>
      <c r="I1255" s="179"/>
      <c r="J1255" s="180"/>
      <c r="L1255" s="30"/>
      <c r="M1255" s="30"/>
      <c r="N1255" s="30"/>
    </row>
    <row r="1256">
      <c r="B1256" s="30"/>
      <c r="C1256" s="30"/>
      <c r="F1256" s="30"/>
      <c r="G1256" s="30"/>
      <c r="H1256" s="30"/>
      <c r="I1256" s="179"/>
      <c r="J1256" s="180"/>
      <c r="L1256" s="30"/>
      <c r="M1256" s="30"/>
      <c r="N1256" s="30"/>
    </row>
    <row r="1257">
      <c r="B1257" s="30"/>
      <c r="C1257" s="30"/>
      <c r="F1257" s="30"/>
      <c r="G1257" s="30"/>
      <c r="H1257" s="30"/>
      <c r="I1257" s="179"/>
      <c r="J1257" s="180"/>
      <c r="L1257" s="30"/>
      <c r="M1257" s="30"/>
      <c r="N1257" s="30"/>
    </row>
    <row r="1258">
      <c r="B1258" s="30"/>
      <c r="C1258" s="30"/>
      <c r="F1258" s="30"/>
      <c r="G1258" s="30"/>
      <c r="H1258" s="30"/>
      <c r="I1258" s="179"/>
      <c r="J1258" s="180"/>
      <c r="L1258" s="30"/>
      <c r="M1258" s="30"/>
      <c r="N1258" s="30"/>
    </row>
    <row r="1259">
      <c r="B1259" s="30"/>
      <c r="C1259" s="30"/>
      <c r="F1259" s="30"/>
      <c r="G1259" s="30"/>
      <c r="H1259" s="30"/>
      <c r="I1259" s="179"/>
      <c r="J1259" s="180"/>
      <c r="L1259" s="30"/>
      <c r="M1259" s="30"/>
      <c r="N1259" s="30"/>
    </row>
    <row r="1260">
      <c r="B1260" s="30"/>
      <c r="C1260" s="30"/>
      <c r="F1260" s="30"/>
      <c r="G1260" s="30"/>
      <c r="H1260" s="30"/>
      <c r="I1260" s="179"/>
      <c r="J1260" s="180"/>
      <c r="L1260" s="30"/>
      <c r="M1260" s="30"/>
      <c r="N1260" s="30"/>
    </row>
    <row r="1261">
      <c r="B1261" s="30"/>
      <c r="C1261" s="30"/>
      <c r="F1261" s="30"/>
      <c r="G1261" s="30"/>
      <c r="H1261" s="30"/>
      <c r="I1261" s="179"/>
      <c r="J1261" s="180"/>
      <c r="L1261" s="30"/>
      <c r="M1261" s="30"/>
      <c r="N1261" s="30"/>
    </row>
    <row r="1262">
      <c r="B1262" s="30"/>
      <c r="C1262" s="30"/>
      <c r="F1262" s="30"/>
      <c r="G1262" s="30"/>
      <c r="H1262" s="30"/>
      <c r="I1262" s="179"/>
      <c r="J1262" s="180"/>
      <c r="L1262" s="30"/>
      <c r="M1262" s="30"/>
      <c r="N1262" s="30"/>
    </row>
    <row r="1263">
      <c r="B1263" s="30"/>
      <c r="C1263" s="30"/>
      <c r="F1263" s="30"/>
      <c r="G1263" s="30"/>
      <c r="H1263" s="30"/>
      <c r="I1263" s="179"/>
      <c r="J1263" s="180"/>
      <c r="L1263" s="30"/>
      <c r="M1263" s="30"/>
      <c r="N1263" s="30"/>
    </row>
    <row r="1264">
      <c r="B1264" s="30"/>
      <c r="C1264" s="30"/>
      <c r="F1264" s="30"/>
      <c r="G1264" s="30"/>
      <c r="H1264" s="30"/>
      <c r="I1264" s="179"/>
      <c r="J1264" s="180"/>
      <c r="L1264" s="30"/>
      <c r="M1264" s="30"/>
      <c r="N1264" s="30"/>
    </row>
    <row r="1265">
      <c r="B1265" s="30"/>
      <c r="C1265" s="30"/>
      <c r="F1265" s="30"/>
      <c r="G1265" s="30"/>
      <c r="H1265" s="30"/>
      <c r="I1265" s="179"/>
      <c r="J1265" s="180"/>
      <c r="L1265" s="30"/>
      <c r="M1265" s="30"/>
      <c r="N1265" s="30"/>
    </row>
    <row r="1266">
      <c r="B1266" s="30"/>
      <c r="C1266" s="30"/>
      <c r="F1266" s="30"/>
      <c r="G1266" s="30"/>
      <c r="H1266" s="30"/>
      <c r="I1266" s="179"/>
      <c r="J1266" s="180"/>
      <c r="L1266" s="30"/>
      <c r="M1266" s="30"/>
      <c r="N1266" s="30"/>
    </row>
    <row r="1267">
      <c r="B1267" s="30"/>
      <c r="C1267" s="30"/>
      <c r="F1267" s="30"/>
      <c r="G1267" s="30"/>
      <c r="H1267" s="30"/>
      <c r="I1267" s="179"/>
      <c r="J1267" s="180"/>
      <c r="L1267" s="30"/>
      <c r="M1267" s="30"/>
      <c r="N1267" s="30"/>
    </row>
    <row r="1268">
      <c r="B1268" s="30"/>
      <c r="C1268" s="30"/>
      <c r="F1268" s="30"/>
      <c r="G1268" s="30"/>
      <c r="H1268" s="30"/>
      <c r="I1268" s="179"/>
      <c r="J1268" s="180"/>
      <c r="L1268" s="30"/>
      <c r="M1268" s="30"/>
      <c r="N1268" s="30"/>
    </row>
    <row r="1269">
      <c r="B1269" s="30"/>
      <c r="C1269" s="30"/>
      <c r="F1269" s="30"/>
      <c r="G1269" s="30"/>
      <c r="H1269" s="30"/>
      <c r="I1269" s="179"/>
      <c r="J1269" s="180"/>
      <c r="L1269" s="30"/>
      <c r="M1269" s="30"/>
      <c r="N1269" s="30"/>
    </row>
    <row r="1270">
      <c r="B1270" s="30"/>
      <c r="C1270" s="30"/>
      <c r="F1270" s="30"/>
      <c r="G1270" s="30"/>
      <c r="H1270" s="30"/>
      <c r="I1270" s="179"/>
      <c r="J1270" s="180"/>
      <c r="L1270" s="30"/>
      <c r="M1270" s="30"/>
      <c r="N1270" s="30"/>
    </row>
    <row r="1271">
      <c r="B1271" s="30"/>
      <c r="C1271" s="30"/>
      <c r="F1271" s="30"/>
      <c r="G1271" s="30"/>
      <c r="H1271" s="30"/>
      <c r="I1271" s="179"/>
      <c r="J1271" s="180"/>
      <c r="L1271" s="30"/>
      <c r="M1271" s="30"/>
      <c r="N1271" s="30"/>
    </row>
    <row r="1272">
      <c r="B1272" s="30"/>
      <c r="C1272" s="30"/>
      <c r="F1272" s="30"/>
      <c r="G1272" s="30"/>
      <c r="H1272" s="30"/>
      <c r="I1272" s="179"/>
      <c r="J1272" s="180"/>
      <c r="L1272" s="30"/>
      <c r="M1272" s="30"/>
      <c r="N1272" s="30"/>
    </row>
    <row r="1273">
      <c r="B1273" s="30"/>
      <c r="C1273" s="30"/>
      <c r="F1273" s="30"/>
      <c r="G1273" s="30"/>
      <c r="H1273" s="30"/>
      <c r="I1273" s="179"/>
      <c r="J1273" s="180"/>
      <c r="L1273" s="30"/>
      <c r="M1273" s="30"/>
      <c r="N1273" s="30"/>
    </row>
    <row r="1274">
      <c r="B1274" s="30"/>
      <c r="C1274" s="30"/>
      <c r="F1274" s="30"/>
      <c r="G1274" s="30"/>
      <c r="H1274" s="30"/>
      <c r="I1274" s="179"/>
      <c r="J1274" s="180"/>
      <c r="L1274" s="30"/>
      <c r="M1274" s="30"/>
      <c r="N1274" s="30"/>
    </row>
    <row r="1275">
      <c r="B1275" s="30"/>
      <c r="C1275" s="30"/>
      <c r="F1275" s="30"/>
      <c r="G1275" s="30"/>
      <c r="H1275" s="30"/>
      <c r="I1275" s="179"/>
      <c r="J1275" s="180"/>
      <c r="L1275" s="30"/>
      <c r="M1275" s="30"/>
      <c r="N1275" s="30"/>
    </row>
    <row r="1276">
      <c r="B1276" s="30"/>
      <c r="C1276" s="30"/>
      <c r="F1276" s="30"/>
      <c r="G1276" s="30"/>
      <c r="H1276" s="30"/>
      <c r="I1276" s="179"/>
      <c r="J1276" s="180"/>
      <c r="L1276" s="30"/>
      <c r="M1276" s="30"/>
      <c r="N1276" s="30"/>
    </row>
    <row r="1277">
      <c r="B1277" s="30"/>
      <c r="C1277" s="30"/>
      <c r="F1277" s="30"/>
      <c r="G1277" s="30"/>
      <c r="H1277" s="30"/>
      <c r="I1277" s="179"/>
      <c r="J1277" s="180"/>
      <c r="L1277" s="30"/>
      <c r="M1277" s="30"/>
      <c r="N1277" s="30"/>
    </row>
    <row r="1278">
      <c r="B1278" s="30"/>
      <c r="C1278" s="30"/>
      <c r="F1278" s="30"/>
      <c r="G1278" s="30"/>
      <c r="H1278" s="30"/>
      <c r="I1278" s="179"/>
      <c r="J1278" s="180"/>
      <c r="L1278" s="30"/>
      <c r="M1278" s="30"/>
      <c r="N1278" s="30"/>
    </row>
    <row r="1279">
      <c r="B1279" s="30"/>
      <c r="C1279" s="30"/>
      <c r="F1279" s="30"/>
      <c r="G1279" s="30"/>
      <c r="H1279" s="30"/>
      <c r="I1279" s="179"/>
      <c r="J1279" s="180"/>
      <c r="L1279" s="30"/>
      <c r="M1279" s="30"/>
      <c r="N1279" s="30"/>
    </row>
    <row r="1280">
      <c r="B1280" s="30"/>
      <c r="C1280" s="30"/>
      <c r="F1280" s="30"/>
      <c r="G1280" s="30"/>
      <c r="H1280" s="30"/>
      <c r="I1280" s="179"/>
      <c r="J1280" s="180"/>
      <c r="L1280" s="30"/>
      <c r="M1280" s="30"/>
      <c r="N1280" s="30"/>
    </row>
    <row r="1281">
      <c r="B1281" s="30"/>
      <c r="C1281" s="30"/>
      <c r="F1281" s="30"/>
      <c r="G1281" s="30"/>
      <c r="H1281" s="30"/>
      <c r="I1281" s="179"/>
      <c r="J1281" s="180"/>
      <c r="L1281" s="30"/>
      <c r="M1281" s="30"/>
      <c r="N1281" s="30"/>
    </row>
    <row r="1282">
      <c r="B1282" s="30"/>
      <c r="C1282" s="30"/>
      <c r="F1282" s="30"/>
      <c r="G1282" s="30"/>
      <c r="H1282" s="30"/>
      <c r="I1282" s="179"/>
      <c r="J1282" s="180"/>
      <c r="L1282" s="30"/>
      <c r="M1282" s="30"/>
      <c r="N1282" s="30"/>
    </row>
    <row r="1283">
      <c r="B1283" s="30"/>
      <c r="C1283" s="30"/>
      <c r="F1283" s="30"/>
      <c r="G1283" s="30"/>
      <c r="H1283" s="30"/>
      <c r="I1283" s="179"/>
      <c r="J1283" s="180"/>
      <c r="L1283" s="30"/>
      <c r="M1283" s="30"/>
      <c r="N1283" s="30"/>
    </row>
    <row r="1284">
      <c r="B1284" s="30"/>
      <c r="C1284" s="30"/>
      <c r="F1284" s="30"/>
      <c r="G1284" s="30"/>
      <c r="H1284" s="30"/>
      <c r="I1284" s="179"/>
      <c r="J1284" s="180"/>
      <c r="L1284" s="30"/>
      <c r="M1284" s="30"/>
      <c r="N1284" s="30"/>
    </row>
    <row r="1285">
      <c r="B1285" s="30"/>
      <c r="C1285" s="30"/>
      <c r="F1285" s="30"/>
      <c r="G1285" s="30"/>
      <c r="H1285" s="30"/>
      <c r="I1285" s="179"/>
      <c r="J1285" s="180"/>
      <c r="L1285" s="30"/>
      <c r="M1285" s="30"/>
      <c r="N1285" s="30"/>
    </row>
    <row r="1286">
      <c r="B1286" s="30"/>
      <c r="C1286" s="30"/>
      <c r="F1286" s="30"/>
      <c r="G1286" s="30"/>
      <c r="H1286" s="30"/>
      <c r="I1286" s="179"/>
      <c r="J1286" s="180"/>
      <c r="L1286" s="30"/>
      <c r="M1286" s="30"/>
      <c r="N1286" s="30"/>
    </row>
    <row r="1287">
      <c r="B1287" s="30"/>
      <c r="C1287" s="30"/>
      <c r="F1287" s="30"/>
      <c r="G1287" s="30"/>
      <c r="H1287" s="30"/>
      <c r="I1287" s="179"/>
      <c r="J1287" s="180"/>
      <c r="L1287" s="30"/>
      <c r="M1287" s="30"/>
      <c r="N1287" s="30"/>
    </row>
    <row r="1288">
      <c r="B1288" s="30"/>
      <c r="C1288" s="30"/>
      <c r="F1288" s="30"/>
      <c r="G1288" s="30"/>
      <c r="H1288" s="30"/>
      <c r="I1288" s="179"/>
      <c r="J1288" s="180"/>
      <c r="L1288" s="30"/>
      <c r="M1288" s="30"/>
      <c r="N1288" s="30"/>
    </row>
    <row r="1289">
      <c r="B1289" s="30"/>
      <c r="C1289" s="30"/>
      <c r="F1289" s="30"/>
      <c r="G1289" s="30"/>
      <c r="H1289" s="30"/>
      <c r="I1289" s="179"/>
      <c r="J1289" s="180"/>
      <c r="L1289" s="30"/>
      <c r="M1289" s="30"/>
      <c r="N1289" s="30"/>
    </row>
    <row r="1290">
      <c r="B1290" s="30"/>
      <c r="C1290" s="30"/>
      <c r="F1290" s="30"/>
      <c r="G1290" s="30"/>
      <c r="H1290" s="30"/>
      <c r="I1290" s="179"/>
      <c r="J1290" s="180"/>
      <c r="L1290" s="30"/>
      <c r="M1290" s="30"/>
      <c r="N1290" s="30"/>
    </row>
    <row r="1291">
      <c r="B1291" s="30"/>
      <c r="C1291" s="30"/>
      <c r="F1291" s="30"/>
      <c r="G1291" s="30"/>
      <c r="H1291" s="30"/>
      <c r="I1291" s="179"/>
      <c r="J1291" s="180"/>
      <c r="L1291" s="30"/>
      <c r="M1291" s="30"/>
      <c r="N1291" s="30"/>
    </row>
    <row r="1292">
      <c r="B1292" s="30"/>
      <c r="C1292" s="30"/>
      <c r="F1292" s="30"/>
      <c r="G1292" s="30"/>
      <c r="H1292" s="30"/>
      <c r="I1292" s="179"/>
      <c r="J1292" s="180"/>
      <c r="L1292" s="30"/>
      <c r="M1292" s="30"/>
      <c r="N1292" s="30"/>
    </row>
    <row r="1293">
      <c r="B1293" s="30"/>
      <c r="C1293" s="30"/>
      <c r="F1293" s="30"/>
      <c r="G1293" s="30"/>
      <c r="H1293" s="30"/>
      <c r="I1293" s="179"/>
      <c r="J1293" s="180"/>
      <c r="L1293" s="30"/>
      <c r="M1293" s="30"/>
      <c r="N1293" s="30"/>
    </row>
    <row r="1294">
      <c r="B1294" s="30"/>
      <c r="C1294" s="30"/>
      <c r="F1294" s="30"/>
      <c r="G1294" s="30"/>
      <c r="H1294" s="30"/>
      <c r="I1294" s="179"/>
      <c r="J1294" s="180"/>
      <c r="L1294" s="30"/>
      <c r="M1294" s="30"/>
      <c r="N1294" s="30"/>
    </row>
    <row r="1295">
      <c r="B1295" s="30"/>
      <c r="C1295" s="30"/>
      <c r="F1295" s="30"/>
      <c r="G1295" s="30"/>
      <c r="H1295" s="30"/>
      <c r="I1295" s="179"/>
      <c r="J1295" s="180"/>
      <c r="L1295" s="30"/>
      <c r="M1295" s="30"/>
      <c r="N1295" s="30"/>
    </row>
    <row r="1296">
      <c r="B1296" s="30"/>
      <c r="C1296" s="30"/>
      <c r="F1296" s="30"/>
      <c r="G1296" s="30"/>
      <c r="H1296" s="30"/>
      <c r="I1296" s="179"/>
      <c r="J1296" s="180"/>
      <c r="L1296" s="30"/>
      <c r="M1296" s="30"/>
      <c r="N1296" s="30"/>
    </row>
    <row r="1297">
      <c r="B1297" s="30"/>
      <c r="C1297" s="30"/>
      <c r="F1297" s="30"/>
      <c r="G1297" s="30"/>
      <c r="H1297" s="30"/>
      <c r="I1297" s="179"/>
      <c r="J1297" s="180"/>
      <c r="L1297" s="30"/>
      <c r="M1297" s="30"/>
      <c r="N1297" s="30"/>
    </row>
    <row r="1298">
      <c r="B1298" s="30"/>
      <c r="C1298" s="30"/>
      <c r="F1298" s="30"/>
      <c r="G1298" s="30"/>
      <c r="H1298" s="30"/>
      <c r="I1298" s="179"/>
      <c r="J1298" s="180"/>
      <c r="L1298" s="30"/>
      <c r="M1298" s="30"/>
      <c r="N1298" s="30"/>
    </row>
    <row r="1299">
      <c r="B1299" s="30"/>
      <c r="C1299" s="30"/>
      <c r="F1299" s="30"/>
      <c r="G1299" s="30"/>
      <c r="H1299" s="30"/>
      <c r="I1299" s="179"/>
      <c r="J1299" s="180"/>
      <c r="L1299" s="30"/>
      <c r="M1299" s="30"/>
      <c r="N1299" s="30"/>
    </row>
    <row r="1300">
      <c r="B1300" s="30"/>
      <c r="C1300" s="30"/>
      <c r="F1300" s="30"/>
      <c r="G1300" s="30"/>
      <c r="H1300" s="30"/>
      <c r="I1300" s="179"/>
      <c r="J1300" s="180"/>
      <c r="L1300" s="30"/>
      <c r="M1300" s="30"/>
      <c r="N1300" s="30"/>
    </row>
    <row r="1301">
      <c r="B1301" s="30"/>
      <c r="C1301" s="30"/>
      <c r="F1301" s="30"/>
      <c r="G1301" s="30"/>
      <c r="H1301" s="30"/>
      <c r="I1301" s="179"/>
      <c r="J1301" s="180"/>
      <c r="L1301" s="30"/>
      <c r="M1301" s="30"/>
      <c r="N1301" s="30"/>
    </row>
    <row r="1302">
      <c r="B1302" s="30"/>
      <c r="C1302" s="30"/>
      <c r="F1302" s="30"/>
      <c r="G1302" s="30"/>
      <c r="H1302" s="30"/>
      <c r="I1302" s="179"/>
      <c r="J1302" s="180"/>
      <c r="L1302" s="30"/>
      <c r="M1302" s="30"/>
      <c r="N1302" s="30"/>
    </row>
    <row r="1303">
      <c r="B1303" s="30"/>
      <c r="C1303" s="30"/>
      <c r="F1303" s="30"/>
      <c r="G1303" s="30"/>
      <c r="H1303" s="30"/>
      <c r="I1303" s="179"/>
      <c r="J1303" s="180"/>
      <c r="L1303" s="30"/>
      <c r="M1303" s="30"/>
      <c r="N1303" s="30"/>
    </row>
    <row r="1304">
      <c r="B1304" s="30"/>
      <c r="C1304" s="30"/>
      <c r="F1304" s="30"/>
      <c r="G1304" s="30"/>
      <c r="H1304" s="30"/>
      <c r="I1304" s="179"/>
      <c r="J1304" s="180"/>
      <c r="L1304" s="30"/>
      <c r="M1304" s="30"/>
      <c r="N1304" s="30"/>
    </row>
    <row r="1305">
      <c r="B1305" s="30"/>
      <c r="C1305" s="30"/>
      <c r="F1305" s="30"/>
      <c r="G1305" s="30"/>
      <c r="H1305" s="30"/>
      <c r="I1305" s="179"/>
      <c r="J1305" s="180"/>
      <c r="L1305" s="30"/>
      <c r="M1305" s="30"/>
      <c r="N1305" s="30"/>
    </row>
    <row r="1306">
      <c r="B1306" s="30"/>
      <c r="C1306" s="30"/>
      <c r="F1306" s="30"/>
      <c r="G1306" s="30"/>
      <c r="H1306" s="30"/>
      <c r="I1306" s="179"/>
      <c r="J1306" s="180"/>
      <c r="L1306" s="30"/>
      <c r="M1306" s="30"/>
      <c r="N1306" s="30"/>
    </row>
    <row r="1307">
      <c r="B1307" s="30"/>
      <c r="C1307" s="30"/>
      <c r="F1307" s="30"/>
      <c r="G1307" s="30"/>
      <c r="H1307" s="30"/>
      <c r="I1307" s="179"/>
      <c r="J1307" s="180"/>
      <c r="L1307" s="30"/>
      <c r="M1307" s="30"/>
      <c r="N1307" s="30"/>
    </row>
    <row r="1308">
      <c r="B1308" s="30"/>
      <c r="C1308" s="30"/>
      <c r="F1308" s="30"/>
      <c r="G1308" s="30"/>
      <c r="H1308" s="30"/>
      <c r="I1308" s="179"/>
      <c r="J1308" s="180"/>
      <c r="L1308" s="30"/>
      <c r="M1308" s="30"/>
      <c r="N1308" s="30"/>
    </row>
    <row r="1309">
      <c r="B1309" s="30"/>
      <c r="C1309" s="30"/>
      <c r="F1309" s="30"/>
      <c r="G1309" s="30"/>
      <c r="H1309" s="30"/>
      <c r="I1309" s="179"/>
      <c r="J1309" s="180"/>
      <c r="L1309" s="30"/>
      <c r="M1309" s="30"/>
      <c r="N1309" s="30"/>
    </row>
    <row r="1310">
      <c r="B1310" s="30"/>
      <c r="C1310" s="30"/>
      <c r="F1310" s="30"/>
      <c r="G1310" s="30"/>
      <c r="H1310" s="30"/>
      <c r="I1310" s="179"/>
      <c r="J1310" s="180"/>
      <c r="L1310" s="30"/>
      <c r="M1310" s="30"/>
      <c r="N1310" s="30"/>
    </row>
    <row r="1311">
      <c r="B1311" s="30"/>
      <c r="C1311" s="30"/>
      <c r="F1311" s="30"/>
      <c r="G1311" s="30"/>
      <c r="H1311" s="30"/>
      <c r="I1311" s="179"/>
      <c r="J1311" s="180"/>
      <c r="L1311" s="30"/>
      <c r="M1311" s="30"/>
      <c r="N1311" s="30"/>
    </row>
    <row r="1312">
      <c r="B1312" s="30"/>
      <c r="C1312" s="30"/>
      <c r="F1312" s="30"/>
      <c r="G1312" s="30"/>
      <c r="H1312" s="30"/>
      <c r="I1312" s="179"/>
      <c r="J1312" s="180"/>
      <c r="L1312" s="30"/>
      <c r="M1312" s="30"/>
      <c r="N1312" s="30"/>
    </row>
    <row r="1313">
      <c r="B1313" s="30"/>
      <c r="C1313" s="30"/>
      <c r="F1313" s="30"/>
      <c r="G1313" s="30"/>
      <c r="H1313" s="30"/>
      <c r="I1313" s="179"/>
      <c r="J1313" s="180"/>
      <c r="L1313" s="30"/>
      <c r="M1313" s="30"/>
      <c r="N1313" s="30"/>
    </row>
    <row r="1314">
      <c r="B1314" s="30"/>
      <c r="C1314" s="30"/>
      <c r="F1314" s="30"/>
      <c r="G1314" s="30"/>
      <c r="H1314" s="30"/>
      <c r="I1314" s="179"/>
      <c r="J1314" s="180"/>
      <c r="L1314" s="30"/>
      <c r="M1314" s="30"/>
      <c r="N1314" s="30"/>
    </row>
    <row r="1315">
      <c r="B1315" s="30"/>
      <c r="C1315" s="30"/>
      <c r="F1315" s="30"/>
      <c r="G1315" s="30"/>
      <c r="H1315" s="30"/>
      <c r="I1315" s="179"/>
      <c r="J1315" s="180"/>
      <c r="L1315" s="30"/>
      <c r="M1315" s="30"/>
      <c r="N1315" s="30"/>
    </row>
    <row r="1316">
      <c r="B1316" s="30"/>
      <c r="C1316" s="30"/>
      <c r="F1316" s="30"/>
      <c r="G1316" s="30"/>
      <c r="H1316" s="30"/>
      <c r="I1316" s="179"/>
      <c r="J1316" s="180"/>
      <c r="L1316" s="30"/>
      <c r="M1316" s="30"/>
      <c r="N1316" s="30"/>
    </row>
    <row r="1317">
      <c r="B1317" s="30"/>
      <c r="C1317" s="30"/>
      <c r="F1317" s="30"/>
      <c r="G1317" s="30"/>
      <c r="H1317" s="30"/>
      <c r="I1317" s="179"/>
      <c r="J1317" s="180"/>
      <c r="L1317" s="30"/>
      <c r="M1317" s="30"/>
      <c r="N1317" s="30"/>
    </row>
    <row r="1318">
      <c r="B1318" s="30"/>
      <c r="C1318" s="30"/>
      <c r="F1318" s="30"/>
      <c r="G1318" s="30"/>
      <c r="H1318" s="30"/>
      <c r="I1318" s="179"/>
      <c r="J1318" s="180"/>
      <c r="L1318" s="30"/>
      <c r="M1318" s="30"/>
      <c r="N1318" s="30"/>
    </row>
    <row r="1319">
      <c r="B1319" s="30"/>
      <c r="C1319" s="30"/>
      <c r="F1319" s="30"/>
      <c r="G1319" s="30"/>
      <c r="H1319" s="30"/>
      <c r="I1319" s="179"/>
      <c r="J1319" s="180"/>
      <c r="L1319" s="30"/>
      <c r="M1319" s="30"/>
      <c r="N1319" s="30"/>
    </row>
    <row r="1320">
      <c r="B1320" s="30"/>
      <c r="C1320" s="30"/>
      <c r="F1320" s="30"/>
      <c r="G1320" s="30"/>
      <c r="H1320" s="30"/>
      <c r="I1320" s="179"/>
      <c r="J1320" s="180"/>
      <c r="L1320" s="30"/>
      <c r="M1320" s="30"/>
      <c r="N1320" s="30"/>
    </row>
    <row r="1321">
      <c r="B1321" s="30"/>
      <c r="C1321" s="30"/>
      <c r="F1321" s="30"/>
      <c r="G1321" s="30"/>
      <c r="H1321" s="30"/>
      <c r="I1321" s="179"/>
      <c r="J1321" s="180"/>
      <c r="L1321" s="30"/>
      <c r="M1321" s="30"/>
      <c r="N1321" s="30"/>
    </row>
    <row r="1322">
      <c r="B1322" s="30"/>
      <c r="C1322" s="30"/>
      <c r="F1322" s="30"/>
      <c r="G1322" s="30"/>
      <c r="H1322" s="30"/>
      <c r="I1322" s="179"/>
      <c r="J1322" s="180"/>
      <c r="L1322" s="30"/>
      <c r="M1322" s="30"/>
      <c r="N1322" s="30"/>
    </row>
    <row r="1323">
      <c r="B1323" s="30"/>
      <c r="C1323" s="30"/>
      <c r="F1323" s="30"/>
      <c r="G1323" s="30"/>
      <c r="H1323" s="30"/>
      <c r="I1323" s="179"/>
      <c r="J1323" s="180"/>
      <c r="L1323" s="30"/>
      <c r="M1323" s="30"/>
      <c r="N1323" s="30"/>
    </row>
    <row r="1324">
      <c r="B1324" s="30"/>
      <c r="C1324" s="30"/>
      <c r="F1324" s="30"/>
      <c r="G1324" s="30"/>
      <c r="H1324" s="30"/>
      <c r="I1324" s="179"/>
      <c r="J1324" s="180"/>
      <c r="L1324" s="30"/>
      <c r="M1324" s="30"/>
      <c r="N1324" s="30"/>
    </row>
    <row r="1325">
      <c r="B1325" s="30"/>
      <c r="C1325" s="30"/>
      <c r="F1325" s="30"/>
      <c r="G1325" s="30"/>
      <c r="H1325" s="30"/>
      <c r="I1325" s="179"/>
      <c r="J1325" s="180"/>
      <c r="L1325" s="30"/>
      <c r="M1325" s="30"/>
      <c r="N1325" s="30"/>
    </row>
    <row r="1326">
      <c r="B1326" s="30"/>
      <c r="C1326" s="30"/>
      <c r="F1326" s="30"/>
      <c r="G1326" s="30"/>
      <c r="H1326" s="30"/>
      <c r="I1326" s="179"/>
      <c r="J1326" s="180"/>
      <c r="L1326" s="30"/>
      <c r="M1326" s="30"/>
      <c r="N1326" s="30"/>
    </row>
    <row r="1327">
      <c r="B1327" s="30"/>
      <c r="C1327" s="30"/>
      <c r="F1327" s="30"/>
      <c r="G1327" s="30"/>
      <c r="H1327" s="30"/>
      <c r="I1327" s="179"/>
      <c r="J1327" s="180"/>
      <c r="L1327" s="30"/>
      <c r="M1327" s="30"/>
      <c r="N1327" s="30"/>
    </row>
    <row r="1328">
      <c r="B1328" s="30"/>
      <c r="C1328" s="30"/>
      <c r="F1328" s="30"/>
      <c r="G1328" s="30"/>
      <c r="H1328" s="30"/>
      <c r="I1328" s="179"/>
      <c r="J1328" s="180"/>
      <c r="L1328" s="30"/>
      <c r="M1328" s="30"/>
      <c r="N1328" s="30"/>
    </row>
    <row r="1329">
      <c r="B1329" s="30"/>
      <c r="C1329" s="30"/>
      <c r="F1329" s="30"/>
      <c r="G1329" s="30"/>
      <c r="H1329" s="30"/>
      <c r="I1329" s="179"/>
      <c r="J1329" s="180"/>
      <c r="L1329" s="30"/>
      <c r="M1329" s="30"/>
      <c r="N1329" s="30"/>
    </row>
    <row r="1330">
      <c r="B1330" s="30"/>
      <c r="C1330" s="30"/>
      <c r="F1330" s="30"/>
      <c r="G1330" s="30"/>
      <c r="H1330" s="30"/>
      <c r="I1330" s="179"/>
      <c r="J1330" s="180"/>
      <c r="L1330" s="30"/>
      <c r="M1330" s="30"/>
      <c r="N1330" s="30"/>
    </row>
    <row r="1331">
      <c r="B1331" s="30"/>
      <c r="C1331" s="30"/>
      <c r="F1331" s="30"/>
      <c r="G1331" s="30"/>
      <c r="H1331" s="30"/>
      <c r="I1331" s="179"/>
      <c r="J1331" s="180"/>
      <c r="L1331" s="30"/>
      <c r="M1331" s="30"/>
      <c r="N1331" s="30"/>
    </row>
    <row r="1332">
      <c r="B1332" s="30"/>
      <c r="C1332" s="30"/>
      <c r="F1332" s="30"/>
      <c r="G1332" s="30"/>
      <c r="H1332" s="30"/>
      <c r="I1332" s="179"/>
      <c r="J1332" s="180"/>
      <c r="L1332" s="30"/>
      <c r="M1332" s="30"/>
      <c r="N1332" s="30"/>
    </row>
    <row r="1333">
      <c r="B1333" s="30"/>
      <c r="C1333" s="30"/>
      <c r="F1333" s="30"/>
      <c r="G1333" s="30"/>
      <c r="H1333" s="30"/>
      <c r="I1333" s="179"/>
      <c r="J1333" s="180"/>
      <c r="L1333" s="30"/>
      <c r="M1333" s="30"/>
      <c r="N1333" s="30"/>
    </row>
    <row r="1334">
      <c r="B1334" s="30"/>
      <c r="C1334" s="30"/>
      <c r="F1334" s="30"/>
      <c r="G1334" s="30"/>
      <c r="H1334" s="30"/>
      <c r="I1334" s="179"/>
      <c r="J1334" s="180"/>
      <c r="L1334" s="30"/>
      <c r="M1334" s="30"/>
      <c r="N1334" s="30"/>
    </row>
    <row r="1335">
      <c r="B1335" s="30"/>
      <c r="C1335" s="30"/>
      <c r="F1335" s="30"/>
      <c r="G1335" s="30"/>
      <c r="H1335" s="30"/>
      <c r="I1335" s="179"/>
      <c r="J1335" s="180"/>
      <c r="L1335" s="30"/>
      <c r="M1335" s="30"/>
      <c r="N1335" s="30"/>
    </row>
    <row r="1336">
      <c r="B1336" s="30"/>
      <c r="C1336" s="30"/>
      <c r="F1336" s="30"/>
      <c r="G1336" s="30"/>
      <c r="H1336" s="30"/>
      <c r="I1336" s="179"/>
      <c r="J1336" s="180"/>
      <c r="L1336" s="30"/>
      <c r="M1336" s="30"/>
      <c r="N1336" s="30"/>
    </row>
    <row r="1337">
      <c r="B1337" s="30"/>
      <c r="C1337" s="30"/>
      <c r="F1337" s="30"/>
      <c r="G1337" s="30"/>
      <c r="H1337" s="30"/>
      <c r="I1337" s="179"/>
      <c r="J1337" s="180"/>
      <c r="L1337" s="30"/>
      <c r="M1337" s="30"/>
      <c r="N1337" s="30"/>
    </row>
    <row r="1338">
      <c r="B1338" s="30"/>
      <c r="C1338" s="30"/>
      <c r="F1338" s="30"/>
      <c r="G1338" s="30"/>
      <c r="H1338" s="30"/>
      <c r="I1338" s="179"/>
      <c r="J1338" s="180"/>
      <c r="L1338" s="30"/>
      <c r="M1338" s="30"/>
      <c r="N1338" s="30"/>
    </row>
    <row r="1339">
      <c r="B1339" s="30"/>
      <c r="C1339" s="30"/>
      <c r="F1339" s="30"/>
      <c r="G1339" s="30"/>
      <c r="H1339" s="30"/>
      <c r="I1339" s="179"/>
      <c r="J1339" s="180"/>
      <c r="L1339" s="30"/>
      <c r="M1339" s="30"/>
      <c r="N1339" s="30"/>
    </row>
    <row r="1340">
      <c r="B1340" s="30"/>
      <c r="C1340" s="30"/>
      <c r="F1340" s="30"/>
      <c r="G1340" s="30"/>
      <c r="H1340" s="30"/>
      <c r="I1340" s="179"/>
      <c r="J1340" s="180"/>
      <c r="L1340" s="30"/>
      <c r="M1340" s="30"/>
      <c r="N1340" s="30"/>
    </row>
    <row r="1341">
      <c r="B1341" s="30"/>
      <c r="C1341" s="30"/>
      <c r="F1341" s="30"/>
      <c r="G1341" s="30"/>
      <c r="H1341" s="30"/>
      <c r="I1341" s="179"/>
      <c r="J1341" s="180"/>
      <c r="L1341" s="30"/>
      <c r="M1341" s="30"/>
      <c r="N1341" s="30"/>
    </row>
    <row r="1342">
      <c r="B1342" s="30"/>
      <c r="C1342" s="30"/>
      <c r="F1342" s="30"/>
      <c r="G1342" s="30"/>
      <c r="H1342" s="30"/>
      <c r="I1342" s="179"/>
      <c r="J1342" s="180"/>
      <c r="L1342" s="30"/>
      <c r="M1342" s="30"/>
      <c r="N1342" s="30"/>
    </row>
    <row r="1343">
      <c r="B1343" s="30"/>
      <c r="C1343" s="30"/>
      <c r="F1343" s="30"/>
      <c r="G1343" s="30"/>
      <c r="H1343" s="30"/>
      <c r="I1343" s="179"/>
      <c r="J1343" s="180"/>
      <c r="L1343" s="30"/>
      <c r="M1343" s="30"/>
      <c r="N1343" s="30"/>
    </row>
    <row r="1344">
      <c r="B1344" s="30"/>
      <c r="C1344" s="30"/>
      <c r="F1344" s="30"/>
      <c r="G1344" s="30"/>
      <c r="H1344" s="30"/>
      <c r="I1344" s="179"/>
      <c r="J1344" s="180"/>
      <c r="L1344" s="30"/>
      <c r="M1344" s="30"/>
      <c r="N1344" s="30"/>
    </row>
    <row r="1345">
      <c r="B1345" s="30"/>
      <c r="C1345" s="30"/>
      <c r="F1345" s="30"/>
      <c r="G1345" s="30"/>
      <c r="H1345" s="30"/>
      <c r="I1345" s="179"/>
      <c r="J1345" s="180"/>
      <c r="L1345" s="30"/>
      <c r="M1345" s="30"/>
      <c r="N1345" s="30"/>
    </row>
    <row r="1346">
      <c r="B1346" s="30"/>
      <c r="C1346" s="30"/>
      <c r="F1346" s="30"/>
      <c r="G1346" s="30"/>
      <c r="H1346" s="30"/>
      <c r="I1346" s="179"/>
      <c r="J1346" s="180"/>
      <c r="L1346" s="30"/>
      <c r="M1346" s="30"/>
      <c r="N1346" s="30"/>
    </row>
    <row r="1347">
      <c r="B1347" s="30"/>
      <c r="C1347" s="30"/>
      <c r="F1347" s="30"/>
      <c r="G1347" s="30"/>
      <c r="H1347" s="30"/>
      <c r="I1347" s="179"/>
      <c r="J1347" s="180"/>
      <c r="L1347" s="30"/>
      <c r="M1347" s="30"/>
      <c r="N1347" s="30"/>
    </row>
    <row r="1348">
      <c r="B1348" s="30"/>
      <c r="C1348" s="30"/>
      <c r="F1348" s="30"/>
      <c r="G1348" s="30"/>
      <c r="H1348" s="30"/>
      <c r="I1348" s="179"/>
      <c r="J1348" s="180"/>
      <c r="L1348" s="30"/>
      <c r="M1348" s="30"/>
      <c r="N1348" s="30"/>
    </row>
    <row r="1349">
      <c r="B1349" s="30"/>
      <c r="C1349" s="30"/>
      <c r="F1349" s="30"/>
      <c r="G1349" s="30"/>
      <c r="H1349" s="30"/>
      <c r="I1349" s="179"/>
      <c r="J1349" s="180"/>
      <c r="L1349" s="30"/>
      <c r="M1349" s="30"/>
      <c r="N1349" s="30"/>
    </row>
    <row r="1350">
      <c r="B1350" s="30"/>
      <c r="C1350" s="30"/>
      <c r="F1350" s="30"/>
      <c r="G1350" s="30"/>
      <c r="H1350" s="30"/>
      <c r="I1350" s="179"/>
      <c r="J1350" s="180"/>
      <c r="L1350" s="30"/>
      <c r="M1350" s="30"/>
      <c r="N1350" s="30"/>
    </row>
    <row r="1351">
      <c r="B1351" s="30"/>
      <c r="C1351" s="30"/>
      <c r="F1351" s="30"/>
      <c r="G1351" s="30"/>
      <c r="H1351" s="30"/>
      <c r="I1351" s="179"/>
      <c r="J1351" s="180"/>
      <c r="L1351" s="30"/>
      <c r="M1351" s="30"/>
      <c r="N1351" s="30"/>
    </row>
    <row r="1352">
      <c r="B1352" s="30"/>
      <c r="C1352" s="30"/>
      <c r="F1352" s="30"/>
      <c r="G1352" s="30"/>
      <c r="H1352" s="30"/>
      <c r="I1352" s="179"/>
      <c r="J1352" s="180"/>
      <c r="L1352" s="30"/>
      <c r="M1352" s="30"/>
      <c r="N1352" s="30"/>
    </row>
    <row r="1353">
      <c r="B1353" s="30"/>
      <c r="C1353" s="30"/>
      <c r="F1353" s="30"/>
      <c r="G1353" s="30"/>
      <c r="H1353" s="30"/>
      <c r="I1353" s="179"/>
      <c r="J1353" s="180"/>
      <c r="L1353" s="30"/>
      <c r="M1353" s="30"/>
      <c r="N1353" s="30"/>
    </row>
    <row r="1354">
      <c r="B1354" s="30"/>
      <c r="C1354" s="30"/>
      <c r="F1354" s="30"/>
      <c r="G1354" s="30"/>
      <c r="H1354" s="30"/>
      <c r="I1354" s="179"/>
      <c r="J1354" s="180"/>
      <c r="L1354" s="30"/>
      <c r="M1354" s="30"/>
      <c r="N1354" s="30"/>
    </row>
    <row r="1355">
      <c r="B1355" s="30"/>
      <c r="C1355" s="30"/>
      <c r="F1355" s="30"/>
      <c r="G1355" s="30"/>
      <c r="H1355" s="30"/>
      <c r="I1355" s="179"/>
      <c r="J1355" s="180"/>
      <c r="L1355" s="30"/>
      <c r="M1355" s="30"/>
      <c r="N1355" s="30"/>
    </row>
    <row r="1356">
      <c r="B1356" s="30"/>
      <c r="C1356" s="30"/>
      <c r="F1356" s="30"/>
      <c r="G1356" s="30"/>
      <c r="H1356" s="30"/>
      <c r="I1356" s="179"/>
      <c r="J1356" s="180"/>
      <c r="L1356" s="30"/>
      <c r="M1356" s="30"/>
      <c r="N1356" s="30"/>
    </row>
    <row r="1357">
      <c r="B1357" s="30"/>
      <c r="C1357" s="30"/>
      <c r="F1357" s="30"/>
      <c r="G1357" s="30"/>
      <c r="H1357" s="30"/>
      <c r="I1357" s="179"/>
      <c r="J1357" s="180"/>
      <c r="L1357" s="30"/>
      <c r="M1357" s="30"/>
      <c r="N1357" s="30"/>
    </row>
    <row r="1358">
      <c r="B1358" s="30"/>
      <c r="C1358" s="30"/>
      <c r="F1358" s="30"/>
      <c r="G1358" s="30"/>
      <c r="H1358" s="30"/>
      <c r="I1358" s="179"/>
      <c r="J1358" s="180"/>
      <c r="L1358" s="30"/>
      <c r="M1358" s="30"/>
      <c r="N1358" s="30"/>
    </row>
    <row r="1359">
      <c r="B1359" s="30"/>
      <c r="C1359" s="30"/>
      <c r="F1359" s="30"/>
      <c r="G1359" s="30"/>
      <c r="H1359" s="30"/>
      <c r="I1359" s="179"/>
      <c r="J1359" s="180"/>
      <c r="L1359" s="30"/>
      <c r="M1359" s="30"/>
      <c r="N1359" s="30"/>
    </row>
    <row r="1360">
      <c r="B1360" s="30"/>
      <c r="C1360" s="30"/>
      <c r="F1360" s="30"/>
      <c r="G1360" s="30"/>
      <c r="H1360" s="30"/>
      <c r="I1360" s="179"/>
      <c r="J1360" s="180"/>
      <c r="L1360" s="30"/>
      <c r="M1360" s="30"/>
      <c r="N1360" s="30"/>
    </row>
    <row r="1361">
      <c r="B1361" s="30"/>
      <c r="C1361" s="30"/>
      <c r="F1361" s="30"/>
      <c r="G1361" s="30"/>
      <c r="H1361" s="30"/>
      <c r="I1361" s="179"/>
      <c r="J1361" s="180"/>
      <c r="L1361" s="30"/>
      <c r="M1361" s="30"/>
      <c r="N1361" s="30"/>
    </row>
    <row r="1362">
      <c r="B1362" s="30"/>
      <c r="C1362" s="30"/>
      <c r="F1362" s="30"/>
      <c r="G1362" s="30"/>
      <c r="H1362" s="30"/>
      <c r="I1362" s="179"/>
      <c r="J1362" s="180"/>
      <c r="L1362" s="30"/>
      <c r="M1362" s="30"/>
      <c r="N1362" s="30"/>
    </row>
    <row r="1363">
      <c r="B1363" s="30"/>
      <c r="C1363" s="30"/>
      <c r="F1363" s="30"/>
      <c r="G1363" s="30"/>
      <c r="H1363" s="30"/>
      <c r="I1363" s="179"/>
      <c r="J1363" s="180"/>
      <c r="L1363" s="30"/>
      <c r="M1363" s="30"/>
      <c r="N1363" s="30"/>
    </row>
    <row r="1364">
      <c r="B1364" s="30"/>
      <c r="C1364" s="30"/>
      <c r="F1364" s="30"/>
      <c r="G1364" s="30"/>
      <c r="H1364" s="30"/>
      <c r="I1364" s="179"/>
      <c r="J1364" s="180"/>
      <c r="L1364" s="30"/>
      <c r="M1364" s="30"/>
      <c r="N1364" s="30"/>
    </row>
    <row r="1365">
      <c r="B1365" s="30"/>
      <c r="C1365" s="30"/>
      <c r="F1365" s="30"/>
      <c r="G1365" s="30"/>
      <c r="H1365" s="30"/>
      <c r="I1365" s="179"/>
      <c r="J1365" s="180"/>
      <c r="L1365" s="30"/>
      <c r="M1365" s="30"/>
      <c r="N1365" s="30"/>
    </row>
    <row r="1366">
      <c r="B1366" s="30"/>
      <c r="C1366" s="30"/>
      <c r="F1366" s="30"/>
      <c r="G1366" s="30"/>
      <c r="H1366" s="30"/>
      <c r="I1366" s="179"/>
      <c r="J1366" s="180"/>
      <c r="L1366" s="30"/>
      <c r="M1366" s="30"/>
      <c r="N1366" s="30"/>
    </row>
    <row r="1367">
      <c r="B1367" s="30"/>
      <c r="C1367" s="30"/>
      <c r="F1367" s="30"/>
      <c r="G1367" s="30"/>
      <c r="H1367" s="30"/>
      <c r="I1367" s="179"/>
      <c r="J1367" s="180"/>
      <c r="L1367" s="30"/>
      <c r="M1367" s="30"/>
      <c r="N1367" s="30"/>
    </row>
    <row r="1368">
      <c r="B1368" s="30"/>
      <c r="C1368" s="30"/>
      <c r="F1368" s="30"/>
      <c r="G1368" s="30"/>
      <c r="H1368" s="30"/>
      <c r="I1368" s="179"/>
      <c r="J1368" s="180"/>
      <c r="L1368" s="30"/>
      <c r="M1368" s="30"/>
      <c r="N1368" s="30"/>
    </row>
    <row r="1369">
      <c r="B1369" s="30"/>
      <c r="C1369" s="30"/>
      <c r="F1369" s="30"/>
      <c r="G1369" s="30"/>
      <c r="H1369" s="30"/>
      <c r="I1369" s="179"/>
      <c r="J1369" s="180"/>
      <c r="L1369" s="30"/>
      <c r="M1369" s="30"/>
      <c r="N1369" s="30"/>
    </row>
    <row r="1370">
      <c r="B1370" s="30"/>
      <c r="C1370" s="30"/>
      <c r="F1370" s="30"/>
      <c r="G1370" s="30"/>
      <c r="H1370" s="30"/>
      <c r="I1370" s="179"/>
      <c r="J1370" s="180"/>
      <c r="L1370" s="30"/>
      <c r="M1370" s="30"/>
      <c r="N1370" s="30"/>
    </row>
    <row r="1371">
      <c r="B1371" s="30"/>
      <c r="C1371" s="30"/>
      <c r="F1371" s="30"/>
      <c r="G1371" s="30"/>
      <c r="H1371" s="30"/>
      <c r="I1371" s="179"/>
      <c r="J1371" s="180"/>
      <c r="L1371" s="30"/>
      <c r="M1371" s="30"/>
      <c r="N1371" s="30"/>
    </row>
    <row r="1372">
      <c r="B1372" s="30"/>
      <c r="C1372" s="30"/>
      <c r="F1372" s="30"/>
      <c r="G1372" s="30"/>
      <c r="H1372" s="30"/>
      <c r="I1372" s="179"/>
      <c r="J1372" s="180"/>
      <c r="L1372" s="30"/>
      <c r="M1372" s="30"/>
      <c r="N1372" s="30"/>
    </row>
    <row r="1373">
      <c r="B1373" s="30"/>
      <c r="C1373" s="30"/>
      <c r="F1373" s="30"/>
      <c r="G1373" s="30"/>
      <c r="H1373" s="30"/>
      <c r="I1373" s="179"/>
      <c r="J1373" s="180"/>
      <c r="L1373" s="30"/>
      <c r="M1373" s="30"/>
      <c r="N1373" s="30"/>
    </row>
    <row r="1374">
      <c r="B1374" s="30"/>
      <c r="C1374" s="30"/>
      <c r="F1374" s="30"/>
      <c r="G1374" s="30"/>
      <c r="H1374" s="30"/>
      <c r="I1374" s="179"/>
      <c r="J1374" s="180"/>
      <c r="L1374" s="30"/>
      <c r="M1374" s="30"/>
      <c r="N1374" s="30"/>
    </row>
    <row r="1375">
      <c r="B1375" s="30"/>
      <c r="C1375" s="30"/>
      <c r="F1375" s="30"/>
      <c r="G1375" s="30"/>
      <c r="H1375" s="30"/>
      <c r="I1375" s="179"/>
      <c r="J1375" s="180"/>
      <c r="L1375" s="30"/>
      <c r="M1375" s="30"/>
      <c r="N1375" s="30"/>
    </row>
    <row r="1376">
      <c r="B1376" s="30"/>
      <c r="C1376" s="30"/>
      <c r="F1376" s="30"/>
      <c r="G1376" s="30"/>
      <c r="H1376" s="30"/>
      <c r="I1376" s="179"/>
      <c r="J1376" s="180"/>
      <c r="L1376" s="30"/>
      <c r="M1376" s="30"/>
      <c r="N1376" s="30"/>
    </row>
    <row r="1377">
      <c r="B1377" s="30"/>
      <c r="C1377" s="30"/>
      <c r="F1377" s="30"/>
      <c r="G1377" s="30"/>
      <c r="H1377" s="30"/>
      <c r="I1377" s="179"/>
      <c r="J1377" s="180"/>
      <c r="L1377" s="30"/>
      <c r="M1377" s="30"/>
      <c r="N1377" s="30"/>
    </row>
    <row r="1378">
      <c r="B1378" s="30"/>
      <c r="C1378" s="30"/>
      <c r="F1378" s="30"/>
      <c r="G1378" s="30"/>
      <c r="H1378" s="30"/>
      <c r="I1378" s="179"/>
      <c r="J1378" s="180"/>
      <c r="L1378" s="30"/>
      <c r="M1378" s="30"/>
      <c r="N1378" s="30"/>
    </row>
    <row r="1379">
      <c r="B1379" s="30"/>
      <c r="C1379" s="30"/>
      <c r="F1379" s="30"/>
      <c r="G1379" s="30"/>
      <c r="H1379" s="30"/>
      <c r="I1379" s="179"/>
      <c r="J1379" s="180"/>
      <c r="L1379" s="30"/>
      <c r="M1379" s="30"/>
      <c r="N1379" s="30"/>
    </row>
    <row r="1380">
      <c r="B1380" s="30"/>
      <c r="C1380" s="30"/>
      <c r="F1380" s="30"/>
      <c r="G1380" s="30"/>
      <c r="H1380" s="30"/>
      <c r="I1380" s="179"/>
      <c r="J1380" s="180"/>
      <c r="L1380" s="30"/>
      <c r="M1380" s="30"/>
      <c r="N1380" s="30"/>
    </row>
    <row r="1381">
      <c r="B1381" s="30"/>
      <c r="C1381" s="30"/>
      <c r="F1381" s="30"/>
      <c r="G1381" s="30"/>
      <c r="H1381" s="30"/>
      <c r="I1381" s="179"/>
      <c r="J1381" s="180"/>
      <c r="L1381" s="30"/>
      <c r="M1381" s="30"/>
      <c r="N1381" s="30"/>
    </row>
    <row r="1382">
      <c r="B1382" s="30"/>
      <c r="C1382" s="30"/>
      <c r="F1382" s="30"/>
      <c r="G1382" s="30"/>
      <c r="H1382" s="30"/>
      <c r="I1382" s="179"/>
      <c r="J1382" s="180"/>
      <c r="L1382" s="30"/>
      <c r="M1382" s="30"/>
      <c r="N1382" s="30"/>
    </row>
    <row r="1383">
      <c r="B1383" s="30"/>
      <c r="C1383" s="30"/>
      <c r="F1383" s="30"/>
      <c r="G1383" s="30"/>
      <c r="H1383" s="30"/>
      <c r="I1383" s="179"/>
      <c r="J1383" s="180"/>
      <c r="L1383" s="30"/>
      <c r="M1383" s="30"/>
      <c r="N1383" s="30"/>
    </row>
    <row r="1384">
      <c r="B1384" s="30"/>
      <c r="C1384" s="30"/>
      <c r="F1384" s="30"/>
      <c r="G1384" s="30"/>
      <c r="H1384" s="30"/>
      <c r="I1384" s="179"/>
      <c r="J1384" s="180"/>
      <c r="L1384" s="30"/>
      <c r="M1384" s="30"/>
      <c r="N1384" s="30"/>
    </row>
    <row r="1385">
      <c r="B1385" s="30"/>
      <c r="C1385" s="30"/>
      <c r="F1385" s="30"/>
      <c r="G1385" s="30"/>
      <c r="H1385" s="30"/>
      <c r="I1385" s="179"/>
      <c r="J1385" s="180"/>
      <c r="L1385" s="30"/>
      <c r="M1385" s="30"/>
      <c r="N1385" s="30"/>
    </row>
    <row r="1386">
      <c r="B1386" s="30"/>
      <c r="C1386" s="30"/>
      <c r="F1386" s="30"/>
      <c r="G1386" s="30"/>
      <c r="H1386" s="30"/>
      <c r="I1386" s="179"/>
      <c r="J1386" s="180"/>
      <c r="L1386" s="30"/>
      <c r="M1386" s="30"/>
      <c r="N1386" s="30"/>
    </row>
    <row r="1387">
      <c r="B1387" s="30"/>
      <c r="C1387" s="30"/>
      <c r="F1387" s="30"/>
      <c r="G1387" s="30"/>
      <c r="H1387" s="30"/>
      <c r="I1387" s="179"/>
      <c r="J1387" s="180"/>
      <c r="L1387" s="30"/>
      <c r="M1387" s="30"/>
      <c r="N1387" s="30"/>
    </row>
    <row r="1388">
      <c r="B1388" s="30"/>
      <c r="C1388" s="30"/>
      <c r="F1388" s="30"/>
      <c r="G1388" s="30"/>
      <c r="H1388" s="30"/>
      <c r="I1388" s="179"/>
      <c r="J1388" s="180"/>
      <c r="L1388" s="30"/>
      <c r="M1388" s="30"/>
      <c r="N1388" s="30"/>
    </row>
    <row r="1389">
      <c r="B1389" s="30"/>
      <c r="C1389" s="30"/>
      <c r="F1389" s="30"/>
      <c r="G1389" s="30"/>
      <c r="H1389" s="30"/>
      <c r="I1389" s="179"/>
      <c r="J1389" s="180"/>
      <c r="L1389" s="30"/>
      <c r="M1389" s="30"/>
      <c r="N1389" s="30"/>
    </row>
    <row r="1390">
      <c r="B1390" s="30"/>
      <c r="C1390" s="30"/>
      <c r="F1390" s="30"/>
      <c r="G1390" s="30"/>
      <c r="H1390" s="30"/>
      <c r="I1390" s="179"/>
      <c r="J1390" s="180"/>
      <c r="L1390" s="30"/>
      <c r="M1390" s="30"/>
      <c r="N1390" s="30"/>
    </row>
    <row r="1391">
      <c r="B1391" s="30"/>
      <c r="C1391" s="30"/>
      <c r="F1391" s="30"/>
      <c r="G1391" s="30"/>
      <c r="H1391" s="30"/>
      <c r="I1391" s="179"/>
      <c r="J1391" s="180"/>
      <c r="L1391" s="30"/>
      <c r="M1391" s="30"/>
      <c r="N1391" s="30"/>
    </row>
    <row r="1392">
      <c r="B1392" s="30"/>
      <c r="C1392" s="30"/>
      <c r="F1392" s="30"/>
      <c r="G1392" s="30"/>
      <c r="H1392" s="30"/>
      <c r="I1392" s="179"/>
      <c r="J1392" s="180"/>
      <c r="L1392" s="30"/>
      <c r="M1392" s="30"/>
      <c r="N1392" s="30"/>
    </row>
    <row r="1393">
      <c r="B1393" s="30"/>
      <c r="C1393" s="30"/>
      <c r="F1393" s="30"/>
      <c r="G1393" s="30"/>
      <c r="H1393" s="30"/>
      <c r="I1393" s="179"/>
      <c r="J1393" s="180"/>
      <c r="L1393" s="30"/>
      <c r="M1393" s="30"/>
      <c r="N1393" s="30"/>
    </row>
    <row r="1394">
      <c r="B1394" s="30"/>
      <c r="C1394" s="30"/>
      <c r="F1394" s="30"/>
      <c r="G1394" s="30"/>
      <c r="H1394" s="30"/>
      <c r="I1394" s="179"/>
      <c r="J1394" s="180"/>
      <c r="L1394" s="30"/>
      <c r="M1394" s="30"/>
      <c r="N1394" s="30"/>
    </row>
    <row r="1395">
      <c r="B1395" s="30"/>
      <c r="C1395" s="30"/>
      <c r="F1395" s="30"/>
      <c r="G1395" s="30"/>
      <c r="H1395" s="30"/>
      <c r="I1395" s="179"/>
      <c r="J1395" s="180"/>
      <c r="L1395" s="30"/>
      <c r="M1395" s="30"/>
      <c r="N1395" s="30"/>
    </row>
    <row r="1396">
      <c r="B1396" s="30"/>
      <c r="C1396" s="30"/>
      <c r="F1396" s="30"/>
      <c r="G1396" s="30"/>
      <c r="H1396" s="30"/>
      <c r="I1396" s="179"/>
      <c r="J1396" s="180"/>
      <c r="L1396" s="30"/>
      <c r="M1396" s="30"/>
      <c r="N1396" s="30"/>
    </row>
    <row r="1397">
      <c r="B1397" s="30"/>
      <c r="C1397" s="30"/>
      <c r="F1397" s="30"/>
      <c r="G1397" s="30"/>
      <c r="H1397" s="30"/>
      <c r="I1397" s="179"/>
      <c r="J1397" s="180"/>
      <c r="L1397" s="30"/>
      <c r="M1397" s="30"/>
      <c r="N1397" s="30"/>
    </row>
    <row r="1398">
      <c r="B1398" s="30"/>
      <c r="C1398" s="30"/>
      <c r="F1398" s="30"/>
      <c r="G1398" s="30"/>
      <c r="H1398" s="30"/>
      <c r="I1398" s="179"/>
      <c r="J1398" s="180"/>
      <c r="L1398" s="30"/>
      <c r="M1398" s="30"/>
      <c r="N1398" s="30"/>
    </row>
    <row r="1399">
      <c r="B1399" s="30"/>
      <c r="C1399" s="30"/>
      <c r="F1399" s="30"/>
      <c r="G1399" s="30"/>
      <c r="H1399" s="30"/>
      <c r="I1399" s="179"/>
      <c r="J1399" s="180"/>
      <c r="L1399" s="30"/>
      <c r="M1399" s="30"/>
      <c r="N1399" s="30"/>
    </row>
    <row r="1400">
      <c r="B1400" s="30"/>
      <c r="C1400" s="30"/>
      <c r="F1400" s="30"/>
      <c r="G1400" s="30"/>
      <c r="H1400" s="30"/>
      <c r="I1400" s="179"/>
      <c r="J1400" s="180"/>
      <c r="L1400" s="30"/>
      <c r="M1400" s="30"/>
      <c r="N1400" s="30"/>
    </row>
    <row r="1401">
      <c r="B1401" s="30"/>
      <c r="C1401" s="30"/>
      <c r="F1401" s="30"/>
      <c r="G1401" s="30"/>
      <c r="H1401" s="30"/>
      <c r="I1401" s="179"/>
      <c r="J1401" s="180"/>
      <c r="L1401" s="30"/>
      <c r="M1401" s="30"/>
      <c r="N1401" s="30"/>
    </row>
    <row r="1402">
      <c r="B1402" s="30"/>
      <c r="C1402" s="30"/>
      <c r="F1402" s="30"/>
      <c r="G1402" s="30"/>
      <c r="H1402" s="30"/>
      <c r="I1402" s="179"/>
      <c r="J1402" s="180"/>
      <c r="L1402" s="30"/>
      <c r="M1402" s="30"/>
      <c r="N1402" s="30"/>
    </row>
    <row r="1403">
      <c r="B1403" s="30"/>
      <c r="C1403" s="30"/>
      <c r="F1403" s="30"/>
      <c r="G1403" s="30"/>
      <c r="H1403" s="30"/>
      <c r="I1403" s="179"/>
      <c r="J1403" s="180"/>
      <c r="L1403" s="30"/>
      <c r="M1403" s="30"/>
      <c r="N1403" s="30"/>
    </row>
    <row r="1404">
      <c r="B1404" s="30"/>
      <c r="C1404" s="30"/>
      <c r="F1404" s="30"/>
      <c r="G1404" s="30"/>
      <c r="H1404" s="30"/>
      <c r="I1404" s="179"/>
      <c r="J1404" s="180"/>
      <c r="L1404" s="30"/>
      <c r="M1404" s="30"/>
      <c r="N1404" s="30"/>
    </row>
    <row r="1405">
      <c r="B1405" s="30"/>
      <c r="C1405" s="30"/>
      <c r="F1405" s="30"/>
      <c r="G1405" s="30"/>
      <c r="H1405" s="30"/>
      <c r="I1405" s="179"/>
      <c r="J1405" s="180"/>
      <c r="L1405" s="30"/>
      <c r="M1405" s="30"/>
      <c r="N1405" s="30"/>
    </row>
    <row r="1406">
      <c r="B1406" s="30"/>
      <c r="C1406" s="30"/>
      <c r="F1406" s="30"/>
      <c r="G1406" s="30"/>
      <c r="H1406" s="30"/>
      <c r="I1406" s="179"/>
      <c r="J1406" s="180"/>
      <c r="L1406" s="30"/>
      <c r="M1406" s="30"/>
      <c r="N1406" s="30"/>
    </row>
    <row r="1407">
      <c r="B1407" s="30"/>
      <c r="C1407" s="30"/>
      <c r="F1407" s="30"/>
      <c r="G1407" s="30"/>
      <c r="H1407" s="30"/>
      <c r="I1407" s="179"/>
      <c r="J1407" s="180"/>
      <c r="L1407" s="30"/>
      <c r="M1407" s="30"/>
      <c r="N1407" s="30"/>
    </row>
    <row r="1408">
      <c r="B1408" s="30"/>
      <c r="C1408" s="30"/>
      <c r="F1408" s="30"/>
      <c r="G1408" s="30"/>
      <c r="H1408" s="30"/>
      <c r="I1408" s="179"/>
      <c r="J1408" s="180"/>
      <c r="L1408" s="30"/>
      <c r="M1408" s="30"/>
      <c r="N1408" s="30"/>
    </row>
    <row r="1409">
      <c r="B1409" s="30"/>
      <c r="C1409" s="30"/>
      <c r="F1409" s="30"/>
      <c r="G1409" s="30"/>
      <c r="H1409" s="30"/>
      <c r="I1409" s="179"/>
      <c r="J1409" s="180"/>
      <c r="L1409" s="30"/>
      <c r="M1409" s="30"/>
      <c r="N1409" s="30"/>
    </row>
    <row r="1410">
      <c r="B1410" s="30"/>
      <c r="C1410" s="30"/>
      <c r="F1410" s="30"/>
      <c r="G1410" s="30"/>
      <c r="H1410" s="30"/>
      <c r="I1410" s="179"/>
      <c r="J1410" s="180"/>
      <c r="L1410" s="30"/>
      <c r="M1410" s="30"/>
      <c r="N1410" s="30"/>
    </row>
    <row r="1411">
      <c r="B1411" s="30"/>
      <c r="C1411" s="30"/>
      <c r="F1411" s="30"/>
      <c r="G1411" s="30"/>
      <c r="H1411" s="30"/>
      <c r="I1411" s="179"/>
      <c r="J1411" s="180"/>
      <c r="L1411" s="30"/>
      <c r="M1411" s="30"/>
      <c r="N1411" s="30"/>
    </row>
    <row r="1412">
      <c r="B1412" s="30"/>
      <c r="C1412" s="30"/>
      <c r="F1412" s="30"/>
      <c r="G1412" s="30"/>
      <c r="H1412" s="30"/>
      <c r="I1412" s="179"/>
      <c r="J1412" s="180"/>
      <c r="L1412" s="30"/>
      <c r="M1412" s="30"/>
      <c r="N1412" s="30"/>
    </row>
    <row r="1413">
      <c r="B1413" s="30"/>
      <c r="C1413" s="30"/>
      <c r="F1413" s="30"/>
      <c r="G1413" s="30"/>
      <c r="H1413" s="30"/>
      <c r="I1413" s="179"/>
      <c r="J1413" s="180"/>
      <c r="L1413" s="30"/>
      <c r="M1413" s="30"/>
      <c r="N1413" s="30"/>
    </row>
    <row r="1414">
      <c r="B1414" s="30"/>
      <c r="C1414" s="30"/>
      <c r="F1414" s="30"/>
      <c r="G1414" s="30"/>
      <c r="H1414" s="30"/>
      <c r="I1414" s="179"/>
      <c r="J1414" s="180"/>
      <c r="L1414" s="30"/>
      <c r="M1414" s="30"/>
      <c r="N1414" s="30"/>
    </row>
    <row r="1415">
      <c r="B1415" s="30"/>
      <c r="C1415" s="30"/>
      <c r="F1415" s="30"/>
      <c r="G1415" s="30"/>
      <c r="H1415" s="30"/>
      <c r="I1415" s="179"/>
      <c r="J1415" s="180"/>
      <c r="L1415" s="30"/>
      <c r="M1415" s="30"/>
      <c r="N1415" s="30"/>
    </row>
    <row r="1416">
      <c r="B1416" s="30"/>
      <c r="C1416" s="30"/>
      <c r="F1416" s="30"/>
      <c r="G1416" s="30"/>
      <c r="H1416" s="30"/>
      <c r="I1416" s="179"/>
      <c r="J1416" s="180"/>
      <c r="L1416" s="30"/>
      <c r="M1416" s="30"/>
      <c r="N1416" s="30"/>
    </row>
    <row r="1417">
      <c r="B1417" s="30"/>
      <c r="C1417" s="30"/>
      <c r="F1417" s="30"/>
      <c r="G1417" s="30"/>
      <c r="H1417" s="30"/>
      <c r="I1417" s="179"/>
      <c r="J1417" s="180"/>
      <c r="L1417" s="30"/>
      <c r="M1417" s="30"/>
      <c r="N1417" s="30"/>
    </row>
    <row r="1418">
      <c r="B1418" s="30"/>
      <c r="C1418" s="30"/>
      <c r="F1418" s="30"/>
      <c r="G1418" s="30"/>
      <c r="H1418" s="30"/>
      <c r="I1418" s="179"/>
      <c r="J1418" s="180"/>
      <c r="L1418" s="30"/>
      <c r="M1418" s="30"/>
      <c r="N1418" s="30"/>
    </row>
    <row r="1419">
      <c r="B1419" s="30"/>
      <c r="C1419" s="30"/>
      <c r="F1419" s="30"/>
      <c r="G1419" s="30"/>
      <c r="H1419" s="30"/>
      <c r="I1419" s="179"/>
      <c r="J1419" s="180"/>
      <c r="L1419" s="30"/>
      <c r="M1419" s="30"/>
      <c r="N1419" s="30"/>
    </row>
    <row r="1420">
      <c r="B1420" s="30"/>
      <c r="C1420" s="30"/>
      <c r="F1420" s="30"/>
      <c r="G1420" s="30"/>
      <c r="H1420" s="30"/>
      <c r="I1420" s="179"/>
      <c r="J1420" s="180"/>
      <c r="L1420" s="30"/>
      <c r="M1420" s="30"/>
      <c r="N1420" s="30"/>
    </row>
    <row r="1421">
      <c r="B1421" s="30"/>
      <c r="C1421" s="30"/>
      <c r="F1421" s="30"/>
      <c r="G1421" s="30"/>
      <c r="H1421" s="30"/>
      <c r="I1421" s="179"/>
      <c r="J1421" s="180"/>
      <c r="L1421" s="30"/>
      <c r="M1421" s="30"/>
      <c r="N1421" s="30"/>
    </row>
    <row r="1422">
      <c r="B1422" s="30"/>
      <c r="C1422" s="30"/>
      <c r="F1422" s="30"/>
      <c r="G1422" s="30"/>
      <c r="H1422" s="30"/>
      <c r="I1422" s="179"/>
      <c r="J1422" s="180"/>
      <c r="L1422" s="30"/>
      <c r="M1422" s="30"/>
      <c r="N1422" s="30"/>
    </row>
    <row r="1423">
      <c r="B1423" s="30"/>
      <c r="C1423" s="30"/>
      <c r="F1423" s="30"/>
      <c r="G1423" s="30"/>
      <c r="H1423" s="30"/>
      <c r="I1423" s="179"/>
      <c r="J1423" s="180"/>
      <c r="L1423" s="30"/>
      <c r="M1423" s="30"/>
      <c r="N1423" s="30"/>
    </row>
    <row r="1424">
      <c r="B1424" s="30"/>
      <c r="C1424" s="30"/>
      <c r="F1424" s="30"/>
      <c r="G1424" s="30"/>
      <c r="H1424" s="30"/>
      <c r="I1424" s="179"/>
      <c r="J1424" s="180"/>
      <c r="L1424" s="30"/>
      <c r="M1424" s="30"/>
      <c r="N1424" s="30"/>
    </row>
    <row r="1425">
      <c r="B1425" s="30"/>
      <c r="C1425" s="30"/>
      <c r="F1425" s="30"/>
      <c r="G1425" s="30"/>
      <c r="H1425" s="30"/>
      <c r="I1425" s="179"/>
      <c r="J1425" s="180"/>
      <c r="L1425" s="30"/>
      <c r="M1425" s="30"/>
      <c r="N1425" s="30"/>
    </row>
    <row r="1426">
      <c r="B1426" s="30"/>
      <c r="C1426" s="30"/>
      <c r="F1426" s="30"/>
      <c r="G1426" s="30"/>
      <c r="H1426" s="30"/>
      <c r="I1426" s="179"/>
      <c r="J1426" s="180"/>
      <c r="L1426" s="30"/>
      <c r="M1426" s="30"/>
      <c r="N1426" s="30"/>
    </row>
    <row r="1427">
      <c r="B1427" s="30"/>
      <c r="C1427" s="30"/>
      <c r="F1427" s="30"/>
      <c r="G1427" s="30"/>
      <c r="H1427" s="30"/>
      <c r="I1427" s="179"/>
      <c r="J1427" s="180"/>
      <c r="L1427" s="30"/>
      <c r="M1427" s="30"/>
      <c r="N1427" s="30"/>
    </row>
    <row r="1428">
      <c r="B1428" s="30"/>
      <c r="C1428" s="30"/>
      <c r="F1428" s="30"/>
      <c r="G1428" s="30"/>
      <c r="H1428" s="30"/>
      <c r="I1428" s="179"/>
      <c r="J1428" s="180"/>
      <c r="L1428" s="30"/>
      <c r="M1428" s="30"/>
      <c r="N1428" s="30"/>
    </row>
    <row r="1429">
      <c r="B1429" s="30"/>
      <c r="C1429" s="30"/>
      <c r="F1429" s="30"/>
      <c r="G1429" s="30"/>
      <c r="H1429" s="30"/>
      <c r="I1429" s="179"/>
      <c r="J1429" s="180"/>
      <c r="L1429" s="30"/>
      <c r="M1429" s="30"/>
      <c r="N1429" s="30"/>
    </row>
    <row r="1430">
      <c r="B1430" s="30"/>
      <c r="C1430" s="30"/>
      <c r="F1430" s="30"/>
      <c r="G1430" s="30"/>
      <c r="H1430" s="30"/>
      <c r="I1430" s="179"/>
      <c r="J1430" s="180"/>
      <c r="L1430" s="30"/>
      <c r="M1430" s="30"/>
      <c r="N1430" s="30"/>
    </row>
    <row r="1431">
      <c r="B1431" s="30"/>
      <c r="C1431" s="30"/>
      <c r="F1431" s="30"/>
      <c r="G1431" s="30"/>
      <c r="H1431" s="30"/>
      <c r="I1431" s="179"/>
      <c r="J1431" s="180"/>
      <c r="L1431" s="30"/>
      <c r="M1431" s="30"/>
      <c r="N1431" s="30"/>
    </row>
    <row r="1432">
      <c r="B1432" s="30"/>
      <c r="C1432" s="30"/>
      <c r="F1432" s="30"/>
      <c r="G1432" s="30"/>
      <c r="H1432" s="30"/>
      <c r="I1432" s="179"/>
      <c r="J1432" s="180"/>
      <c r="L1432" s="30"/>
      <c r="M1432" s="30"/>
      <c r="N1432" s="30"/>
    </row>
    <row r="1433">
      <c r="B1433" s="30"/>
      <c r="C1433" s="30"/>
      <c r="F1433" s="30"/>
      <c r="G1433" s="30"/>
      <c r="H1433" s="30"/>
      <c r="I1433" s="179"/>
      <c r="J1433" s="180"/>
      <c r="L1433" s="30"/>
      <c r="M1433" s="30"/>
      <c r="N1433" s="30"/>
    </row>
    <row r="1434">
      <c r="B1434" s="30"/>
      <c r="C1434" s="30"/>
      <c r="F1434" s="30"/>
      <c r="G1434" s="30"/>
      <c r="H1434" s="30"/>
      <c r="I1434" s="179"/>
      <c r="J1434" s="180"/>
      <c r="L1434" s="30"/>
      <c r="M1434" s="30"/>
      <c r="N1434" s="30"/>
    </row>
    <row r="1435">
      <c r="B1435" s="30"/>
      <c r="C1435" s="30"/>
      <c r="F1435" s="30"/>
      <c r="G1435" s="30"/>
      <c r="H1435" s="30"/>
      <c r="I1435" s="179"/>
      <c r="J1435" s="180"/>
      <c r="L1435" s="30"/>
      <c r="M1435" s="30"/>
      <c r="N1435" s="30"/>
    </row>
    <row r="1436">
      <c r="B1436" s="30"/>
      <c r="C1436" s="30"/>
      <c r="F1436" s="30"/>
      <c r="G1436" s="30"/>
      <c r="H1436" s="30"/>
      <c r="I1436" s="179"/>
      <c r="J1436" s="180"/>
      <c r="L1436" s="30"/>
      <c r="M1436" s="30"/>
      <c r="N1436" s="30"/>
    </row>
    <row r="1437">
      <c r="B1437" s="30"/>
      <c r="C1437" s="30"/>
      <c r="F1437" s="30"/>
      <c r="G1437" s="30"/>
      <c r="H1437" s="30"/>
      <c r="I1437" s="179"/>
      <c r="J1437" s="180"/>
      <c r="L1437" s="30"/>
      <c r="M1437" s="30"/>
      <c r="N1437" s="30"/>
    </row>
    <row r="1438">
      <c r="B1438" s="30"/>
      <c r="C1438" s="30"/>
      <c r="F1438" s="30"/>
      <c r="G1438" s="30"/>
      <c r="H1438" s="30"/>
      <c r="I1438" s="179"/>
      <c r="J1438" s="180"/>
      <c r="L1438" s="30"/>
      <c r="M1438" s="30"/>
      <c r="N1438" s="30"/>
    </row>
    <row r="1439">
      <c r="B1439" s="30"/>
      <c r="C1439" s="30"/>
      <c r="F1439" s="30"/>
      <c r="G1439" s="30"/>
      <c r="H1439" s="30"/>
      <c r="I1439" s="179"/>
      <c r="J1439" s="180"/>
      <c r="L1439" s="30"/>
      <c r="M1439" s="30"/>
      <c r="N1439" s="30"/>
    </row>
    <row r="1440">
      <c r="B1440" s="30"/>
      <c r="C1440" s="30"/>
      <c r="F1440" s="30"/>
      <c r="G1440" s="30"/>
      <c r="H1440" s="30"/>
      <c r="I1440" s="179"/>
      <c r="J1440" s="180"/>
      <c r="L1440" s="30"/>
      <c r="M1440" s="30"/>
      <c r="N1440" s="30"/>
    </row>
    <row r="1441">
      <c r="B1441" s="30"/>
      <c r="C1441" s="30"/>
      <c r="F1441" s="30"/>
      <c r="G1441" s="30"/>
      <c r="H1441" s="30"/>
      <c r="I1441" s="179"/>
      <c r="J1441" s="180"/>
      <c r="L1441" s="30"/>
      <c r="M1441" s="30"/>
      <c r="N1441" s="30"/>
    </row>
    <row r="1442">
      <c r="B1442" s="30"/>
      <c r="C1442" s="30"/>
      <c r="F1442" s="30"/>
      <c r="G1442" s="30"/>
      <c r="H1442" s="30"/>
      <c r="I1442" s="179"/>
      <c r="J1442" s="180"/>
      <c r="L1442" s="30"/>
      <c r="M1442" s="30"/>
      <c r="N1442" s="30"/>
    </row>
    <row r="1443">
      <c r="B1443" s="30"/>
      <c r="C1443" s="30"/>
      <c r="F1443" s="30"/>
      <c r="G1443" s="30"/>
      <c r="H1443" s="30"/>
      <c r="I1443" s="179"/>
      <c r="J1443" s="180"/>
      <c r="L1443" s="30"/>
      <c r="M1443" s="30"/>
      <c r="N1443" s="30"/>
    </row>
    <row r="1444">
      <c r="B1444" s="30"/>
      <c r="C1444" s="30"/>
      <c r="F1444" s="30"/>
      <c r="G1444" s="30"/>
      <c r="H1444" s="30"/>
      <c r="I1444" s="179"/>
      <c r="J1444" s="180"/>
      <c r="L1444" s="30"/>
      <c r="M1444" s="30"/>
      <c r="N1444" s="30"/>
    </row>
    <row r="1445">
      <c r="B1445" s="30"/>
      <c r="C1445" s="30"/>
      <c r="F1445" s="30"/>
      <c r="G1445" s="30"/>
      <c r="H1445" s="30"/>
      <c r="I1445" s="179"/>
      <c r="J1445" s="180"/>
      <c r="L1445" s="30"/>
      <c r="M1445" s="30"/>
      <c r="N1445" s="30"/>
    </row>
    <row r="1446">
      <c r="B1446" s="30"/>
      <c r="C1446" s="30"/>
      <c r="F1446" s="30"/>
      <c r="G1446" s="30"/>
      <c r="H1446" s="30"/>
      <c r="I1446" s="179"/>
      <c r="J1446" s="180"/>
      <c r="L1446" s="30"/>
      <c r="M1446" s="30"/>
      <c r="N1446" s="30"/>
    </row>
    <row r="1447">
      <c r="B1447" s="30"/>
      <c r="C1447" s="30"/>
      <c r="F1447" s="30"/>
      <c r="G1447" s="30"/>
      <c r="H1447" s="30"/>
      <c r="I1447" s="179"/>
      <c r="J1447" s="180"/>
      <c r="L1447" s="30"/>
      <c r="M1447" s="30"/>
      <c r="N1447" s="30"/>
    </row>
    <row r="1448">
      <c r="B1448" s="30"/>
      <c r="C1448" s="30"/>
      <c r="F1448" s="30"/>
      <c r="G1448" s="30"/>
      <c r="H1448" s="30"/>
      <c r="I1448" s="179"/>
      <c r="J1448" s="180"/>
      <c r="L1448" s="30"/>
      <c r="M1448" s="30"/>
      <c r="N1448" s="30"/>
    </row>
    <row r="1449">
      <c r="B1449" s="30"/>
      <c r="C1449" s="30"/>
      <c r="F1449" s="30"/>
      <c r="G1449" s="30"/>
      <c r="H1449" s="30"/>
      <c r="I1449" s="179"/>
      <c r="J1449" s="180"/>
      <c r="L1449" s="30"/>
      <c r="M1449" s="30"/>
      <c r="N1449" s="30"/>
    </row>
    <row r="1450">
      <c r="B1450" s="30"/>
      <c r="C1450" s="30"/>
      <c r="F1450" s="30"/>
      <c r="G1450" s="30"/>
      <c r="H1450" s="30"/>
      <c r="I1450" s="179"/>
      <c r="J1450" s="180"/>
      <c r="L1450" s="30"/>
      <c r="M1450" s="30"/>
      <c r="N1450" s="30"/>
    </row>
    <row r="1451">
      <c r="B1451" s="30"/>
      <c r="C1451" s="30"/>
      <c r="F1451" s="30"/>
      <c r="G1451" s="30"/>
      <c r="H1451" s="30"/>
      <c r="I1451" s="179"/>
      <c r="J1451" s="180"/>
      <c r="L1451" s="30"/>
      <c r="M1451" s="30"/>
      <c r="N1451" s="30"/>
    </row>
    <row r="1452">
      <c r="B1452" s="30"/>
      <c r="C1452" s="30"/>
      <c r="F1452" s="30"/>
      <c r="G1452" s="30"/>
      <c r="H1452" s="30"/>
      <c r="I1452" s="179"/>
      <c r="J1452" s="180"/>
      <c r="L1452" s="30"/>
      <c r="M1452" s="30"/>
      <c r="N1452" s="30"/>
    </row>
    <row r="1453">
      <c r="B1453" s="30"/>
      <c r="C1453" s="30"/>
      <c r="F1453" s="30"/>
      <c r="G1453" s="30"/>
      <c r="H1453" s="30"/>
      <c r="I1453" s="179"/>
      <c r="J1453" s="180"/>
      <c r="L1453" s="30"/>
      <c r="M1453" s="30"/>
      <c r="N1453" s="30"/>
    </row>
    <row r="1454">
      <c r="B1454" s="30"/>
      <c r="C1454" s="30"/>
      <c r="F1454" s="30"/>
      <c r="G1454" s="30"/>
      <c r="H1454" s="30"/>
      <c r="I1454" s="179"/>
      <c r="J1454" s="180"/>
      <c r="L1454" s="30"/>
      <c r="M1454" s="30"/>
      <c r="N1454" s="30"/>
    </row>
    <row r="1455">
      <c r="B1455" s="30"/>
      <c r="C1455" s="30"/>
      <c r="F1455" s="30"/>
      <c r="G1455" s="30"/>
      <c r="H1455" s="30"/>
      <c r="I1455" s="179"/>
      <c r="J1455" s="180"/>
      <c r="L1455" s="30"/>
      <c r="M1455" s="30"/>
      <c r="N1455" s="30"/>
    </row>
    <row r="1456">
      <c r="B1456" s="30"/>
      <c r="C1456" s="30"/>
      <c r="F1456" s="30"/>
      <c r="G1456" s="30"/>
      <c r="H1456" s="30"/>
      <c r="I1456" s="179"/>
      <c r="J1456" s="180"/>
      <c r="L1456" s="30"/>
      <c r="M1456" s="30"/>
      <c r="N1456" s="30"/>
    </row>
    <row r="1457">
      <c r="B1457" s="30"/>
      <c r="C1457" s="30"/>
      <c r="F1457" s="30"/>
      <c r="G1457" s="30"/>
      <c r="H1457" s="30"/>
      <c r="I1457" s="179"/>
      <c r="J1457" s="180"/>
      <c r="L1457" s="30"/>
      <c r="M1457" s="30"/>
      <c r="N1457" s="30"/>
    </row>
    <row r="1458">
      <c r="B1458" s="30"/>
      <c r="C1458" s="30"/>
      <c r="F1458" s="30"/>
      <c r="G1458" s="30"/>
      <c r="H1458" s="30"/>
      <c r="I1458" s="179"/>
      <c r="J1458" s="180"/>
      <c r="L1458" s="30"/>
      <c r="M1458" s="30"/>
      <c r="N1458" s="30"/>
    </row>
    <row r="1459">
      <c r="B1459" s="30"/>
      <c r="C1459" s="30"/>
      <c r="F1459" s="30"/>
      <c r="G1459" s="30"/>
      <c r="H1459" s="30"/>
      <c r="I1459" s="179"/>
      <c r="J1459" s="180"/>
      <c r="L1459" s="30"/>
      <c r="M1459" s="30"/>
      <c r="N1459" s="30"/>
    </row>
    <row r="1460">
      <c r="B1460" s="30"/>
      <c r="C1460" s="30"/>
      <c r="F1460" s="30"/>
      <c r="G1460" s="30"/>
      <c r="H1460" s="30"/>
      <c r="I1460" s="179"/>
      <c r="J1460" s="180"/>
      <c r="L1460" s="30"/>
      <c r="M1460" s="30"/>
      <c r="N1460" s="30"/>
    </row>
    <row r="1461">
      <c r="B1461" s="30"/>
      <c r="C1461" s="30"/>
      <c r="F1461" s="30"/>
      <c r="G1461" s="30"/>
      <c r="H1461" s="30"/>
      <c r="I1461" s="179"/>
      <c r="J1461" s="180"/>
      <c r="L1461" s="30"/>
      <c r="M1461" s="30"/>
      <c r="N1461" s="30"/>
    </row>
    <row r="1462">
      <c r="B1462" s="30"/>
      <c r="C1462" s="30"/>
      <c r="F1462" s="30"/>
      <c r="G1462" s="30"/>
      <c r="H1462" s="30"/>
      <c r="I1462" s="179"/>
      <c r="J1462" s="180"/>
      <c r="L1462" s="30"/>
      <c r="M1462" s="30"/>
      <c r="N1462" s="30"/>
    </row>
    <row r="1463">
      <c r="B1463" s="30"/>
      <c r="C1463" s="30"/>
      <c r="F1463" s="30"/>
      <c r="G1463" s="30"/>
      <c r="H1463" s="30"/>
      <c r="I1463" s="179"/>
      <c r="J1463" s="180"/>
      <c r="L1463" s="30"/>
      <c r="M1463" s="30"/>
      <c r="N1463" s="30"/>
    </row>
    <row r="1464">
      <c r="B1464" s="30"/>
      <c r="C1464" s="30"/>
      <c r="F1464" s="30"/>
      <c r="G1464" s="30"/>
      <c r="H1464" s="30"/>
      <c r="I1464" s="179"/>
      <c r="J1464" s="180"/>
      <c r="L1464" s="30"/>
      <c r="M1464" s="30"/>
      <c r="N1464" s="30"/>
    </row>
    <row r="1465">
      <c r="B1465" s="30"/>
      <c r="C1465" s="30"/>
      <c r="F1465" s="30"/>
      <c r="G1465" s="30"/>
      <c r="H1465" s="30"/>
      <c r="I1465" s="179"/>
      <c r="J1465" s="180"/>
      <c r="L1465" s="30"/>
      <c r="M1465" s="30"/>
      <c r="N1465" s="30"/>
    </row>
    <row r="1466">
      <c r="B1466" s="30"/>
      <c r="C1466" s="30"/>
      <c r="F1466" s="30"/>
      <c r="G1466" s="30"/>
      <c r="H1466" s="30"/>
      <c r="I1466" s="179"/>
      <c r="J1466" s="180"/>
      <c r="L1466" s="30"/>
      <c r="M1466" s="30"/>
      <c r="N1466" s="30"/>
    </row>
    <row r="1467">
      <c r="B1467" s="30"/>
      <c r="C1467" s="30"/>
      <c r="F1467" s="30"/>
      <c r="G1467" s="30"/>
      <c r="H1467" s="30"/>
      <c r="I1467" s="179"/>
      <c r="J1467" s="180"/>
      <c r="L1467" s="30"/>
      <c r="M1467" s="30"/>
      <c r="N1467" s="30"/>
    </row>
    <row r="1468">
      <c r="B1468" s="30"/>
      <c r="C1468" s="30"/>
      <c r="F1468" s="30"/>
      <c r="G1468" s="30"/>
      <c r="H1468" s="30"/>
      <c r="I1468" s="179"/>
      <c r="J1468" s="180"/>
      <c r="L1468" s="30"/>
      <c r="M1468" s="30"/>
      <c r="N1468" s="30"/>
    </row>
    <row r="1469">
      <c r="B1469" s="30"/>
      <c r="C1469" s="30"/>
      <c r="F1469" s="30"/>
      <c r="G1469" s="30"/>
      <c r="H1469" s="30"/>
      <c r="I1469" s="179"/>
      <c r="J1469" s="180"/>
      <c r="L1469" s="30"/>
      <c r="M1469" s="30"/>
      <c r="N1469" s="30"/>
    </row>
    <row r="1470">
      <c r="B1470" s="30"/>
      <c r="C1470" s="30"/>
      <c r="F1470" s="30"/>
      <c r="G1470" s="30"/>
      <c r="H1470" s="30"/>
      <c r="I1470" s="179"/>
      <c r="J1470" s="180"/>
      <c r="L1470" s="30"/>
      <c r="M1470" s="30"/>
      <c r="N1470" s="30"/>
    </row>
    <row r="1471">
      <c r="B1471" s="30"/>
      <c r="C1471" s="30"/>
      <c r="F1471" s="30"/>
      <c r="G1471" s="30"/>
      <c r="H1471" s="30"/>
      <c r="I1471" s="179"/>
      <c r="J1471" s="180"/>
      <c r="L1471" s="30"/>
      <c r="M1471" s="30"/>
      <c r="N1471" s="30"/>
    </row>
    <row r="1472">
      <c r="B1472" s="30"/>
      <c r="C1472" s="30"/>
      <c r="F1472" s="30"/>
      <c r="G1472" s="30"/>
      <c r="H1472" s="30"/>
      <c r="I1472" s="179"/>
      <c r="J1472" s="180"/>
      <c r="L1472" s="30"/>
      <c r="M1472" s="30"/>
      <c r="N1472" s="30"/>
    </row>
    <row r="1473">
      <c r="B1473" s="30"/>
      <c r="C1473" s="30"/>
      <c r="F1473" s="30"/>
      <c r="G1473" s="30"/>
      <c r="H1473" s="30"/>
      <c r="I1473" s="179"/>
      <c r="J1473" s="180"/>
      <c r="L1473" s="30"/>
      <c r="M1473" s="30"/>
      <c r="N1473" s="30"/>
    </row>
    <row r="1474">
      <c r="B1474" s="30"/>
      <c r="C1474" s="30"/>
      <c r="F1474" s="30"/>
      <c r="G1474" s="30"/>
      <c r="H1474" s="30"/>
      <c r="I1474" s="179"/>
      <c r="J1474" s="180"/>
      <c r="L1474" s="30"/>
      <c r="M1474" s="30"/>
      <c r="N1474" s="30"/>
    </row>
    <row r="1475">
      <c r="B1475" s="30"/>
      <c r="C1475" s="30"/>
      <c r="F1475" s="30"/>
      <c r="G1475" s="30"/>
      <c r="H1475" s="30"/>
      <c r="I1475" s="179"/>
      <c r="J1475" s="180"/>
      <c r="L1475" s="30"/>
      <c r="M1475" s="30"/>
      <c r="N1475" s="30"/>
    </row>
    <row r="1476">
      <c r="B1476" s="30"/>
      <c r="C1476" s="30"/>
      <c r="F1476" s="30"/>
      <c r="G1476" s="30"/>
      <c r="H1476" s="30"/>
      <c r="I1476" s="179"/>
      <c r="J1476" s="180"/>
      <c r="L1476" s="30"/>
      <c r="M1476" s="30"/>
      <c r="N1476" s="30"/>
    </row>
    <row r="1477">
      <c r="B1477" s="30"/>
      <c r="C1477" s="30"/>
      <c r="F1477" s="30"/>
      <c r="G1477" s="30"/>
      <c r="H1477" s="30"/>
      <c r="I1477" s="179"/>
      <c r="J1477" s="180"/>
      <c r="L1477" s="30"/>
      <c r="M1477" s="30"/>
      <c r="N1477" s="30"/>
    </row>
    <row r="1478">
      <c r="B1478" s="30"/>
      <c r="C1478" s="30"/>
      <c r="F1478" s="30"/>
      <c r="G1478" s="30"/>
      <c r="H1478" s="30"/>
      <c r="I1478" s="179"/>
      <c r="J1478" s="180"/>
      <c r="L1478" s="30"/>
      <c r="M1478" s="30"/>
      <c r="N1478" s="30"/>
    </row>
    <row r="1479">
      <c r="B1479" s="30"/>
      <c r="C1479" s="30"/>
      <c r="F1479" s="30"/>
      <c r="G1479" s="30"/>
      <c r="H1479" s="30"/>
      <c r="I1479" s="179"/>
      <c r="J1479" s="180"/>
      <c r="L1479" s="30"/>
      <c r="M1479" s="30"/>
      <c r="N1479" s="30"/>
    </row>
    <row r="1480">
      <c r="B1480" s="30"/>
      <c r="C1480" s="30"/>
      <c r="F1480" s="30"/>
      <c r="G1480" s="30"/>
      <c r="H1480" s="30"/>
      <c r="I1480" s="179"/>
      <c r="J1480" s="180"/>
      <c r="L1480" s="30"/>
      <c r="M1480" s="30"/>
      <c r="N1480" s="30"/>
    </row>
    <row r="1481">
      <c r="B1481" s="30"/>
      <c r="C1481" s="30"/>
      <c r="F1481" s="30"/>
      <c r="G1481" s="30"/>
      <c r="H1481" s="30"/>
      <c r="I1481" s="179"/>
      <c r="J1481" s="180"/>
      <c r="L1481" s="30"/>
      <c r="M1481" s="30"/>
      <c r="N1481" s="30"/>
    </row>
    <row r="1482">
      <c r="B1482" s="30"/>
      <c r="C1482" s="30"/>
      <c r="F1482" s="30"/>
      <c r="G1482" s="30"/>
      <c r="H1482" s="30"/>
      <c r="I1482" s="179"/>
      <c r="J1482" s="180"/>
      <c r="L1482" s="30"/>
      <c r="M1482" s="30"/>
      <c r="N1482" s="30"/>
    </row>
    <row r="1483">
      <c r="B1483" s="30"/>
      <c r="C1483" s="30"/>
      <c r="F1483" s="30"/>
      <c r="G1483" s="30"/>
      <c r="H1483" s="30"/>
      <c r="I1483" s="179"/>
      <c r="J1483" s="180"/>
      <c r="L1483" s="30"/>
      <c r="M1483" s="30"/>
      <c r="N1483" s="30"/>
    </row>
    <row r="1484">
      <c r="B1484" s="30"/>
      <c r="C1484" s="30"/>
      <c r="F1484" s="30"/>
      <c r="G1484" s="30"/>
      <c r="H1484" s="30"/>
      <c r="I1484" s="179"/>
      <c r="J1484" s="180"/>
      <c r="L1484" s="30"/>
      <c r="M1484" s="30"/>
      <c r="N1484" s="30"/>
    </row>
    <row r="1485">
      <c r="B1485" s="30"/>
      <c r="C1485" s="30"/>
      <c r="F1485" s="30"/>
      <c r="G1485" s="30"/>
      <c r="H1485" s="30"/>
      <c r="I1485" s="179"/>
      <c r="J1485" s="180"/>
      <c r="L1485" s="30"/>
      <c r="M1485" s="30"/>
      <c r="N1485" s="30"/>
    </row>
    <row r="1486">
      <c r="B1486" s="30"/>
      <c r="C1486" s="30"/>
      <c r="F1486" s="30"/>
      <c r="G1486" s="30"/>
      <c r="H1486" s="30"/>
      <c r="I1486" s="179"/>
      <c r="J1486" s="180"/>
      <c r="L1486" s="30"/>
      <c r="M1486" s="30"/>
      <c r="N1486" s="30"/>
    </row>
    <row r="1487">
      <c r="B1487" s="30"/>
      <c r="C1487" s="30"/>
      <c r="F1487" s="30"/>
      <c r="G1487" s="30"/>
      <c r="H1487" s="30"/>
      <c r="I1487" s="179"/>
      <c r="J1487" s="180"/>
      <c r="L1487" s="30"/>
      <c r="M1487" s="30"/>
      <c r="N1487" s="30"/>
    </row>
    <row r="1488">
      <c r="B1488" s="30"/>
      <c r="C1488" s="30"/>
      <c r="F1488" s="30"/>
      <c r="G1488" s="30"/>
      <c r="H1488" s="30"/>
      <c r="I1488" s="179"/>
      <c r="J1488" s="180"/>
      <c r="L1488" s="30"/>
      <c r="M1488" s="30"/>
      <c r="N1488" s="30"/>
    </row>
    <row r="1489">
      <c r="B1489" s="30"/>
      <c r="C1489" s="30"/>
      <c r="F1489" s="30"/>
      <c r="G1489" s="30"/>
      <c r="H1489" s="30"/>
      <c r="I1489" s="179"/>
      <c r="J1489" s="180"/>
      <c r="L1489" s="30"/>
      <c r="M1489" s="30"/>
      <c r="N1489" s="30"/>
    </row>
    <row r="1490">
      <c r="B1490" s="30"/>
      <c r="C1490" s="30"/>
      <c r="F1490" s="30"/>
      <c r="G1490" s="30"/>
      <c r="H1490" s="30"/>
      <c r="I1490" s="179"/>
      <c r="J1490" s="180"/>
      <c r="L1490" s="30"/>
      <c r="M1490" s="30"/>
      <c r="N1490" s="30"/>
    </row>
    <row r="1491">
      <c r="B1491" s="30"/>
      <c r="C1491" s="30"/>
      <c r="F1491" s="30"/>
      <c r="G1491" s="30"/>
      <c r="H1491" s="30"/>
      <c r="I1491" s="179"/>
      <c r="J1491" s="180"/>
      <c r="L1491" s="30"/>
      <c r="M1491" s="30"/>
      <c r="N1491" s="30"/>
    </row>
    <row r="1492">
      <c r="B1492" s="30"/>
      <c r="C1492" s="30"/>
      <c r="F1492" s="30"/>
      <c r="G1492" s="30"/>
      <c r="H1492" s="30"/>
      <c r="I1492" s="179"/>
      <c r="J1492" s="180"/>
      <c r="L1492" s="30"/>
      <c r="M1492" s="30"/>
      <c r="N1492" s="30"/>
    </row>
    <row r="1493">
      <c r="B1493" s="30"/>
      <c r="C1493" s="30"/>
      <c r="F1493" s="30"/>
      <c r="G1493" s="30"/>
      <c r="H1493" s="30"/>
      <c r="I1493" s="179"/>
      <c r="J1493" s="180"/>
      <c r="L1493" s="30"/>
      <c r="M1493" s="30"/>
      <c r="N1493" s="30"/>
    </row>
    <row r="1494">
      <c r="B1494" s="30"/>
      <c r="C1494" s="30"/>
      <c r="F1494" s="30"/>
      <c r="G1494" s="30"/>
      <c r="H1494" s="30"/>
      <c r="I1494" s="179"/>
      <c r="J1494" s="180"/>
      <c r="L1494" s="30"/>
      <c r="M1494" s="30"/>
      <c r="N1494" s="30"/>
    </row>
    <row r="1495">
      <c r="B1495" s="30"/>
      <c r="C1495" s="30"/>
      <c r="F1495" s="30"/>
      <c r="G1495" s="30"/>
      <c r="H1495" s="30"/>
      <c r="I1495" s="179"/>
      <c r="J1495" s="180"/>
      <c r="L1495" s="30"/>
      <c r="M1495" s="30"/>
      <c r="N1495" s="30"/>
    </row>
    <row r="1496">
      <c r="B1496" s="30"/>
      <c r="C1496" s="30"/>
      <c r="F1496" s="30"/>
      <c r="G1496" s="30"/>
      <c r="H1496" s="30"/>
      <c r="I1496" s="179"/>
      <c r="J1496" s="180"/>
      <c r="L1496" s="30"/>
      <c r="M1496" s="30"/>
      <c r="N1496" s="30"/>
    </row>
    <row r="1497">
      <c r="B1497" s="30"/>
      <c r="C1497" s="30"/>
      <c r="F1497" s="30"/>
      <c r="G1497" s="30"/>
      <c r="H1497" s="30"/>
      <c r="I1497" s="179"/>
      <c r="J1497" s="180"/>
      <c r="L1497" s="30"/>
      <c r="M1497" s="30"/>
      <c r="N1497" s="30"/>
    </row>
    <row r="1498">
      <c r="B1498" s="30"/>
      <c r="C1498" s="30"/>
      <c r="F1498" s="30"/>
      <c r="G1498" s="30"/>
      <c r="H1498" s="30"/>
      <c r="I1498" s="179"/>
      <c r="J1498" s="180"/>
      <c r="L1498" s="30"/>
      <c r="M1498" s="30"/>
      <c r="N1498" s="30"/>
    </row>
    <row r="1499">
      <c r="B1499" s="30"/>
      <c r="C1499" s="30"/>
      <c r="F1499" s="30"/>
      <c r="G1499" s="30"/>
      <c r="H1499" s="30"/>
      <c r="I1499" s="179"/>
      <c r="J1499" s="180"/>
      <c r="L1499" s="30"/>
      <c r="M1499" s="30"/>
      <c r="N1499" s="30"/>
    </row>
    <row r="1500">
      <c r="B1500" s="30"/>
      <c r="C1500" s="30"/>
      <c r="F1500" s="30"/>
      <c r="G1500" s="30"/>
      <c r="H1500" s="30"/>
      <c r="I1500" s="179"/>
      <c r="J1500" s="180"/>
      <c r="L1500" s="30"/>
      <c r="M1500" s="30"/>
      <c r="N1500" s="30"/>
    </row>
    <row r="1501">
      <c r="B1501" s="30"/>
      <c r="C1501" s="30"/>
      <c r="F1501" s="30"/>
      <c r="G1501" s="30"/>
      <c r="H1501" s="30"/>
      <c r="I1501" s="179"/>
      <c r="J1501" s="180"/>
      <c r="L1501" s="30"/>
      <c r="M1501" s="30"/>
      <c r="N1501" s="30"/>
    </row>
    <row r="1502">
      <c r="B1502" s="30"/>
      <c r="C1502" s="30"/>
      <c r="F1502" s="30"/>
      <c r="G1502" s="30"/>
      <c r="H1502" s="30"/>
      <c r="I1502" s="179"/>
      <c r="J1502" s="180"/>
      <c r="L1502" s="30"/>
      <c r="M1502" s="30"/>
      <c r="N1502" s="30"/>
    </row>
    <row r="1503">
      <c r="B1503" s="30"/>
      <c r="C1503" s="30"/>
      <c r="F1503" s="30"/>
      <c r="G1503" s="30"/>
      <c r="H1503" s="30"/>
      <c r="I1503" s="179"/>
      <c r="J1503" s="180"/>
      <c r="L1503" s="30"/>
      <c r="M1503" s="30"/>
      <c r="N1503" s="30"/>
    </row>
    <row r="1504">
      <c r="B1504" s="30"/>
      <c r="C1504" s="30"/>
      <c r="F1504" s="30"/>
      <c r="G1504" s="30"/>
      <c r="H1504" s="30"/>
      <c r="I1504" s="179"/>
      <c r="J1504" s="180"/>
      <c r="L1504" s="30"/>
      <c r="M1504" s="30"/>
      <c r="N1504" s="30"/>
    </row>
    <row r="1505">
      <c r="B1505" s="30"/>
      <c r="C1505" s="30"/>
      <c r="F1505" s="30"/>
      <c r="G1505" s="30"/>
      <c r="H1505" s="30"/>
      <c r="I1505" s="179"/>
      <c r="J1505" s="180"/>
      <c r="L1505" s="30"/>
      <c r="M1505" s="30"/>
      <c r="N1505" s="30"/>
    </row>
    <row r="1506">
      <c r="B1506" s="30"/>
      <c r="C1506" s="30"/>
      <c r="F1506" s="30"/>
      <c r="G1506" s="30"/>
      <c r="H1506" s="30"/>
      <c r="I1506" s="179"/>
      <c r="J1506" s="180"/>
      <c r="L1506" s="30"/>
      <c r="M1506" s="30"/>
      <c r="N1506" s="30"/>
    </row>
    <row r="1507">
      <c r="B1507" s="30"/>
      <c r="C1507" s="30"/>
      <c r="F1507" s="30"/>
      <c r="G1507" s="30"/>
      <c r="H1507" s="30"/>
      <c r="I1507" s="179"/>
      <c r="J1507" s="180"/>
      <c r="L1507" s="30"/>
      <c r="M1507" s="30"/>
      <c r="N1507" s="30"/>
    </row>
    <row r="1508">
      <c r="B1508" s="30"/>
      <c r="C1508" s="30"/>
      <c r="F1508" s="30"/>
      <c r="G1508" s="30"/>
      <c r="H1508" s="30"/>
      <c r="I1508" s="179"/>
      <c r="J1508" s="180"/>
      <c r="L1508" s="30"/>
      <c r="M1508" s="30"/>
      <c r="N1508" s="30"/>
    </row>
    <row r="1509">
      <c r="B1509" s="30"/>
      <c r="C1509" s="30"/>
      <c r="F1509" s="30"/>
      <c r="G1509" s="30"/>
      <c r="H1509" s="30"/>
      <c r="I1509" s="179"/>
      <c r="J1509" s="180"/>
      <c r="L1509" s="30"/>
      <c r="M1509" s="30"/>
      <c r="N1509" s="30"/>
    </row>
    <row r="1510">
      <c r="B1510" s="30"/>
      <c r="C1510" s="30"/>
      <c r="F1510" s="30"/>
      <c r="G1510" s="30"/>
      <c r="H1510" s="30"/>
      <c r="I1510" s="179"/>
      <c r="J1510" s="180"/>
      <c r="L1510" s="30"/>
      <c r="M1510" s="30"/>
      <c r="N1510" s="30"/>
    </row>
    <row r="1511">
      <c r="B1511" s="30"/>
      <c r="C1511" s="30"/>
      <c r="F1511" s="30"/>
      <c r="G1511" s="30"/>
      <c r="H1511" s="30"/>
      <c r="I1511" s="179"/>
      <c r="J1511" s="180"/>
      <c r="L1511" s="30"/>
      <c r="M1511" s="30"/>
      <c r="N1511" s="30"/>
    </row>
    <row r="1512">
      <c r="B1512" s="30"/>
      <c r="C1512" s="30"/>
      <c r="F1512" s="30"/>
      <c r="G1512" s="30"/>
      <c r="H1512" s="30"/>
      <c r="I1512" s="179"/>
      <c r="J1512" s="180"/>
      <c r="L1512" s="30"/>
      <c r="M1512" s="30"/>
      <c r="N1512" s="30"/>
    </row>
    <row r="1513">
      <c r="B1513" s="30"/>
      <c r="C1513" s="30"/>
      <c r="F1513" s="30"/>
      <c r="G1513" s="30"/>
      <c r="H1513" s="30"/>
      <c r="I1513" s="179"/>
      <c r="J1513" s="180"/>
      <c r="L1513" s="30"/>
      <c r="M1513" s="30"/>
      <c r="N1513" s="30"/>
    </row>
    <row r="1514">
      <c r="B1514" s="30"/>
      <c r="C1514" s="30"/>
      <c r="F1514" s="30"/>
      <c r="G1514" s="30"/>
      <c r="H1514" s="30"/>
      <c r="I1514" s="179"/>
      <c r="J1514" s="180"/>
      <c r="L1514" s="30"/>
      <c r="M1514" s="30"/>
      <c r="N1514" s="30"/>
    </row>
    <row r="1515">
      <c r="B1515" s="30"/>
      <c r="C1515" s="30"/>
      <c r="F1515" s="30"/>
      <c r="G1515" s="30"/>
      <c r="H1515" s="30"/>
      <c r="I1515" s="179"/>
      <c r="J1515" s="180"/>
      <c r="L1515" s="30"/>
      <c r="M1515" s="30"/>
      <c r="N1515" s="30"/>
    </row>
    <row r="1516">
      <c r="B1516" s="30"/>
      <c r="C1516" s="30"/>
      <c r="F1516" s="30"/>
      <c r="G1516" s="30"/>
      <c r="H1516" s="30"/>
      <c r="I1516" s="179"/>
      <c r="J1516" s="180"/>
      <c r="L1516" s="30"/>
      <c r="M1516" s="30"/>
      <c r="N1516" s="30"/>
    </row>
    <row r="1517">
      <c r="B1517" s="30"/>
      <c r="C1517" s="30"/>
      <c r="F1517" s="30"/>
      <c r="G1517" s="30"/>
      <c r="H1517" s="30"/>
      <c r="I1517" s="179"/>
      <c r="J1517" s="180"/>
      <c r="L1517" s="30"/>
      <c r="M1517" s="30"/>
      <c r="N1517" s="30"/>
    </row>
    <row r="1518">
      <c r="B1518" s="30"/>
      <c r="C1518" s="30"/>
      <c r="F1518" s="30"/>
      <c r="G1518" s="30"/>
      <c r="H1518" s="30"/>
      <c r="I1518" s="179"/>
      <c r="J1518" s="180"/>
      <c r="L1518" s="30"/>
      <c r="M1518" s="30"/>
      <c r="N1518" s="30"/>
    </row>
    <row r="1519">
      <c r="B1519" s="30"/>
      <c r="C1519" s="30"/>
      <c r="F1519" s="30"/>
      <c r="G1519" s="30"/>
      <c r="H1519" s="30"/>
      <c r="I1519" s="179"/>
      <c r="J1519" s="180"/>
      <c r="L1519" s="30"/>
      <c r="M1519" s="30"/>
      <c r="N1519" s="30"/>
    </row>
    <row r="1520">
      <c r="B1520" s="30"/>
      <c r="C1520" s="30"/>
      <c r="F1520" s="30"/>
      <c r="G1520" s="30"/>
      <c r="H1520" s="30"/>
      <c r="I1520" s="179"/>
      <c r="J1520" s="180"/>
      <c r="L1520" s="30"/>
      <c r="M1520" s="30"/>
      <c r="N1520" s="30"/>
    </row>
    <row r="1521">
      <c r="B1521" s="30"/>
      <c r="C1521" s="30"/>
      <c r="F1521" s="30"/>
      <c r="G1521" s="30"/>
      <c r="H1521" s="30"/>
      <c r="I1521" s="179"/>
      <c r="J1521" s="180"/>
      <c r="L1521" s="30"/>
      <c r="M1521" s="30"/>
      <c r="N1521" s="30"/>
    </row>
    <row r="1522">
      <c r="B1522" s="30"/>
      <c r="C1522" s="30"/>
      <c r="F1522" s="30"/>
      <c r="G1522" s="30"/>
      <c r="H1522" s="30"/>
      <c r="I1522" s="179"/>
      <c r="J1522" s="180"/>
      <c r="L1522" s="30"/>
      <c r="M1522" s="30"/>
      <c r="N1522" s="30"/>
    </row>
    <row r="1523">
      <c r="B1523" s="30"/>
      <c r="C1523" s="30"/>
      <c r="F1523" s="30"/>
      <c r="G1523" s="30"/>
      <c r="H1523" s="30"/>
      <c r="I1523" s="179"/>
      <c r="J1523" s="180"/>
      <c r="L1523" s="30"/>
      <c r="M1523" s="30"/>
      <c r="N1523" s="30"/>
    </row>
    <row r="1524">
      <c r="B1524" s="30"/>
      <c r="C1524" s="30"/>
      <c r="F1524" s="30"/>
      <c r="G1524" s="30"/>
      <c r="H1524" s="30"/>
      <c r="I1524" s="179"/>
      <c r="J1524" s="180"/>
      <c r="L1524" s="30"/>
      <c r="M1524" s="30"/>
      <c r="N1524" s="30"/>
    </row>
    <row r="1525">
      <c r="B1525" s="30"/>
      <c r="C1525" s="30"/>
      <c r="F1525" s="30"/>
      <c r="G1525" s="30"/>
      <c r="H1525" s="30"/>
      <c r="I1525" s="179"/>
      <c r="J1525" s="180"/>
      <c r="L1525" s="30"/>
      <c r="M1525" s="30"/>
      <c r="N1525" s="30"/>
    </row>
    <row r="1526">
      <c r="B1526" s="30"/>
      <c r="C1526" s="30"/>
      <c r="F1526" s="30"/>
      <c r="G1526" s="30"/>
      <c r="H1526" s="30"/>
      <c r="I1526" s="179"/>
      <c r="J1526" s="180"/>
      <c r="L1526" s="30"/>
      <c r="M1526" s="30"/>
      <c r="N1526" s="30"/>
    </row>
    <row r="1527">
      <c r="B1527" s="30"/>
      <c r="C1527" s="30"/>
      <c r="F1527" s="30"/>
      <c r="G1527" s="30"/>
      <c r="H1527" s="30"/>
      <c r="I1527" s="179"/>
      <c r="J1527" s="180"/>
      <c r="L1527" s="30"/>
      <c r="M1527" s="30"/>
      <c r="N1527" s="30"/>
    </row>
    <row r="1528">
      <c r="B1528" s="30"/>
      <c r="C1528" s="30"/>
      <c r="F1528" s="30"/>
      <c r="G1528" s="30"/>
      <c r="H1528" s="30"/>
      <c r="I1528" s="179"/>
      <c r="J1528" s="180"/>
      <c r="L1528" s="30"/>
      <c r="M1528" s="30"/>
      <c r="N1528" s="30"/>
    </row>
    <row r="1529">
      <c r="B1529" s="30"/>
      <c r="C1529" s="30"/>
      <c r="F1529" s="30"/>
      <c r="G1529" s="30"/>
      <c r="H1529" s="30"/>
      <c r="I1529" s="179"/>
      <c r="J1529" s="180"/>
      <c r="L1529" s="30"/>
      <c r="M1529" s="30"/>
      <c r="N1529" s="30"/>
    </row>
    <row r="1530">
      <c r="B1530" s="30"/>
      <c r="C1530" s="30"/>
      <c r="F1530" s="30"/>
      <c r="G1530" s="30"/>
      <c r="H1530" s="30"/>
      <c r="I1530" s="179"/>
      <c r="J1530" s="180"/>
      <c r="L1530" s="30"/>
      <c r="M1530" s="30"/>
      <c r="N1530" s="30"/>
    </row>
    <row r="1531">
      <c r="B1531" s="30"/>
      <c r="C1531" s="30"/>
      <c r="F1531" s="30"/>
      <c r="G1531" s="30"/>
      <c r="H1531" s="30"/>
      <c r="I1531" s="179"/>
      <c r="J1531" s="180"/>
      <c r="L1531" s="30"/>
      <c r="M1531" s="30"/>
      <c r="N1531" s="30"/>
    </row>
    <row r="1532">
      <c r="B1532" s="30"/>
      <c r="C1532" s="30"/>
      <c r="F1532" s="30"/>
      <c r="G1532" s="30"/>
      <c r="H1532" s="30"/>
      <c r="I1532" s="179"/>
      <c r="J1532" s="180"/>
      <c r="L1532" s="30"/>
      <c r="M1532" s="30"/>
      <c r="N1532" s="30"/>
    </row>
    <row r="1533">
      <c r="B1533" s="30"/>
      <c r="C1533" s="30"/>
      <c r="F1533" s="30"/>
      <c r="G1533" s="30"/>
      <c r="H1533" s="30"/>
      <c r="I1533" s="179"/>
      <c r="J1533" s="180"/>
      <c r="L1533" s="30"/>
      <c r="M1533" s="30"/>
      <c r="N1533" s="30"/>
    </row>
    <row r="1534">
      <c r="B1534" s="30"/>
      <c r="C1534" s="30"/>
      <c r="F1534" s="30"/>
      <c r="G1534" s="30"/>
      <c r="H1534" s="30"/>
      <c r="I1534" s="179"/>
      <c r="J1534" s="180"/>
      <c r="L1534" s="30"/>
      <c r="M1534" s="30"/>
      <c r="N1534" s="30"/>
    </row>
    <row r="1535">
      <c r="B1535" s="30"/>
      <c r="C1535" s="30"/>
      <c r="F1535" s="30"/>
      <c r="G1535" s="30"/>
      <c r="H1535" s="30"/>
      <c r="I1535" s="179"/>
      <c r="J1535" s="180"/>
      <c r="L1535" s="30"/>
      <c r="M1535" s="30"/>
      <c r="N1535" s="30"/>
    </row>
    <row r="1536">
      <c r="B1536" s="30"/>
      <c r="C1536" s="30"/>
      <c r="F1536" s="30"/>
      <c r="G1536" s="30"/>
      <c r="H1536" s="30"/>
      <c r="I1536" s="179"/>
      <c r="J1536" s="180"/>
      <c r="L1536" s="30"/>
      <c r="M1536" s="30"/>
      <c r="N1536" s="30"/>
    </row>
    <row r="1537">
      <c r="B1537" s="30"/>
      <c r="C1537" s="30"/>
      <c r="F1537" s="30"/>
      <c r="G1537" s="30"/>
      <c r="H1537" s="30"/>
      <c r="I1537" s="179"/>
      <c r="J1537" s="180"/>
      <c r="L1537" s="30"/>
      <c r="M1537" s="30"/>
      <c r="N1537" s="30"/>
    </row>
    <row r="1538">
      <c r="B1538" s="30"/>
      <c r="C1538" s="30"/>
      <c r="F1538" s="30"/>
      <c r="G1538" s="30"/>
      <c r="H1538" s="30"/>
      <c r="I1538" s="179"/>
      <c r="J1538" s="180"/>
      <c r="L1538" s="30"/>
      <c r="M1538" s="30"/>
      <c r="N1538" s="30"/>
    </row>
    <row r="1539">
      <c r="B1539" s="30"/>
      <c r="C1539" s="30"/>
      <c r="F1539" s="30"/>
      <c r="G1539" s="30"/>
      <c r="H1539" s="30"/>
      <c r="I1539" s="179"/>
      <c r="J1539" s="180"/>
      <c r="L1539" s="30"/>
      <c r="M1539" s="30"/>
      <c r="N1539" s="30"/>
    </row>
    <row r="1540">
      <c r="B1540" s="30"/>
      <c r="C1540" s="30"/>
      <c r="F1540" s="30"/>
      <c r="G1540" s="30"/>
      <c r="H1540" s="30"/>
      <c r="I1540" s="179"/>
      <c r="J1540" s="180"/>
      <c r="L1540" s="30"/>
      <c r="M1540" s="30"/>
      <c r="N1540" s="30"/>
    </row>
    <row r="1541">
      <c r="B1541" s="30"/>
      <c r="C1541" s="30"/>
      <c r="F1541" s="30"/>
      <c r="G1541" s="30"/>
      <c r="H1541" s="30"/>
      <c r="I1541" s="179"/>
      <c r="J1541" s="180"/>
      <c r="L1541" s="30"/>
      <c r="M1541" s="30"/>
      <c r="N1541" s="30"/>
    </row>
    <row r="1542">
      <c r="B1542" s="30"/>
      <c r="C1542" s="30"/>
      <c r="F1542" s="30"/>
      <c r="G1542" s="30"/>
      <c r="H1542" s="30"/>
      <c r="I1542" s="179"/>
      <c r="J1542" s="180"/>
      <c r="L1542" s="30"/>
      <c r="M1542" s="30"/>
      <c r="N1542" s="30"/>
    </row>
    <row r="1543">
      <c r="B1543" s="30"/>
      <c r="C1543" s="30"/>
      <c r="F1543" s="30"/>
      <c r="G1543" s="30"/>
      <c r="H1543" s="30"/>
      <c r="I1543" s="179"/>
      <c r="J1543" s="180"/>
      <c r="L1543" s="30"/>
      <c r="M1543" s="30"/>
      <c r="N1543" s="30"/>
    </row>
    <row r="1544">
      <c r="B1544" s="30"/>
      <c r="C1544" s="30"/>
      <c r="F1544" s="30"/>
      <c r="G1544" s="30"/>
      <c r="H1544" s="30"/>
      <c r="I1544" s="179"/>
      <c r="J1544" s="180"/>
      <c r="L1544" s="30"/>
      <c r="M1544" s="30"/>
      <c r="N1544" s="30"/>
    </row>
    <row r="1545">
      <c r="B1545" s="30"/>
      <c r="C1545" s="30"/>
      <c r="F1545" s="30"/>
      <c r="G1545" s="30"/>
      <c r="H1545" s="30"/>
      <c r="I1545" s="179"/>
      <c r="J1545" s="180"/>
      <c r="L1545" s="30"/>
      <c r="M1545" s="30"/>
      <c r="N1545" s="30"/>
    </row>
    <row r="1546">
      <c r="B1546" s="30"/>
      <c r="C1546" s="30"/>
      <c r="F1546" s="30"/>
      <c r="G1546" s="30"/>
      <c r="H1546" s="30"/>
      <c r="I1546" s="179"/>
      <c r="J1546" s="180"/>
      <c r="L1546" s="30"/>
      <c r="M1546" s="30"/>
      <c r="N1546" s="30"/>
    </row>
    <row r="1547">
      <c r="B1547" s="30"/>
      <c r="C1547" s="30"/>
      <c r="F1547" s="30"/>
      <c r="G1547" s="30"/>
      <c r="H1547" s="30"/>
      <c r="I1547" s="179"/>
      <c r="J1547" s="180"/>
      <c r="L1547" s="30"/>
      <c r="M1547" s="30"/>
      <c r="N1547" s="30"/>
    </row>
    <row r="1548">
      <c r="B1548" s="30"/>
      <c r="C1548" s="30"/>
      <c r="F1548" s="30"/>
      <c r="G1548" s="30"/>
      <c r="H1548" s="30"/>
      <c r="I1548" s="179"/>
      <c r="J1548" s="180"/>
      <c r="L1548" s="30"/>
      <c r="M1548" s="30"/>
      <c r="N1548" s="30"/>
    </row>
    <row r="1549">
      <c r="B1549" s="30"/>
      <c r="C1549" s="30"/>
      <c r="F1549" s="30"/>
      <c r="G1549" s="30"/>
      <c r="H1549" s="30"/>
      <c r="I1549" s="179"/>
      <c r="J1549" s="180"/>
      <c r="L1549" s="30"/>
      <c r="M1549" s="30"/>
      <c r="N1549" s="30"/>
    </row>
    <row r="1550">
      <c r="B1550" s="30"/>
      <c r="C1550" s="30"/>
      <c r="F1550" s="30"/>
      <c r="G1550" s="30"/>
      <c r="H1550" s="30"/>
      <c r="I1550" s="179"/>
      <c r="J1550" s="180"/>
      <c r="L1550" s="30"/>
      <c r="M1550" s="30"/>
      <c r="N1550" s="30"/>
    </row>
    <row r="1551">
      <c r="B1551" s="30"/>
      <c r="C1551" s="30"/>
      <c r="F1551" s="30"/>
      <c r="G1551" s="30"/>
      <c r="H1551" s="30"/>
      <c r="I1551" s="179"/>
      <c r="J1551" s="180"/>
      <c r="L1551" s="30"/>
      <c r="M1551" s="30"/>
      <c r="N1551" s="30"/>
    </row>
    <row r="1552">
      <c r="B1552" s="30"/>
      <c r="C1552" s="30"/>
      <c r="F1552" s="30"/>
      <c r="G1552" s="30"/>
      <c r="H1552" s="30"/>
      <c r="I1552" s="179"/>
      <c r="J1552" s="180"/>
      <c r="L1552" s="30"/>
      <c r="M1552" s="30"/>
      <c r="N1552" s="30"/>
    </row>
    <row r="1553">
      <c r="B1553" s="30"/>
      <c r="C1553" s="30"/>
      <c r="F1553" s="30"/>
      <c r="G1553" s="30"/>
      <c r="H1553" s="30"/>
      <c r="I1553" s="179"/>
      <c r="J1553" s="180"/>
      <c r="L1553" s="30"/>
      <c r="M1553" s="30"/>
      <c r="N1553" s="30"/>
    </row>
    <row r="1554">
      <c r="B1554" s="30"/>
      <c r="C1554" s="30"/>
      <c r="F1554" s="30"/>
      <c r="G1554" s="30"/>
      <c r="H1554" s="30"/>
      <c r="I1554" s="179"/>
      <c r="J1554" s="180"/>
      <c r="L1554" s="30"/>
      <c r="M1554" s="30"/>
      <c r="N1554" s="30"/>
    </row>
    <row r="1555">
      <c r="B1555" s="30"/>
      <c r="C1555" s="30"/>
      <c r="F1555" s="30"/>
      <c r="G1555" s="30"/>
      <c r="H1555" s="30"/>
      <c r="I1555" s="179"/>
      <c r="J1555" s="180"/>
      <c r="L1555" s="30"/>
      <c r="M1555" s="30"/>
      <c r="N1555" s="30"/>
    </row>
    <row r="1556">
      <c r="B1556" s="30"/>
      <c r="C1556" s="30"/>
      <c r="F1556" s="30"/>
      <c r="G1556" s="30"/>
      <c r="H1556" s="30"/>
      <c r="I1556" s="179"/>
      <c r="J1556" s="180"/>
      <c r="L1556" s="30"/>
      <c r="M1556" s="30"/>
      <c r="N1556" s="30"/>
    </row>
    <row r="1557">
      <c r="B1557" s="30"/>
      <c r="C1557" s="30"/>
      <c r="F1557" s="30"/>
      <c r="G1557" s="30"/>
      <c r="H1557" s="30"/>
      <c r="I1557" s="179"/>
      <c r="J1557" s="180"/>
      <c r="L1557" s="30"/>
      <c r="M1557" s="30"/>
      <c r="N1557" s="30"/>
    </row>
    <row r="1558">
      <c r="B1558" s="30"/>
      <c r="C1558" s="30"/>
      <c r="F1558" s="30"/>
      <c r="G1558" s="30"/>
      <c r="H1558" s="30"/>
      <c r="I1558" s="179"/>
      <c r="J1558" s="180"/>
      <c r="L1558" s="30"/>
      <c r="M1558" s="30"/>
      <c r="N1558" s="30"/>
    </row>
    <row r="1559">
      <c r="B1559" s="30"/>
      <c r="C1559" s="30"/>
      <c r="F1559" s="30"/>
      <c r="G1559" s="30"/>
      <c r="H1559" s="30"/>
      <c r="I1559" s="179"/>
      <c r="J1559" s="180"/>
      <c r="L1559" s="30"/>
      <c r="M1559" s="30"/>
      <c r="N1559" s="30"/>
    </row>
    <row r="1560">
      <c r="B1560" s="30"/>
      <c r="C1560" s="30"/>
      <c r="F1560" s="30"/>
      <c r="G1560" s="30"/>
      <c r="H1560" s="30"/>
      <c r="I1560" s="179"/>
      <c r="J1560" s="180"/>
      <c r="L1560" s="30"/>
      <c r="M1560" s="30"/>
      <c r="N1560" s="30"/>
    </row>
    <row r="1561">
      <c r="B1561" s="30"/>
      <c r="C1561" s="30"/>
      <c r="F1561" s="30"/>
      <c r="G1561" s="30"/>
      <c r="H1561" s="30"/>
      <c r="I1561" s="179"/>
      <c r="J1561" s="180"/>
      <c r="L1561" s="30"/>
      <c r="M1561" s="30"/>
      <c r="N1561" s="30"/>
    </row>
    <row r="1562">
      <c r="B1562" s="30"/>
      <c r="C1562" s="30"/>
      <c r="F1562" s="30"/>
      <c r="G1562" s="30"/>
      <c r="H1562" s="30"/>
      <c r="I1562" s="179"/>
      <c r="J1562" s="180"/>
      <c r="L1562" s="30"/>
      <c r="M1562" s="30"/>
      <c r="N1562" s="30"/>
    </row>
    <row r="1563">
      <c r="B1563" s="30"/>
      <c r="C1563" s="30"/>
      <c r="F1563" s="30"/>
      <c r="G1563" s="30"/>
      <c r="H1563" s="30"/>
      <c r="I1563" s="179"/>
      <c r="J1563" s="180"/>
      <c r="L1563" s="30"/>
      <c r="M1563" s="30"/>
      <c r="N1563" s="30"/>
    </row>
    <row r="1564">
      <c r="B1564" s="30"/>
      <c r="C1564" s="30"/>
      <c r="F1564" s="30"/>
      <c r="G1564" s="30"/>
      <c r="H1564" s="30"/>
      <c r="I1564" s="179"/>
      <c r="J1564" s="180"/>
      <c r="L1564" s="30"/>
      <c r="M1564" s="30"/>
      <c r="N1564" s="30"/>
    </row>
    <row r="1565">
      <c r="B1565" s="30"/>
      <c r="C1565" s="30"/>
      <c r="F1565" s="30"/>
      <c r="G1565" s="30"/>
      <c r="H1565" s="30"/>
      <c r="I1565" s="179"/>
      <c r="J1565" s="180"/>
      <c r="L1565" s="30"/>
      <c r="M1565" s="30"/>
      <c r="N1565" s="30"/>
    </row>
    <row r="1566">
      <c r="B1566" s="30"/>
      <c r="C1566" s="30"/>
      <c r="F1566" s="30"/>
      <c r="G1566" s="30"/>
      <c r="H1566" s="30"/>
      <c r="I1566" s="179"/>
      <c r="J1566" s="180"/>
      <c r="L1566" s="30"/>
      <c r="M1566" s="30"/>
      <c r="N1566" s="30"/>
    </row>
    <row r="1567">
      <c r="B1567" s="30"/>
      <c r="C1567" s="30"/>
      <c r="F1567" s="30"/>
      <c r="G1567" s="30"/>
      <c r="H1567" s="30"/>
      <c r="I1567" s="179"/>
      <c r="J1567" s="180"/>
      <c r="L1567" s="30"/>
      <c r="M1567" s="30"/>
      <c r="N1567" s="30"/>
    </row>
    <row r="1568">
      <c r="B1568" s="30"/>
      <c r="C1568" s="30"/>
      <c r="F1568" s="30"/>
      <c r="G1568" s="30"/>
      <c r="H1568" s="30"/>
      <c r="I1568" s="179"/>
      <c r="J1568" s="180"/>
      <c r="L1568" s="30"/>
      <c r="M1568" s="30"/>
      <c r="N1568" s="30"/>
    </row>
    <row r="1569">
      <c r="B1569" s="30"/>
      <c r="C1569" s="30"/>
      <c r="F1569" s="30"/>
      <c r="G1569" s="30"/>
      <c r="H1569" s="30"/>
      <c r="I1569" s="179"/>
      <c r="J1569" s="180"/>
      <c r="L1569" s="30"/>
      <c r="M1569" s="30"/>
      <c r="N1569" s="30"/>
    </row>
    <row r="1570">
      <c r="B1570" s="30"/>
      <c r="C1570" s="30"/>
      <c r="F1570" s="30"/>
      <c r="G1570" s="30"/>
      <c r="H1570" s="30"/>
      <c r="I1570" s="179"/>
      <c r="J1570" s="180"/>
      <c r="L1570" s="30"/>
      <c r="M1570" s="30"/>
      <c r="N1570" s="30"/>
    </row>
    <row r="1571">
      <c r="B1571" s="30"/>
      <c r="C1571" s="30"/>
      <c r="F1571" s="30"/>
      <c r="G1571" s="30"/>
      <c r="H1571" s="30"/>
      <c r="I1571" s="179"/>
      <c r="J1571" s="180"/>
      <c r="L1571" s="30"/>
      <c r="M1571" s="30"/>
      <c r="N1571" s="30"/>
    </row>
    <row r="1572">
      <c r="B1572" s="30"/>
      <c r="C1572" s="30"/>
      <c r="F1572" s="30"/>
      <c r="G1572" s="30"/>
      <c r="H1572" s="30"/>
      <c r="I1572" s="179"/>
      <c r="J1572" s="180"/>
      <c r="L1572" s="30"/>
      <c r="M1572" s="30"/>
      <c r="N1572" s="30"/>
    </row>
    <row r="1573">
      <c r="B1573" s="30"/>
      <c r="C1573" s="30"/>
      <c r="F1573" s="30"/>
      <c r="G1573" s="30"/>
      <c r="H1573" s="30"/>
      <c r="I1573" s="179"/>
      <c r="J1573" s="180"/>
      <c r="L1573" s="30"/>
      <c r="M1573" s="30"/>
      <c r="N1573" s="30"/>
    </row>
    <row r="1574">
      <c r="B1574" s="30"/>
      <c r="C1574" s="30"/>
      <c r="F1574" s="30"/>
      <c r="G1574" s="30"/>
      <c r="H1574" s="30"/>
      <c r="I1574" s="179"/>
      <c r="J1574" s="180"/>
      <c r="L1574" s="30"/>
      <c r="M1574" s="30"/>
      <c r="N1574" s="30"/>
    </row>
    <row r="1575">
      <c r="B1575" s="30"/>
      <c r="C1575" s="30"/>
      <c r="F1575" s="30"/>
      <c r="G1575" s="30"/>
      <c r="H1575" s="30"/>
      <c r="I1575" s="179"/>
      <c r="J1575" s="180"/>
      <c r="L1575" s="30"/>
      <c r="M1575" s="30"/>
      <c r="N1575" s="30"/>
    </row>
    <row r="1576">
      <c r="B1576" s="30"/>
      <c r="C1576" s="30"/>
      <c r="F1576" s="30"/>
      <c r="G1576" s="30"/>
      <c r="H1576" s="30"/>
      <c r="I1576" s="179"/>
      <c r="J1576" s="180"/>
      <c r="L1576" s="30"/>
      <c r="M1576" s="30"/>
      <c r="N1576" s="30"/>
    </row>
    <row r="1577">
      <c r="B1577" s="30"/>
      <c r="C1577" s="30"/>
      <c r="F1577" s="30"/>
      <c r="G1577" s="30"/>
      <c r="H1577" s="30"/>
      <c r="I1577" s="179"/>
      <c r="J1577" s="180"/>
      <c r="L1577" s="30"/>
      <c r="M1577" s="30"/>
      <c r="N1577" s="30"/>
    </row>
    <row r="1578">
      <c r="B1578" s="30"/>
      <c r="C1578" s="30"/>
      <c r="F1578" s="30"/>
      <c r="G1578" s="30"/>
      <c r="H1578" s="30"/>
      <c r="I1578" s="179"/>
      <c r="J1578" s="180"/>
      <c r="L1578" s="30"/>
      <c r="M1578" s="30"/>
      <c r="N1578" s="30"/>
    </row>
    <row r="1579">
      <c r="B1579" s="30"/>
      <c r="C1579" s="30"/>
      <c r="F1579" s="30"/>
      <c r="G1579" s="30"/>
      <c r="H1579" s="30"/>
      <c r="I1579" s="179"/>
      <c r="J1579" s="180"/>
      <c r="L1579" s="30"/>
      <c r="M1579" s="30"/>
      <c r="N1579" s="30"/>
    </row>
    <row r="1580">
      <c r="B1580" s="30"/>
      <c r="C1580" s="30"/>
      <c r="F1580" s="30"/>
      <c r="G1580" s="30"/>
      <c r="H1580" s="30"/>
      <c r="I1580" s="179"/>
      <c r="J1580" s="180"/>
      <c r="L1580" s="30"/>
      <c r="M1580" s="30"/>
      <c r="N1580" s="30"/>
    </row>
    <row r="1581">
      <c r="B1581" s="30"/>
      <c r="C1581" s="30"/>
      <c r="F1581" s="30"/>
      <c r="G1581" s="30"/>
      <c r="H1581" s="30"/>
      <c r="I1581" s="179"/>
      <c r="J1581" s="180"/>
      <c r="L1581" s="30"/>
      <c r="M1581" s="30"/>
      <c r="N1581" s="30"/>
    </row>
    <row r="1582">
      <c r="B1582" s="30"/>
      <c r="C1582" s="30"/>
      <c r="F1582" s="30"/>
      <c r="G1582" s="30"/>
      <c r="H1582" s="30"/>
      <c r="I1582" s="179"/>
      <c r="J1582" s="180"/>
      <c r="L1582" s="30"/>
      <c r="M1582" s="30"/>
      <c r="N1582" s="30"/>
    </row>
    <row r="1583">
      <c r="B1583" s="30"/>
      <c r="C1583" s="30"/>
      <c r="F1583" s="30"/>
      <c r="G1583" s="30"/>
      <c r="H1583" s="30"/>
      <c r="I1583" s="179"/>
      <c r="J1583" s="180"/>
      <c r="L1583" s="30"/>
      <c r="M1583" s="30"/>
      <c r="N1583" s="30"/>
    </row>
    <row r="1584">
      <c r="B1584" s="30"/>
      <c r="C1584" s="30"/>
      <c r="F1584" s="30"/>
      <c r="G1584" s="30"/>
      <c r="H1584" s="30"/>
      <c r="I1584" s="179"/>
      <c r="J1584" s="180"/>
      <c r="L1584" s="30"/>
      <c r="M1584" s="30"/>
      <c r="N1584" s="30"/>
    </row>
    <row r="1585">
      <c r="B1585" s="30"/>
      <c r="C1585" s="30"/>
      <c r="F1585" s="30"/>
      <c r="G1585" s="30"/>
      <c r="H1585" s="30"/>
      <c r="I1585" s="179"/>
      <c r="J1585" s="180"/>
      <c r="L1585" s="30"/>
      <c r="M1585" s="30"/>
      <c r="N1585" s="30"/>
    </row>
    <row r="1586">
      <c r="B1586" s="30"/>
      <c r="C1586" s="30"/>
      <c r="F1586" s="30"/>
      <c r="G1586" s="30"/>
      <c r="H1586" s="30"/>
      <c r="I1586" s="179"/>
      <c r="J1586" s="180"/>
      <c r="L1586" s="30"/>
      <c r="M1586" s="30"/>
      <c r="N1586" s="30"/>
    </row>
    <row r="1587">
      <c r="B1587" s="30"/>
      <c r="C1587" s="30"/>
      <c r="F1587" s="30"/>
      <c r="G1587" s="30"/>
      <c r="H1587" s="30"/>
      <c r="I1587" s="179"/>
      <c r="J1587" s="180"/>
      <c r="L1587" s="30"/>
      <c r="M1587" s="30"/>
      <c r="N1587" s="30"/>
    </row>
    <row r="1588">
      <c r="B1588" s="30"/>
      <c r="C1588" s="30"/>
      <c r="F1588" s="30"/>
      <c r="G1588" s="30"/>
      <c r="H1588" s="30"/>
      <c r="I1588" s="179"/>
      <c r="J1588" s="180"/>
      <c r="L1588" s="30"/>
      <c r="M1588" s="30"/>
      <c r="N1588" s="30"/>
    </row>
    <row r="1589">
      <c r="B1589" s="30"/>
      <c r="C1589" s="30"/>
      <c r="F1589" s="30"/>
      <c r="G1589" s="30"/>
      <c r="H1589" s="30"/>
      <c r="I1589" s="179"/>
      <c r="J1589" s="180"/>
      <c r="L1589" s="30"/>
      <c r="M1589" s="30"/>
      <c r="N1589" s="30"/>
    </row>
    <row r="1590">
      <c r="B1590" s="30"/>
      <c r="C1590" s="30"/>
      <c r="F1590" s="30"/>
      <c r="G1590" s="30"/>
      <c r="H1590" s="30"/>
      <c r="I1590" s="179"/>
      <c r="J1590" s="180"/>
      <c r="L1590" s="30"/>
      <c r="M1590" s="30"/>
      <c r="N1590" s="30"/>
    </row>
    <row r="1591">
      <c r="B1591" s="30"/>
      <c r="C1591" s="30"/>
      <c r="F1591" s="30"/>
      <c r="G1591" s="30"/>
      <c r="H1591" s="30"/>
      <c r="I1591" s="179"/>
      <c r="J1591" s="180"/>
      <c r="L1591" s="30"/>
      <c r="M1591" s="30"/>
      <c r="N1591" s="30"/>
    </row>
    <row r="1592">
      <c r="B1592" s="30"/>
      <c r="C1592" s="30"/>
      <c r="F1592" s="30"/>
      <c r="G1592" s="30"/>
      <c r="H1592" s="30"/>
      <c r="I1592" s="179"/>
      <c r="J1592" s="180"/>
      <c r="L1592" s="30"/>
      <c r="M1592" s="30"/>
      <c r="N1592" s="30"/>
    </row>
    <row r="1593">
      <c r="B1593" s="30"/>
      <c r="C1593" s="30"/>
      <c r="F1593" s="30"/>
      <c r="G1593" s="30"/>
      <c r="H1593" s="30"/>
      <c r="I1593" s="179"/>
      <c r="J1593" s="180"/>
      <c r="L1593" s="30"/>
      <c r="M1593" s="30"/>
      <c r="N1593" s="30"/>
    </row>
    <row r="1594">
      <c r="B1594" s="30"/>
      <c r="C1594" s="30"/>
      <c r="F1594" s="30"/>
      <c r="G1594" s="30"/>
      <c r="H1594" s="30"/>
      <c r="I1594" s="179"/>
      <c r="J1594" s="180"/>
      <c r="L1594" s="30"/>
      <c r="M1594" s="30"/>
      <c r="N1594" s="30"/>
    </row>
    <row r="1595">
      <c r="B1595" s="30"/>
      <c r="C1595" s="30"/>
      <c r="F1595" s="30"/>
      <c r="G1595" s="30"/>
      <c r="H1595" s="30"/>
      <c r="I1595" s="179"/>
      <c r="J1595" s="180"/>
      <c r="L1595" s="30"/>
      <c r="M1595" s="30"/>
      <c r="N1595" s="30"/>
    </row>
    <row r="1596">
      <c r="B1596" s="30"/>
      <c r="C1596" s="30"/>
      <c r="F1596" s="30"/>
      <c r="G1596" s="30"/>
      <c r="H1596" s="30"/>
      <c r="I1596" s="179"/>
      <c r="J1596" s="180"/>
      <c r="L1596" s="30"/>
      <c r="M1596" s="30"/>
      <c r="N1596" s="30"/>
    </row>
    <row r="1597">
      <c r="B1597" s="30"/>
      <c r="C1597" s="30"/>
      <c r="F1597" s="30"/>
      <c r="G1597" s="30"/>
      <c r="H1597" s="30"/>
      <c r="I1597" s="179"/>
      <c r="J1597" s="180"/>
      <c r="L1597" s="30"/>
      <c r="M1597" s="30"/>
      <c r="N1597" s="30"/>
    </row>
    <row r="1598">
      <c r="B1598" s="30"/>
      <c r="C1598" s="30"/>
      <c r="F1598" s="30"/>
      <c r="G1598" s="30"/>
      <c r="H1598" s="30"/>
      <c r="I1598" s="179"/>
      <c r="J1598" s="180"/>
      <c r="L1598" s="30"/>
      <c r="M1598" s="30"/>
      <c r="N1598" s="30"/>
    </row>
    <row r="1599">
      <c r="B1599" s="30"/>
      <c r="C1599" s="30"/>
      <c r="F1599" s="30"/>
      <c r="G1599" s="30"/>
      <c r="H1599" s="30"/>
      <c r="I1599" s="179"/>
      <c r="J1599" s="180"/>
      <c r="L1599" s="30"/>
      <c r="M1599" s="30"/>
      <c r="N1599" s="30"/>
    </row>
    <row r="1600">
      <c r="B1600" s="30"/>
      <c r="C1600" s="30"/>
      <c r="F1600" s="30"/>
      <c r="G1600" s="30"/>
      <c r="H1600" s="30"/>
      <c r="I1600" s="179"/>
      <c r="J1600" s="180"/>
      <c r="L1600" s="30"/>
      <c r="M1600" s="30"/>
      <c r="N1600" s="30"/>
    </row>
    <row r="1601">
      <c r="B1601" s="30"/>
      <c r="C1601" s="30"/>
      <c r="F1601" s="30"/>
      <c r="G1601" s="30"/>
      <c r="H1601" s="30"/>
      <c r="I1601" s="179"/>
      <c r="J1601" s="180"/>
      <c r="L1601" s="30"/>
      <c r="M1601" s="30"/>
      <c r="N1601" s="30"/>
    </row>
    <row r="1602">
      <c r="B1602" s="30"/>
      <c r="C1602" s="30"/>
      <c r="F1602" s="30"/>
      <c r="G1602" s="30"/>
      <c r="H1602" s="30"/>
      <c r="I1602" s="179"/>
      <c r="J1602" s="180"/>
      <c r="L1602" s="30"/>
      <c r="M1602" s="30"/>
      <c r="N1602" s="30"/>
    </row>
    <row r="1603">
      <c r="B1603" s="30"/>
      <c r="C1603" s="30"/>
      <c r="F1603" s="30"/>
      <c r="G1603" s="30"/>
      <c r="H1603" s="30"/>
      <c r="I1603" s="179"/>
      <c r="J1603" s="180"/>
      <c r="L1603" s="30"/>
      <c r="M1603" s="30"/>
      <c r="N1603" s="30"/>
    </row>
    <row r="1604">
      <c r="B1604" s="30"/>
      <c r="C1604" s="30"/>
      <c r="F1604" s="30"/>
      <c r="G1604" s="30"/>
      <c r="H1604" s="30"/>
      <c r="I1604" s="179"/>
      <c r="J1604" s="180"/>
      <c r="L1604" s="30"/>
      <c r="M1604" s="30"/>
      <c r="N1604" s="30"/>
    </row>
    <row r="1605">
      <c r="B1605" s="30"/>
      <c r="C1605" s="30"/>
      <c r="F1605" s="30"/>
      <c r="G1605" s="30"/>
      <c r="H1605" s="30"/>
      <c r="I1605" s="179"/>
      <c r="J1605" s="180"/>
      <c r="L1605" s="30"/>
      <c r="M1605" s="30"/>
      <c r="N1605" s="30"/>
    </row>
    <row r="1606">
      <c r="B1606" s="30"/>
      <c r="C1606" s="30"/>
      <c r="F1606" s="30"/>
      <c r="G1606" s="30"/>
      <c r="H1606" s="30"/>
      <c r="I1606" s="179"/>
      <c r="J1606" s="180"/>
      <c r="L1606" s="30"/>
      <c r="M1606" s="30"/>
      <c r="N1606" s="30"/>
    </row>
    <row r="1607">
      <c r="B1607" s="30"/>
      <c r="C1607" s="30"/>
      <c r="F1607" s="30"/>
      <c r="G1607" s="30"/>
      <c r="H1607" s="30"/>
      <c r="I1607" s="179"/>
      <c r="J1607" s="180"/>
      <c r="L1607" s="30"/>
      <c r="M1607" s="30"/>
      <c r="N1607" s="30"/>
    </row>
    <row r="1608">
      <c r="B1608" s="30"/>
      <c r="C1608" s="30"/>
      <c r="F1608" s="30"/>
      <c r="G1608" s="30"/>
      <c r="H1608" s="30"/>
      <c r="I1608" s="179"/>
      <c r="J1608" s="180"/>
      <c r="L1608" s="30"/>
      <c r="M1608" s="30"/>
      <c r="N1608" s="30"/>
    </row>
    <row r="1609">
      <c r="B1609" s="30"/>
      <c r="C1609" s="30"/>
      <c r="F1609" s="30"/>
      <c r="G1609" s="30"/>
      <c r="H1609" s="30"/>
      <c r="I1609" s="179"/>
      <c r="J1609" s="180"/>
      <c r="L1609" s="30"/>
      <c r="M1609" s="30"/>
      <c r="N1609" s="30"/>
    </row>
    <row r="1610">
      <c r="B1610" s="30"/>
      <c r="C1610" s="30"/>
      <c r="F1610" s="30"/>
      <c r="G1610" s="30"/>
      <c r="H1610" s="30"/>
      <c r="I1610" s="179"/>
      <c r="J1610" s="180"/>
      <c r="L1610" s="30"/>
      <c r="M1610" s="30"/>
      <c r="N1610" s="30"/>
    </row>
    <row r="1611">
      <c r="B1611" s="30"/>
      <c r="C1611" s="30"/>
      <c r="F1611" s="30"/>
      <c r="G1611" s="30"/>
      <c r="H1611" s="30"/>
      <c r="I1611" s="179"/>
      <c r="J1611" s="180"/>
      <c r="L1611" s="30"/>
      <c r="M1611" s="30"/>
      <c r="N1611" s="30"/>
    </row>
    <row r="1612">
      <c r="B1612" s="30"/>
      <c r="C1612" s="30"/>
      <c r="F1612" s="30"/>
      <c r="G1612" s="30"/>
      <c r="H1612" s="30"/>
      <c r="I1612" s="179"/>
      <c r="J1612" s="180"/>
      <c r="L1612" s="30"/>
      <c r="M1612" s="30"/>
      <c r="N1612" s="30"/>
    </row>
    <row r="1613">
      <c r="B1613" s="30"/>
      <c r="C1613" s="30"/>
      <c r="F1613" s="30"/>
      <c r="G1613" s="30"/>
      <c r="H1613" s="30"/>
      <c r="I1613" s="179"/>
      <c r="J1613" s="180"/>
      <c r="L1613" s="30"/>
      <c r="M1613" s="30"/>
      <c r="N1613" s="30"/>
    </row>
    <row r="1614">
      <c r="B1614" s="30"/>
      <c r="C1614" s="30"/>
      <c r="F1614" s="30"/>
      <c r="G1614" s="30"/>
      <c r="H1614" s="30"/>
      <c r="I1614" s="179"/>
      <c r="J1614" s="180"/>
      <c r="L1614" s="30"/>
      <c r="M1614" s="30"/>
      <c r="N1614" s="30"/>
    </row>
    <row r="1615">
      <c r="B1615" s="30"/>
      <c r="C1615" s="30"/>
      <c r="F1615" s="30"/>
      <c r="G1615" s="30"/>
      <c r="H1615" s="30"/>
      <c r="I1615" s="179"/>
      <c r="J1615" s="180"/>
      <c r="L1615" s="30"/>
      <c r="M1615" s="30"/>
      <c r="N1615" s="30"/>
    </row>
    <row r="1616">
      <c r="B1616" s="30"/>
      <c r="C1616" s="30"/>
      <c r="F1616" s="30"/>
      <c r="G1616" s="30"/>
      <c r="H1616" s="30"/>
      <c r="I1616" s="179"/>
      <c r="J1616" s="180"/>
      <c r="L1616" s="30"/>
      <c r="M1616" s="30"/>
      <c r="N1616" s="30"/>
    </row>
    <row r="1617">
      <c r="B1617" s="30"/>
      <c r="C1617" s="30"/>
      <c r="F1617" s="30"/>
      <c r="G1617" s="30"/>
      <c r="H1617" s="30"/>
      <c r="I1617" s="179"/>
      <c r="J1617" s="180"/>
      <c r="L1617" s="30"/>
      <c r="M1617" s="30"/>
      <c r="N1617" s="30"/>
    </row>
    <row r="1618">
      <c r="B1618" s="30"/>
      <c r="C1618" s="30"/>
      <c r="F1618" s="30"/>
      <c r="G1618" s="30"/>
      <c r="H1618" s="30"/>
      <c r="I1618" s="179"/>
      <c r="J1618" s="180"/>
      <c r="L1618" s="30"/>
      <c r="M1618" s="30"/>
      <c r="N1618" s="30"/>
    </row>
    <row r="1619">
      <c r="B1619" s="30"/>
      <c r="C1619" s="30"/>
      <c r="F1619" s="30"/>
      <c r="G1619" s="30"/>
      <c r="H1619" s="30"/>
      <c r="I1619" s="179"/>
      <c r="J1619" s="180"/>
      <c r="L1619" s="30"/>
      <c r="M1619" s="30"/>
      <c r="N1619" s="30"/>
    </row>
    <row r="1620">
      <c r="B1620" s="30"/>
      <c r="C1620" s="30"/>
      <c r="F1620" s="30"/>
      <c r="G1620" s="30"/>
      <c r="H1620" s="30"/>
      <c r="I1620" s="179"/>
      <c r="J1620" s="180"/>
      <c r="L1620" s="30"/>
      <c r="M1620" s="30"/>
      <c r="N1620" s="30"/>
    </row>
    <row r="1621">
      <c r="B1621" s="30"/>
      <c r="C1621" s="30"/>
      <c r="F1621" s="30"/>
      <c r="G1621" s="30"/>
      <c r="H1621" s="30"/>
      <c r="I1621" s="179"/>
      <c r="J1621" s="180"/>
      <c r="L1621" s="30"/>
      <c r="M1621" s="30"/>
      <c r="N1621" s="30"/>
    </row>
    <row r="1622">
      <c r="B1622" s="30"/>
      <c r="C1622" s="30"/>
      <c r="F1622" s="30"/>
      <c r="G1622" s="30"/>
      <c r="H1622" s="30"/>
      <c r="I1622" s="179"/>
      <c r="J1622" s="180"/>
      <c r="L1622" s="30"/>
      <c r="M1622" s="30"/>
      <c r="N1622" s="30"/>
    </row>
    <row r="1623">
      <c r="B1623" s="30"/>
      <c r="C1623" s="30"/>
      <c r="F1623" s="30"/>
      <c r="G1623" s="30"/>
      <c r="H1623" s="30"/>
      <c r="I1623" s="179"/>
      <c r="J1623" s="180"/>
      <c r="L1623" s="30"/>
      <c r="M1623" s="30"/>
      <c r="N1623" s="30"/>
    </row>
    <row r="1624">
      <c r="B1624" s="30"/>
      <c r="C1624" s="30"/>
      <c r="F1624" s="30"/>
      <c r="G1624" s="30"/>
      <c r="H1624" s="30"/>
      <c r="I1624" s="179"/>
      <c r="J1624" s="180"/>
      <c r="L1624" s="30"/>
      <c r="M1624" s="30"/>
      <c r="N1624" s="30"/>
    </row>
    <row r="1625">
      <c r="B1625" s="30"/>
      <c r="C1625" s="30"/>
      <c r="F1625" s="30"/>
      <c r="G1625" s="30"/>
      <c r="H1625" s="30"/>
      <c r="I1625" s="179"/>
      <c r="J1625" s="180"/>
      <c r="L1625" s="30"/>
      <c r="M1625" s="30"/>
      <c r="N1625" s="30"/>
    </row>
    <row r="1626">
      <c r="B1626" s="30"/>
      <c r="C1626" s="30"/>
      <c r="F1626" s="30"/>
      <c r="G1626" s="30"/>
      <c r="H1626" s="30"/>
      <c r="I1626" s="179"/>
      <c r="J1626" s="180"/>
      <c r="L1626" s="30"/>
      <c r="M1626" s="30"/>
      <c r="N1626" s="30"/>
    </row>
    <row r="1627">
      <c r="B1627" s="30"/>
      <c r="C1627" s="30"/>
      <c r="F1627" s="30"/>
      <c r="G1627" s="30"/>
      <c r="H1627" s="30"/>
      <c r="I1627" s="179"/>
      <c r="J1627" s="180"/>
      <c r="L1627" s="30"/>
      <c r="M1627" s="30"/>
      <c r="N1627" s="30"/>
    </row>
    <row r="1628">
      <c r="B1628" s="30"/>
      <c r="C1628" s="30"/>
      <c r="F1628" s="30"/>
      <c r="G1628" s="30"/>
      <c r="H1628" s="30"/>
      <c r="I1628" s="179"/>
      <c r="J1628" s="180"/>
      <c r="L1628" s="30"/>
      <c r="M1628" s="30"/>
      <c r="N1628" s="30"/>
    </row>
    <row r="1629">
      <c r="B1629" s="30"/>
      <c r="C1629" s="30"/>
      <c r="F1629" s="30"/>
      <c r="G1629" s="30"/>
      <c r="H1629" s="30"/>
      <c r="I1629" s="179"/>
      <c r="J1629" s="180"/>
      <c r="L1629" s="30"/>
      <c r="M1629" s="30"/>
      <c r="N1629" s="30"/>
    </row>
    <row r="1630">
      <c r="B1630" s="30"/>
      <c r="C1630" s="30"/>
      <c r="F1630" s="30"/>
      <c r="G1630" s="30"/>
      <c r="H1630" s="30"/>
      <c r="I1630" s="179"/>
      <c r="J1630" s="180"/>
      <c r="L1630" s="30"/>
      <c r="M1630" s="30"/>
      <c r="N1630" s="30"/>
    </row>
    <row r="1631">
      <c r="B1631" s="30"/>
      <c r="C1631" s="30"/>
      <c r="F1631" s="30"/>
      <c r="G1631" s="30"/>
      <c r="H1631" s="30"/>
      <c r="I1631" s="179"/>
      <c r="J1631" s="180"/>
      <c r="L1631" s="30"/>
      <c r="M1631" s="30"/>
      <c r="N1631" s="30"/>
    </row>
    <row r="1632">
      <c r="B1632" s="30"/>
      <c r="C1632" s="30"/>
      <c r="F1632" s="30"/>
      <c r="G1632" s="30"/>
      <c r="H1632" s="30"/>
      <c r="I1632" s="179"/>
      <c r="J1632" s="180"/>
      <c r="L1632" s="30"/>
      <c r="M1632" s="30"/>
      <c r="N1632" s="30"/>
    </row>
    <row r="1633">
      <c r="B1633" s="30"/>
      <c r="C1633" s="30"/>
      <c r="F1633" s="30"/>
      <c r="G1633" s="30"/>
      <c r="H1633" s="30"/>
      <c r="I1633" s="179"/>
      <c r="J1633" s="180"/>
      <c r="L1633" s="30"/>
      <c r="M1633" s="30"/>
      <c r="N1633" s="30"/>
    </row>
    <row r="1634">
      <c r="B1634" s="30"/>
      <c r="C1634" s="30"/>
      <c r="F1634" s="30"/>
      <c r="G1634" s="30"/>
      <c r="H1634" s="30"/>
      <c r="I1634" s="179"/>
      <c r="J1634" s="180"/>
      <c r="L1634" s="30"/>
      <c r="M1634" s="30"/>
      <c r="N1634" s="30"/>
    </row>
    <row r="1635">
      <c r="B1635" s="30"/>
      <c r="C1635" s="30"/>
      <c r="F1635" s="30"/>
      <c r="G1635" s="30"/>
      <c r="H1635" s="30"/>
      <c r="I1635" s="179"/>
      <c r="J1635" s="180"/>
      <c r="L1635" s="30"/>
      <c r="M1635" s="30"/>
      <c r="N1635" s="30"/>
    </row>
    <row r="1636">
      <c r="B1636" s="30"/>
      <c r="C1636" s="30"/>
      <c r="F1636" s="30"/>
      <c r="G1636" s="30"/>
      <c r="H1636" s="30"/>
      <c r="I1636" s="179"/>
      <c r="J1636" s="180"/>
      <c r="L1636" s="30"/>
      <c r="M1636" s="30"/>
      <c r="N1636" s="30"/>
    </row>
    <row r="1637">
      <c r="B1637" s="30"/>
      <c r="C1637" s="30"/>
      <c r="F1637" s="30"/>
      <c r="G1637" s="30"/>
      <c r="H1637" s="30"/>
      <c r="I1637" s="179"/>
      <c r="J1637" s="180"/>
      <c r="L1637" s="30"/>
      <c r="M1637" s="30"/>
      <c r="N1637" s="30"/>
    </row>
    <row r="1638">
      <c r="B1638" s="30"/>
      <c r="C1638" s="30"/>
      <c r="F1638" s="30"/>
      <c r="G1638" s="30"/>
      <c r="H1638" s="30"/>
      <c r="I1638" s="179"/>
      <c r="J1638" s="180"/>
      <c r="L1638" s="30"/>
      <c r="M1638" s="30"/>
      <c r="N1638" s="30"/>
    </row>
    <row r="1639">
      <c r="B1639" s="30"/>
      <c r="C1639" s="30"/>
      <c r="F1639" s="30"/>
      <c r="G1639" s="30"/>
      <c r="H1639" s="30"/>
      <c r="I1639" s="179"/>
      <c r="J1639" s="180"/>
      <c r="L1639" s="30"/>
      <c r="M1639" s="30"/>
      <c r="N1639" s="30"/>
    </row>
    <row r="1640">
      <c r="B1640" s="30"/>
      <c r="C1640" s="30"/>
      <c r="F1640" s="30"/>
      <c r="G1640" s="30"/>
      <c r="H1640" s="30"/>
      <c r="I1640" s="179"/>
      <c r="J1640" s="180"/>
      <c r="L1640" s="30"/>
      <c r="M1640" s="30"/>
      <c r="N1640" s="30"/>
    </row>
    <row r="1641">
      <c r="B1641" s="30"/>
      <c r="C1641" s="30"/>
      <c r="F1641" s="30"/>
      <c r="G1641" s="30"/>
      <c r="H1641" s="30"/>
      <c r="I1641" s="179"/>
      <c r="J1641" s="180"/>
      <c r="L1641" s="30"/>
      <c r="M1641" s="30"/>
      <c r="N1641" s="30"/>
    </row>
    <row r="1642">
      <c r="B1642" s="30"/>
      <c r="C1642" s="30"/>
      <c r="F1642" s="30"/>
      <c r="G1642" s="30"/>
      <c r="H1642" s="30"/>
      <c r="I1642" s="179"/>
      <c r="J1642" s="180"/>
      <c r="L1642" s="30"/>
      <c r="M1642" s="30"/>
      <c r="N1642" s="30"/>
    </row>
    <row r="1643">
      <c r="B1643" s="30"/>
      <c r="C1643" s="30"/>
      <c r="F1643" s="30"/>
      <c r="G1643" s="30"/>
      <c r="H1643" s="30"/>
      <c r="I1643" s="179"/>
      <c r="J1643" s="180"/>
      <c r="L1643" s="30"/>
      <c r="M1643" s="30"/>
      <c r="N1643" s="30"/>
    </row>
    <row r="1644">
      <c r="B1644" s="30"/>
      <c r="C1644" s="30"/>
      <c r="F1644" s="30"/>
      <c r="G1644" s="30"/>
      <c r="H1644" s="30"/>
      <c r="I1644" s="179"/>
      <c r="J1644" s="180"/>
      <c r="L1644" s="30"/>
      <c r="M1644" s="30"/>
      <c r="N1644" s="30"/>
    </row>
    <row r="1645">
      <c r="B1645" s="30"/>
      <c r="C1645" s="30"/>
      <c r="F1645" s="30"/>
      <c r="G1645" s="30"/>
      <c r="H1645" s="30"/>
      <c r="I1645" s="179"/>
      <c r="J1645" s="180"/>
      <c r="L1645" s="30"/>
      <c r="M1645" s="30"/>
      <c r="N1645" s="30"/>
    </row>
    <row r="1646">
      <c r="B1646" s="30"/>
      <c r="C1646" s="30"/>
      <c r="F1646" s="30"/>
      <c r="G1646" s="30"/>
      <c r="H1646" s="30"/>
      <c r="I1646" s="179"/>
      <c r="J1646" s="180"/>
      <c r="L1646" s="30"/>
      <c r="M1646" s="30"/>
      <c r="N1646" s="30"/>
    </row>
    <row r="1647">
      <c r="B1647" s="30"/>
      <c r="C1647" s="30"/>
      <c r="F1647" s="30"/>
      <c r="G1647" s="30"/>
      <c r="H1647" s="30"/>
      <c r="I1647" s="179"/>
      <c r="J1647" s="180"/>
      <c r="L1647" s="30"/>
      <c r="M1647" s="30"/>
      <c r="N1647" s="30"/>
    </row>
    <row r="1648">
      <c r="B1648" s="30"/>
      <c r="C1648" s="30"/>
      <c r="F1648" s="30"/>
      <c r="G1648" s="30"/>
      <c r="H1648" s="30"/>
      <c r="I1648" s="179"/>
      <c r="J1648" s="180"/>
      <c r="L1648" s="30"/>
      <c r="M1648" s="30"/>
      <c r="N1648" s="30"/>
    </row>
    <row r="1649">
      <c r="B1649" s="30"/>
      <c r="C1649" s="30"/>
      <c r="F1649" s="30"/>
      <c r="G1649" s="30"/>
      <c r="H1649" s="30"/>
      <c r="I1649" s="179"/>
      <c r="J1649" s="180"/>
      <c r="L1649" s="30"/>
      <c r="M1649" s="30"/>
      <c r="N1649" s="30"/>
    </row>
    <row r="1650">
      <c r="B1650" s="30"/>
      <c r="C1650" s="30"/>
      <c r="F1650" s="30"/>
      <c r="G1650" s="30"/>
      <c r="H1650" s="30"/>
      <c r="I1650" s="179"/>
      <c r="J1650" s="180"/>
      <c r="L1650" s="30"/>
      <c r="M1650" s="30"/>
      <c r="N1650" s="30"/>
    </row>
    <row r="1651">
      <c r="B1651" s="30"/>
      <c r="C1651" s="30"/>
      <c r="F1651" s="30"/>
      <c r="G1651" s="30"/>
      <c r="H1651" s="30"/>
      <c r="I1651" s="179"/>
      <c r="J1651" s="180"/>
      <c r="L1651" s="30"/>
      <c r="M1651" s="30"/>
      <c r="N1651" s="30"/>
    </row>
    <row r="1652">
      <c r="B1652" s="30"/>
      <c r="C1652" s="30"/>
      <c r="F1652" s="30"/>
      <c r="G1652" s="30"/>
      <c r="H1652" s="30"/>
      <c r="I1652" s="179"/>
      <c r="J1652" s="180"/>
      <c r="L1652" s="30"/>
      <c r="M1652" s="30"/>
      <c r="N1652" s="30"/>
    </row>
    <row r="1653">
      <c r="B1653" s="30"/>
      <c r="C1653" s="30"/>
      <c r="F1653" s="30"/>
      <c r="G1653" s="30"/>
      <c r="H1653" s="30"/>
      <c r="I1653" s="179"/>
      <c r="J1653" s="180"/>
      <c r="L1653" s="30"/>
      <c r="M1653" s="30"/>
      <c r="N1653" s="30"/>
    </row>
    <row r="1654">
      <c r="B1654" s="30"/>
      <c r="C1654" s="30"/>
      <c r="F1654" s="30"/>
      <c r="G1654" s="30"/>
      <c r="H1654" s="30"/>
      <c r="I1654" s="179"/>
      <c r="J1654" s="180"/>
      <c r="L1654" s="30"/>
      <c r="M1654" s="30"/>
      <c r="N1654" s="30"/>
    </row>
    <row r="1655">
      <c r="B1655" s="30"/>
      <c r="C1655" s="30"/>
      <c r="F1655" s="30"/>
      <c r="G1655" s="30"/>
      <c r="H1655" s="30"/>
      <c r="I1655" s="179"/>
      <c r="J1655" s="180"/>
      <c r="L1655" s="30"/>
      <c r="M1655" s="30"/>
      <c r="N1655" s="30"/>
    </row>
    <row r="1656">
      <c r="B1656" s="30"/>
      <c r="C1656" s="30"/>
      <c r="F1656" s="30"/>
      <c r="G1656" s="30"/>
      <c r="H1656" s="30"/>
      <c r="I1656" s="179"/>
      <c r="J1656" s="180"/>
      <c r="L1656" s="30"/>
      <c r="M1656" s="30"/>
      <c r="N1656" s="30"/>
    </row>
    <row r="1657">
      <c r="B1657" s="30"/>
      <c r="C1657" s="30"/>
      <c r="F1657" s="30"/>
      <c r="G1657" s="30"/>
      <c r="H1657" s="30"/>
      <c r="I1657" s="179"/>
      <c r="J1657" s="180"/>
      <c r="L1657" s="30"/>
      <c r="M1657" s="30"/>
      <c r="N1657" s="30"/>
    </row>
    <row r="1658">
      <c r="B1658" s="30"/>
      <c r="C1658" s="30"/>
      <c r="F1658" s="30"/>
      <c r="G1658" s="30"/>
      <c r="H1658" s="30"/>
      <c r="I1658" s="179"/>
      <c r="J1658" s="180"/>
      <c r="L1658" s="30"/>
      <c r="M1658" s="30"/>
      <c r="N1658" s="30"/>
    </row>
    <row r="1659">
      <c r="B1659" s="30"/>
      <c r="C1659" s="30"/>
      <c r="F1659" s="30"/>
      <c r="G1659" s="30"/>
      <c r="H1659" s="30"/>
      <c r="I1659" s="179"/>
      <c r="J1659" s="180"/>
      <c r="L1659" s="30"/>
      <c r="M1659" s="30"/>
      <c r="N1659" s="30"/>
    </row>
    <row r="1660">
      <c r="B1660" s="30"/>
      <c r="C1660" s="30"/>
      <c r="F1660" s="30"/>
      <c r="G1660" s="30"/>
      <c r="H1660" s="30"/>
      <c r="I1660" s="179"/>
      <c r="J1660" s="180"/>
      <c r="L1660" s="30"/>
      <c r="M1660" s="30"/>
      <c r="N1660" s="30"/>
    </row>
    <row r="1661">
      <c r="B1661" s="30"/>
      <c r="C1661" s="30"/>
      <c r="F1661" s="30"/>
      <c r="G1661" s="30"/>
      <c r="H1661" s="30"/>
      <c r="I1661" s="179"/>
      <c r="J1661" s="180"/>
      <c r="L1661" s="30"/>
      <c r="M1661" s="30"/>
      <c r="N1661" s="30"/>
    </row>
    <row r="1662">
      <c r="B1662" s="30"/>
      <c r="C1662" s="30"/>
      <c r="F1662" s="30"/>
      <c r="G1662" s="30"/>
      <c r="H1662" s="30"/>
      <c r="I1662" s="179"/>
      <c r="J1662" s="180"/>
      <c r="L1662" s="30"/>
      <c r="M1662" s="30"/>
      <c r="N1662" s="30"/>
    </row>
    <row r="1663">
      <c r="B1663" s="30"/>
      <c r="C1663" s="30"/>
      <c r="F1663" s="30"/>
      <c r="G1663" s="30"/>
      <c r="H1663" s="30"/>
      <c r="I1663" s="179"/>
      <c r="J1663" s="180"/>
      <c r="L1663" s="30"/>
      <c r="M1663" s="30"/>
      <c r="N1663" s="30"/>
    </row>
    <row r="1664">
      <c r="B1664" s="30"/>
      <c r="C1664" s="30"/>
      <c r="F1664" s="30"/>
      <c r="G1664" s="30"/>
      <c r="H1664" s="30"/>
      <c r="I1664" s="179"/>
      <c r="J1664" s="180"/>
      <c r="L1664" s="30"/>
      <c r="M1664" s="30"/>
      <c r="N1664" s="30"/>
    </row>
    <row r="1665">
      <c r="B1665" s="30"/>
      <c r="C1665" s="30"/>
      <c r="F1665" s="30"/>
      <c r="G1665" s="30"/>
      <c r="H1665" s="30"/>
      <c r="I1665" s="179"/>
      <c r="J1665" s="180"/>
      <c r="L1665" s="30"/>
      <c r="M1665" s="30"/>
      <c r="N1665" s="30"/>
    </row>
    <row r="1666">
      <c r="B1666" s="30"/>
      <c r="C1666" s="30"/>
      <c r="F1666" s="30"/>
      <c r="G1666" s="30"/>
      <c r="H1666" s="30"/>
      <c r="I1666" s="179"/>
      <c r="J1666" s="180"/>
      <c r="L1666" s="30"/>
      <c r="M1666" s="30"/>
      <c r="N1666" s="30"/>
    </row>
    <row r="1667">
      <c r="B1667" s="30"/>
      <c r="C1667" s="30"/>
      <c r="F1667" s="30"/>
      <c r="G1667" s="30"/>
      <c r="H1667" s="30"/>
      <c r="I1667" s="179"/>
      <c r="J1667" s="180"/>
      <c r="L1667" s="30"/>
      <c r="M1667" s="30"/>
      <c r="N1667" s="30"/>
    </row>
    <row r="1668">
      <c r="B1668" s="30"/>
      <c r="C1668" s="30"/>
      <c r="F1668" s="30"/>
      <c r="G1668" s="30"/>
      <c r="H1668" s="30"/>
      <c r="I1668" s="179"/>
      <c r="J1668" s="180"/>
      <c r="L1668" s="30"/>
      <c r="M1668" s="30"/>
      <c r="N1668" s="30"/>
    </row>
    <row r="1669">
      <c r="B1669" s="30"/>
      <c r="C1669" s="30"/>
      <c r="F1669" s="30"/>
      <c r="G1669" s="30"/>
      <c r="H1669" s="30"/>
      <c r="I1669" s="179"/>
      <c r="J1669" s="180"/>
      <c r="L1669" s="30"/>
      <c r="M1669" s="30"/>
      <c r="N1669" s="30"/>
    </row>
    <row r="1670">
      <c r="B1670" s="30"/>
      <c r="C1670" s="30"/>
      <c r="F1670" s="30"/>
      <c r="G1670" s="30"/>
      <c r="H1670" s="30"/>
      <c r="I1670" s="179"/>
      <c r="J1670" s="180"/>
      <c r="L1670" s="30"/>
      <c r="M1670" s="30"/>
      <c r="N1670" s="30"/>
    </row>
    <row r="1671">
      <c r="B1671" s="30"/>
      <c r="C1671" s="30"/>
      <c r="F1671" s="30"/>
      <c r="G1671" s="30"/>
      <c r="H1671" s="30"/>
      <c r="I1671" s="179"/>
      <c r="J1671" s="180"/>
      <c r="L1671" s="30"/>
      <c r="M1671" s="30"/>
      <c r="N1671" s="30"/>
    </row>
    <row r="1672">
      <c r="B1672" s="30"/>
      <c r="C1672" s="30"/>
      <c r="F1672" s="30"/>
      <c r="G1672" s="30"/>
      <c r="H1672" s="30"/>
      <c r="I1672" s="179"/>
      <c r="J1672" s="180"/>
      <c r="L1672" s="30"/>
      <c r="M1672" s="30"/>
      <c r="N1672" s="30"/>
    </row>
    <row r="1673">
      <c r="B1673" s="30"/>
      <c r="C1673" s="30"/>
      <c r="F1673" s="30"/>
      <c r="G1673" s="30"/>
      <c r="H1673" s="30"/>
      <c r="I1673" s="179"/>
      <c r="J1673" s="180"/>
      <c r="L1673" s="30"/>
      <c r="M1673" s="30"/>
      <c r="N1673" s="30"/>
    </row>
    <row r="1674">
      <c r="B1674" s="30"/>
      <c r="C1674" s="30"/>
      <c r="F1674" s="30"/>
      <c r="G1674" s="30"/>
      <c r="H1674" s="30"/>
      <c r="I1674" s="179"/>
      <c r="J1674" s="180"/>
      <c r="L1674" s="30"/>
      <c r="M1674" s="30"/>
      <c r="N1674" s="30"/>
    </row>
    <row r="1675">
      <c r="B1675" s="30"/>
      <c r="C1675" s="30"/>
      <c r="F1675" s="30"/>
      <c r="G1675" s="30"/>
      <c r="H1675" s="30"/>
      <c r="I1675" s="179"/>
      <c r="J1675" s="180"/>
      <c r="L1675" s="30"/>
      <c r="M1675" s="30"/>
      <c r="N1675" s="30"/>
    </row>
    <row r="1676">
      <c r="B1676" s="30"/>
      <c r="C1676" s="30"/>
      <c r="F1676" s="30"/>
      <c r="G1676" s="30"/>
      <c r="H1676" s="30"/>
      <c r="I1676" s="179"/>
      <c r="J1676" s="180"/>
      <c r="L1676" s="30"/>
      <c r="M1676" s="30"/>
      <c r="N1676" s="30"/>
    </row>
    <row r="1677">
      <c r="B1677" s="30"/>
      <c r="C1677" s="30"/>
      <c r="F1677" s="30"/>
      <c r="G1677" s="30"/>
      <c r="H1677" s="30"/>
      <c r="I1677" s="179"/>
      <c r="J1677" s="180"/>
      <c r="L1677" s="30"/>
      <c r="M1677" s="30"/>
      <c r="N1677" s="30"/>
    </row>
    <row r="1678">
      <c r="B1678" s="30"/>
      <c r="C1678" s="30"/>
      <c r="F1678" s="30"/>
      <c r="G1678" s="30"/>
      <c r="H1678" s="30"/>
      <c r="I1678" s="179"/>
      <c r="J1678" s="180"/>
      <c r="L1678" s="30"/>
      <c r="M1678" s="30"/>
      <c r="N1678" s="30"/>
    </row>
    <row r="1679">
      <c r="B1679" s="30"/>
      <c r="C1679" s="30"/>
      <c r="F1679" s="30"/>
      <c r="G1679" s="30"/>
      <c r="H1679" s="30"/>
      <c r="I1679" s="179"/>
      <c r="J1679" s="180"/>
      <c r="L1679" s="30"/>
      <c r="M1679" s="30"/>
      <c r="N1679" s="30"/>
    </row>
    <row r="1680">
      <c r="B1680" s="30"/>
      <c r="C1680" s="30"/>
      <c r="F1680" s="30"/>
      <c r="G1680" s="30"/>
      <c r="H1680" s="30"/>
      <c r="I1680" s="179"/>
      <c r="J1680" s="180"/>
      <c r="L1680" s="30"/>
      <c r="M1680" s="30"/>
      <c r="N1680" s="30"/>
    </row>
    <row r="1681">
      <c r="B1681" s="30"/>
      <c r="C1681" s="30"/>
      <c r="F1681" s="30"/>
      <c r="G1681" s="30"/>
      <c r="H1681" s="30"/>
      <c r="I1681" s="179"/>
      <c r="J1681" s="180"/>
      <c r="L1681" s="30"/>
      <c r="M1681" s="30"/>
      <c r="N1681" s="30"/>
    </row>
    <row r="1682">
      <c r="B1682" s="30"/>
      <c r="C1682" s="30"/>
      <c r="F1682" s="30"/>
      <c r="G1682" s="30"/>
      <c r="H1682" s="30"/>
      <c r="I1682" s="179"/>
      <c r="J1682" s="180"/>
      <c r="L1682" s="30"/>
      <c r="M1682" s="30"/>
      <c r="N1682" s="30"/>
    </row>
    <row r="1683">
      <c r="B1683" s="30"/>
      <c r="C1683" s="30"/>
      <c r="F1683" s="30"/>
      <c r="G1683" s="30"/>
      <c r="H1683" s="30"/>
      <c r="I1683" s="179"/>
      <c r="J1683" s="180"/>
      <c r="L1683" s="30"/>
      <c r="M1683" s="30"/>
      <c r="N1683" s="30"/>
    </row>
    <row r="1684">
      <c r="B1684" s="30"/>
      <c r="C1684" s="30"/>
      <c r="F1684" s="30"/>
      <c r="G1684" s="30"/>
      <c r="H1684" s="30"/>
      <c r="I1684" s="179"/>
      <c r="J1684" s="180"/>
      <c r="L1684" s="30"/>
      <c r="M1684" s="30"/>
      <c r="N1684" s="30"/>
    </row>
    <row r="1685">
      <c r="B1685" s="30"/>
      <c r="C1685" s="30"/>
      <c r="F1685" s="30"/>
      <c r="G1685" s="30"/>
      <c r="H1685" s="30"/>
      <c r="I1685" s="179"/>
      <c r="J1685" s="180"/>
      <c r="L1685" s="30"/>
      <c r="M1685" s="30"/>
      <c r="N1685" s="30"/>
    </row>
    <row r="1686">
      <c r="B1686" s="30"/>
      <c r="C1686" s="30"/>
      <c r="F1686" s="30"/>
      <c r="G1686" s="30"/>
      <c r="H1686" s="30"/>
      <c r="I1686" s="179"/>
      <c r="J1686" s="180"/>
      <c r="L1686" s="30"/>
      <c r="M1686" s="30"/>
      <c r="N1686" s="30"/>
    </row>
    <row r="1687">
      <c r="B1687" s="30"/>
      <c r="C1687" s="30"/>
      <c r="F1687" s="30"/>
      <c r="G1687" s="30"/>
      <c r="H1687" s="30"/>
      <c r="I1687" s="179"/>
      <c r="J1687" s="180"/>
      <c r="L1687" s="30"/>
      <c r="M1687" s="30"/>
      <c r="N1687" s="30"/>
    </row>
    <row r="1688">
      <c r="B1688" s="30"/>
      <c r="C1688" s="30"/>
      <c r="F1688" s="30"/>
      <c r="G1688" s="30"/>
      <c r="H1688" s="30"/>
      <c r="I1688" s="179"/>
      <c r="J1688" s="180"/>
      <c r="L1688" s="30"/>
      <c r="M1688" s="30"/>
      <c r="N1688" s="30"/>
    </row>
    <row r="1689">
      <c r="B1689" s="30"/>
      <c r="C1689" s="30"/>
      <c r="F1689" s="30"/>
      <c r="G1689" s="30"/>
      <c r="H1689" s="30"/>
      <c r="I1689" s="179"/>
      <c r="J1689" s="180"/>
      <c r="L1689" s="30"/>
      <c r="M1689" s="30"/>
      <c r="N1689" s="30"/>
    </row>
    <row r="1690">
      <c r="B1690" s="30"/>
      <c r="C1690" s="30"/>
      <c r="F1690" s="30"/>
      <c r="G1690" s="30"/>
      <c r="H1690" s="30"/>
      <c r="I1690" s="179"/>
      <c r="J1690" s="180"/>
      <c r="L1690" s="30"/>
      <c r="M1690" s="30"/>
      <c r="N1690" s="30"/>
    </row>
    <row r="1691">
      <c r="B1691" s="30"/>
      <c r="C1691" s="30"/>
      <c r="F1691" s="30"/>
      <c r="G1691" s="30"/>
      <c r="H1691" s="30"/>
      <c r="I1691" s="179"/>
      <c r="J1691" s="180"/>
      <c r="L1691" s="30"/>
      <c r="M1691" s="30"/>
      <c r="N1691" s="30"/>
    </row>
    <row r="1692">
      <c r="B1692" s="30"/>
      <c r="C1692" s="30"/>
      <c r="F1692" s="30"/>
      <c r="G1692" s="30"/>
      <c r="H1692" s="30"/>
      <c r="I1692" s="179"/>
      <c r="J1692" s="180"/>
      <c r="L1692" s="30"/>
      <c r="M1692" s="30"/>
      <c r="N1692" s="30"/>
    </row>
    <row r="1693">
      <c r="B1693" s="30"/>
      <c r="C1693" s="30"/>
      <c r="F1693" s="30"/>
      <c r="G1693" s="30"/>
      <c r="H1693" s="30"/>
      <c r="I1693" s="179"/>
      <c r="J1693" s="180"/>
      <c r="L1693" s="30"/>
      <c r="M1693" s="30"/>
      <c r="N1693" s="30"/>
    </row>
    <row r="1694">
      <c r="B1694" s="30"/>
      <c r="C1694" s="30"/>
      <c r="F1694" s="30"/>
      <c r="G1694" s="30"/>
      <c r="H1694" s="30"/>
      <c r="I1694" s="179"/>
      <c r="J1694" s="180"/>
      <c r="L1694" s="30"/>
      <c r="M1694" s="30"/>
      <c r="N1694" s="30"/>
    </row>
    <row r="1695">
      <c r="B1695" s="30"/>
      <c r="C1695" s="30"/>
      <c r="F1695" s="30"/>
      <c r="G1695" s="30"/>
      <c r="H1695" s="30"/>
      <c r="I1695" s="179"/>
      <c r="J1695" s="180"/>
      <c r="L1695" s="30"/>
      <c r="M1695" s="30"/>
      <c r="N1695" s="30"/>
    </row>
    <row r="1696">
      <c r="B1696" s="30"/>
      <c r="C1696" s="30"/>
      <c r="F1696" s="30"/>
      <c r="G1696" s="30"/>
      <c r="H1696" s="30"/>
      <c r="I1696" s="179"/>
      <c r="J1696" s="180"/>
      <c r="L1696" s="30"/>
      <c r="M1696" s="30"/>
      <c r="N1696" s="30"/>
    </row>
    <row r="1697">
      <c r="B1697" s="30"/>
      <c r="C1697" s="30"/>
      <c r="F1697" s="30"/>
      <c r="G1697" s="30"/>
      <c r="H1697" s="30"/>
      <c r="I1697" s="179"/>
      <c r="J1697" s="180"/>
      <c r="L1697" s="30"/>
      <c r="M1697" s="30"/>
      <c r="N1697" s="30"/>
    </row>
    <row r="1698">
      <c r="B1698" s="30"/>
      <c r="C1698" s="30"/>
      <c r="F1698" s="30"/>
      <c r="G1698" s="30"/>
      <c r="H1698" s="30"/>
      <c r="I1698" s="179"/>
      <c r="J1698" s="180"/>
      <c r="L1698" s="30"/>
      <c r="M1698" s="30"/>
      <c r="N1698" s="30"/>
    </row>
    <row r="1699">
      <c r="B1699" s="30"/>
      <c r="C1699" s="30"/>
      <c r="F1699" s="30"/>
      <c r="G1699" s="30"/>
      <c r="H1699" s="30"/>
      <c r="I1699" s="179"/>
      <c r="J1699" s="180"/>
      <c r="L1699" s="30"/>
      <c r="M1699" s="30"/>
      <c r="N1699" s="30"/>
    </row>
    <row r="1700">
      <c r="B1700" s="30"/>
      <c r="C1700" s="30"/>
      <c r="F1700" s="30"/>
      <c r="G1700" s="30"/>
      <c r="H1700" s="30"/>
      <c r="I1700" s="179"/>
      <c r="J1700" s="180"/>
      <c r="L1700" s="30"/>
      <c r="M1700" s="30"/>
      <c r="N1700" s="30"/>
    </row>
    <row r="1701">
      <c r="B1701" s="30"/>
      <c r="C1701" s="30"/>
      <c r="F1701" s="30"/>
      <c r="G1701" s="30"/>
      <c r="H1701" s="30"/>
      <c r="I1701" s="179"/>
      <c r="J1701" s="180"/>
      <c r="L1701" s="30"/>
      <c r="M1701" s="30"/>
      <c r="N1701" s="30"/>
    </row>
    <row r="1702">
      <c r="B1702" s="30"/>
      <c r="C1702" s="30"/>
      <c r="F1702" s="30"/>
      <c r="G1702" s="30"/>
      <c r="H1702" s="30"/>
      <c r="I1702" s="179"/>
      <c r="J1702" s="180"/>
      <c r="L1702" s="30"/>
      <c r="M1702" s="30"/>
      <c r="N1702" s="30"/>
    </row>
    <row r="1703">
      <c r="B1703" s="30"/>
      <c r="C1703" s="30"/>
      <c r="F1703" s="30"/>
      <c r="G1703" s="30"/>
      <c r="H1703" s="30"/>
      <c r="I1703" s="179"/>
      <c r="J1703" s="180"/>
      <c r="L1703" s="30"/>
      <c r="M1703" s="30"/>
      <c r="N1703" s="30"/>
    </row>
    <row r="1704">
      <c r="B1704" s="30"/>
      <c r="C1704" s="30"/>
      <c r="F1704" s="30"/>
      <c r="G1704" s="30"/>
      <c r="H1704" s="30"/>
      <c r="I1704" s="179"/>
      <c r="J1704" s="180"/>
      <c r="L1704" s="30"/>
      <c r="M1704" s="30"/>
      <c r="N1704" s="30"/>
    </row>
    <row r="1705">
      <c r="B1705" s="30"/>
      <c r="C1705" s="30"/>
      <c r="F1705" s="30"/>
      <c r="G1705" s="30"/>
      <c r="H1705" s="30"/>
      <c r="I1705" s="179"/>
      <c r="J1705" s="180"/>
      <c r="L1705" s="30"/>
      <c r="M1705" s="30"/>
      <c r="N1705" s="30"/>
    </row>
    <row r="1706">
      <c r="B1706" s="30"/>
      <c r="C1706" s="30"/>
      <c r="F1706" s="30"/>
      <c r="G1706" s="30"/>
      <c r="H1706" s="30"/>
      <c r="I1706" s="179"/>
      <c r="J1706" s="180"/>
      <c r="L1706" s="30"/>
      <c r="M1706" s="30"/>
      <c r="N1706" s="30"/>
    </row>
    <row r="1707">
      <c r="B1707" s="30"/>
      <c r="C1707" s="30"/>
      <c r="F1707" s="30"/>
      <c r="G1707" s="30"/>
      <c r="H1707" s="30"/>
      <c r="I1707" s="179"/>
      <c r="J1707" s="180"/>
      <c r="L1707" s="30"/>
      <c r="M1707" s="30"/>
      <c r="N1707" s="30"/>
    </row>
    <row r="1708">
      <c r="B1708" s="30"/>
      <c r="C1708" s="30"/>
      <c r="F1708" s="30"/>
      <c r="G1708" s="30"/>
      <c r="H1708" s="30"/>
      <c r="I1708" s="179"/>
      <c r="J1708" s="180"/>
      <c r="L1708" s="30"/>
      <c r="M1708" s="30"/>
      <c r="N1708" s="30"/>
    </row>
    <row r="1709">
      <c r="B1709" s="30"/>
      <c r="C1709" s="30"/>
      <c r="F1709" s="30"/>
      <c r="G1709" s="30"/>
      <c r="H1709" s="30"/>
      <c r="I1709" s="179"/>
      <c r="J1709" s="180"/>
      <c r="L1709" s="30"/>
      <c r="M1709" s="30"/>
      <c r="N1709" s="30"/>
    </row>
    <row r="1710">
      <c r="B1710" s="30"/>
      <c r="C1710" s="30"/>
      <c r="F1710" s="30"/>
      <c r="G1710" s="30"/>
      <c r="H1710" s="30"/>
      <c r="I1710" s="179"/>
      <c r="J1710" s="180"/>
      <c r="L1710" s="30"/>
      <c r="M1710" s="30"/>
      <c r="N1710" s="30"/>
    </row>
    <row r="1711">
      <c r="B1711" s="30"/>
      <c r="C1711" s="30"/>
      <c r="F1711" s="30"/>
      <c r="G1711" s="30"/>
      <c r="H1711" s="30"/>
      <c r="I1711" s="179"/>
      <c r="J1711" s="180"/>
      <c r="L1711" s="30"/>
      <c r="M1711" s="30"/>
      <c r="N1711" s="30"/>
    </row>
    <row r="1712">
      <c r="B1712" s="30"/>
      <c r="C1712" s="30"/>
      <c r="F1712" s="30"/>
      <c r="G1712" s="30"/>
      <c r="H1712" s="30"/>
      <c r="I1712" s="179"/>
      <c r="J1712" s="180"/>
      <c r="L1712" s="30"/>
      <c r="M1712" s="30"/>
      <c r="N1712" s="30"/>
    </row>
    <row r="1713">
      <c r="B1713" s="30"/>
      <c r="C1713" s="30"/>
      <c r="F1713" s="30"/>
      <c r="G1713" s="30"/>
      <c r="H1713" s="30"/>
      <c r="I1713" s="179"/>
      <c r="J1713" s="180"/>
      <c r="L1713" s="30"/>
      <c r="M1713" s="30"/>
      <c r="N1713" s="30"/>
    </row>
    <row r="1714">
      <c r="B1714" s="30"/>
      <c r="C1714" s="30"/>
      <c r="F1714" s="30"/>
      <c r="G1714" s="30"/>
      <c r="H1714" s="30"/>
      <c r="I1714" s="179"/>
      <c r="J1714" s="180"/>
      <c r="L1714" s="30"/>
      <c r="M1714" s="30"/>
      <c r="N1714" s="30"/>
    </row>
    <row r="1715">
      <c r="B1715" s="30"/>
      <c r="C1715" s="30"/>
      <c r="F1715" s="30"/>
      <c r="G1715" s="30"/>
      <c r="H1715" s="30"/>
      <c r="I1715" s="179"/>
      <c r="J1715" s="180"/>
      <c r="L1715" s="30"/>
      <c r="M1715" s="30"/>
      <c r="N1715" s="30"/>
    </row>
    <row r="1716">
      <c r="B1716" s="30"/>
      <c r="C1716" s="30"/>
      <c r="F1716" s="30"/>
      <c r="G1716" s="30"/>
      <c r="H1716" s="30"/>
      <c r="I1716" s="179"/>
      <c r="J1716" s="180"/>
      <c r="L1716" s="30"/>
      <c r="M1716" s="30"/>
      <c r="N1716" s="30"/>
    </row>
    <row r="1717">
      <c r="B1717" s="30"/>
      <c r="C1717" s="30"/>
      <c r="F1717" s="30"/>
      <c r="G1717" s="30"/>
      <c r="H1717" s="30"/>
      <c r="I1717" s="179"/>
      <c r="J1717" s="180"/>
      <c r="L1717" s="30"/>
      <c r="M1717" s="30"/>
      <c r="N1717" s="30"/>
    </row>
    <row r="1718">
      <c r="B1718" s="30"/>
      <c r="C1718" s="30"/>
      <c r="F1718" s="30"/>
      <c r="G1718" s="30"/>
      <c r="H1718" s="30"/>
      <c r="I1718" s="179"/>
      <c r="J1718" s="180"/>
      <c r="L1718" s="30"/>
      <c r="M1718" s="30"/>
      <c r="N1718" s="30"/>
    </row>
    <row r="1719">
      <c r="B1719" s="30"/>
      <c r="C1719" s="30"/>
      <c r="F1719" s="30"/>
      <c r="G1719" s="30"/>
      <c r="H1719" s="30"/>
      <c r="I1719" s="179"/>
      <c r="J1719" s="180"/>
      <c r="L1719" s="30"/>
      <c r="M1719" s="30"/>
      <c r="N1719" s="30"/>
    </row>
    <row r="1720">
      <c r="B1720" s="30"/>
      <c r="C1720" s="30"/>
      <c r="F1720" s="30"/>
      <c r="G1720" s="30"/>
      <c r="H1720" s="30"/>
      <c r="I1720" s="179"/>
      <c r="J1720" s="180"/>
      <c r="L1720" s="30"/>
      <c r="M1720" s="30"/>
      <c r="N1720" s="30"/>
    </row>
    <row r="1721">
      <c r="B1721" s="30"/>
      <c r="C1721" s="30"/>
      <c r="F1721" s="30"/>
      <c r="G1721" s="30"/>
      <c r="H1721" s="30"/>
      <c r="I1721" s="179"/>
      <c r="J1721" s="180"/>
      <c r="L1721" s="30"/>
      <c r="M1721" s="30"/>
      <c r="N1721" s="30"/>
    </row>
    <row r="1722">
      <c r="B1722" s="30"/>
      <c r="C1722" s="30"/>
      <c r="F1722" s="30"/>
      <c r="G1722" s="30"/>
      <c r="H1722" s="30"/>
      <c r="I1722" s="179"/>
      <c r="J1722" s="180"/>
      <c r="L1722" s="30"/>
      <c r="M1722" s="30"/>
      <c r="N1722" s="30"/>
    </row>
    <row r="1723">
      <c r="B1723" s="30"/>
      <c r="C1723" s="30"/>
      <c r="F1723" s="30"/>
      <c r="G1723" s="30"/>
      <c r="H1723" s="30"/>
      <c r="I1723" s="179"/>
      <c r="J1723" s="180"/>
      <c r="L1723" s="30"/>
      <c r="M1723" s="30"/>
      <c r="N1723" s="30"/>
    </row>
    <row r="1724">
      <c r="B1724" s="30"/>
      <c r="C1724" s="30"/>
      <c r="F1724" s="30"/>
      <c r="G1724" s="30"/>
      <c r="H1724" s="30"/>
      <c r="I1724" s="179"/>
      <c r="J1724" s="180"/>
      <c r="L1724" s="30"/>
      <c r="M1724" s="30"/>
      <c r="N1724" s="30"/>
    </row>
    <row r="1725">
      <c r="B1725" s="30"/>
      <c r="C1725" s="30"/>
      <c r="F1725" s="30"/>
      <c r="G1725" s="30"/>
      <c r="H1725" s="30"/>
      <c r="I1725" s="179"/>
      <c r="J1725" s="180"/>
      <c r="L1725" s="30"/>
      <c r="M1725" s="30"/>
      <c r="N1725" s="30"/>
    </row>
    <row r="1726">
      <c r="B1726" s="30"/>
      <c r="C1726" s="30"/>
      <c r="F1726" s="30"/>
      <c r="G1726" s="30"/>
      <c r="H1726" s="30"/>
      <c r="I1726" s="179"/>
      <c r="J1726" s="180"/>
      <c r="L1726" s="30"/>
      <c r="M1726" s="30"/>
      <c r="N1726" s="30"/>
    </row>
    <row r="1727">
      <c r="B1727" s="30"/>
      <c r="C1727" s="30"/>
      <c r="F1727" s="30"/>
      <c r="G1727" s="30"/>
      <c r="H1727" s="30"/>
      <c r="I1727" s="179"/>
      <c r="J1727" s="180"/>
      <c r="L1727" s="30"/>
      <c r="M1727" s="30"/>
      <c r="N1727" s="30"/>
    </row>
    <row r="1728">
      <c r="B1728" s="30"/>
      <c r="C1728" s="30"/>
      <c r="F1728" s="30"/>
      <c r="G1728" s="30"/>
      <c r="H1728" s="30"/>
      <c r="I1728" s="179"/>
      <c r="J1728" s="180"/>
      <c r="L1728" s="30"/>
      <c r="M1728" s="30"/>
      <c r="N1728" s="30"/>
    </row>
    <row r="1729">
      <c r="B1729" s="30"/>
      <c r="C1729" s="30"/>
      <c r="F1729" s="30"/>
      <c r="G1729" s="30"/>
      <c r="H1729" s="30"/>
      <c r="I1729" s="179"/>
      <c r="J1729" s="180"/>
      <c r="L1729" s="30"/>
      <c r="M1729" s="30"/>
      <c r="N1729" s="30"/>
    </row>
    <row r="1730">
      <c r="B1730" s="30"/>
      <c r="C1730" s="30"/>
      <c r="F1730" s="30"/>
      <c r="G1730" s="30"/>
      <c r="H1730" s="30"/>
      <c r="I1730" s="179"/>
      <c r="J1730" s="180"/>
      <c r="L1730" s="30"/>
      <c r="M1730" s="30"/>
      <c r="N1730" s="30"/>
    </row>
    <row r="1731">
      <c r="B1731" s="30"/>
      <c r="C1731" s="30"/>
      <c r="F1731" s="30"/>
      <c r="G1731" s="30"/>
      <c r="H1731" s="30"/>
      <c r="I1731" s="179"/>
      <c r="J1731" s="180"/>
      <c r="L1731" s="30"/>
      <c r="M1731" s="30"/>
      <c r="N1731" s="30"/>
    </row>
    <row r="1732">
      <c r="B1732" s="30"/>
      <c r="C1732" s="30"/>
      <c r="F1732" s="30"/>
      <c r="G1732" s="30"/>
      <c r="H1732" s="30"/>
      <c r="I1732" s="179"/>
      <c r="J1732" s="180"/>
      <c r="L1732" s="30"/>
      <c r="M1732" s="30"/>
      <c r="N1732" s="30"/>
    </row>
    <row r="1733">
      <c r="B1733" s="30"/>
      <c r="C1733" s="30"/>
      <c r="F1733" s="30"/>
      <c r="G1733" s="30"/>
      <c r="H1733" s="30"/>
      <c r="I1733" s="179"/>
      <c r="J1733" s="180"/>
      <c r="L1733" s="30"/>
      <c r="M1733" s="30"/>
      <c r="N1733" s="30"/>
    </row>
    <row r="1734">
      <c r="B1734" s="30"/>
      <c r="C1734" s="30"/>
      <c r="F1734" s="30"/>
      <c r="G1734" s="30"/>
      <c r="H1734" s="30"/>
      <c r="I1734" s="179"/>
      <c r="J1734" s="180"/>
      <c r="L1734" s="30"/>
      <c r="M1734" s="30"/>
      <c r="N1734" s="30"/>
    </row>
    <row r="1735">
      <c r="B1735" s="30"/>
      <c r="C1735" s="30"/>
      <c r="F1735" s="30"/>
      <c r="G1735" s="30"/>
      <c r="H1735" s="30"/>
      <c r="I1735" s="179"/>
      <c r="J1735" s="180"/>
      <c r="L1735" s="30"/>
      <c r="M1735" s="30"/>
      <c r="N1735" s="30"/>
    </row>
    <row r="1736">
      <c r="B1736" s="30"/>
      <c r="C1736" s="30"/>
      <c r="F1736" s="30"/>
      <c r="G1736" s="30"/>
      <c r="H1736" s="30"/>
      <c r="I1736" s="179"/>
      <c r="J1736" s="180"/>
      <c r="L1736" s="30"/>
      <c r="M1736" s="30"/>
      <c r="N1736" s="30"/>
    </row>
    <row r="1737">
      <c r="B1737" s="30"/>
      <c r="C1737" s="30"/>
      <c r="F1737" s="30"/>
      <c r="G1737" s="30"/>
      <c r="H1737" s="30"/>
      <c r="I1737" s="179"/>
      <c r="J1737" s="180"/>
      <c r="L1737" s="30"/>
      <c r="M1737" s="30"/>
      <c r="N1737" s="30"/>
    </row>
    <row r="1738">
      <c r="B1738" s="30"/>
      <c r="C1738" s="30"/>
      <c r="F1738" s="30"/>
      <c r="G1738" s="30"/>
      <c r="H1738" s="30"/>
      <c r="I1738" s="179"/>
      <c r="J1738" s="180"/>
      <c r="L1738" s="30"/>
      <c r="M1738" s="30"/>
      <c r="N1738" s="30"/>
    </row>
    <row r="1739">
      <c r="B1739" s="30"/>
      <c r="C1739" s="30"/>
      <c r="F1739" s="30"/>
      <c r="G1739" s="30"/>
      <c r="H1739" s="30"/>
      <c r="I1739" s="179"/>
      <c r="J1739" s="180"/>
      <c r="L1739" s="30"/>
      <c r="M1739" s="30"/>
      <c r="N1739" s="30"/>
    </row>
    <row r="1740">
      <c r="B1740" s="30"/>
      <c r="C1740" s="30"/>
      <c r="F1740" s="30"/>
      <c r="G1740" s="30"/>
      <c r="H1740" s="30"/>
      <c r="I1740" s="179"/>
      <c r="J1740" s="180"/>
      <c r="L1740" s="30"/>
      <c r="M1740" s="30"/>
      <c r="N1740" s="30"/>
    </row>
    <row r="1741">
      <c r="B1741" s="30"/>
      <c r="C1741" s="30"/>
      <c r="F1741" s="30"/>
      <c r="G1741" s="30"/>
      <c r="H1741" s="30"/>
      <c r="I1741" s="179"/>
      <c r="J1741" s="180"/>
      <c r="L1741" s="30"/>
      <c r="M1741" s="30"/>
      <c r="N1741" s="30"/>
    </row>
    <row r="1742">
      <c r="B1742" s="30"/>
      <c r="C1742" s="30"/>
      <c r="F1742" s="30"/>
      <c r="G1742" s="30"/>
      <c r="H1742" s="30"/>
      <c r="I1742" s="179"/>
      <c r="J1742" s="180"/>
      <c r="L1742" s="30"/>
      <c r="M1742" s="30"/>
      <c r="N1742" s="30"/>
    </row>
    <row r="1743">
      <c r="B1743" s="30"/>
      <c r="C1743" s="30"/>
      <c r="F1743" s="30"/>
      <c r="G1743" s="30"/>
      <c r="H1743" s="30"/>
      <c r="I1743" s="179"/>
      <c r="J1743" s="180"/>
      <c r="L1743" s="30"/>
      <c r="M1743" s="30"/>
      <c r="N1743" s="30"/>
    </row>
    <row r="1744">
      <c r="B1744" s="30"/>
      <c r="C1744" s="30"/>
      <c r="F1744" s="30"/>
      <c r="G1744" s="30"/>
      <c r="H1744" s="30"/>
      <c r="I1744" s="179"/>
      <c r="J1744" s="180"/>
      <c r="L1744" s="30"/>
      <c r="M1744" s="30"/>
      <c r="N1744" s="30"/>
    </row>
    <row r="1745">
      <c r="B1745" s="30"/>
      <c r="C1745" s="30"/>
      <c r="F1745" s="30"/>
      <c r="G1745" s="30"/>
      <c r="H1745" s="30"/>
      <c r="I1745" s="179"/>
      <c r="J1745" s="180"/>
      <c r="L1745" s="30"/>
      <c r="M1745" s="30"/>
      <c r="N1745" s="30"/>
    </row>
    <row r="1746">
      <c r="B1746" s="30"/>
      <c r="C1746" s="30"/>
      <c r="F1746" s="30"/>
      <c r="G1746" s="30"/>
      <c r="H1746" s="30"/>
      <c r="I1746" s="179"/>
      <c r="J1746" s="180"/>
      <c r="L1746" s="30"/>
      <c r="M1746" s="30"/>
      <c r="N1746" s="30"/>
    </row>
    <row r="1747">
      <c r="B1747" s="30"/>
      <c r="C1747" s="30"/>
      <c r="F1747" s="30"/>
      <c r="G1747" s="30"/>
      <c r="H1747" s="30"/>
      <c r="I1747" s="179"/>
      <c r="J1747" s="180"/>
      <c r="L1747" s="30"/>
      <c r="M1747" s="30"/>
      <c r="N1747" s="30"/>
    </row>
    <row r="1748">
      <c r="B1748" s="30"/>
      <c r="C1748" s="30"/>
      <c r="F1748" s="30"/>
      <c r="G1748" s="30"/>
      <c r="H1748" s="30"/>
      <c r="I1748" s="179"/>
      <c r="J1748" s="180"/>
      <c r="L1748" s="30"/>
      <c r="M1748" s="30"/>
      <c r="N1748" s="30"/>
    </row>
    <row r="1749">
      <c r="B1749" s="30"/>
      <c r="C1749" s="30"/>
      <c r="F1749" s="30"/>
      <c r="G1749" s="30"/>
      <c r="H1749" s="30"/>
      <c r="I1749" s="179"/>
      <c r="J1749" s="180"/>
      <c r="L1749" s="30"/>
      <c r="M1749" s="30"/>
      <c r="N1749" s="30"/>
    </row>
    <row r="1750">
      <c r="B1750" s="30"/>
      <c r="C1750" s="30"/>
      <c r="F1750" s="30"/>
      <c r="G1750" s="30"/>
      <c r="H1750" s="30"/>
      <c r="I1750" s="179"/>
      <c r="J1750" s="180"/>
      <c r="L1750" s="30"/>
      <c r="M1750" s="30"/>
      <c r="N1750" s="30"/>
    </row>
    <row r="1751">
      <c r="B1751" s="30"/>
      <c r="C1751" s="30"/>
      <c r="F1751" s="30"/>
      <c r="G1751" s="30"/>
      <c r="H1751" s="30"/>
      <c r="I1751" s="179"/>
      <c r="J1751" s="180"/>
      <c r="L1751" s="30"/>
      <c r="M1751" s="30"/>
      <c r="N1751" s="30"/>
    </row>
    <row r="1752">
      <c r="B1752" s="30"/>
      <c r="C1752" s="30"/>
      <c r="F1752" s="30"/>
      <c r="G1752" s="30"/>
      <c r="H1752" s="30"/>
      <c r="I1752" s="179"/>
      <c r="J1752" s="180"/>
      <c r="L1752" s="30"/>
      <c r="M1752" s="30"/>
      <c r="N1752" s="30"/>
    </row>
    <row r="1753">
      <c r="B1753" s="30"/>
      <c r="C1753" s="30"/>
      <c r="F1753" s="30"/>
      <c r="G1753" s="30"/>
      <c r="H1753" s="30"/>
      <c r="I1753" s="179"/>
      <c r="J1753" s="180"/>
      <c r="L1753" s="30"/>
      <c r="M1753" s="30"/>
      <c r="N1753" s="30"/>
    </row>
    <row r="1754">
      <c r="B1754" s="30"/>
      <c r="C1754" s="30"/>
      <c r="F1754" s="30"/>
      <c r="G1754" s="30"/>
      <c r="H1754" s="30"/>
      <c r="I1754" s="179"/>
      <c r="J1754" s="180"/>
      <c r="L1754" s="30"/>
      <c r="M1754" s="30"/>
      <c r="N1754" s="30"/>
    </row>
    <row r="1755">
      <c r="B1755" s="30"/>
      <c r="C1755" s="30"/>
      <c r="F1755" s="30"/>
      <c r="G1755" s="30"/>
      <c r="H1755" s="30"/>
      <c r="I1755" s="179"/>
      <c r="J1755" s="180"/>
      <c r="L1755" s="30"/>
      <c r="M1755" s="30"/>
      <c r="N1755" s="30"/>
    </row>
    <row r="1756">
      <c r="B1756" s="30"/>
      <c r="C1756" s="30"/>
      <c r="F1756" s="30"/>
      <c r="G1756" s="30"/>
      <c r="H1756" s="30"/>
      <c r="I1756" s="179"/>
      <c r="J1756" s="180"/>
      <c r="L1756" s="30"/>
      <c r="M1756" s="30"/>
      <c r="N1756" s="30"/>
    </row>
    <row r="1757">
      <c r="B1757" s="30"/>
      <c r="C1757" s="30"/>
      <c r="F1757" s="30"/>
      <c r="G1757" s="30"/>
      <c r="H1757" s="30"/>
      <c r="I1757" s="179"/>
      <c r="J1757" s="180"/>
      <c r="L1757" s="30"/>
      <c r="M1757" s="30"/>
      <c r="N1757" s="30"/>
    </row>
    <row r="1758">
      <c r="B1758" s="30"/>
      <c r="C1758" s="30"/>
      <c r="F1758" s="30"/>
      <c r="G1758" s="30"/>
      <c r="H1758" s="30"/>
      <c r="I1758" s="179"/>
      <c r="J1758" s="180"/>
      <c r="L1758" s="30"/>
      <c r="M1758" s="30"/>
      <c r="N1758" s="30"/>
    </row>
    <row r="1759">
      <c r="B1759" s="30"/>
      <c r="C1759" s="30"/>
      <c r="F1759" s="30"/>
      <c r="G1759" s="30"/>
      <c r="H1759" s="30"/>
      <c r="I1759" s="179"/>
      <c r="J1759" s="180"/>
      <c r="L1759" s="30"/>
      <c r="M1759" s="30"/>
      <c r="N1759" s="30"/>
    </row>
    <row r="1760">
      <c r="B1760" s="30"/>
      <c r="C1760" s="30"/>
      <c r="F1760" s="30"/>
      <c r="G1760" s="30"/>
      <c r="H1760" s="30"/>
      <c r="I1760" s="179"/>
      <c r="J1760" s="180"/>
      <c r="L1760" s="30"/>
      <c r="M1760" s="30"/>
      <c r="N1760" s="30"/>
    </row>
    <row r="1761">
      <c r="B1761" s="30"/>
      <c r="C1761" s="30"/>
      <c r="F1761" s="30"/>
      <c r="G1761" s="30"/>
      <c r="H1761" s="30"/>
      <c r="I1761" s="179"/>
      <c r="J1761" s="180"/>
      <c r="L1761" s="30"/>
      <c r="M1761" s="30"/>
      <c r="N1761" s="30"/>
    </row>
    <row r="1762">
      <c r="B1762" s="30"/>
      <c r="C1762" s="30"/>
      <c r="F1762" s="30"/>
      <c r="G1762" s="30"/>
      <c r="H1762" s="30"/>
      <c r="I1762" s="179"/>
      <c r="J1762" s="180"/>
      <c r="L1762" s="30"/>
      <c r="M1762" s="30"/>
      <c r="N1762" s="30"/>
    </row>
    <row r="1763">
      <c r="B1763" s="30"/>
      <c r="C1763" s="30"/>
      <c r="F1763" s="30"/>
      <c r="G1763" s="30"/>
      <c r="H1763" s="30"/>
      <c r="I1763" s="179"/>
      <c r="J1763" s="180"/>
      <c r="L1763" s="30"/>
      <c r="M1763" s="30"/>
      <c r="N1763" s="30"/>
    </row>
    <row r="1764">
      <c r="B1764" s="30"/>
      <c r="C1764" s="30"/>
      <c r="F1764" s="30"/>
      <c r="G1764" s="30"/>
      <c r="H1764" s="30"/>
      <c r="I1764" s="179"/>
      <c r="J1764" s="180"/>
      <c r="L1764" s="30"/>
      <c r="M1764" s="30"/>
      <c r="N1764" s="30"/>
    </row>
    <row r="1765">
      <c r="B1765" s="30"/>
      <c r="C1765" s="30"/>
      <c r="F1765" s="30"/>
      <c r="G1765" s="30"/>
      <c r="H1765" s="30"/>
      <c r="I1765" s="179"/>
      <c r="J1765" s="180"/>
      <c r="L1765" s="30"/>
      <c r="M1765" s="30"/>
      <c r="N1765" s="30"/>
    </row>
    <row r="1766">
      <c r="B1766" s="30"/>
      <c r="C1766" s="30"/>
      <c r="F1766" s="30"/>
      <c r="G1766" s="30"/>
      <c r="H1766" s="30"/>
      <c r="I1766" s="179"/>
      <c r="J1766" s="180"/>
      <c r="L1766" s="30"/>
      <c r="M1766" s="30"/>
      <c r="N1766" s="30"/>
    </row>
    <row r="1767">
      <c r="B1767" s="30"/>
      <c r="C1767" s="30"/>
      <c r="F1767" s="30"/>
      <c r="G1767" s="30"/>
      <c r="H1767" s="30"/>
      <c r="I1767" s="179"/>
      <c r="J1767" s="180"/>
      <c r="L1767" s="30"/>
      <c r="M1767" s="30"/>
      <c r="N1767" s="30"/>
    </row>
    <row r="1768">
      <c r="B1768" s="30"/>
      <c r="C1768" s="30"/>
      <c r="F1768" s="30"/>
      <c r="G1768" s="30"/>
      <c r="H1768" s="30"/>
      <c r="I1768" s="179"/>
      <c r="J1768" s="180"/>
      <c r="L1768" s="30"/>
      <c r="M1768" s="30"/>
      <c r="N1768" s="30"/>
    </row>
    <row r="1769">
      <c r="B1769" s="30"/>
      <c r="C1769" s="30"/>
      <c r="F1769" s="30"/>
      <c r="G1769" s="30"/>
      <c r="H1769" s="30"/>
      <c r="I1769" s="179"/>
      <c r="J1769" s="180"/>
      <c r="L1769" s="30"/>
      <c r="M1769" s="30"/>
      <c r="N1769" s="30"/>
    </row>
    <row r="1770">
      <c r="B1770" s="30"/>
      <c r="C1770" s="30"/>
      <c r="F1770" s="30"/>
      <c r="G1770" s="30"/>
      <c r="H1770" s="30"/>
      <c r="I1770" s="179"/>
      <c r="J1770" s="180"/>
      <c r="L1770" s="30"/>
      <c r="M1770" s="30"/>
      <c r="N1770" s="30"/>
    </row>
    <row r="1771">
      <c r="B1771" s="30"/>
      <c r="C1771" s="30"/>
      <c r="F1771" s="30"/>
      <c r="G1771" s="30"/>
      <c r="H1771" s="30"/>
      <c r="I1771" s="179"/>
      <c r="J1771" s="180"/>
      <c r="L1771" s="30"/>
      <c r="M1771" s="30"/>
      <c r="N1771" s="30"/>
    </row>
    <row r="1772">
      <c r="B1772" s="30"/>
      <c r="C1772" s="30"/>
      <c r="F1772" s="30"/>
      <c r="G1772" s="30"/>
      <c r="H1772" s="30"/>
      <c r="I1772" s="179"/>
      <c r="J1772" s="180"/>
      <c r="L1772" s="30"/>
      <c r="M1772" s="30"/>
      <c r="N1772" s="30"/>
    </row>
    <row r="1773">
      <c r="B1773" s="30"/>
      <c r="C1773" s="30"/>
      <c r="F1773" s="30"/>
      <c r="G1773" s="30"/>
      <c r="H1773" s="30"/>
      <c r="I1773" s="179"/>
      <c r="J1773" s="180"/>
      <c r="L1773" s="30"/>
      <c r="M1773" s="30"/>
      <c r="N1773" s="30"/>
    </row>
    <row r="1774">
      <c r="B1774" s="30"/>
      <c r="C1774" s="30"/>
      <c r="F1774" s="30"/>
      <c r="G1774" s="30"/>
      <c r="H1774" s="30"/>
      <c r="I1774" s="179"/>
      <c r="J1774" s="180"/>
      <c r="L1774" s="30"/>
      <c r="M1774" s="30"/>
      <c r="N1774" s="30"/>
    </row>
    <row r="1775">
      <c r="B1775" s="30"/>
      <c r="C1775" s="30"/>
      <c r="F1775" s="30"/>
      <c r="G1775" s="30"/>
      <c r="H1775" s="30"/>
      <c r="I1775" s="179"/>
      <c r="J1775" s="180"/>
      <c r="L1775" s="30"/>
      <c r="M1775" s="30"/>
      <c r="N1775" s="30"/>
    </row>
    <row r="1776">
      <c r="B1776" s="30"/>
      <c r="C1776" s="30"/>
      <c r="F1776" s="30"/>
      <c r="G1776" s="30"/>
      <c r="H1776" s="30"/>
      <c r="I1776" s="179"/>
      <c r="J1776" s="180"/>
      <c r="L1776" s="30"/>
      <c r="M1776" s="30"/>
      <c r="N1776" s="30"/>
    </row>
    <row r="1777">
      <c r="B1777" s="30"/>
      <c r="C1777" s="30"/>
      <c r="F1777" s="30"/>
      <c r="G1777" s="30"/>
      <c r="H1777" s="30"/>
      <c r="I1777" s="179"/>
      <c r="J1777" s="180"/>
      <c r="L1777" s="30"/>
      <c r="M1777" s="30"/>
      <c r="N1777" s="30"/>
    </row>
    <row r="1778">
      <c r="B1778" s="30"/>
      <c r="C1778" s="30"/>
      <c r="F1778" s="30"/>
      <c r="G1778" s="30"/>
      <c r="H1778" s="30"/>
      <c r="I1778" s="179"/>
      <c r="J1778" s="180"/>
      <c r="L1778" s="30"/>
      <c r="M1778" s="30"/>
      <c r="N1778" s="30"/>
    </row>
    <row r="1779">
      <c r="B1779" s="30"/>
      <c r="C1779" s="30"/>
      <c r="F1779" s="30"/>
      <c r="G1779" s="30"/>
      <c r="H1779" s="30"/>
      <c r="I1779" s="179"/>
      <c r="J1779" s="180"/>
      <c r="L1779" s="30"/>
      <c r="M1779" s="30"/>
      <c r="N1779" s="30"/>
    </row>
    <row r="1780">
      <c r="B1780" s="30"/>
      <c r="C1780" s="30"/>
      <c r="F1780" s="30"/>
      <c r="G1780" s="30"/>
      <c r="H1780" s="30"/>
      <c r="I1780" s="179"/>
      <c r="J1780" s="180"/>
      <c r="L1780" s="30"/>
      <c r="M1780" s="30"/>
      <c r="N1780" s="30"/>
    </row>
    <row r="1781">
      <c r="B1781" s="30"/>
      <c r="C1781" s="30"/>
      <c r="F1781" s="30"/>
      <c r="G1781" s="30"/>
      <c r="H1781" s="30"/>
      <c r="I1781" s="179"/>
      <c r="J1781" s="180"/>
      <c r="L1781" s="30"/>
      <c r="M1781" s="30"/>
      <c r="N1781" s="30"/>
    </row>
    <row r="1782">
      <c r="B1782" s="30"/>
      <c r="C1782" s="30"/>
      <c r="F1782" s="30"/>
      <c r="G1782" s="30"/>
      <c r="H1782" s="30"/>
      <c r="I1782" s="179"/>
      <c r="J1782" s="180"/>
      <c r="L1782" s="30"/>
      <c r="M1782" s="30"/>
      <c r="N1782" s="30"/>
    </row>
    <row r="1783">
      <c r="B1783" s="30"/>
      <c r="C1783" s="30"/>
      <c r="F1783" s="30"/>
      <c r="G1783" s="30"/>
      <c r="H1783" s="30"/>
      <c r="I1783" s="179"/>
      <c r="J1783" s="180"/>
      <c r="L1783" s="30"/>
      <c r="M1783" s="30"/>
      <c r="N1783" s="30"/>
    </row>
    <row r="1784">
      <c r="B1784" s="30"/>
      <c r="C1784" s="30"/>
      <c r="F1784" s="30"/>
      <c r="G1784" s="30"/>
      <c r="H1784" s="30"/>
      <c r="I1784" s="179"/>
      <c r="J1784" s="180"/>
      <c r="L1784" s="30"/>
      <c r="M1784" s="30"/>
      <c r="N1784" s="30"/>
    </row>
    <row r="1785">
      <c r="B1785" s="30"/>
      <c r="C1785" s="30"/>
      <c r="F1785" s="30"/>
      <c r="G1785" s="30"/>
      <c r="H1785" s="30"/>
      <c r="I1785" s="179"/>
      <c r="J1785" s="180"/>
      <c r="L1785" s="30"/>
      <c r="M1785" s="30"/>
      <c r="N1785" s="30"/>
    </row>
    <row r="1786">
      <c r="B1786" s="30"/>
      <c r="C1786" s="30"/>
      <c r="F1786" s="30"/>
      <c r="G1786" s="30"/>
      <c r="H1786" s="30"/>
      <c r="I1786" s="179"/>
      <c r="J1786" s="180"/>
      <c r="L1786" s="30"/>
      <c r="M1786" s="30"/>
      <c r="N1786" s="30"/>
    </row>
    <row r="1787">
      <c r="B1787" s="30"/>
      <c r="C1787" s="30"/>
      <c r="F1787" s="30"/>
      <c r="G1787" s="30"/>
      <c r="H1787" s="30"/>
      <c r="I1787" s="179"/>
      <c r="J1787" s="180"/>
      <c r="L1787" s="30"/>
      <c r="M1787" s="30"/>
      <c r="N1787" s="30"/>
    </row>
    <row r="1788">
      <c r="B1788" s="30"/>
      <c r="C1788" s="30"/>
      <c r="F1788" s="30"/>
      <c r="G1788" s="30"/>
      <c r="H1788" s="30"/>
      <c r="I1788" s="179"/>
      <c r="J1788" s="180"/>
      <c r="L1788" s="30"/>
      <c r="M1788" s="30"/>
      <c r="N1788" s="30"/>
    </row>
    <row r="1789">
      <c r="B1789" s="30"/>
      <c r="C1789" s="30"/>
      <c r="F1789" s="30"/>
      <c r="G1789" s="30"/>
      <c r="H1789" s="30"/>
      <c r="I1789" s="179"/>
      <c r="J1789" s="180"/>
      <c r="L1789" s="30"/>
      <c r="M1789" s="30"/>
      <c r="N1789" s="30"/>
    </row>
    <row r="1790">
      <c r="B1790" s="30"/>
      <c r="C1790" s="30"/>
      <c r="F1790" s="30"/>
      <c r="G1790" s="30"/>
      <c r="H1790" s="30"/>
      <c r="I1790" s="179"/>
      <c r="J1790" s="180"/>
      <c r="L1790" s="30"/>
      <c r="M1790" s="30"/>
      <c r="N1790" s="30"/>
    </row>
    <row r="1791">
      <c r="B1791" s="30"/>
      <c r="C1791" s="30"/>
      <c r="F1791" s="30"/>
      <c r="G1791" s="30"/>
      <c r="H1791" s="30"/>
      <c r="I1791" s="179"/>
      <c r="J1791" s="180"/>
      <c r="L1791" s="30"/>
      <c r="M1791" s="30"/>
      <c r="N1791" s="30"/>
    </row>
    <row r="1792">
      <c r="B1792" s="30"/>
      <c r="C1792" s="30"/>
      <c r="F1792" s="30"/>
      <c r="G1792" s="30"/>
      <c r="H1792" s="30"/>
      <c r="I1792" s="179"/>
      <c r="J1792" s="180"/>
      <c r="L1792" s="30"/>
      <c r="M1792" s="30"/>
      <c r="N1792" s="30"/>
    </row>
    <row r="1793">
      <c r="B1793" s="30"/>
      <c r="C1793" s="30"/>
      <c r="F1793" s="30"/>
      <c r="G1793" s="30"/>
      <c r="H1793" s="30"/>
      <c r="I1793" s="179"/>
      <c r="J1793" s="180"/>
      <c r="L1793" s="30"/>
      <c r="M1793" s="30"/>
      <c r="N1793" s="30"/>
    </row>
    <row r="1794">
      <c r="B1794" s="30"/>
      <c r="C1794" s="30"/>
      <c r="F1794" s="30"/>
      <c r="G1794" s="30"/>
      <c r="H1794" s="30"/>
      <c r="I1794" s="179"/>
      <c r="J1794" s="180"/>
      <c r="L1794" s="30"/>
      <c r="M1794" s="30"/>
      <c r="N1794" s="30"/>
    </row>
    <row r="1795">
      <c r="B1795" s="30"/>
      <c r="C1795" s="30"/>
      <c r="F1795" s="30"/>
      <c r="G1795" s="30"/>
      <c r="H1795" s="30"/>
      <c r="I1795" s="179"/>
      <c r="J1795" s="180"/>
      <c r="L1795" s="30"/>
      <c r="M1795" s="30"/>
      <c r="N1795" s="30"/>
    </row>
    <row r="1796">
      <c r="B1796" s="30"/>
      <c r="C1796" s="30"/>
      <c r="F1796" s="30"/>
      <c r="G1796" s="30"/>
      <c r="H1796" s="30"/>
      <c r="I1796" s="179"/>
      <c r="J1796" s="180"/>
      <c r="L1796" s="30"/>
      <c r="M1796" s="30"/>
      <c r="N1796" s="30"/>
    </row>
    <row r="1797">
      <c r="B1797" s="30"/>
      <c r="C1797" s="30"/>
      <c r="F1797" s="30"/>
      <c r="G1797" s="30"/>
      <c r="H1797" s="30"/>
      <c r="I1797" s="179"/>
      <c r="J1797" s="180"/>
      <c r="L1797" s="30"/>
      <c r="M1797" s="30"/>
      <c r="N1797" s="30"/>
    </row>
    <row r="1798">
      <c r="B1798" s="30"/>
      <c r="C1798" s="30"/>
      <c r="F1798" s="30"/>
      <c r="G1798" s="30"/>
      <c r="H1798" s="30"/>
      <c r="I1798" s="179"/>
      <c r="J1798" s="180"/>
      <c r="L1798" s="30"/>
      <c r="M1798" s="30"/>
      <c r="N1798" s="30"/>
    </row>
    <row r="1799">
      <c r="B1799" s="30"/>
      <c r="C1799" s="30"/>
      <c r="F1799" s="30"/>
      <c r="G1799" s="30"/>
      <c r="H1799" s="30"/>
      <c r="I1799" s="179"/>
      <c r="J1799" s="180"/>
      <c r="L1799" s="30"/>
      <c r="M1799" s="30"/>
      <c r="N1799" s="30"/>
    </row>
    <row r="1800">
      <c r="B1800" s="30"/>
      <c r="C1800" s="30"/>
      <c r="F1800" s="30"/>
      <c r="G1800" s="30"/>
      <c r="H1800" s="30"/>
      <c r="I1800" s="179"/>
      <c r="J1800" s="180"/>
      <c r="L1800" s="30"/>
      <c r="M1800" s="30"/>
      <c r="N1800" s="30"/>
    </row>
    <row r="1801">
      <c r="B1801" s="30"/>
      <c r="C1801" s="30"/>
      <c r="F1801" s="30"/>
      <c r="G1801" s="30"/>
      <c r="H1801" s="30"/>
      <c r="I1801" s="179"/>
      <c r="J1801" s="180"/>
      <c r="L1801" s="30"/>
      <c r="M1801" s="30"/>
      <c r="N1801" s="30"/>
    </row>
    <row r="1802">
      <c r="B1802" s="30"/>
      <c r="C1802" s="30"/>
      <c r="F1802" s="30"/>
      <c r="G1802" s="30"/>
      <c r="H1802" s="30"/>
      <c r="I1802" s="179"/>
      <c r="J1802" s="180"/>
      <c r="L1802" s="30"/>
      <c r="M1802" s="30"/>
      <c r="N1802" s="30"/>
    </row>
    <row r="1803">
      <c r="B1803" s="30"/>
      <c r="C1803" s="30"/>
      <c r="F1803" s="30"/>
      <c r="G1803" s="30"/>
      <c r="H1803" s="30"/>
      <c r="I1803" s="179"/>
      <c r="J1803" s="180"/>
      <c r="L1803" s="30"/>
      <c r="M1803" s="30"/>
      <c r="N1803" s="30"/>
    </row>
    <row r="1804">
      <c r="B1804" s="30"/>
      <c r="C1804" s="30"/>
      <c r="F1804" s="30"/>
      <c r="G1804" s="30"/>
      <c r="H1804" s="30"/>
      <c r="I1804" s="179"/>
      <c r="J1804" s="180"/>
      <c r="L1804" s="30"/>
      <c r="M1804" s="30"/>
      <c r="N1804" s="30"/>
    </row>
    <row r="1805">
      <c r="B1805" s="30"/>
      <c r="C1805" s="30"/>
      <c r="F1805" s="30"/>
      <c r="G1805" s="30"/>
      <c r="H1805" s="30"/>
      <c r="I1805" s="179"/>
      <c r="J1805" s="180"/>
      <c r="L1805" s="30"/>
      <c r="M1805" s="30"/>
      <c r="N1805" s="30"/>
    </row>
    <row r="1806">
      <c r="B1806" s="30"/>
      <c r="C1806" s="30"/>
      <c r="F1806" s="30"/>
      <c r="G1806" s="30"/>
      <c r="H1806" s="30"/>
      <c r="I1806" s="179"/>
      <c r="J1806" s="180"/>
      <c r="L1806" s="30"/>
      <c r="M1806" s="30"/>
      <c r="N1806" s="30"/>
    </row>
    <row r="1807">
      <c r="B1807" s="30"/>
      <c r="C1807" s="30"/>
      <c r="F1807" s="30"/>
      <c r="G1807" s="30"/>
      <c r="H1807" s="30"/>
      <c r="I1807" s="179"/>
      <c r="J1807" s="180"/>
      <c r="L1807" s="30"/>
      <c r="M1807" s="30"/>
      <c r="N1807" s="30"/>
    </row>
    <row r="1808">
      <c r="B1808" s="30"/>
      <c r="C1808" s="30"/>
      <c r="F1808" s="30"/>
      <c r="G1808" s="30"/>
      <c r="H1808" s="30"/>
      <c r="I1808" s="179"/>
      <c r="J1808" s="180"/>
      <c r="L1808" s="30"/>
      <c r="M1808" s="30"/>
      <c r="N1808" s="30"/>
    </row>
    <row r="1809">
      <c r="B1809" s="30"/>
      <c r="C1809" s="30"/>
      <c r="F1809" s="30"/>
      <c r="G1809" s="30"/>
      <c r="H1809" s="30"/>
      <c r="I1809" s="179"/>
      <c r="J1809" s="180"/>
      <c r="L1809" s="30"/>
      <c r="M1809" s="30"/>
      <c r="N1809" s="30"/>
    </row>
    <row r="1810">
      <c r="B1810" s="30"/>
      <c r="C1810" s="30"/>
      <c r="F1810" s="30"/>
      <c r="G1810" s="30"/>
      <c r="H1810" s="30"/>
      <c r="I1810" s="179"/>
      <c r="J1810" s="180"/>
      <c r="L1810" s="30"/>
      <c r="M1810" s="30"/>
      <c r="N1810" s="30"/>
    </row>
    <row r="1811">
      <c r="B1811" s="30"/>
      <c r="C1811" s="30"/>
      <c r="F1811" s="30"/>
      <c r="G1811" s="30"/>
      <c r="H1811" s="30"/>
      <c r="I1811" s="179"/>
      <c r="J1811" s="180"/>
      <c r="L1811" s="30"/>
      <c r="M1811" s="30"/>
      <c r="N1811" s="30"/>
    </row>
    <row r="1812">
      <c r="B1812" s="30"/>
      <c r="C1812" s="30"/>
      <c r="F1812" s="30"/>
      <c r="G1812" s="30"/>
      <c r="H1812" s="30"/>
      <c r="I1812" s="179"/>
      <c r="J1812" s="180"/>
      <c r="L1812" s="30"/>
      <c r="M1812" s="30"/>
      <c r="N1812" s="30"/>
    </row>
    <row r="1813">
      <c r="B1813" s="30"/>
      <c r="C1813" s="30"/>
      <c r="F1813" s="30"/>
      <c r="G1813" s="30"/>
      <c r="H1813" s="30"/>
      <c r="I1813" s="179"/>
      <c r="J1813" s="180"/>
      <c r="L1813" s="30"/>
      <c r="M1813" s="30"/>
      <c r="N1813" s="30"/>
    </row>
    <row r="1814">
      <c r="B1814" s="30"/>
      <c r="C1814" s="30"/>
      <c r="F1814" s="30"/>
      <c r="G1814" s="30"/>
      <c r="H1814" s="30"/>
      <c r="I1814" s="179"/>
      <c r="J1814" s="180"/>
      <c r="L1814" s="30"/>
      <c r="M1814" s="30"/>
      <c r="N1814" s="30"/>
    </row>
    <row r="1815">
      <c r="B1815" s="30"/>
      <c r="C1815" s="30"/>
      <c r="F1815" s="30"/>
      <c r="G1815" s="30"/>
      <c r="H1815" s="30"/>
      <c r="I1815" s="179"/>
      <c r="J1815" s="180"/>
      <c r="L1815" s="30"/>
      <c r="M1815" s="30"/>
      <c r="N1815" s="30"/>
    </row>
    <row r="1816">
      <c r="B1816" s="30"/>
      <c r="C1816" s="30"/>
      <c r="F1816" s="30"/>
      <c r="G1816" s="30"/>
      <c r="H1816" s="30"/>
      <c r="I1816" s="179"/>
      <c r="J1816" s="180"/>
      <c r="L1816" s="30"/>
      <c r="M1816" s="30"/>
      <c r="N1816" s="30"/>
    </row>
    <row r="1817">
      <c r="B1817" s="30"/>
      <c r="C1817" s="30"/>
      <c r="F1817" s="30"/>
      <c r="G1817" s="30"/>
      <c r="H1817" s="30"/>
      <c r="I1817" s="179"/>
      <c r="J1817" s="180"/>
      <c r="L1817" s="30"/>
      <c r="M1817" s="30"/>
      <c r="N1817" s="30"/>
    </row>
    <row r="1818">
      <c r="B1818" s="30"/>
      <c r="C1818" s="30"/>
      <c r="F1818" s="30"/>
      <c r="G1818" s="30"/>
      <c r="H1818" s="30"/>
      <c r="I1818" s="179"/>
      <c r="J1818" s="180"/>
      <c r="L1818" s="30"/>
      <c r="M1818" s="30"/>
      <c r="N1818" s="30"/>
    </row>
    <row r="1819">
      <c r="B1819" s="30"/>
      <c r="C1819" s="30"/>
      <c r="F1819" s="30"/>
      <c r="G1819" s="30"/>
      <c r="H1819" s="30"/>
      <c r="I1819" s="179"/>
      <c r="J1819" s="180"/>
      <c r="L1819" s="30"/>
      <c r="M1819" s="30"/>
      <c r="N1819" s="30"/>
    </row>
    <row r="1820">
      <c r="B1820" s="30"/>
      <c r="C1820" s="30"/>
      <c r="F1820" s="30"/>
      <c r="G1820" s="30"/>
      <c r="H1820" s="30"/>
      <c r="I1820" s="179"/>
      <c r="J1820" s="180"/>
      <c r="L1820" s="30"/>
      <c r="M1820" s="30"/>
      <c r="N1820" s="30"/>
    </row>
    <row r="1821">
      <c r="B1821" s="30"/>
      <c r="C1821" s="30"/>
      <c r="F1821" s="30"/>
      <c r="G1821" s="30"/>
      <c r="H1821" s="30"/>
      <c r="I1821" s="179"/>
      <c r="J1821" s="180"/>
      <c r="L1821" s="30"/>
      <c r="M1821" s="30"/>
      <c r="N1821" s="30"/>
    </row>
    <row r="1822">
      <c r="B1822" s="30"/>
      <c r="C1822" s="30"/>
      <c r="F1822" s="30"/>
      <c r="G1822" s="30"/>
      <c r="H1822" s="30"/>
      <c r="I1822" s="179"/>
      <c r="J1822" s="180"/>
      <c r="L1822" s="30"/>
      <c r="M1822" s="30"/>
      <c r="N1822" s="30"/>
    </row>
    <row r="1823">
      <c r="B1823" s="30"/>
      <c r="C1823" s="30"/>
      <c r="F1823" s="30"/>
      <c r="G1823" s="30"/>
      <c r="H1823" s="30"/>
      <c r="I1823" s="179"/>
      <c r="J1823" s="180"/>
      <c r="L1823" s="30"/>
      <c r="M1823" s="30"/>
      <c r="N1823" s="30"/>
    </row>
    <row r="1824">
      <c r="B1824" s="30"/>
      <c r="C1824" s="30"/>
      <c r="F1824" s="30"/>
      <c r="G1824" s="30"/>
      <c r="H1824" s="30"/>
      <c r="I1824" s="179"/>
      <c r="J1824" s="180"/>
      <c r="L1824" s="30"/>
      <c r="M1824" s="30"/>
      <c r="N1824" s="30"/>
    </row>
    <row r="1825">
      <c r="B1825" s="30"/>
      <c r="C1825" s="30"/>
      <c r="F1825" s="30"/>
      <c r="G1825" s="30"/>
      <c r="H1825" s="30"/>
      <c r="I1825" s="179"/>
      <c r="J1825" s="180"/>
      <c r="L1825" s="30"/>
      <c r="M1825" s="30"/>
      <c r="N1825" s="30"/>
    </row>
    <row r="1826">
      <c r="B1826" s="30"/>
      <c r="C1826" s="30"/>
      <c r="F1826" s="30"/>
      <c r="G1826" s="30"/>
      <c r="H1826" s="30"/>
      <c r="I1826" s="179"/>
      <c r="J1826" s="180"/>
      <c r="L1826" s="30"/>
      <c r="M1826" s="30"/>
      <c r="N1826" s="30"/>
    </row>
    <row r="1827">
      <c r="B1827" s="30"/>
      <c r="C1827" s="30"/>
      <c r="F1827" s="30"/>
      <c r="G1827" s="30"/>
      <c r="H1827" s="30"/>
      <c r="I1827" s="179"/>
      <c r="J1827" s="180"/>
      <c r="L1827" s="30"/>
      <c r="M1827" s="30"/>
      <c r="N1827" s="30"/>
    </row>
    <row r="1828">
      <c r="B1828" s="30"/>
      <c r="C1828" s="30"/>
      <c r="F1828" s="30"/>
      <c r="G1828" s="30"/>
      <c r="H1828" s="30"/>
      <c r="I1828" s="179"/>
      <c r="J1828" s="180"/>
      <c r="L1828" s="30"/>
      <c r="M1828" s="30"/>
      <c r="N1828" s="30"/>
    </row>
    <row r="1829">
      <c r="B1829" s="30"/>
      <c r="C1829" s="30"/>
      <c r="F1829" s="30"/>
      <c r="G1829" s="30"/>
      <c r="H1829" s="30"/>
      <c r="I1829" s="179"/>
      <c r="J1829" s="180"/>
      <c r="L1829" s="30"/>
      <c r="M1829" s="30"/>
      <c r="N1829" s="30"/>
    </row>
    <row r="1830">
      <c r="B1830" s="30"/>
      <c r="C1830" s="30"/>
      <c r="F1830" s="30"/>
      <c r="G1830" s="30"/>
      <c r="H1830" s="30"/>
      <c r="I1830" s="179"/>
      <c r="J1830" s="180"/>
      <c r="L1830" s="30"/>
      <c r="M1830" s="30"/>
      <c r="N1830" s="30"/>
    </row>
    <row r="1831">
      <c r="B1831" s="30"/>
      <c r="C1831" s="30"/>
      <c r="F1831" s="30"/>
      <c r="G1831" s="30"/>
      <c r="H1831" s="30"/>
      <c r="I1831" s="179"/>
      <c r="J1831" s="180"/>
      <c r="L1831" s="30"/>
      <c r="M1831" s="30"/>
      <c r="N1831" s="30"/>
    </row>
    <row r="1832">
      <c r="B1832" s="30"/>
      <c r="C1832" s="30"/>
      <c r="F1832" s="30"/>
      <c r="G1832" s="30"/>
      <c r="H1832" s="30"/>
      <c r="I1832" s="179"/>
      <c r="J1832" s="180"/>
      <c r="L1832" s="30"/>
      <c r="M1832" s="30"/>
      <c r="N1832" s="30"/>
    </row>
    <row r="1833">
      <c r="B1833" s="30"/>
      <c r="C1833" s="30"/>
      <c r="F1833" s="30"/>
      <c r="G1833" s="30"/>
      <c r="H1833" s="30"/>
      <c r="I1833" s="179"/>
      <c r="J1833" s="180"/>
      <c r="L1833" s="30"/>
      <c r="M1833" s="30"/>
      <c r="N1833" s="30"/>
    </row>
    <row r="1834">
      <c r="B1834" s="30"/>
      <c r="C1834" s="30"/>
      <c r="F1834" s="30"/>
      <c r="G1834" s="30"/>
      <c r="H1834" s="30"/>
      <c r="I1834" s="179"/>
      <c r="J1834" s="180"/>
      <c r="L1834" s="30"/>
      <c r="M1834" s="30"/>
      <c r="N1834" s="30"/>
    </row>
    <row r="1835">
      <c r="B1835" s="30"/>
      <c r="C1835" s="30"/>
      <c r="F1835" s="30"/>
      <c r="G1835" s="30"/>
      <c r="H1835" s="30"/>
      <c r="I1835" s="179"/>
      <c r="J1835" s="180"/>
      <c r="L1835" s="30"/>
      <c r="M1835" s="30"/>
      <c r="N1835" s="30"/>
    </row>
    <row r="1836">
      <c r="B1836" s="30"/>
      <c r="C1836" s="30"/>
      <c r="F1836" s="30"/>
      <c r="G1836" s="30"/>
      <c r="H1836" s="30"/>
      <c r="I1836" s="179"/>
      <c r="J1836" s="180"/>
      <c r="L1836" s="30"/>
      <c r="M1836" s="30"/>
      <c r="N1836" s="30"/>
    </row>
    <row r="1837">
      <c r="B1837" s="30"/>
      <c r="C1837" s="30"/>
      <c r="F1837" s="30"/>
      <c r="G1837" s="30"/>
      <c r="H1837" s="30"/>
      <c r="I1837" s="179"/>
      <c r="J1837" s="180"/>
      <c r="L1837" s="30"/>
      <c r="M1837" s="30"/>
      <c r="N1837" s="30"/>
    </row>
    <row r="1838">
      <c r="B1838" s="30"/>
      <c r="C1838" s="30"/>
      <c r="F1838" s="30"/>
      <c r="G1838" s="30"/>
      <c r="H1838" s="30"/>
      <c r="I1838" s="179"/>
      <c r="J1838" s="180"/>
      <c r="L1838" s="30"/>
      <c r="M1838" s="30"/>
      <c r="N1838" s="30"/>
    </row>
    <row r="1839">
      <c r="B1839" s="30"/>
      <c r="C1839" s="30"/>
      <c r="F1839" s="30"/>
      <c r="G1839" s="30"/>
      <c r="H1839" s="30"/>
      <c r="I1839" s="179"/>
      <c r="J1839" s="180"/>
      <c r="L1839" s="30"/>
      <c r="M1839" s="30"/>
      <c r="N1839" s="30"/>
    </row>
    <row r="1840">
      <c r="B1840" s="30"/>
      <c r="C1840" s="30"/>
      <c r="F1840" s="30"/>
      <c r="G1840" s="30"/>
      <c r="H1840" s="30"/>
      <c r="I1840" s="179"/>
      <c r="J1840" s="180"/>
      <c r="L1840" s="30"/>
      <c r="M1840" s="30"/>
      <c r="N1840" s="30"/>
    </row>
    <row r="1841">
      <c r="B1841" s="30"/>
      <c r="C1841" s="30"/>
      <c r="F1841" s="30"/>
      <c r="G1841" s="30"/>
      <c r="H1841" s="30"/>
      <c r="I1841" s="179"/>
      <c r="J1841" s="180"/>
      <c r="L1841" s="30"/>
      <c r="M1841" s="30"/>
      <c r="N1841" s="30"/>
    </row>
    <row r="1842">
      <c r="B1842" s="30"/>
      <c r="C1842" s="30"/>
      <c r="F1842" s="30"/>
      <c r="G1842" s="30"/>
      <c r="H1842" s="30"/>
      <c r="I1842" s="179"/>
      <c r="J1842" s="180"/>
      <c r="L1842" s="30"/>
      <c r="M1842" s="30"/>
      <c r="N1842" s="30"/>
    </row>
    <row r="1843">
      <c r="B1843" s="30"/>
      <c r="C1843" s="30"/>
      <c r="F1843" s="30"/>
      <c r="G1843" s="30"/>
      <c r="H1843" s="30"/>
      <c r="I1843" s="179"/>
      <c r="J1843" s="180"/>
      <c r="L1843" s="30"/>
      <c r="M1843" s="30"/>
      <c r="N1843" s="30"/>
    </row>
    <row r="1844">
      <c r="B1844" s="30"/>
      <c r="C1844" s="30"/>
      <c r="F1844" s="30"/>
      <c r="G1844" s="30"/>
      <c r="H1844" s="30"/>
      <c r="I1844" s="179"/>
      <c r="J1844" s="180"/>
      <c r="L1844" s="30"/>
      <c r="M1844" s="30"/>
      <c r="N1844" s="30"/>
    </row>
    <row r="1845">
      <c r="B1845" s="30"/>
      <c r="C1845" s="30"/>
      <c r="F1845" s="30"/>
      <c r="G1845" s="30"/>
      <c r="H1845" s="30"/>
      <c r="I1845" s="179"/>
      <c r="J1845" s="180"/>
      <c r="L1845" s="30"/>
      <c r="M1845" s="30"/>
      <c r="N1845" s="30"/>
    </row>
    <row r="1846">
      <c r="B1846" s="30"/>
      <c r="C1846" s="30"/>
      <c r="F1846" s="30"/>
      <c r="G1846" s="30"/>
      <c r="H1846" s="30"/>
      <c r="I1846" s="179"/>
      <c r="J1846" s="180"/>
      <c r="L1846" s="30"/>
      <c r="M1846" s="30"/>
      <c r="N1846" s="30"/>
    </row>
    <row r="1847">
      <c r="B1847" s="30"/>
      <c r="C1847" s="30"/>
      <c r="F1847" s="30"/>
      <c r="G1847" s="30"/>
      <c r="H1847" s="30"/>
      <c r="I1847" s="179"/>
      <c r="J1847" s="180"/>
      <c r="L1847" s="30"/>
      <c r="M1847" s="30"/>
      <c r="N1847" s="30"/>
    </row>
    <row r="1848">
      <c r="B1848" s="30"/>
      <c r="C1848" s="30"/>
      <c r="F1848" s="30"/>
      <c r="G1848" s="30"/>
      <c r="H1848" s="30"/>
      <c r="I1848" s="179"/>
      <c r="J1848" s="180"/>
      <c r="L1848" s="30"/>
      <c r="M1848" s="30"/>
      <c r="N1848" s="30"/>
    </row>
    <row r="1849">
      <c r="B1849" s="30"/>
      <c r="C1849" s="30"/>
      <c r="F1849" s="30"/>
      <c r="G1849" s="30"/>
      <c r="H1849" s="30"/>
      <c r="I1849" s="179"/>
      <c r="J1849" s="180"/>
      <c r="L1849" s="30"/>
      <c r="M1849" s="30"/>
      <c r="N1849" s="30"/>
    </row>
  </sheetData>
  <drawing r:id="rId1"/>
</worksheet>
</file>